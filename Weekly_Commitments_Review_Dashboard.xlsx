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725" windowWidth="29040" windowHeight="15720" tabRatio="6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egory Table" sheetId="2" state="visible" r:id="rId2"/>
    <sheet xmlns:r="http://schemas.openxmlformats.org/officeDocument/2006/relationships" name="PO Log" sheetId="3" state="visible" r:id="rId3"/>
    <sheet xmlns:r="http://schemas.openxmlformats.org/officeDocument/2006/relationships" name="Committments Dump" sheetId="4" state="visible" r:id="rId4"/>
    <sheet xmlns:r="http://schemas.openxmlformats.org/officeDocument/2006/relationships" name="_CD" sheetId="5" state="hidden" r:id="rId5"/>
  </sheets>
  <definedNames>
    <definedName name="_xlnm._FilterDatabase" localSheetId="1" hidden="1">'Category Table'!$A$3:$AR$370</definedName>
    <definedName name="_xlnm._FilterDatabase" localSheetId="2" hidden="1">'PO Log'!$A$2:$F$3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_(* #,##0_);_(* \(#,##0\);_(* &quot;-&quot;??_);_(@_)"/>
    <numFmt numFmtId="167" formatCode="mm/dd/yyyy;@"/>
    <numFmt numFmtId="168" formatCode="$#,##0"/>
  </numFmts>
  <fonts count="2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b val="1"/>
      <color theme="1"/>
      <sz val="11"/>
      <scheme val="minor"/>
    </font>
    <font>
      <name val="Palatino Linotype"/>
      <family val="1"/>
      <b val="1"/>
      <sz val="10"/>
    </font>
    <font>
      <name val="Arial"/>
      <family val="2"/>
      <sz val="10"/>
    </font>
    <font>
      <name val="Calibri"/>
      <b val="1"/>
      <color rgb="008892A4"/>
      <sz val="10"/>
    </font>
    <font>
      <name val="Calibri"/>
      <color rgb="00E2E8F0"/>
      <sz val="10"/>
    </font>
    <font>
      <name val="Calibri"/>
      <b val="1"/>
      <color rgb="00FFFFFF"/>
      <sz val="13"/>
    </font>
    <font>
      <name val="Calibri"/>
      <i val="1"/>
      <color rgb="008892A4"/>
      <sz val="9"/>
    </font>
    <font>
      <name val="Segoe UI"/>
      <b val="1"/>
      <color rgb="00E2E8F0"/>
      <sz val="18"/>
    </font>
    <font>
      <name val="Segoe UI"/>
      <b val="1"/>
      <color rgb="00E2E8F0"/>
      <sz val="11"/>
    </font>
    <font>
      <name val="Segoe UI"/>
      <color rgb="0094A3B8"/>
      <sz val="9"/>
    </font>
    <font>
      <name val="Segoe UI"/>
      <b val="1"/>
      <color rgb="004F8EF7"/>
      <sz val="14"/>
    </font>
    <font>
      <name val="Segoe UI"/>
      <b val="1"/>
      <color rgb="0014B8A6"/>
      <sz val="14"/>
    </font>
    <font>
      <name val="Segoe UI"/>
      <b val="1"/>
      <color rgb="0022C55E"/>
      <sz val="14"/>
    </font>
    <font>
      <name val="Segoe UI"/>
      <b val="1"/>
      <color rgb="00F59E0B"/>
      <sz val="14"/>
    </font>
    <font>
      <name val="Segoe UI"/>
      <b val="1"/>
      <color rgb="007C5CFC"/>
      <sz val="14"/>
    </font>
    <font>
      <name val="Segoe UI"/>
      <b val="1"/>
      <color rgb="00F97316"/>
      <sz val="14"/>
    </font>
    <font>
      <name val="Segoe UI"/>
      <b val="1"/>
      <color rgb="00EF4444"/>
      <sz val="14"/>
    </font>
    <font>
      <name val="Segoe UI"/>
      <b val="1"/>
      <color rgb="00E2E8F0"/>
      <sz val="9"/>
    </font>
    <font>
      <name val="Segoe UI"/>
      <color rgb="00E2E8F0"/>
      <sz val="9"/>
    </font>
    <font>
      <name val="Segoe UI"/>
      <color rgb="0014B8A6"/>
      <sz val="9"/>
    </font>
    <font>
      <name val="Segoe UI"/>
      <color rgb="00EF4444"/>
      <sz val="9"/>
    </font>
    <font>
      <name val="Segoe UI"/>
      <color rgb="00F59E0B"/>
      <sz val="9"/>
    </font>
    <font>
      <name val="Segoe UI"/>
      <b val="1"/>
      <color rgb="00EF4444"/>
      <sz val="9"/>
    </font>
    <font>
      <name val="Segoe UI"/>
      <color rgb="0022C55E"/>
      <sz val="9"/>
    </font>
    <font>
      <name val="Segoe UI"/>
      <b val="1"/>
      <color rgb="0022C55E"/>
      <sz val="9"/>
    </font>
  </fonts>
  <fills count="22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1A1D27"/>
      </patternFill>
    </fill>
    <fill>
      <patternFill patternType="solid">
        <fgColor rgb="0022263A"/>
      </patternFill>
    </fill>
    <fill>
      <patternFill patternType="solid">
        <fgColor rgb="004F8EF7"/>
      </patternFill>
    </fill>
    <fill>
      <patternFill patternType="solid">
        <fgColor rgb="000F1117"/>
      </patternFill>
    </fill>
    <fill>
      <patternFill patternType="solid">
        <fgColor rgb="0014B8A6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7C5CFC"/>
      </patternFill>
    </fill>
    <fill>
      <patternFill patternType="solid">
        <fgColor rgb="00F97316"/>
      </patternFill>
    </fill>
    <fill>
      <patternFill patternType="solid">
        <fgColor rgb="00EF444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rgb="002E3350"/>
      </left>
      <right style="thin">
        <color rgb="002E3350"/>
      </right>
      <top style="thin">
        <color rgb="002E3350"/>
      </top>
      <bottom style="thin">
        <color rgb="002E3350"/>
      </bottom>
    </border>
    <border>
      <left style="medium">
        <color rgb="002E5EC8"/>
      </left>
      <right style="medium">
        <color rgb="002E5EC8"/>
      </right>
      <top style="medium">
        <color rgb="002E5EC8"/>
      </top>
      <bottom style="medium">
        <color rgb="002E5EC8"/>
      </bottom>
    </border>
    <border>
      <left/>
      <right/>
      <top style="thin">
        <color rgb="002E3350"/>
      </top>
      <bottom/>
      <diagonal/>
    </border>
    <border>
      <left/>
      <right style="thin">
        <color rgb="002E3350"/>
      </right>
      <top style="thin">
        <color rgb="002E3350"/>
      </top>
      <bottom/>
      <diagonal/>
    </border>
    <border>
      <left/>
      <right/>
      <top style="thin">
        <color rgb="002E3350"/>
      </top>
      <bottom style="thin">
        <color rgb="002E3350"/>
      </bottom>
      <diagonal/>
    </border>
    <border>
      <left/>
      <right style="thin">
        <color rgb="002E3350"/>
      </right>
      <top style="thin">
        <color rgb="002E3350"/>
      </top>
      <bottom style="thin">
        <color rgb="002E3350"/>
      </bottom>
      <diagonal/>
    </border>
    <border>
      <left/>
      <right/>
      <top style="medium">
        <color rgb="002E5EC8"/>
      </top>
      <bottom/>
      <diagonal/>
    </border>
    <border>
      <left/>
      <right style="medium">
        <color rgb="002E5EC8"/>
      </right>
      <top style="medium">
        <color rgb="002E5EC8"/>
      </top>
      <bottom/>
      <diagonal/>
    </border>
    <border>
      <left/>
      <right/>
      <top style="medium">
        <color rgb="002E5EC8"/>
      </top>
      <bottom style="medium">
        <color rgb="002E5EC8"/>
      </bottom>
      <diagonal/>
    </border>
    <border>
      <left/>
      <right style="medium">
        <color rgb="002E5EC8"/>
      </right>
      <top style="medium">
        <color rgb="002E5EC8"/>
      </top>
      <bottom style="medium">
        <color rgb="002E5EC8"/>
      </bottom>
      <diagonal/>
    </border>
  </borders>
  <cellStyleXfs count="6">
    <xf numFmtId="0" fontId="1" fillId="0" borderId="0"/>
    <xf numFmtId="43" fontId="1" fillId="0" borderId="0"/>
    <xf numFmtId="44" fontId="1" fillId="0" borderId="0"/>
    <xf numFmtId="0" fontId="2" fillId="2" borderId="0"/>
    <xf numFmtId="0" fontId="1" fillId="0" borderId="0"/>
    <xf numFmtId="0" fontId="1" fillId="0" borderId="0"/>
  </cellStyleXfs>
  <cellXfs count="17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4" fontId="0" fillId="0" borderId="1" pivotButton="0" quotePrefix="0" xfId="2"/>
    <xf numFmtId="164" fontId="0" fillId="0" borderId="0" pivotButton="0" quotePrefix="0" xfId="2"/>
    <xf numFmtId="0" fontId="0" fillId="3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4" borderId="3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4" fillId="6" borderId="4" pivotButton="0" quotePrefix="0" xfId="0"/>
    <xf numFmtId="49" fontId="4" fillId="7" borderId="5" pivotButton="0" quotePrefix="0" xfId="0"/>
    <xf numFmtId="0" fontId="4" fillId="6" borderId="5" pivotButton="0" quotePrefix="0" xfId="0"/>
    <xf numFmtId="0" fontId="4" fillId="7" borderId="5" pivotButton="0" quotePrefix="0" xfId="0"/>
    <xf numFmtId="14" fontId="4" fillId="6" borderId="5" pivotButton="0" quotePrefix="0" xfId="0"/>
    <xf numFmtId="165" fontId="4" fillId="6" borderId="5" pivotButton="0" quotePrefix="0" xfId="0"/>
    <xf numFmtId="49" fontId="4" fillId="6" borderId="5" pivotButton="0" quotePrefix="0" xfId="0"/>
    <xf numFmtId="166" fontId="4" fillId="6" borderId="5" pivotButton="0" quotePrefix="0" xfId="1"/>
    <xf numFmtId="164" fontId="4" fillId="6" borderId="5" pivotButton="0" quotePrefix="0" xfId="2"/>
    <xf numFmtId="164" fontId="4" fillId="7" borderId="5" pivotButton="0" quotePrefix="0" xfId="2"/>
    <xf numFmtId="164" fontId="4" fillId="7" borderId="5" pivotButton="0" quotePrefix="0" xfId="2"/>
    <xf numFmtId="2" fontId="4" fillId="7" borderId="6" pivotButton="0" quotePrefix="0" xfId="2"/>
    <xf numFmtId="0" fontId="1" fillId="0" borderId="0" pivotButton="0" quotePrefix="0" xfId="4"/>
    <xf numFmtId="167" fontId="1" fillId="0" borderId="0" pivotButton="0" quotePrefix="0" xfId="4"/>
    <xf numFmtId="0" fontId="1" fillId="0" borderId="0" pivotButton="0" quotePrefix="0" xfId="5"/>
    <xf numFmtId="167" fontId="1" fillId="0" borderId="0" pivotButton="0" quotePrefix="0" xfId="5"/>
    <xf numFmtId="165" fontId="1" fillId="0" borderId="0" pivotButton="0" quotePrefix="0" xfId="5"/>
    <xf numFmtId="14" fontId="1" fillId="0" borderId="0" pivotButton="0" quotePrefix="0" xfId="5"/>
    <xf numFmtId="0" fontId="1" fillId="8" borderId="0" pivotButton="0" quotePrefix="0" xfId="5"/>
    <xf numFmtId="49" fontId="1" fillId="0" borderId="0" pivotButton="0" quotePrefix="0" xfId="5"/>
    <xf numFmtId="49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49" fontId="2" fillId="2" borderId="0" pivotButton="0" quotePrefix="0" xfId="3"/>
    <xf numFmtId="14" fontId="0" fillId="0" borderId="0" pivotButton="0" quotePrefix="0" xfId="0"/>
    <xf numFmtId="0" fontId="2" fillId="2" borderId="7" applyProtection="1" pivotButton="0" quotePrefix="0" xfId="3">
      <protection locked="0" hidden="0"/>
    </xf>
    <xf numFmtId="49" fontId="5" fillId="0" borderId="0" pivotButton="0" quotePrefix="0" xfId="0"/>
    <xf numFmtId="0" fontId="0" fillId="8" borderId="0" pivotButton="0" quotePrefix="0" xfId="0"/>
    <xf numFmtId="0" fontId="0" fillId="8" borderId="1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0" fillId="8" borderId="3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9" borderId="3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9" applyAlignment="1" pivotButton="0" quotePrefix="0" xfId="2">
      <alignment horizontal="center"/>
    </xf>
    <xf numFmtId="0" fontId="3" fillId="0" borderId="10" applyAlignment="1" pivotButton="0" quotePrefix="0" xfId="0">
      <alignment horizontal="center"/>
    </xf>
    <xf numFmtId="14" fontId="0" fillId="0" borderId="11" pivotButton="0" quotePrefix="0" xfId="0"/>
    <xf numFmtId="0" fontId="0" fillId="0" borderId="12" pivotButton="0" quotePrefix="0" xfId="0"/>
    <xf numFmtId="14" fontId="0" fillId="10" borderId="11" pivotButton="0" quotePrefix="0" xfId="0"/>
    <xf numFmtId="49" fontId="0" fillId="10" borderId="0" pivotButton="0" quotePrefix="0" xfId="0"/>
    <xf numFmtId="0" fontId="0" fillId="10" borderId="12" pivotButton="0" quotePrefix="0" xfId="0"/>
    <xf numFmtId="14" fontId="0" fillId="10" borderId="13" pivotButton="0" quotePrefix="0" xfId="0"/>
    <xf numFmtId="49" fontId="0" fillId="10" borderId="14" pivotButton="0" quotePrefix="0" xfId="0"/>
    <xf numFmtId="0" fontId="0" fillId="10" borderId="15" pivotButton="0" quotePrefix="0" xfId="0"/>
    <xf numFmtId="14" fontId="0" fillId="10" borderId="16" pivotButton="0" quotePrefix="0" xfId="0"/>
    <xf numFmtId="14" fontId="0" fillId="0" borderId="16" pivotButton="0" quotePrefix="0" xfId="0"/>
    <xf numFmtId="164" fontId="0" fillId="10" borderId="16" pivotButton="0" quotePrefix="0" xfId="2"/>
    <xf numFmtId="164" fontId="0" fillId="0" borderId="16" pivotButton="0" quotePrefix="0" xfId="2"/>
    <xf numFmtId="14" fontId="0" fillId="10" borderId="17" pivotButton="0" quotePrefix="0" xfId="0"/>
    <xf numFmtId="164" fontId="0" fillId="10" borderId="17" pivotButton="0" quotePrefix="0" xfId="2"/>
    <xf numFmtId="49" fontId="0" fillId="0" borderId="0" applyAlignment="1" pivotButton="0" quotePrefix="0" xfId="0">
      <alignment horizontal="center"/>
    </xf>
    <xf numFmtId="49" fontId="0" fillId="10" borderId="0" applyAlignment="1" pivotButton="0" quotePrefix="0" xfId="0">
      <alignment horizontal="center"/>
    </xf>
    <xf numFmtId="49" fontId="0" fillId="10" borderId="14" applyAlignment="1" pivotButton="0" quotePrefix="0" xfId="0">
      <alignment horizontal="center"/>
    </xf>
    <xf numFmtId="164" fontId="0" fillId="5" borderId="0" applyAlignment="1" pivotButton="0" quotePrefix="0" xfId="2">
      <alignment horizontal="center" vertical="center"/>
    </xf>
    <xf numFmtId="164" fontId="0" fillId="0" borderId="1" applyAlignment="1" pivotButton="0" quotePrefix="0" xfId="2">
      <alignment horizontal="center" vertical="center"/>
    </xf>
    <xf numFmtId="164" fontId="0" fillId="0" borderId="0" applyAlignment="1" pivotButton="0" quotePrefix="0" xfId="2">
      <alignment horizontal="center" vertical="center"/>
    </xf>
    <xf numFmtId="164" fontId="0" fillId="4" borderId="20" applyAlignment="1" pivotButton="0" quotePrefix="0" xfId="2">
      <alignment horizontal="center" vertical="center"/>
    </xf>
    <xf numFmtId="164" fontId="0" fillId="4" borderId="19" applyAlignment="1" pivotButton="0" quotePrefix="0" xfId="2">
      <alignment horizontal="center" vertical="center"/>
    </xf>
    <xf numFmtId="164" fontId="0" fillId="0" borderId="20" applyAlignment="1" pivotButton="0" quotePrefix="0" xfId="2">
      <alignment horizontal="center" vertical="center"/>
    </xf>
    <xf numFmtId="164" fontId="0" fillId="0" borderId="19" applyAlignment="1" pivotButton="0" quotePrefix="0" xfId="2">
      <alignment horizontal="center" vertical="center"/>
    </xf>
    <xf numFmtId="164" fontId="0" fillId="3" borderId="20" applyAlignment="1" pivotButton="0" quotePrefix="0" xfId="2">
      <alignment horizontal="center" vertical="center"/>
    </xf>
    <xf numFmtId="164" fontId="0" fillId="3" borderId="19" applyAlignment="1" pivotButton="0" quotePrefix="0" xfId="2">
      <alignment horizontal="center" vertical="center"/>
    </xf>
    <xf numFmtId="164" fontId="0" fillId="8" borderId="20" applyAlignment="1" pivotButton="0" quotePrefix="0" xfId="2">
      <alignment horizontal="center" vertical="center"/>
    </xf>
    <xf numFmtId="164" fontId="0" fillId="8" borderId="19" applyAlignment="1" pivotButton="0" quotePrefix="0" xfId="2">
      <alignment horizontal="center" vertical="center"/>
    </xf>
    <xf numFmtId="164" fontId="0" fillId="9" borderId="20" applyAlignment="1" pivotButton="0" quotePrefix="0" xfId="2">
      <alignment horizontal="center" vertical="center"/>
    </xf>
    <xf numFmtId="164" fontId="0" fillId="9" borderId="19" applyAlignment="1" pivotButton="0" quotePrefix="0" xfId="2">
      <alignment horizontal="center" vertical="center"/>
    </xf>
    <xf numFmtId="164" fontId="0" fillId="9" borderId="18" applyAlignment="1" pivotButton="0" quotePrefix="0" xfId="2">
      <alignment horizontal="center" vertical="center"/>
    </xf>
    <xf numFmtId="14" fontId="0" fillId="5" borderId="0" applyAlignment="1" pivotButton="0" quotePrefix="0" xfId="2">
      <alignment horizontal="center" vertical="center"/>
    </xf>
    <xf numFmtId="0" fontId="0" fillId="11" borderId="0" pivotButton="0" quotePrefix="0" xfId="0"/>
    <xf numFmtId="164" fontId="0" fillId="11" borderId="1" pivotButton="0" quotePrefix="0" xfId="2"/>
    <xf numFmtId="164" fontId="0" fillId="11" borderId="0" pivotButton="0" quotePrefix="0" xfId="2"/>
    <xf numFmtId="0" fontId="0" fillId="11" borderId="1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6" fillId="12" borderId="0" applyAlignment="1" pivotButton="0" quotePrefix="0" xfId="0">
      <alignment horizontal="right" vertical="center"/>
    </xf>
    <xf numFmtId="0" fontId="7" fillId="13" borderId="21" applyAlignment="1" pivotButton="0" quotePrefix="0" xfId="0">
      <alignment horizontal="left" vertical="center"/>
    </xf>
    <xf numFmtId="0" fontId="8" fillId="14" borderId="22" applyAlignment="1" pivotButton="0" quotePrefix="0" xfId="0">
      <alignment horizontal="center" vertical="center"/>
    </xf>
    <xf numFmtId="0" fontId="9" fillId="15" borderId="0" applyAlignment="1" pivotButton="0" quotePrefix="0" xfId="0">
      <alignment horizontal="center" vertical="center"/>
    </xf>
    <xf numFmtId="164" fontId="0" fillId="0" borderId="0" applyAlignment="1" pivotButton="0" quotePrefix="0" xfId="2">
      <alignment horizontal="center" vertical="center"/>
    </xf>
    <xf numFmtId="164" fontId="0" fillId="5" borderId="0" applyAlignment="1" pivotButton="0" quotePrefix="0" xfId="2">
      <alignment horizontal="center" vertical="center"/>
    </xf>
    <xf numFmtId="164" fontId="0" fillId="4" borderId="19" applyAlignment="1" pivotButton="0" quotePrefix="0" xfId="2">
      <alignment horizontal="center" vertical="center"/>
    </xf>
    <xf numFmtId="164" fontId="0" fillId="4" borderId="20" applyAlignment="1" pivotButton="0" quotePrefix="0" xfId="2">
      <alignment horizontal="center" vertical="center"/>
    </xf>
    <xf numFmtId="164" fontId="0" fillId="0" borderId="20" applyAlignment="1" pivotButton="0" quotePrefix="0" xfId="2">
      <alignment horizontal="center" vertical="center"/>
    </xf>
    <xf numFmtId="164" fontId="0" fillId="0" borderId="19" applyAlignment="1" pivotButton="0" quotePrefix="0" xfId="2">
      <alignment horizontal="center" vertical="center"/>
    </xf>
    <xf numFmtId="164" fontId="0" fillId="3" borderId="20" applyAlignment="1" pivotButton="0" quotePrefix="0" xfId="2">
      <alignment horizontal="center" vertical="center"/>
    </xf>
    <xf numFmtId="164" fontId="0" fillId="3" borderId="19" applyAlignment="1" pivotButton="0" quotePrefix="0" xfId="2">
      <alignment horizontal="center" vertical="center"/>
    </xf>
    <xf numFmtId="164" fontId="0" fillId="8" borderId="20" applyAlignment="1" pivotButton="0" quotePrefix="0" xfId="2">
      <alignment horizontal="center" vertical="center"/>
    </xf>
    <xf numFmtId="164" fontId="0" fillId="8" borderId="19" applyAlignment="1" pivotButton="0" quotePrefix="0" xfId="2">
      <alignment horizontal="center" vertical="center"/>
    </xf>
    <xf numFmtId="164" fontId="0" fillId="9" borderId="20" applyAlignment="1" pivotButton="0" quotePrefix="0" xfId="2">
      <alignment horizontal="center" vertical="center"/>
    </xf>
    <xf numFmtId="164" fontId="0" fillId="9" borderId="19" applyAlignment="1" pivotButton="0" quotePrefix="0" xfId="2">
      <alignment horizontal="center" vertical="center"/>
    </xf>
    <xf numFmtId="164" fontId="0" fillId="9" borderId="18" applyAlignment="1" pivotButton="0" quotePrefix="0" xfId="2">
      <alignment horizontal="center" vertical="center"/>
    </xf>
    <xf numFmtId="164" fontId="0" fillId="0" borderId="1" applyAlignment="1" pivotButton="0" quotePrefix="0" xfId="2">
      <alignment horizontal="center" vertical="center"/>
    </xf>
    <xf numFmtId="164" fontId="0" fillId="0" borderId="1" pivotButton="0" quotePrefix="0" xfId="2"/>
    <xf numFmtId="164" fontId="0" fillId="0" borderId="0" pivotButton="0" quotePrefix="0" xfId="2"/>
    <xf numFmtId="164" fontId="0" fillId="11" borderId="1" pivotButton="0" quotePrefix="0" xfId="2"/>
    <xf numFmtId="164" fontId="0" fillId="11" borderId="0" pivotButton="0" quotePrefix="0" xfId="2"/>
    <xf numFmtId="164" fontId="0" fillId="0" borderId="16" pivotButton="0" quotePrefix="0" xfId="2"/>
    <xf numFmtId="164" fontId="0" fillId="10" borderId="16" pivotButton="0" quotePrefix="0" xfId="2"/>
    <xf numFmtId="164" fontId="0" fillId="10" borderId="17" pivotButton="0" quotePrefix="0" xfId="2"/>
    <xf numFmtId="165" fontId="4" fillId="6" borderId="5" pivotButton="0" quotePrefix="0" xfId="0"/>
    <xf numFmtId="166" fontId="4" fillId="6" borderId="5" pivotButton="0" quotePrefix="0" xfId="1"/>
    <xf numFmtId="164" fontId="4" fillId="6" borderId="5" pivotButton="0" quotePrefix="0" xfId="2"/>
    <xf numFmtId="164" fontId="4" fillId="7" borderId="5" pivotButton="0" quotePrefix="0" xfId="2"/>
    <xf numFmtId="167" fontId="1" fillId="0" borderId="0" pivotButton="0" quotePrefix="0" xfId="4"/>
    <xf numFmtId="167" fontId="1" fillId="0" borderId="0" pivotButton="0" quotePrefix="0" xfId="5"/>
    <xf numFmtId="165" fontId="1" fillId="0" borderId="0" pivotButton="0" quotePrefix="0" xfId="5"/>
    <xf numFmtId="165" fontId="0" fillId="0" borderId="0" pivotButton="0" quotePrefix="0" xfId="0"/>
    <xf numFmtId="167" fontId="0" fillId="0" borderId="0" pivotButton="0" quotePrefix="0" xfId="0"/>
    <xf numFmtId="0" fontId="0" fillId="14" borderId="0" pivotButton="0" quotePrefix="0" xfId="0"/>
    <xf numFmtId="0" fontId="0" fillId="12" borderId="0" pivotButton="0" quotePrefix="0" xfId="0"/>
    <xf numFmtId="0" fontId="10" fillId="12" borderId="0" applyAlignment="1" pivotButton="0" quotePrefix="0" xfId="0">
      <alignment horizontal="left" vertical="center"/>
    </xf>
    <xf numFmtId="0" fontId="11" fillId="14" borderId="0" applyAlignment="1" pivotButton="0" quotePrefix="0" xfId="0">
      <alignment horizontal="right" vertical="center"/>
    </xf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12" fillId="12" borderId="0" applyAlignment="1" pivotButton="0" quotePrefix="0" xfId="0">
      <alignment horizontal="center" vertical="center"/>
    </xf>
    <xf numFmtId="168" fontId="13" fillId="12" borderId="0" applyAlignment="1" pivotButton="0" quotePrefix="0" xfId="0">
      <alignment horizontal="center" vertical="center"/>
    </xf>
    <xf numFmtId="168" fontId="14" fillId="12" borderId="0" applyAlignment="1" pivotButton="0" quotePrefix="0" xfId="0">
      <alignment horizontal="center" vertical="center"/>
    </xf>
    <xf numFmtId="168" fontId="15" fillId="12" borderId="0" applyAlignment="1" pivotButton="0" quotePrefix="0" xfId="0">
      <alignment horizontal="center" vertical="center"/>
    </xf>
    <xf numFmtId="168" fontId="16" fillId="12" borderId="0" applyAlignment="1" pivotButton="0" quotePrefix="0" xfId="0">
      <alignment horizontal="center" vertical="center"/>
    </xf>
    <xf numFmtId="168" fontId="17" fillId="12" borderId="0" applyAlignment="1" pivotButton="0" quotePrefix="0" xfId="0">
      <alignment horizontal="center" vertical="center"/>
    </xf>
    <xf numFmtId="168" fontId="18" fillId="12" borderId="0" applyAlignment="1" pivotButton="0" quotePrefix="0" xfId="0">
      <alignment horizontal="center" vertical="center"/>
    </xf>
    <xf numFmtId="1" fontId="19" fillId="12" borderId="0" applyAlignment="1" pivotButton="0" quotePrefix="0" xfId="0">
      <alignment horizontal="center" vertical="center"/>
    </xf>
    <xf numFmtId="1" fontId="15" fillId="12" borderId="0" applyAlignment="1" pivotButton="0" quotePrefix="0" xfId="0">
      <alignment horizontal="center" vertical="center"/>
    </xf>
    <xf numFmtId="0" fontId="11" fillId="13" borderId="0" applyAlignment="1" pivotButton="0" quotePrefix="0" xfId="0">
      <alignment horizontal="left" vertical="center"/>
    </xf>
    <xf numFmtId="0" fontId="0" fillId="13" borderId="0" pivotButton="0" quotePrefix="0" xfId="0"/>
    <xf numFmtId="0" fontId="20" fillId="13" borderId="0" applyAlignment="1" pivotButton="0" quotePrefix="0" xfId="0">
      <alignment horizontal="center" vertical="center"/>
    </xf>
    <xf numFmtId="0" fontId="20" fillId="13" borderId="0" applyAlignment="1" pivotButton="0" quotePrefix="0" xfId="0">
      <alignment horizontal="left" vertical="center"/>
    </xf>
    <xf numFmtId="0" fontId="20" fillId="13" borderId="0" applyAlignment="1" pivotButton="0" quotePrefix="0" xfId="0">
      <alignment horizontal="right" vertical="center"/>
    </xf>
    <xf numFmtId="0" fontId="21" fillId="12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left" vertical="center"/>
    </xf>
    <xf numFmtId="168" fontId="21" fillId="12" borderId="0" applyAlignment="1" pivotButton="0" quotePrefix="0" xfId="0">
      <alignment horizontal="right" vertical="center"/>
    </xf>
    <xf numFmtId="168" fontId="22" fillId="12" borderId="0" applyAlignment="1" pivotButton="0" quotePrefix="0" xfId="0">
      <alignment horizontal="right" vertical="center"/>
    </xf>
    <xf numFmtId="168" fontId="23" fillId="12" borderId="0" applyAlignment="1" pivotButton="0" quotePrefix="0" xfId="0">
      <alignment horizontal="right" vertical="center"/>
    </xf>
    <xf numFmtId="168" fontId="24" fillId="12" borderId="0" applyAlignment="1" pivotButton="0" quotePrefix="0" xfId="0">
      <alignment horizontal="right" vertical="center"/>
    </xf>
    <xf numFmtId="0" fontId="25" fillId="12" borderId="0" applyAlignment="1" pivotButton="0" quotePrefix="0" xfId="0">
      <alignment horizontal="center" vertical="center"/>
    </xf>
    <xf numFmtId="0" fontId="21" fillId="15" borderId="0" applyAlignment="1" pivotButton="0" quotePrefix="0" xfId="0">
      <alignment horizontal="center" vertical="center"/>
    </xf>
    <xf numFmtId="0" fontId="12" fillId="15" borderId="0" applyAlignment="1" pivotButton="0" quotePrefix="0" xfId="0">
      <alignment horizontal="left" vertical="center"/>
    </xf>
    <xf numFmtId="168" fontId="21" fillId="15" borderId="0" applyAlignment="1" pivotButton="0" quotePrefix="0" xfId="0">
      <alignment horizontal="right" vertical="center"/>
    </xf>
    <xf numFmtId="168" fontId="22" fillId="15" borderId="0" applyAlignment="1" pivotButton="0" quotePrefix="0" xfId="0">
      <alignment horizontal="right" vertical="center"/>
    </xf>
    <xf numFmtId="168" fontId="26" fillId="15" borderId="0" applyAlignment="1" pivotButton="0" quotePrefix="0" xfId="0">
      <alignment horizontal="right" vertical="center"/>
    </xf>
    <xf numFmtId="168" fontId="24" fillId="15" borderId="0" applyAlignment="1" pivotButton="0" quotePrefix="0" xfId="0">
      <alignment horizontal="right" vertical="center"/>
    </xf>
    <xf numFmtId="0" fontId="27" fillId="15" borderId="0" applyAlignment="1" pivotButton="0" quotePrefix="0" xfId="0">
      <alignment horizontal="center" vertical="center"/>
    </xf>
    <xf numFmtId="168" fontId="26" fillId="12" borderId="0" applyAlignment="1" pivotButton="0" quotePrefix="0" xfId="0">
      <alignment horizontal="right" vertical="center"/>
    </xf>
    <xf numFmtId="0" fontId="27" fillId="12" borderId="0" applyAlignment="1" pivotButton="0" quotePrefix="0" xfId="0">
      <alignment horizontal="center" vertical="center"/>
    </xf>
    <xf numFmtId="168" fontId="23" fillId="15" borderId="0" applyAlignment="1" pivotButton="0" quotePrefix="0" xfId="0">
      <alignment horizontal="right" vertical="center"/>
    </xf>
    <xf numFmtId="0" fontId="25" fillId="15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urrency" xfId="2" builtinId="4"/>
    <cellStyle name="Bad" xfId="3" builtinId="27"/>
    <cellStyle name="Normal 8" xfId="4"/>
    <cellStyle name="Normal 6" xf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CVR EAC vs Cost to Date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'_CD'!B1</f>
            </strRef>
          </tx>
          <spPr>
            <a:solidFill xmlns:a="http://schemas.openxmlformats.org/drawingml/2006/main">
              <a:srgbClr val="4F8EF7"/>
            </a:solidFill>
            <a:ln xmlns:a="http://schemas.openxmlformats.org/drawingml/2006/main">
              <a:solidFill>
                <a:srgbClr val="4F8EF7"/>
              </a:solidFill>
              <a:prstDash val="solid"/>
            </a:ln>
          </spPr>
          <dLbls>
            <numFmt formatCode="$#,##0"/>
            <showLegendKey val="0"/>
            <showVal val="1"/>
            <showCatName val="0"/>
            <showSerName val="0"/>
          </dLbls>
          <cat>
            <numRef>
              <f>'_CD'!$A$2:$A$13</f>
            </numRef>
          </cat>
          <val>
            <numRef>
              <f>'_CD'!$B$2:$B$13</f>
            </numRef>
          </val>
        </ser>
        <ser>
          <idx val="1"/>
          <order val="1"/>
          <tx>
            <strRef>
              <f>'_CD'!C1</f>
            </strRef>
          </tx>
          <spPr>
            <a:solidFill xmlns:a="http://schemas.openxmlformats.org/drawingml/2006/main">
              <a:srgbClr val="14B8A6"/>
            </a:solidFill>
            <a:ln xmlns:a="http://schemas.openxmlformats.org/drawingml/2006/main">
              <a:solidFill>
                <a:srgbClr val="14B8A6"/>
              </a:solidFill>
              <a:prstDash val="solid"/>
            </a:ln>
          </spPr>
          <dLbls>
            <numFmt formatCode="$#,##0"/>
            <showLegendKey val="0"/>
            <showVal val="1"/>
            <showCatName val="0"/>
            <showSerName val="0"/>
          </dLbls>
          <cat>
            <numRef>
              <f>'_CD'!$A$2:$A$13</f>
            </numRef>
          </cat>
          <val>
            <numRef>
              <f>'_CD'!$C$2:$C$13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Code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Remaining Budget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'_CD'!F1</f>
            </strRef>
          </tx>
          <spPr>
            <a:solidFill xmlns:a="http://schemas.openxmlformats.org/drawingml/2006/main">
              <a:srgbClr val="7C5CFC"/>
            </a:solidFill>
            <a:ln xmlns:a="http://schemas.openxmlformats.org/drawingml/2006/main">
              <a:solidFill>
                <a:srgbClr val="7C5CFC"/>
              </a:solidFill>
              <a:prstDash val="solid"/>
            </a:ln>
          </spPr>
          <dLbls>
            <numFmt formatCode="$#,##0"/>
            <showLegendKey val="0"/>
            <showVal val="1"/>
            <showCatName val="0"/>
            <showSerName val="0"/>
          </dLbls>
          <cat>
            <numRef>
              <f>'_CD'!$E$2:$E$4</f>
            </numRef>
          </cat>
          <val>
            <numRef>
              <f>'_CD'!$F$2:$F$4</f>
            </numRef>
          </val>
        </ser>
        <ser>
          <idx val="1"/>
          <order val="1"/>
          <tx>
            <strRef>
              <f>'_CD'!G1</f>
            </strRef>
          </tx>
          <spPr>
            <a:solidFill xmlns:a="http://schemas.openxmlformats.org/drawingml/2006/main">
              <a:srgbClr val="22C55E"/>
            </a:solidFill>
            <a:ln xmlns:a="http://schemas.openxmlformats.org/drawingml/2006/main">
              <a:solidFill>
                <a:srgbClr val="22C55E"/>
              </a:solidFill>
              <a:prstDash val="solid"/>
            </a:ln>
          </spPr>
          <dLbls>
            <numFmt formatCode="$#,##0"/>
            <showLegendKey val="0"/>
            <showVal val="1"/>
            <showCatName val="0"/>
            <showSerName val="0"/>
          </dLbls>
          <cat>
            <numRef>
              <f>'_CD'!$E$2:$E$4</f>
            </numRef>
          </cat>
          <val>
            <numRef>
              <f>'_CD'!$G$2:$G$4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Items – Remaining Budget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'_CD'!J1</f>
            </strRef>
          </tx>
          <spPr>
            <a:solidFill xmlns:a="http://schemas.openxmlformats.org/drawingml/2006/main">
              <a:srgbClr val="4F8EF7"/>
            </a:solidFill>
            <a:ln xmlns:a="http://schemas.openxmlformats.org/drawingml/2006/main">
              <a:solidFill>
                <a:srgbClr val="4F8EF7"/>
              </a:solidFill>
              <a:prstDash val="solid"/>
            </a:ln>
          </spPr>
          <dLbls>
            <numFmt formatCode="$#,##0"/>
            <showLegendKey val="0"/>
            <showVal val="1"/>
            <showCatName val="0"/>
            <showSerName val="0"/>
          </dLbls>
          <cat>
            <numRef>
              <f>'_CD'!$I$2:$I$11</f>
            </numRef>
          </cat>
          <val>
            <numRef>
              <f>'_CD'!$J$2:$J$11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Remaining ($)</a:t>
                </a:r>
              </a:p>
            </rich>
          </tx>
        </title>
        <numFmt formatCode="$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Code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Actuals · Accrued · Committed</a:t>
            </a:r>
          </a:p>
        </rich>
      </tx>
    </title>
    <plotArea>
      <pieChart>
        <varyColors val="1"/>
        <ser>
          <idx val="0"/>
          <order val="0"/>
          <tx>
            <strRef>
              <f>'_CD'!M1</f>
            </strRef>
          </tx>
          <spPr>
            <a:ln xmlns:a="http://schemas.openxmlformats.org/drawingml/2006/main">
              <a:prstDash val="solid"/>
            </a:ln>
          </spPr>
          <dLbls>
            <showLegendKey val="0"/>
            <showVal val="1"/>
            <showCatName val="1"/>
            <showPercent val="1"/>
          </dLbls>
          <cat>
            <numRef>
              <f>'_CD'!$L$2:$L$4</f>
            </numRef>
          </cat>
          <val>
            <numRef>
              <f>'_CD'!$M$2:$M$4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tc={A0BB0079-A435-41CC-B081-DFEED53068C1}</author>
  </authors>
  <commentList>
    <comment ref="T188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Delete these hrs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400000" cy="41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11</row>
      <rowOff>0</rowOff>
    </from>
    <ext cx="5400000" cy="41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32</row>
      <rowOff>0</rowOff>
    </from>
    <ext cx="5400000" cy="41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32</row>
      <rowOff>0</rowOff>
    </from>
    <ext cx="5400000" cy="41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4F8EF7"/>
    <outlinePr summaryBelow="1" summaryRight="1"/>
    <pageSetUpPr/>
  </sheetPr>
  <dimension ref="A1:U124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.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.2" customWidth="1" min="21" max="21"/>
  </cols>
  <sheetData>
    <row r="1" ht="5" customHeight="1">
      <c r="A1" s="129" t="n"/>
      <c r="B1" s="130" t="n"/>
      <c r="C1" s="130" t="n"/>
      <c r="D1" s="130" t="n"/>
      <c r="E1" s="130" t="n"/>
      <c r="F1" s="130" t="n"/>
      <c r="G1" s="130" t="n"/>
      <c r="H1" s="130" t="n"/>
      <c r="I1" s="130" t="n"/>
      <c r="J1" s="130" t="n"/>
      <c r="K1" s="130" t="n"/>
      <c r="L1" s="130" t="n"/>
      <c r="M1" s="130" t="n"/>
      <c r="N1" s="130" t="n"/>
      <c r="O1" s="130" t="n"/>
      <c r="P1" s="130" t="n"/>
      <c r="Q1" s="130" t="n"/>
      <c r="R1" s="130" t="n"/>
      <c r="S1" s="130" t="n"/>
      <c r="T1" s="130" t="n"/>
      <c r="U1" s="130" t="n"/>
    </row>
    <row r="2" ht="34" customHeight="1">
      <c r="A2" s="129" t="n"/>
      <c r="B2" s="131" t="inlineStr">
        <is>
          <t>Budget &amp; Commitments  Dashboard</t>
        </is>
      </c>
      <c r="C2" s="130" t="n"/>
      <c r="D2" s="130" t="n"/>
      <c r="E2" s="130" t="n"/>
      <c r="F2" s="130" t="n"/>
      <c r="G2" s="130" t="n"/>
      <c r="H2" s="130" t="n"/>
      <c r="I2" s="130" t="n"/>
      <c r="J2" s="130" t="n"/>
      <c r="K2" s="130" t="n"/>
      <c r="L2" s="130" t="n"/>
      <c r="M2" s="130" t="n"/>
      <c r="N2" s="132" t="inlineStr">
        <is>
          <t>CVR Month:  May, 2026</t>
        </is>
      </c>
      <c r="O2" s="129" t="n"/>
      <c r="P2" s="129" t="n"/>
      <c r="Q2" s="129" t="n"/>
      <c r="R2" s="129" t="n"/>
      <c r="S2" s="129" t="n"/>
      <c r="T2" s="129" t="n"/>
      <c r="U2" s="130" t="n"/>
    </row>
    <row r="3" ht="5" customHeight="1">
      <c r="A3" s="129" t="n"/>
      <c r="B3" s="130" t="n"/>
      <c r="C3" s="130" t="n"/>
      <c r="D3" s="130" t="n"/>
      <c r="E3" s="130" t="n"/>
      <c r="F3" s="130" t="n"/>
      <c r="G3" s="130" t="n"/>
      <c r="H3" s="130" t="n"/>
      <c r="I3" s="130" t="n"/>
      <c r="J3" s="130" t="n"/>
      <c r="K3" s="130" t="n"/>
      <c r="L3" s="130" t="n"/>
      <c r="M3" s="130" t="n"/>
      <c r="N3" s="130" t="n"/>
      <c r="O3" s="130" t="n"/>
      <c r="P3" s="130" t="n"/>
      <c r="Q3" s="130" t="n"/>
      <c r="R3" s="130" t="n"/>
      <c r="S3" s="130" t="n"/>
      <c r="T3" s="130" t="n"/>
      <c r="U3" s="130" t="n"/>
    </row>
    <row r="4" ht="10" customHeight="1">
      <c r="A4" s="133" t="n"/>
      <c r="B4" s="133" t="n"/>
      <c r="C4" s="133" t="n"/>
      <c r="D4" s="133" t="n"/>
      <c r="E4" s="133" t="n"/>
      <c r="F4" s="133" t="n"/>
      <c r="G4" s="133" t="n"/>
      <c r="H4" s="133" t="n"/>
      <c r="I4" s="133" t="n"/>
      <c r="J4" s="133" t="n"/>
      <c r="K4" s="133" t="n"/>
      <c r="L4" s="133" t="n"/>
      <c r="M4" s="133" t="n"/>
      <c r="N4" s="133" t="n"/>
      <c r="O4" s="133" t="n"/>
      <c r="P4" s="133" t="n"/>
      <c r="Q4" s="133" t="n"/>
      <c r="R4" s="133" t="n"/>
      <c r="S4" s="133" t="n"/>
      <c r="T4" s="133" t="n"/>
      <c r="U4" s="133" t="n"/>
    </row>
    <row r="5" ht="5" customHeight="1">
      <c r="A5" s="133" t="n"/>
      <c r="B5" s="129" t="n"/>
      <c r="C5" s="129" t="n"/>
      <c r="D5" s="134" t="n"/>
      <c r="E5" s="134" t="n"/>
      <c r="F5" s="135" t="n"/>
      <c r="G5" s="135" t="n"/>
      <c r="H5" s="136" t="n"/>
      <c r="I5" s="136" t="n"/>
      <c r="J5" s="137" t="n"/>
      <c r="K5" s="137" t="n"/>
      <c r="L5" s="138" t="n"/>
      <c r="M5" s="138" t="n"/>
      <c r="N5" s="139" t="n"/>
      <c r="O5" s="139" t="n"/>
      <c r="P5" s="135" t="n"/>
      <c r="Q5" s="135" t="n"/>
      <c r="R5" s="133" t="n"/>
      <c r="S5" s="133" t="n"/>
      <c r="T5" s="133" t="n"/>
      <c r="U5" s="133" t="n"/>
    </row>
    <row r="6" ht="18" customHeight="1">
      <c r="A6" s="133" t="n"/>
      <c r="B6" s="140" t="inlineStr">
        <is>
          <t>Total EAC</t>
        </is>
      </c>
      <c r="C6" s="130" t="n"/>
      <c r="D6" s="140" t="inlineStr">
        <is>
          <t>Cost to Date</t>
        </is>
      </c>
      <c r="E6" s="130" t="n"/>
      <c r="F6" s="140" t="inlineStr">
        <is>
          <t>Remaining</t>
        </is>
      </c>
      <c r="G6" s="130" t="n"/>
      <c r="H6" s="140" t="inlineStr">
        <is>
          <t>Actuals</t>
        </is>
      </c>
      <c r="I6" s="130" t="n"/>
      <c r="J6" s="140" t="inlineStr">
        <is>
          <t>Accrued</t>
        </is>
      </c>
      <c r="K6" s="130" t="n"/>
      <c r="L6" s="140" t="inlineStr">
        <is>
          <t>Committed</t>
        </is>
      </c>
      <c r="M6" s="130" t="n"/>
      <c r="N6" s="140" t="inlineStr">
        <is>
          <t>Over Budget</t>
        </is>
      </c>
      <c r="O6" s="130" t="n"/>
      <c r="P6" s="140" t="inlineStr">
        <is>
          <t>Under Budget</t>
        </is>
      </c>
      <c r="Q6" s="130" t="n"/>
      <c r="R6" s="133" t="n"/>
      <c r="S6" s="133" t="n"/>
      <c r="T6" s="133" t="n"/>
      <c r="U6" s="133" t="n"/>
    </row>
    <row r="7" ht="4" customHeight="1">
      <c r="A7" s="133" t="n"/>
      <c r="B7" s="130" t="n"/>
      <c r="C7" s="130" t="n"/>
      <c r="D7" s="130" t="n"/>
      <c r="E7" s="130" t="n"/>
      <c r="F7" s="130" t="n"/>
      <c r="G7" s="130" t="n"/>
      <c r="H7" s="130" t="n"/>
      <c r="I7" s="130" t="n"/>
      <c r="J7" s="130" t="n"/>
      <c r="K7" s="130" t="n"/>
      <c r="L7" s="130" t="n"/>
      <c r="M7" s="130" t="n"/>
      <c r="N7" s="130" t="n"/>
      <c r="O7" s="130" t="n"/>
      <c r="P7" s="130" t="n"/>
      <c r="Q7" s="130" t="n"/>
      <c r="R7" s="133" t="n"/>
      <c r="S7" s="133" t="n"/>
      <c r="T7" s="133" t="n"/>
      <c r="U7" s="133" t="n"/>
    </row>
    <row r="8" ht="26" customHeight="1">
      <c r="A8" s="133" t="n"/>
      <c r="B8" s="141" t="n">
        <v>119758814.09</v>
      </c>
      <c r="C8" s="130" t="n"/>
      <c r="D8" s="142" t="n">
        <v>96573487.24000002</v>
      </c>
      <c r="E8" s="130" t="n"/>
      <c r="F8" s="143" t="n">
        <v>23185326.85</v>
      </c>
      <c r="G8" s="130" t="n"/>
      <c r="H8" s="144" t="n">
        <v>21642147.15</v>
      </c>
      <c r="I8" s="130" t="n"/>
      <c r="J8" s="145" t="n">
        <v>26722.21</v>
      </c>
      <c r="K8" s="130" t="n"/>
      <c r="L8" s="146" t="n">
        <v>74904617.88000003</v>
      </c>
      <c r="M8" s="130" t="n"/>
      <c r="N8" s="147" t="n">
        <v>0</v>
      </c>
      <c r="O8" s="130" t="n"/>
      <c r="P8" s="148" t="n">
        <v>0</v>
      </c>
      <c r="Q8" s="130" t="n"/>
      <c r="R8" s="133" t="n"/>
      <c r="S8" s="133" t="n"/>
      <c r="T8" s="133" t="n"/>
      <c r="U8" s="133" t="n"/>
    </row>
    <row r="9" ht="4" customHeight="1">
      <c r="A9" s="133" t="n"/>
      <c r="B9" s="130" t="n"/>
      <c r="C9" s="130" t="n"/>
      <c r="D9" s="130" t="n"/>
      <c r="E9" s="130" t="n"/>
      <c r="F9" s="130" t="n"/>
      <c r="G9" s="130" t="n"/>
      <c r="H9" s="130" t="n"/>
      <c r="I9" s="130" t="n"/>
      <c r="J9" s="130" t="n"/>
      <c r="K9" s="130" t="n"/>
      <c r="L9" s="130" t="n"/>
      <c r="M9" s="130" t="n"/>
      <c r="N9" s="130" t="n"/>
      <c r="O9" s="130" t="n"/>
      <c r="P9" s="130" t="n"/>
      <c r="Q9" s="130" t="n"/>
      <c r="R9" s="133" t="n"/>
      <c r="S9" s="133" t="n"/>
      <c r="T9" s="133" t="n"/>
      <c r="U9" s="133" t="n"/>
    </row>
    <row r="10" ht="5" customHeight="1">
      <c r="A10" s="133" t="n"/>
      <c r="B10" s="130" t="n"/>
      <c r="C10" s="130" t="n"/>
      <c r="D10" s="130" t="n"/>
      <c r="E10" s="130" t="n"/>
      <c r="F10" s="130" t="n"/>
      <c r="G10" s="130" t="n"/>
      <c r="H10" s="130" t="n"/>
      <c r="I10" s="130" t="n"/>
      <c r="J10" s="130" t="n"/>
      <c r="K10" s="130" t="n"/>
      <c r="L10" s="130" t="n"/>
      <c r="M10" s="130" t="n"/>
      <c r="N10" s="130" t="n"/>
      <c r="O10" s="130" t="n"/>
      <c r="P10" s="130" t="n"/>
      <c r="Q10" s="130" t="n"/>
      <c r="R10" s="133" t="n"/>
      <c r="S10" s="133" t="n"/>
      <c r="T10" s="133" t="n"/>
      <c r="U10" s="133" t="n"/>
    </row>
    <row r="11" ht="10" customHeight="1">
      <c r="A11" s="133" t="n"/>
      <c r="B11" s="133" t="n"/>
      <c r="C11" s="133" t="n"/>
      <c r="D11" s="133" t="n"/>
      <c r="E11" s="133" t="n"/>
      <c r="F11" s="133" t="n"/>
      <c r="G11" s="133" t="n"/>
      <c r="H11" s="133" t="n"/>
      <c r="I11" s="133" t="n"/>
      <c r="J11" s="133" t="n"/>
      <c r="K11" s="133" t="n"/>
      <c r="L11" s="133" t="n"/>
      <c r="M11" s="133" t="n"/>
      <c r="N11" s="133" t="n"/>
      <c r="O11" s="133" t="n"/>
      <c r="P11" s="133" t="n"/>
      <c r="Q11" s="133" t="n"/>
      <c r="R11" s="133" t="n"/>
      <c r="S11" s="133" t="n"/>
      <c r="T11" s="133" t="n"/>
      <c r="U11" s="133" t="n"/>
    </row>
    <row r="12" ht="18" customHeight="1">
      <c r="A12" s="133" t="n"/>
      <c r="B12" s="133" t="n"/>
      <c r="C12" s="133" t="n"/>
      <c r="D12" s="133" t="n"/>
      <c r="E12" s="133" t="n"/>
      <c r="F12" s="133" t="n"/>
      <c r="G12" s="133" t="n"/>
      <c r="H12" s="133" t="n"/>
      <c r="I12" s="133" t="n"/>
      <c r="J12" s="133" t="n"/>
      <c r="K12" s="133" t="n"/>
      <c r="L12" s="133" t="n"/>
      <c r="M12" s="133" t="n"/>
      <c r="N12" s="133" t="n"/>
      <c r="O12" s="133" t="n"/>
      <c r="P12" s="133" t="n"/>
      <c r="Q12" s="133" t="n"/>
      <c r="R12" s="133" t="n"/>
      <c r="S12" s="133" t="n"/>
      <c r="T12" s="133" t="n"/>
      <c r="U12" s="133" t="n"/>
    </row>
    <row r="13" ht="18" customHeight="1">
      <c r="A13" s="133" t="n"/>
      <c r="B13" s="133" t="n"/>
      <c r="C13" s="133" t="n"/>
      <c r="D13" s="133" t="n"/>
      <c r="E13" s="133" t="n"/>
      <c r="F13" s="133" t="n"/>
      <c r="G13" s="133" t="n"/>
      <c r="H13" s="133" t="n"/>
      <c r="I13" s="133" t="n"/>
      <c r="J13" s="133" t="n"/>
      <c r="K13" s="133" t="n"/>
      <c r="L13" s="133" t="n"/>
      <c r="M13" s="133" t="n"/>
      <c r="N13" s="133" t="n"/>
      <c r="O13" s="133" t="n"/>
      <c r="P13" s="133" t="n"/>
      <c r="Q13" s="133" t="n"/>
      <c r="R13" s="133" t="n"/>
      <c r="S13" s="133" t="n"/>
      <c r="T13" s="133" t="n"/>
      <c r="U13" s="133" t="n"/>
    </row>
    <row r="14" ht="18" customHeight="1">
      <c r="A14" s="133" t="n"/>
      <c r="B14" s="133" t="n"/>
      <c r="C14" s="133" t="n"/>
      <c r="D14" s="133" t="n"/>
      <c r="E14" s="133" t="n"/>
      <c r="F14" s="133" t="n"/>
      <c r="G14" s="133" t="n"/>
      <c r="H14" s="133" t="n"/>
      <c r="I14" s="133" t="n"/>
      <c r="J14" s="133" t="n"/>
      <c r="K14" s="133" t="n"/>
      <c r="L14" s="133" t="n"/>
      <c r="M14" s="133" t="n"/>
      <c r="N14" s="133" t="n"/>
      <c r="O14" s="133" t="n"/>
      <c r="P14" s="133" t="n"/>
      <c r="Q14" s="133" t="n"/>
      <c r="R14" s="133" t="n"/>
      <c r="S14" s="133" t="n"/>
      <c r="T14" s="133" t="n"/>
      <c r="U14" s="133" t="n"/>
    </row>
    <row r="15" ht="18" customHeight="1">
      <c r="A15" s="133" t="n"/>
      <c r="B15" s="133" t="n"/>
      <c r="C15" s="133" t="n"/>
      <c r="D15" s="133" t="n"/>
      <c r="E15" s="133" t="n"/>
      <c r="F15" s="133" t="n"/>
      <c r="G15" s="133" t="n"/>
      <c r="H15" s="133" t="n"/>
      <c r="I15" s="133" t="n"/>
      <c r="J15" s="133" t="n"/>
      <c r="K15" s="133" t="n"/>
      <c r="L15" s="133" t="n"/>
      <c r="M15" s="133" t="n"/>
      <c r="N15" s="133" t="n"/>
      <c r="O15" s="133" t="n"/>
      <c r="P15" s="133" t="n"/>
      <c r="Q15" s="133" t="n"/>
      <c r="R15" s="133" t="n"/>
      <c r="S15" s="133" t="n"/>
      <c r="T15" s="133" t="n"/>
      <c r="U15" s="133" t="n"/>
    </row>
    <row r="16" ht="18" customHeight="1">
      <c r="A16" s="133" t="n"/>
      <c r="B16" s="133" t="n"/>
      <c r="C16" s="133" t="n"/>
      <c r="D16" s="133" t="n"/>
      <c r="E16" s="133" t="n"/>
      <c r="F16" s="133" t="n"/>
      <c r="G16" s="133" t="n"/>
      <c r="H16" s="133" t="n"/>
      <c r="I16" s="133" t="n"/>
      <c r="J16" s="133" t="n"/>
      <c r="K16" s="133" t="n"/>
      <c r="L16" s="133" t="n"/>
      <c r="M16" s="133" t="n"/>
      <c r="N16" s="133" t="n"/>
      <c r="O16" s="133" t="n"/>
      <c r="P16" s="133" t="n"/>
      <c r="Q16" s="133" t="n"/>
      <c r="R16" s="133" t="n"/>
      <c r="S16" s="133" t="n"/>
      <c r="T16" s="133" t="n"/>
      <c r="U16" s="133" t="n"/>
    </row>
    <row r="17" ht="18" customHeight="1">
      <c r="A17" s="133" t="n"/>
      <c r="B17" s="133" t="n"/>
      <c r="C17" s="133" t="n"/>
      <c r="D17" s="133" t="n"/>
      <c r="E17" s="133" t="n"/>
      <c r="F17" s="133" t="n"/>
      <c r="G17" s="133" t="n"/>
      <c r="H17" s="133" t="n"/>
      <c r="I17" s="133" t="n"/>
      <c r="J17" s="133" t="n"/>
      <c r="K17" s="133" t="n"/>
      <c r="L17" s="133" t="n"/>
      <c r="M17" s="133" t="n"/>
      <c r="N17" s="133" t="n"/>
      <c r="O17" s="133" t="n"/>
      <c r="P17" s="133" t="n"/>
      <c r="Q17" s="133" t="n"/>
      <c r="R17" s="133" t="n"/>
      <c r="S17" s="133" t="n"/>
      <c r="T17" s="133" t="n"/>
      <c r="U17" s="133" t="n"/>
    </row>
    <row r="18" ht="18" customHeight="1">
      <c r="A18" s="133" t="n"/>
      <c r="B18" s="133" t="n"/>
      <c r="C18" s="133" t="n"/>
      <c r="D18" s="133" t="n"/>
      <c r="E18" s="133" t="n"/>
      <c r="F18" s="133" t="n"/>
      <c r="G18" s="133" t="n"/>
      <c r="H18" s="133" t="n"/>
      <c r="I18" s="133" t="n"/>
      <c r="J18" s="133" t="n"/>
      <c r="K18" s="133" t="n"/>
      <c r="L18" s="133" t="n"/>
      <c r="M18" s="133" t="n"/>
      <c r="N18" s="133" t="n"/>
      <c r="O18" s="133" t="n"/>
      <c r="P18" s="133" t="n"/>
      <c r="Q18" s="133" t="n"/>
      <c r="R18" s="133" t="n"/>
      <c r="S18" s="133" t="n"/>
      <c r="T18" s="133" t="n"/>
      <c r="U18" s="133" t="n"/>
    </row>
    <row r="19" ht="18" customHeight="1">
      <c r="A19" s="133" t="n"/>
      <c r="B19" s="133" t="n"/>
      <c r="C19" s="133" t="n"/>
      <c r="D19" s="133" t="n"/>
      <c r="E19" s="133" t="n"/>
      <c r="F19" s="133" t="n"/>
      <c r="G19" s="133" t="n"/>
      <c r="H19" s="133" t="n"/>
      <c r="I19" s="133" t="n"/>
      <c r="J19" s="133" t="n"/>
      <c r="K19" s="133" t="n"/>
      <c r="L19" s="133" t="n"/>
      <c r="M19" s="133" t="n"/>
      <c r="N19" s="133" t="n"/>
      <c r="O19" s="133" t="n"/>
      <c r="P19" s="133" t="n"/>
      <c r="Q19" s="133" t="n"/>
      <c r="R19" s="133" t="n"/>
      <c r="S19" s="133" t="n"/>
      <c r="T19" s="133" t="n"/>
      <c r="U19" s="133" t="n"/>
    </row>
    <row r="20" ht="18" customHeight="1">
      <c r="A20" s="133" t="n"/>
      <c r="B20" s="133" t="n"/>
      <c r="C20" s="133" t="n"/>
      <c r="D20" s="133" t="n"/>
      <c r="E20" s="133" t="n"/>
      <c r="F20" s="133" t="n"/>
      <c r="G20" s="133" t="n"/>
      <c r="H20" s="133" t="n"/>
      <c r="I20" s="133" t="n"/>
      <c r="J20" s="133" t="n"/>
      <c r="K20" s="133" t="n"/>
      <c r="L20" s="133" t="n"/>
      <c r="M20" s="133" t="n"/>
      <c r="N20" s="133" t="n"/>
      <c r="O20" s="133" t="n"/>
      <c r="P20" s="133" t="n"/>
      <c r="Q20" s="133" t="n"/>
      <c r="R20" s="133" t="n"/>
      <c r="S20" s="133" t="n"/>
      <c r="T20" s="133" t="n"/>
      <c r="U20" s="133" t="n"/>
    </row>
    <row r="21" ht="18" customHeight="1">
      <c r="A21" s="133" t="n"/>
      <c r="B21" s="133" t="n"/>
      <c r="C21" s="133" t="n"/>
      <c r="D21" s="133" t="n"/>
      <c r="E21" s="133" t="n"/>
      <c r="F21" s="133" t="n"/>
      <c r="G21" s="133" t="n"/>
      <c r="H21" s="133" t="n"/>
      <c r="I21" s="133" t="n"/>
      <c r="J21" s="133" t="n"/>
      <c r="K21" s="133" t="n"/>
      <c r="L21" s="133" t="n"/>
      <c r="M21" s="133" t="n"/>
      <c r="N21" s="133" t="n"/>
      <c r="O21" s="133" t="n"/>
      <c r="P21" s="133" t="n"/>
      <c r="Q21" s="133" t="n"/>
      <c r="R21" s="133" t="n"/>
      <c r="S21" s="133" t="n"/>
      <c r="T21" s="133" t="n"/>
      <c r="U21" s="133" t="n"/>
    </row>
    <row r="22" ht="18" customHeight="1">
      <c r="A22" s="133" t="n"/>
      <c r="B22" s="133" t="n"/>
      <c r="C22" s="133" t="n"/>
      <c r="D22" s="133" t="n"/>
      <c r="E22" s="133" t="n"/>
      <c r="F22" s="133" t="n"/>
      <c r="G22" s="133" t="n"/>
      <c r="H22" s="133" t="n"/>
      <c r="I22" s="133" t="n"/>
      <c r="J22" s="133" t="n"/>
      <c r="K22" s="133" t="n"/>
      <c r="L22" s="133" t="n"/>
      <c r="M22" s="133" t="n"/>
      <c r="N22" s="133" t="n"/>
      <c r="O22" s="133" t="n"/>
      <c r="P22" s="133" t="n"/>
      <c r="Q22" s="133" t="n"/>
      <c r="R22" s="133" t="n"/>
      <c r="S22" s="133" t="n"/>
      <c r="T22" s="133" t="n"/>
      <c r="U22" s="133" t="n"/>
    </row>
    <row r="23" ht="18" customHeight="1">
      <c r="A23" s="133" t="n"/>
      <c r="B23" s="133" t="n"/>
      <c r="C23" s="133" t="n"/>
      <c r="D23" s="133" t="n"/>
      <c r="E23" s="133" t="n"/>
      <c r="F23" s="133" t="n"/>
      <c r="G23" s="133" t="n"/>
      <c r="H23" s="133" t="n"/>
      <c r="I23" s="133" t="n"/>
      <c r="J23" s="133" t="n"/>
      <c r="K23" s="133" t="n"/>
      <c r="L23" s="133" t="n"/>
      <c r="M23" s="133" t="n"/>
      <c r="N23" s="133" t="n"/>
      <c r="O23" s="133" t="n"/>
      <c r="P23" s="133" t="n"/>
      <c r="Q23" s="133" t="n"/>
      <c r="R23" s="133" t="n"/>
      <c r="S23" s="133" t="n"/>
      <c r="T23" s="133" t="n"/>
      <c r="U23" s="133" t="n"/>
    </row>
    <row r="24" ht="18" customHeight="1">
      <c r="A24" s="133" t="n"/>
      <c r="B24" s="133" t="n"/>
      <c r="C24" s="133" t="n"/>
      <c r="D24" s="133" t="n"/>
      <c r="E24" s="133" t="n"/>
      <c r="F24" s="133" t="n"/>
      <c r="G24" s="133" t="n"/>
      <c r="H24" s="133" t="n"/>
      <c r="I24" s="133" t="n"/>
      <c r="J24" s="133" t="n"/>
      <c r="K24" s="133" t="n"/>
      <c r="L24" s="133" t="n"/>
      <c r="M24" s="133" t="n"/>
      <c r="N24" s="133" t="n"/>
      <c r="O24" s="133" t="n"/>
      <c r="P24" s="133" t="n"/>
      <c r="Q24" s="133" t="n"/>
      <c r="R24" s="133" t="n"/>
      <c r="S24" s="133" t="n"/>
      <c r="T24" s="133" t="n"/>
      <c r="U24" s="133" t="n"/>
    </row>
    <row r="25" ht="18" customHeight="1">
      <c r="A25" s="133" t="n"/>
      <c r="B25" s="133" t="n"/>
      <c r="C25" s="133" t="n"/>
      <c r="D25" s="133" t="n"/>
      <c r="E25" s="133" t="n"/>
      <c r="F25" s="133" t="n"/>
      <c r="G25" s="133" t="n"/>
      <c r="H25" s="133" t="n"/>
      <c r="I25" s="133" t="n"/>
      <c r="J25" s="133" t="n"/>
      <c r="K25" s="133" t="n"/>
      <c r="L25" s="133" t="n"/>
      <c r="M25" s="133" t="n"/>
      <c r="N25" s="133" t="n"/>
      <c r="O25" s="133" t="n"/>
      <c r="P25" s="133" t="n"/>
      <c r="Q25" s="133" t="n"/>
      <c r="R25" s="133" t="n"/>
      <c r="S25" s="133" t="n"/>
      <c r="T25" s="133" t="n"/>
      <c r="U25" s="133" t="n"/>
    </row>
    <row r="26" ht="18" customHeight="1">
      <c r="A26" s="133" t="n"/>
      <c r="B26" s="133" t="n"/>
      <c r="C26" s="133" t="n"/>
      <c r="D26" s="133" t="n"/>
      <c r="E26" s="133" t="n"/>
      <c r="F26" s="133" t="n"/>
      <c r="G26" s="133" t="n"/>
      <c r="H26" s="133" t="n"/>
      <c r="I26" s="133" t="n"/>
      <c r="J26" s="133" t="n"/>
      <c r="K26" s="133" t="n"/>
      <c r="L26" s="133" t="n"/>
      <c r="M26" s="133" t="n"/>
      <c r="N26" s="133" t="n"/>
      <c r="O26" s="133" t="n"/>
      <c r="P26" s="133" t="n"/>
      <c r="Q26" s="133" t="n"/>
      <c r="R26" s="133" t="n"/>
      <c r="S26" s="133" t="n"/>
      <c r="T26" s="133" t="n"/>
      <c r="U26" s="133" t="n"/>
    </row>
    <row r="27" ht="18" customHeight="1">
      <c r="A27" s="133" t="n"/>
      <c r="B27" s="133" t="n"/>
      <c r="C27" s="133" t="n"/>
      <c r="D27" s="133" t="n"/>
      <c r="E27" s="133" t="n"/>
      <c r="F27" s="133" t="n"/>
      <c r="G27" s="133" t="n"/>
      <c r="H27" s="133" t="n"/>
      <c r="I27" s="133" t="n"/>
      <c r="J27" s="133" t="n"/>
      <c r="K27" s="133" t="n"/>
      <c r="L27" s="133" t="n"/>
      <c r="M27" s="133" t="n"/>
      <c r="N27" s="133" t="n"/>
      <c r="O27" s="133" t="n"/>
      <c r="P27" s="133" t="n"/>
      <c r="Q27" s="133" t="n"/>
      <c r="R27" s="133" t="n"/>
      <c r="S27" s="133" t="n"/>
      <c r="T27" s="133" t="n"/>
      <c r="U27" s="133" t="n"/>
    </row>
    <row r="28" ht="18" customHeight="1">
      <c r="A28" s="133" t="n"/>
      <c r="B28" s="133" t="n"/>
      <c r="C28" s="133" t="n"/>
      <c r="D28" s="133" t="n"/>
      <c r="E28" s="133" t="n"/>
      <c r="F28" s="133" t="n"/>
      <c r="G28" s="133" t="n"/>
      <c r="H28" s="133" t="n"/>
      <c r="I28" s="133" t="n"/>
      <c r="J28" s="133" t="n"/>
      <c r="K28" s="133" t="n"/>
      <c r="L28" s="133" t="n"/>
      <c r="M28" s="133" t="n"/>
      <c r="N28" s="133" t="n"/>
      <c r="O28" s="133" t="n"/>
      <c r="P28" s="133" t="n"/>
      <c r="Q28" s="133" t="n"/>
      <c r="R28" s="133" t="n"/>
      <c r="S28" s="133" t="n"/>
      <c r="T28" s="133" t="n"/>
      <c r="U28" s="133" t="n"/>
    </row>
    <row r="29" ht="18" customHeight="1">
      <c r="A29" s="133" t="n"/>
      <c r="B29" s="133" t="n"/>
      <c r="C29" s="133" t="n"/>
      <c r="D29" s="133" t="n"/>
      <c r="E29" s="133" t="n"/>
      <c r="F29" s="133" t="n"/>
      <c r="G29" s="133" t="n"/>
      <c r="H29" s="133" t="n"/>
      <c r="I29" s="133" t="n"/>
      <c r="J29" s="133" t="n"/>
      <c r="K29" s="133" t="n"/>
      <c r="L29" s="133" t="n"/>
      <c r="M29" s="133" t="n"/>
      <c r="N29" s="133" t="n"/>
      <c r="O29" s="133" t="n"/>
      <c r="P29" s="133" t="n"/>
      <c r="Q29" s="133" t="n"/>
      <c r="R29" s="133" t="n"/>
      <c r="S29" s="133" t="n"/>
      <c r="T29" s="133" t="n"/>
      <c r="U29" s="133" t="n"/>
    </row>
    <row r="30" ht="18" customHeight="1">
      <c r="A30" s="133" t="n"/>
      <c r="B30" s="133" t="n"/>
      <c r="C30" s="133" t="n"/>
      <c r="D30" s="133" t="n"/>
      <c r="E30" s="133" t="n"/>
      <c r="F30" s="133" t="n"/>
      <c r="G30" s="133" t="n"/>
      <c r="H30" s="133" t="n"/>
      <c r="I30" s="133" t="n"/>
      <c r="J30" s="133" t="n"/>
      <c r="K30" s="133" t="n"/>
      <c r="L30" s="133" t="n"/>
      <c r="M30" s="133" t="n"/>
      <c r="N30" s="133" t="n"/>
      <c r="O30" s="133" t="n"/>
      <c r="P30" s="133" t="n"/>
      <c r="Q30" s="133" t="n"/>
      <c r="R30" s="133" t="n"/>
      <c r="S30" s="133" t="n"/>
      <c r="T30" s="133" t="n"/>
      <c r="U30" s="133" t="n"/>
    </row>
    <row r="31" ht="18" customHeight="1">
      <c r="A31" s="133" t="n"/>
      <c r="B31" s="133" t="n"/>
      <c r="C31" s="133" t="n"/>
      <c r="D31" s="133" t="n"/>
      <c r="E31" s="133" t="n"/>
      <c r="F31" s="133" t="n"/>
      <c r="G31" s="133" t="n"/>
      <c r="H31" s="133" t="n"/>
      <c r="I31" s="133" t="n"/>
      <c r="J31" s="133" t="n"/>
      <c r="K31" s="133" t="n"/>
      <c r="L31" s="133" t="n"/>
      <c r="M31" s="133" t="n"/>
      <c r="N31" s="133" t="n"/>
      <c r="O31" s="133" t="n"/>
      <c r="P31" s="133" t="n"/>
      <c r="Q31" s="133" t="n"/>
      <c r="R31" s="133" t="n"/>
      <c r="S31" s="133" t="n"/>
      <c r="T31" s="133" t="n"/>
      <c r="U31" s="133" t="n"/>
    </row>
    <row r="32" ht="12" customHeight="1">
      <c r="A32" s="133" t="n"/>
      <c r="B32" s="133" t="n"/>
      <c r="C32" s="133" t="n"/>
      <c r="D32" s="133" t="n"/>
      <c r="E32" s="133" t="n"/>
      <c r="F32" s="133" t="n"/>
      <c r="G32" s="133" t="n"/>
      <c r="H32" s="133" t="n"/>
      <c r="I32" s="133" t="n"/>
      <c r="J32" s="133" t="n"/>
      <c r="K32" s="133" t="n"/>
      <c r="L32" s="133" t="n"/>
      <c r="M32" s="133" t="n"/>
      <c r="N32" s="133" t="n"/>
      <c r="O32" s="133" t="n"/>
      <c r="P32" s="133" t="n"/>
      <c r="Q32" s="133" t="n"/>
      <c r="R32" s="133" t="n"/>
      <c r="S32" s="133" t="n"/>
      <c r="T32" s="133" t="n"/>
      <c r="U32" s="133" t="n"/>
    </row>
    <row r="33" ht="18" customHeight="1">
      <c r="A33" s="133" t="n"/>
      <c r="B33" s="133" t="n"/>
      <c r="C33" s="133" t="n"/>
      <c r="D33" s="133" t="n"/>
      <c r="E33" s="133" t="n"/>
      <c r="F33" s="133" t="n"/>
      <c r="G33" s="133" t="n"/>
      <c r="H33" s="133" t="n"/>
      <c r="I33" s="133" t="n"/>
      <c r="J33" s="133" t="n"/>
      <c r="K33" s="133" t="n"/>
      <c r="L33" s="133" t="n"/>
      <c r="M33" s="133" t="n"/>
      <c r="N33" s="133" t="n"/>
      <c r="O33" s="133" t="n"/>
      <c r="P33" s="133" t="n"/>
      <c r="Q33" s="133" t="n"/>
      <c r="R33" s="133" t="n"/>
      <c r="S33" s="133" t="n"/>
      <c r="T33" s="133" t="n"/>
      <c r="U33" s="133" t="n"/>
    </row>
    <row r="34" ht="18" customHeight="1">
      <c r="A34" s="133" t="n"/>
      <c r="B34" s="133" t="n"/>
      <c r="C34" s="133" t="n"/>
      <c r="D34" s="133" t="n"/>
      <c r="E34" s="133" t="n"/>
      <c r="F34" s="133" t="n"/>
      <c r="G34" s="133" t="n"/>
      <c r="H34" s="133" t="n"/>
      <c r="I34" s="133" t="n"/>
      <c r="J34" s="133" t="n"/>
      <c r="K34" s="133" t="n"/>
      <c r="L34" s="133" t="n"/>
      <c r="M34" s="133" t="n"/>
      <c r="N34" s="133" t="n"/>
      <c r="O34" s="133" t="n"/>
      <c r="P34" s="133" t="n"/>
      <c r="Q34" s="133" t="n"/>
      <c r="R34" s="133" t="n"/>
      <c r="S34" s="133" t="n"/>
      <c r="T34" s="133" t="n"/>
      <c r="U34" s="133" t="n"/>
    </row>
    <row r="35" ht="18" customHeight="1">
      <c r="A35" s="133" t="n"/>
      <c r="B35" s="133" t="n"/>
      <c r="C35" s="133" t="n"/>
      <c r="D35" s="133" t="n"/>
      <c r="E35" s="133" t="n"/>
      <c r="F35" s="133" t="n"/>
      <c r="G35" s="133" t="n"/>
      <c r="H35" s="133" t="n"/>
      <c r="I35" s="133" t="n"/>
      <c r="J35" s="133" t="n"/>
      <c r="K35" s="133" t="n"/>
      <c r="L35" s="133" t="n"/>
      <c r="M35" s="133" t="n"/>
      <c r="N35" s="133" t="n"/>
      <c r="O35" s="133" t="n"/>
      <c r="P35" s="133" t="n"/>
      <c r="Q35" s="133" t="n"/>
      <c r="R35" s="133" t="n"/>
      <c r="S35" s="133" t="n"/>
      <c r="T35" s="133" t="n"/>
      <c r="U35" s="133" t="n"/>
    </row>
    <row r="36" ht="18" customHeight="1">
      <c r="A36" s="133" t="n"/>
      <c r="B36" s="133" t="n"/>
      <c r="C36" s="133" t="n"/>
      <c r="D36" s="133" t="n"/>
      <c r="E36" s="133" t="n"/>
      <c r="F36" s="133" t="n"/>
      <c r="G36" s="133" t="n"/>
      <c r="H36" s="133" t="n"/>
      <c r="I36" s="133" t="n"/>
      <c r="J36" s="133" t="n"/>
      <c r="K36" s="133" t="n"/>
      <c r="L36" s="133" t="n"/>
      <c r="M36" s="133" t="n"/>
      <c r="N36" s="133" t="n"/>
      <c r="O36" s="133" t="n"/>
      <c r="P36" s="133" t="n"/>
      <c r="Q36" s="133" t="n"/>
      <c r="R36" s="133" t="n"/>
      <c r="S36" s="133" t="n"/>
      <c r="T36" s="133" t="n"/>
      <c r="U36" s="133" t="n"/>
    </row>
    <row r="37" ht="18" customHeight="1">
      <c r="A37" s="133" t="n"/>
      <c r="B37" s="133" t="n"/>
      <c r="C37" s="133" t="n"/>
      <c r="D37" s="133" t="n"/>
      <c r="E37" s="133" t="n"/>
      <c r="F37" s="133" t="n"/>
      <c r="G37" s="133" t="n"/>
      <c r="H37" s="133" t="n"/>
      <c r="I37" s="133" t="n"/>
      <c r="J37" s="133" t="n"/>
      <c r="K37" s="133" t="n"/>
      <c r="L37" s="133" t="n"/>
      <c r="M37" s="133" t="n"/>
      <c r="N37" s="133" t="n"/>
      <c r="O37" s="133" t="n"/>
      <c r="P37" s="133" t="n"/>
      <c r="Q37" s="133" t="n"/>
      <c r="R37" s="133" t="n"/>
      <c r="S37" s="133" t="n"/>
      <c r="T37" s="133" t="n"/>
      <c r="U37" s="133" t="n"/>
    </row>
    <row r="38" ht="18" customHeight="1">
      <c r="A38" s="133" t="n"/>
      <c r="B38" s="133" t="n"/>
      <c r="C38" s="133" t="n"/>
      <c r="D38" s="133" t="n"/>
      <c r="E38" s="133" t="n"/>
      <c r="F38" s="133" t="n"/>
      <c r="G38" s="133" t="n"/>
      <c r="H38" s="133" t="n"/>
      <c r="I38" s="133" t="n"/>
      <c r="J38" s="133" t="n"/>
      <c r="K38" s="133" t="n"/>
      <c r="L38" s="133" t="n"/>
      <c r="M38" s="133" t="n"/>
      <c r="N38" s="133" t="n"/>
      <c r="O38" s="133" t="n"/>
      <c r="P38" s="133" t="n"/>
      <c r="Q38" s="133" t="n"/>
      <c r="R38" s="133" t="n"/>
      <c r="S38" s="133" t="n"/>
      <c r="T38" s="133" t="n"/>
      <c r="U38" s="133" t="n"/>
    </row>
    <row r="39" ht="18" customHeight="1">
      <c r="A39" s="133" t="n"/>
      <c r="B39" s="133" t="n"/>
      <c r="C39" s="133" t="n"/>
      <c r="D39" s="133" t="n"/>
      <c r="E39" s="133" t="n"/>
      <c r="F39" s="133" t="n"/>
      <c r="G39" s="133" t="n"/>
      <c r="H39" s="133" t="n"/>
      <c r="I39" s="133" t="n"/>
      <c r="J39" s="133" t="n"/>
      <c r="K39" s="133" t="n"/>
      <c r="L39" s="133" t="n"/>
      <c r="M39" s="133" t="n"/>
      <c r="N39" s="133" t="n"/>
      <c r="O39" s="133" t="n"/>
      <c r="P39" s="133" t="n"/>
      <c r="Q39" s="133" t="n"/>
      <c r="R39" s="133" t="n"/>
      <c r="S39" s="133" t="n"/>
      <c r="T39" s="133" t="n"/>
      <c r="U39" s="133" t="n"/>
    </row>
    <row r="40" ht="18" customHeight="1">
      <c r="A40" s="133" t="n"/>
      <c r="B40" s="133" t="n"/>
      <c r="C40" s="133" t="n"/>
      <c r="D40" s="133" t="n"/>
      <c r="E40" s="133" t="n"/>
      <c r="F40" s="133" t="n"/>
      <c r="G40" s="133" t="n"/>
      <c r="H40" s="133" t="n"/>
      <c r="I40" s="133" t="n"/>
      <c r="J40" s="133" t="n"/>
      <c r="K40" s="133" t="n"/>
      <c r="L40" s="133" t="n"/>
      <c r="M40" s="133" t="n"/>
      <c r="N40" s="133" t="n"/>
      <c r="O40" s="133" t="n"/>
      <c r="P40" s="133" t="n"/>
      <c r="Q40" s="133" t="n"/>
      <c r="R40" s="133" t="n"/>
      <c r="S40" s="133" t="n"/>
      <c r="T40" s="133" t="n"/>
      <c r="U40" s="133" t="n"/>
    </row>
    <row r="41" ht="18" customHeight="1">
      <c r="A41" s="133" t="n"/>
      <c r="B41" s="133" t="n"/>
      <c r="C41" s="133" t="n"/>
      <c r="D41" s="133" t="n"/>
      <c r="E41" s="133" t="n"/>
      <c r="F41" s="133" t="n"/>
      <c r="G41" s="133" t="n"/>
      <c r="H41" s="133" t="n"/>
      <c r="I41" s="133" t="n"/>
      <c r="J41" s="133" t="n"/>
      <c r="K41" s="133" t="n"/>
      <c r="L41" s="133" t="n"/>
      <c r="M41" s="133" t="n"/>
      <c r="N41" s="133" t="n"/>
      <c r="O41" s="133" t="n"/>
      <c r="P41" s="133" t="n"/>
      <c r="Q41" s="133" t="n"/>
      <c r="R41" s="133" t="n"/>
      <c r="S41" s="133" t="n"/>
      <c r="T41" s="133" t="n"/>
      <c r="U41" s="133" t="n"/>
    </row>
    <row r="42" ht="18" customHeight="1">
      <c r="A42" s="133" t="n"/>
      <c r="B42" s="133" t="n"/>
      <c r="C42" s="133" t="n"/>
      <c r="D42" s="133" t="n"/>
      <c r="E42" s="133" t="n"/>
      <c r="F42" s="133" t="n"/>
      <c r="G42" s="133" t="n"/>
      <c r="H42" s="133" t="n"/>
      <c r="I42" s="133" t="n"/>
      <c r="J42" s="133" t="n"/>
      <c r="K42" s="133" t="n"/>
      <c r="L42" s="133" t="n"/>
      <c r="M42" s="133" t="n"/>
      <c r="N42" s="133" t="n"/>
      <c r="O42" s="133" t="n"/>
      <c r="P42" s="133" t="n"/>
      <c r="Q42" s="133" t="n"/>
      <c r="R42" s="133" t="n"/>
      <c r="S42" s="133" t="n"/>
      <c r="T42" s="133" t="n"/>
      <c r="U42" s="133" t="n"/>
    </row>
    <row r="43" ht="18" customHeight="1">
      <c r="A43" s="133" t="n"/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  <c r="L43" s="133" t="n"/>
      <c r="M43" s="133" t="n"/>
      <c r="N43" s="133" t="n"/>
      <c r="O43" s="133" t="n"/>
      <c r="P43" s="133" t="n"/>
      <c r="Q43" s="133" t="n"/>
      <c r="R43" s="133" t="n"/>
      <c r="S43" s="133" t="n"/>
      <c r="T43" s="133" t="n"/>
      <c r="U43" s="133" t="n"/>
    </row>
    <row r="44" ht="18" customHeight="1">
      <c r="A44" s="133" t="n"/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3" t="n"/>
      <c r="L44" s="133" t="n"/>
      <c r="M44" s="133" t="n"/>
      <c r="N44" s="133" t="n"/>
      <c r="O44" s="133" t="n"/>
      <c r="P44" s="133" t="n"/>
      <c r="Q44" s="133" t="n"/>
      <c r="R44" s="133" t="n"/>
      <c r="S44" s="133" t="n"/>
      <c r="T44" s="133" t="n"/>
      <c r="U44" s="133" t="n"/>
    </row>
    <row r="45" ht="18" customHeight="1">
      <c r="A45" s="133" t="n"/>
      <c r="B45" s="133" t="n"/>
      <c r="C45" s="133" t="n"/>
      <c r="D45" s="133" t="n"/>
      <c r="E45" s="133" t="n"/>
      <c r="F45" s="133" t="n"/>
      <c r="G45" s="133" t="n"/>
      <c r="H45" s="133" t="n"/>
      <c r="I45" s="133" t="n"/>
      <c r="J45" s="133" t="n"/>
      <c r="K45" s="133" t="n"/>
      <c r="L45" s="133" t="n"/>
      <c r="M45" s="133" t="n"/>
      <c r="N45" s="133" t="n"/>
      <c r="O45" s="133" t="n"/>
      <c r="P45" s="133" t="n"/>
      <c r="Q45" s="133" t="n"/>
      <c r="R45" s="133" t="n"/>
      <c r="S45" s="133" t="n"/>
      <c r="T45" s="133" t="n"/>
      <c r="U45" s="133" t="n"/>
    </row>
    <row r="46" ht="18" customHeight="1">
      <c r="A46" s="133" t="n"/>
      <c r="B46" s="133" t="n"/>
      <c r="C46" s="133" t="n"/>
      <c r="D46" s="133" t="n"/>
      <c r="E46" s="133" t="n"/>
      <c r="F46" s="133" t="n"/>
      <c r="G46" s="133" t="n"/>
      <c r="H46" s="133" t="n"/>
      <c r="I46" s="133" t="n"/>
      <c r="J46" s="133" t="n"/>
      <c r="K46" s="133" t="n"/>
      <c r="L46" s="133" t="n"/>
      <c r="M46" s="133" t="n"/>
      <c r="N46" s="133" t="n"/>
      <c r="O46" s="133" t="n"/>
      <c r="P46" s="133" t="n"/>
      <c r="Q46" s="133" t="n"/>
      <c r="R46" s="133" t="n"/>
      <c r="S46" s="133" t="n"/>
      <c r="T46" s="133" t="n"/>
      <c r="U46" s="133" t="n"/>
    </row>
    <row r="47" ht="18" customHeight="1">
      <c r="A47" s="133" t="n"/>
      <c r="B47" s="133" t="n"/>
      <c r="C47" s="133" t="n"/>
      <c r="D47" s="133" t="n"/>
      <c r="E47" s="133" t="n"/>
      <c r="F47" s="133" t="n"/>
      <c r="G47" s="133" t="n"/>
      <c r="H47" s="133" t="n"/>
      <c r="I47" s="133" t="n"/>
      <c r="J47" s="133" t="n"/>
      <c r="K47" s="133" t="n"/>
      <c r="L47" s="133" t="n"/>
      <c r="M47" s="133" t="n"/>
      <c r="N47" s="133" t="n"/>
      <c r="O47" s="133" t="n"/>
      <c r="P47" s="133" t="n"/>
      <c r="Q47" s="133" t="n"/>
      <c r="R47" s="133" t="n"/>
      <c r="S47" s="133" t="n"/>
      <c r="T47" s="133" t="n"/>
      <c r="U47" s="133" t="n"/>
    </row>
    <row r="48" ht="18" customHeight="1">
      <c r="A48" s="133" t="n"/>
      <c r="B48" s="133" t="n"/>
      <c r="C48" s="133" t="n"/>
      <c r="D48" s="133" t="n"/>
      <c r="E48" s="133" t="n"/>
      <c r="F48" s="133" t="n"/>
      <c r="G48" s="133" t="n"/>
      <c r="H48" s="133" t="n"/>
      <c r="I48" s="133" t="n"/>
      <c r="J48" s="133" t="n"/>
      <c r="K48" s="133" t="n"/>
      <c r="L48" s="133" t="n"/>
      <c r="M48" s="133" t="n"/>
      <c r="N48" s="133" t="n"/>
      <c r="O48" s="133" t="n"/>
      <c r="P48" s="133" t="n"/>
      <c r="Q48" s="133" t="n"/>
      <c r="R48" s="133" t="n"/>
      <c r="S48" s="133" t="n"/>
      <c r="T48" s="133" t="n"/>
      <c r="U48" s="133" t="n"/>
    </row>
    <row r="49" ht="18" customHeight="1">
      <c r="A49" s="133" t="n"/>
      <c r="B49" s="133" t="n"/>
      <c r="C49" s="133" t="n"/>
      <c r="D49" s="133" t="n"/>
      <c r="E49" s="133" t="n"/>
      <c r="F49" s="133" t="n"/>
      <c r="G49" s="133" t="n"/>
      <c r="H49" s="133" t="n"/>
      <c r="I49" s="133" t="n"/>
      <c r="J49" s="133" t="n"/>
      <c r="K49" s="133" t="n"/>
      <c r="L49" s="133" t="n"/>
      <c r="M49" s="133" t="n"/>
      <c r="N49" s="133" t="n"/>
      <c r="O49" s="133" t="n"/>
      <c r="P49" s="133" t="n"/>
      <c r="Q49" s="133" t="n"/>
      <c r="R49" s="133" t="n"/>
      <c r="S49" s="133" t="n"/>
      <c r="T49" s="133" t="n"/>
      <c r="U49" s="133" t="n"/>
    </row>
    <row r="50" ht="18" customHeight="1">
      <c r="A50" s="133" t="n"/>
      <c r="B50" s="133" t="n"/>
      <c r="C50" s="133" t="n"/>
      <c r="D50" s="133" t="n"/>
      <c r="E50" s="133" t="n"/>
      <c r="F50" s="133" t="n"/>
      <c r="G50" s="133" t="n"/>
      <c r="H50" s="133" t="n"/>
      <c r="I50" s="133" t="n"/>
      <c r="J50" s="133" t="n"/>
      <c r="K50" s="133" t="n"/>
      <c r="L50" s="133" t="n"/>
      <c r="M50" s="133" t="n"/>
      <c r="N50" s="133" t="n"/>
      <c r="O50" s="133" t="n"/>
      <c r="P50" s="133" t="n"/>
      <c r="Q50" s="133" t="n"/>
      <c r="R50" s="133" t="n"/>
      <c r="S50" s="133" t="n"/>
      <c r="T50" s="133" t="n"/>
      <c r="U50" s="133" t="n"/>
    </row>
    <row r="51" ht="18" customHeight="1">
      <c r="A51" s="133" t="n"/>
      <c r="B51" s="133" t="n"/>
      <c r="C51" s="133" t="n"/>
      <c r="D51" s="133" t="n"/>
      <c r="E51" s="133" t="n"/>
      <c r="F51" s="133" t="n"/>
      <c r="G51" s="133" t="n"/>
      <c r="H51" s="133" t="n"/>
      <c r="I51" s="133" t="n"/>
      <c r="J51" s="133" t="n"/>
      <c r="K51" s="133" t="n"/>
      <c r="L51" s="133" t="n"/>
      <c r="M51" s="133" t="n"/>
      <c r="N51" s="133" t="n"/>
      <c r="O51" s="133" t="n"/>
      <c r="P51" s="133" t="n"/>
      <c r="Q51" s="133" t="n"/>
      <c r="R51" s="133" t="n"/>
      <c r="S51" s="133" t="n"/>
      <c r="T51" s="133" t="n"/>
      <c r="U51" s="133" t="n"/>
    </row>
    <row r="52" ht="18" customHeight="1">
      <c r="A52" s="133" t="n"/>
      <c r="B52" s="133" t="n"/>
      <c r="C52" s="133" t="n"/>
      <c r="D52" s="133" t="n"/>
      <c r="E52" s="133" t="n"/>
      <c r="F52" s="133" t="n"/>
      <c r="G52" s="133" t="n"/>
      <c r="H52" s="133" t="n"/>
      <c r="I52" s="133" t="n"/>
      <c r="J52" s="133" t="n"/>
      <c r="K52" s="133" t="n"/>
      <c r="L52" s="133" t="n"/>
      <c r="M52" s="133" t="n"/>
      <c r="N52" s="133" t="n"/>
      <c r="O52" s="133" t="n"/>
      <c r="P52" s="133" t="n"/>
      <c r="Q52" s="133" t="n"/>
      <c r="R52" s="133" t="n"/>
      <c r="S52" s="133" t="n"/>
      <c r="T52" s="133" t="n"/>
      <c r="U52" s="133" t="n"/>
    </row>
    <row r="53" ht="14" customHeight="1">
      <c r="A53" s="133" t="n"/>
      <c r="B53" s="133" t="n"/>
      <c r="C53" s="133" t="n"/>
      <c r="D53" s="133" t="n"/>
      <c r="E53" s="133" t="n"/>
      <c r="F53" s="133" t="n"/>
      <c r="G53" s="133" t="n"/>
      <c r="H53" s="133" t="n"/>
      <c r="I53" s="133" t="n"/>
      <c r="J53" s="133" t="n"/>
      <c r="K53" s="133" t="n"/>
      <c r="L53" s="133" t="n"/>
      <c r="M53" s="133" t="n"/>
      <c r="N53" s="133" t="n"/>
      <c r="O53" s="133" t="n"/>
      <c r="P53" s="133" t="n"/>
      <c r="Q53" s="133" t="n"/>
      <c r="R53" s="133" t="n"/>
      <c r="S53" s="133" t="n"/>
      <c r="T53" s="133" t="n"/>
      <c r="U53" s="133" t="n"/>
    </row>
    <row r="54" ht="20" customHeight="1">
      <c r="A54" s="133" t="n"/>
      <c r="B54" s="149" t="inlineStr">
        <is>
          <t xml:space="preserve">  Cost Code Summary</t>
        </is>
      </c>
      <c r="C54" s="150" t="n"/>
      <c r="D54" s="150" t="n"/>
      <c r="E54" s="150" t="n"/>
      <c r="F54" s="150" t="n"/>
      <c r="G54" s="150" t="n"/>
      <c r="H54" s="150" t="n"/>
      <c r="I54" s="150" t="n"/>
      <c r="J54" s="150" t="n"/>
      <c r="K54" s="150" t="n"/>
      <c r="L54" s="150" t="n"/>
      <c r="M54" s="150" t="n"/>
      <c r="N54" s="150" t="n"/>
      <c r="O54" s="150" t="n"/>
      <c r="P54" s="150" t="n"/>
      <c r="Q54" s="150" t="n"/>
      <c r="R54" s="150" t="n"/>
      <c r="S54" s="150" t="n"/>
      <c r="T54" s="150" t="n"/>
      <c r="U54" s="133" t="n"/>
    </row>
    <row r="55" ht="20" customHeight="1">
      <c r="A55" s="133" t="n"/>
      <c r="B55" s="151" t="inlineStr">
        <is>
          <t>Cost Code</t>
        </is>
      </c>
      <c r="C55" s="152" t="inlineStr">
        <is>
          <t>Item</t>
        </is>
      </c>
      <c r="D55" s="133" t="n"/>
      <c r="E55" s="133" t="n"/>
      <c r="F55" s="133" t="n"/>
      <c r="G55" s="133" t="n"/>
      <c r="H55" s="153" t="inlineStr">
        <is>
          <t>EAC</t>
        </is>
      </c>
      <c r="I55" s="133" t="n"/>
      <c r="J55" s="153" t="inlineStr">
        <is>
          <t>CTD</t>
        </is>
      </c>
      <c r="K55" s="133" t="n"/>
      <c r="L55" s="153" t="inlineStr">
        <is>
          <t>Remaining</t>
        </is>
      </c>
      <c r="M55" s="133" t="n"/>
      <c r="N55" s="153" t="inlineStr">
        <is>
          <t>Actuals</t>
        </is>
      </c>
      <c r="O55" s="133" t="n"/>
      <c r="P55" s="151" t="inlineStr">
        <is>
          <t>O/U</t>
        </is>
      </c>
      <c r="Q55" s="133" t="n"/>
      <c r="R55" s="133" t="n"/>
      <c r="S55" s="133" t="n"/>
      <c r="T55" s="133" t="n"/>
      <c r="U55" s="133" t="n"/>
    </row>
    <row r="56" ht="16" customHeight="1">
      <c r="A56" s="133" t="n"/>
      <c r="B56" s="154" t="inlineStr">
        <is>
          <t>0-4004-01</t>
        </is>
      </c>
      <c r="C56" s="155" t="inlineStr">
        <is>
          <t>0-4004-01 Racking Materials</t>
        </is>
      </c>
      <c r="H56" s="156" t="n">
        <v>38327780.6</v>
      </c>
      <c r="I56" s="130" t="n"/>
      <c r="J56" s="157" t="n">
        <v>46723600.61</v>
      </c>
      <c r="K56" s="130" t="n"/>
      <c r="L56" s="158" t="n">
        <v>-8395820.01</v>
      </c>
      <c r="M56" s="130" t="n"/>
      <c r="N56" s="159" t="n">
        <v>10391391.52</v>
      </c>
      <c r="O56" s="130" t="n"/>
      <c r="P56" s="160" t="inlineStr">
        <is>
          <t>▲ Over</t>
        </is>
      </c>
      <c r="Q56" s="130" t="n"/>
      <c r="R56" s="133" t="n"/>
      <c r="S56" s="133" t="n"/>
      <c r="T56" s="133" t="n"/>
      <c r="U56" s="133" t="n"/>
    </row>
    <row r="57" ht="16" customHeight="1">
      <c r="A57" s="133" t="n"/>
      <c r="B57" s="161" t="inlineStr">
        <is>
          <t>0-4004-05</t>
        </is>
      </c>
      <c r="C57" s="162" t="inlineStr">
        <is>
          <t>0-4004-05 PV Power Cable Materi</t>
        </is>
      </c>
      <c r="H57" s="163" t="n">
        <v>21422369.21</v>
      </c>
      <c r="I57" s="133" t="n"/>
      <c r="J57" s="164" t="n">
        <v>20543723.14</v>
      </c>
      <c r="K57" s="133" t="n"/>
      <c r="L57" s="165" t="n">
        <v>878646.0700000001</v>
      </c>
      <c r="M57" s="133" t="n"/>
      <c r="N57" s="166" t="n">
        <v>4497552.64</v>
      </c>
      <c r="O57" s="133" t="n"/>
      <c r="P57" s="167" t="inlineStr">
        <is>
          <t>✓ Under</t>
        </is>
      </c>
      <c r="Q57" s="133" t="n"/>
      <c r="R57" s="133" t="n"/>
      <c r="S57" s="133" t="n"/>
      <c r="T57" s="133" t="n"/>
      <c r="U57" s="133" t="n"/>
    </row>
    <row r="58" ht="16" customHeight="1">
      <c r="A58" s="133" t="n"/>
      <c r="B58" s="154" t="inlineStr">
        <is>
          <t>0-4004-02</t>
        </is>
      </c>
      <c r="C58" s="155" t="inlineStr">
        <is>
          <t>0-4004-02 Inverter Materials</t>
        </is>
      </c>
      <c r="H58" s="156" t="n">
        <v>16780787.98</v>
      </c>
      <c r="I58" s="130" t="n"/>
      <c r="J58" s="157" t="n">
        <v>21943589.76</v>
      </c>
      <c r="K58" s="130" t="n"/>
      <c r="L58" s="158" t="n">
        <v>-5162801.78</v>
      </c>
      <c r="M58" s="130" t="n"/>
      <c r="N58" s="159" t="n">
        <v>4983660</v>
      </c>
      <c r="O58" s="130" t="n"/>
      <c r="P58" s="160" t="inlineStr">
        <is>
          <t>▲ Over</t>
        </is>
      </c>
      <c r="Q58" s="130" t="n"/>
      <c r="R58" s="133" t="n"/>
      <c r="S58" s="133" t="n"/>
      <c r="T58" s="133" t="n"/>
      <c r="U58" s="133" t="n"/>
    </row>
    <row r="59" ht="16" customHeight="1">
      <c r="A59" s="133" t="n"/>
      <c r="B59" s="161" t="inlineStr">
        <is>
          <t>0-4004-08</t>
        </is>
      </c>
      <c r="C59" s="162" t="inlineStr">
        <is>
          <t>0-4004-08 PV Harness &amp; LBDs</t>
        </is>
      </c>
      <c r="H59" s="163" t="n">
        <v>11679119.26</v>
      </c>
      <c r="I59" s="133" t="n"/>
      <c r="J59" s="164" t="n">
        <v>0</v>
      </c>
      <c r="K59" s="133" t="n"/>
      <c r="L59" s="165" t="n">
        <v>11679119.26</v>
      </c>
      <c r="M59" s="133" t="n"/>
      <c r="N59" s="166" t="n">
        <v>0</v>
      </c>
      <c r="O59" s="133" t="n"/>
      <c r="P59" s="167" t="inlineStr">
        <is>
          <t>✓ Under</t>
        </is>
      </c>
      <c r="Q59" s="133" t="n"/>
      <c r="R59" s="133" t="n"/>
      <c r="S59" s="133" t="n"/>
      <c r="T59" s="133" t="n"/>
      <c r="U59" s="133" t="n"/>
    </row>
    <row r="60" ht="16" customHeight="1">
      <c r="A60" s="133" t="n"/>
      <c r="B60" s="154" t="inlineStr">
        <is>
          <t>0-4013</t>
        </is>
      </c>
      <c r="C60" s="155" t="inlineStr">
        <is>
          <t>0-4013-Contingency</t>
        </is>
      </c>
      <c r="H60" s="156" t="n">
        <v>4883701.58</v>
      </c>
      <c r="I60" s="130" t="n"/>
      <c r="J60" s="157" t="n">
        <v>0</v>
      </c>
      <c r="K60" s="130" t="n"/>
      <c r="L60" s="168" t="n">
        <v>4883701.58</v>
      </c>
      <c r="M60" s="130" t="n"/>
      <c r="N60" s="159" t="n">
        <v>0</v>
      </c>
      <c r="O60" s="130" t="n"/>
      <c r="P60" s="169" t="inlineStr">
        <is>
          <t>✓ Under</t>
        </is>
      </c>
      <c r="Q60" s="130" t="n"/>
      <c r="R60" s="133" t="n"/>
      <c r="S60" s="133" t="n"/>
      <c r="T60" s="133" t="n"/>
      <c r="U60" s="133" t="n"/>
    </row>
    <row r="61" ht="16" customHeight="1">
      <c r="A61" s="133" t="n"/>
      <c r="B61" s="161" t="inlineStr">
        <is>
          <t>0-4109</t>
        </is>
      </c>
      <c r="C61" s="162" t="inlineStr">
        <is>
          <t>0-4109-Site Roadways</t>
        </is>
      </c>
      <c r="H61" s="163" t="n">
        <v>3249926.05</v>
      </c>
      <c r="I61" s="133" t="n"/>
      <c r="J61" s="164" t="n">
        <v>1993005</v>
      </c>
      <c r="K61" s="133" t="n"/>
      <c r="L61" s="165" t="n">
        <v>1256921.05</v>
      </c>
      <c r="M61" s="133" t="n"/>
      <c r="N61" s="166" t="n">
        <v>0</v>
      </c>
      <c r="O61" s="133" t="n"/>
      <c r="P61" s="167" t="inlineStr">
        <is>
          <t>✓ Under</t>
        </is>
      </c>
      <c r="Q61" s="133" t="n"/>
      <c r="R61" s="133" t="n"/>
      <c r="S61" s="133" t="n"/>
      <c r="T61" s="133" t="n"/>
      <c r="U61" s="133" t="n"/>
    </row>
    <row r="62" ht="16" customHeight="1">
      <c r="A62" s="133" t="n"/>
      <c r="B62" s="154" t="inlineStr">
        <is>
          <t>0-4024</t>
        </is>
      </c>
      <c r="C62" s="155" t="inlineStr">
        <is>
          <t>0-4024-Engineering</t>
        </is>
      </c>
      <c r="H62" s="156" t="n">
        <v>2800000</v>
      </c>
      <c r="I62" s="130" t="n"/>
      <c r="J62" s="157" t="n">
        <v>1380959.6</v>
      </c>
      <c r="K62" s="130" t="n"/>
      <c r="L62" s="168" t="n">
        <v>1419040.4</v>
      </c>
      <c r="M62" s="130" t="n"/>
      <c r="N62" s="159" t="n">
        <v>1157305.59</v>
      </c>
      <c r="O62" s="130" t="n"/>
      <c r="P62" s="169" t="inlineStr">
        <is>
          <t>✓ Under</t>
        </is>
      </c>
      <c r="Q62" s="130" t="n"/>
      <c r="R62" s="133" t="n"/>
      <c r="S62" s="133" t="n"/>
      <c r="T62" s="133" t="n"/>
      <c r="U62" s="133" t="n"/>
    </row>
    <row r="63" ht="16" customHeight="1">
      <c r="A63" s="133" t="n"/>
      <c r="B63" s="161" t="inlineStr">
        <is>
          <t>0-4008</t>
        </is>
      </c>
      <c r="C63" s="162" t="inlineStr">
        <is>
          <t>0-4008-Supplies</t>
        </is>
      </c>
      <c r="H63" s="163" t="n">
        <v>2425247.73</v>
      </c>
      <c r="I63" s="133" t="n"/>
      <c r="J63" s="164" t="n">
        <v>179686.48</v>
      </c>
      <c r="K63" s="133" t="n"/>
      <c r="L63" s="165" t="n">
        <v>2245561.25</v>
      </c>
      <c r="M63" s="133" t="n"/>
      <c r="N63" s="166" t="n">
        <v>108788</v>
      </c>
      <c r="O63" s="133" t="n"/>
      <c r="P63" s="167" t="inlineStr">
        <is>
          <t>✓ Under</t>
        </is>
      </c>
      <c r="Q63" s="133" t="n"/>
      <c r="R63" s="133" t="n"/>
      <c r="S63" s="133" t="n"/>
      <c r="T63" s="133" t="n"/>
      <c r="U63" s="133" t="n"/>
    </row>
    <row r="64" ht="16" customHeight="1">
      <c r="A64" s="133" t="n"/>
      <c r="B64" s="154" t="inlineStr">
        <is>
          <t>0-4004-07</t>
        </is>
      </c>
      <c r="C64" s="155" t="inlineStr">
        <is>
          <t xml:space="preserve">0-4004-07 Scada </t>
        </is>
      </c>
      <c r="H64" s="156" t="n">
        <v>1987506.26</v>
      </c>
      <c r="I64" s="130" t="n"/>
      <c r="J64" s="157" t="n">
        <v>0</v>
      </c>
      <c r="K64" s="130" t="n"/>
      <c r="L64" s="168" t="n">
        <v>1987506.26</v>
      </c>
      <c r="M64" s="130" t="n"/>
      <c r="N64" s="159" t="n">
        <v>0</v>
      </c>
      <c r="O64" s="130" t="n"/>
      <c r="P64" s="169" t="inlineStr">
        <is>
          <t>✓ Under</t>
        </is>
      </c>
      <c r="Q64" s="130" t="n"/>
      <c r="R64" s="133" t="n"/>
      <c r="S64" s="133" t="n"/>
      <c r="T64" s="133" t="n"/>
      <c r="U64" s="133" t="n"/>
    </row>
    <row r="65" ht="16" customHeight="1">
      <c r="A65" s="133" t="n"/>
      <c r="B65" s="161" t="inlineStr">
        <is>
          <t>0-4505</t>
        </is>
      </c>
      <c r="C65" s="162" t="inlineStr">
        <is>
          <t>0-4505-AC-MV Boring</t>
        </is>
      </c>
      <c r="H65" s="163" t="n">
        <v>1958336.63</v>
      </c>
      <c r="I65" s="133" t="n"/>
      <c r="J65" s="164" t="n">
        <v>0</v>
      </c>
      <c r="K65" s="133" t="n"/>
      <c r="L65" s="165" t="n">
        <v>1958336.63</v>
      </c>
      <c r="M65" s="133" t="n"/>
      <c r="N65" s="166" t="n">
        <v>0</v>
      </c>
      <c r="O65" s="133" t="n"/>
      <c r="P65" s="167" t="inlineStr">
        <is>
          <t>✓ Under</t>
        </is>
      </c>
      <c r="Q65" s="133" t="n"/>
      <c r="R65" s="133" t="n"/>
      <c r="S65" s="133" t="n"/>
      <c r="T65" s="133" t="n"/>
      <c r="U65" s="133" t="n"/>
    </row>
    <row r="66" ht="16" customHeight="1">
      <c r="A66" s="133" t="n"/>
      <c r="B66" s="154" t="inlineStr">
        <is>
          <t>0-4004-10</t>
        </is>
      </c>
      <c r="C66" s="155" t="inlineStr">
        <is>
          <t>0-4004-10 PV Electrical Materia</t>
        </is>
      </c>
      <c r="H66" s="156" t="n">
        <v>1936305.97</v>
      </c>
      <c r="I66" s="130" t="n"/>
      <c r="J66" s="157" t="n">
        <v>36466.4</v>
      </c>
      <c r="K66" s="130" t="n"/>
      <c r="L66" s="168" t="n">
        <v>1899839.57</v>
      </c>
      <c r="M66" s="130" t="n"/>
      <c r="N66" s="159" t="n">
        <v>34328.11</v>
      </c>
      <c r="O66" s="130" t="n"/>
      <c r="P66" s="169" t="inlineStr">
        <is>
          <t>✓ Under</t>
        </is>
      </c>
      <c r="Q66" s="130" t="n"/>
      <c r="R66" s="133" t="n"/>
      <c r="S66" s="133" t="n"/>
      <c r="T66" s="133" t="n"/>
      <c r="U66" s="133" t="n"/>
    </row>
    <row r="67" ht="16" customHeight="1">
      <c r="A67" s="133" t="n"/>
      <c r="B67" s="161" t="inlineStr">
        <is>
          <t>0-4010</t>
        </is>
      </c>
      <c r="C67" s="162" t="inlineStr">
        <is>
          <t>0-4010-FOG</t>
        </is>
      </c>
      <c r="H67" s="163" t="n">
        <v>1835125.61</v>
      </c>
      <c r="I67" s="133" t="n"/>
      <c r="J67" s="164" t="n">
        <v>-20637.25</v>
      </c>
      <c r="K67" s="133" t="n"/>
      <c r="L67" s="165" t="n">
        <v>1855762.86</v>
      </c>
      <c r="M67" s="133" t="n"/>
      <c r="N67" s="166" t="n">
        <v>42925.37</v>
      </c>
      <c r="O67" s="133" t="n"/>
      <c r="P67" s="167" t="inlineStr">
        <is>
          <t>✓ Under</t>
        </is>
      </c>
      <c r="Q67" s="133" t="n"/>
      <c r="R67" s="133" t="n"/>
      <c r="S67" s="133" t="n"/>
      <c r="T67" s="133" t="n"/>
      <c r="U67" s="133" t="n"/>
    </row>
    <row r="68" ht="16" customHeight="1">
      <c r="A68" s="133" t="n"/>
      <c r="B68" s="154" t="inlineStr">
        <is>
          <t>0-4013-01</t>
        </is>
      </c>
      <c r="C68" s="155" t="inlineStr">
        <is>
          <t>0-4013-01-LD's</t>
        </is>
      </c>
      <c r="H68" s="156" t="n">
        <v>1800000</v>
      </c>
      <c r="I68" s="130" t="n"/>
      <c r="J68" s="157" t="n">
        <v>0</v>
      </c>
      <c r="K68" s="130" t="n"/>
      <c r="L68" s="168" t="n">
        <v>1800000</v>
      </c>
      <c r="M68" s="130" t="n"/>
      <c r="N68" s="159" t="n">
        <v>0</v>
      </c>
      <c r="O68" s="130" t="n"/>
      <c r="P68" s="169" t="inlineStr">
        <is>
          <t>✓ Under</t>
        </is>
      </c>
      <c r="Q68" s="130" t="n"/>
      <c r="R68" s="133" t="n"/>
      <c r="S68" s="133" t="n"/>
      <c r="T68" s="133" t="n"/>
      <c r="U68" s="133" t="n"/>
    </row>
    <row r="69" ht="16" customHeight="1">
      <c r="A69" s="133" t="n"/>
      <c r="B69" s="161" t="inlineStr">
        <is>
          <t>0-4029</t>
        </is>
      </c>
      <c r="C69" s="162" t="inlineStr">
        <is>
          <t xml:space="preserve">0-4029-ACS </t>
        </is>
      </c>
      <c r="H69" s="163" t="n">
        <v>1680000</v>
      </c>
      <c r="I69" s="133" t="n"/>
      <c r="J69" s="164" t="n">
        <v>0</v>
      </c>
      <c r="K69" s="133" t="n"/>
      <c r="L69" s="165" t="n">
        <v>1680000</v>
      </c>
      <c r="M69" s="133" t="n"/>
      <c r="N69" s="166" t="n">
        <v>0</v>
      </c>
      <c r="O69" s="133" t="n"/>
      <c r="P69" s="167" t="inlineStr">
        <is>
          <t>✓ Under</t>
        </is>
      </c>
      <c r="Q69" s="133" t="n"/>
      <c r="R69" s="133" t="n"/>
      <c r="S69" s="133" t="n"/>
      <c r="T69" s="133" t="n"/>
      <c r="U69" s="133" t="n"/>
    </row>
    <row r="70" ht="16" customHeight="1">
      <c r="A70" s="133" t="n"/>
      <c r="B70" s="154" t="inlineStr">
        <is>
          <t>0-4004-06</t>
        </is>
      </c>
      <c r="C70" s="155" t="inlineStr">
        <is>
          <t>0-4004-06 Cable Management</t>
        </is>
      </c>
      <c r="H70" s="156" t="n">
        <v>1624883.96</v>
      </c>
      <c r="I70" s="130" t="n"/>
      <c r="J70" s="157" t="n">
        <v>0</v>
      </c>
      <c r="K70" s="130" t="n"/>
      <c r="L70" s="168" t="n">
        <v>1624883.96</v>
      </c>
      <c r="M70" s="130" t="n"/>
      <c r="N70" s="159" t="n">
        <v>0</v>
      </c>
      <c r="O70" s="130" t="n"/>
      <c r="P70" s="169" t="inlineStr">
        <is>
          <t>✓ Under</t>
        </is>
      </c>
      <c r="Q70" s="130" t="n"/>
      <c r="R70" s="133" t="n"/>
      <c r="S70" s="133" t="n"/>
      <c r="T70" s="133" t="n"/>
      <c r="U70" s="133" t="n"/>
    </row>
    <row r="71" ht="16" customHeight="1">
      <c r="A71" s="133" t="n"/>
      <c r="B71" s="161" t="inlineStr">
        <is>
          <t>0-4013-02</t>
        </is>
      </c>
      <c r="C71" s="162" t="inlineStr">
        <is>
          <t>0-4013-02-Weather Cont.</t>
        </is>
      </c>
      <c r="H71" s="163" t="n">
        <v>1386220.96</v>
      </c>
      <c r="I71" s="133" t="n"/>
      <c r="J71" s="164" t="n">
        <v>0</v>
      </c>
      <c r="K71" s="133" t="n"/>
      <c r="L71" s="165" t="n">
        <v>1386220.96</v>
      </c>
      <c r="M71" s="133" t="n"/>
      <c r="N71" s="166" t="n">
        <v>0</v>
      </c>
      <c r="O71" s="133" t="n"/>
      <c r="P71" s="167" t="inlineStr">
        <is>
          <t>✓ Under</t>
        </is>
      </c>
      <c r="Q71" s="133" t="n"/>
      <c r="R71" s="133" t="n"/>
      <c r="S71" s="133" t="n"/>
      <c r="T71" s="133" t="n"/>
      <c r="U71" s="133" t="n"/>
    </row>
    <row r="72" ht="16" customHeight="1">
      <c r="A72" s="133" t="n"/>
      <c r="B72" s="154" t="inlineStr">
        <is>
          <t>0-4107</t>
        </is>
      </c>
      <c r="C72" s="155" t="inlineStr">
        <is>
          <t>0-4107-Seeding &amp; Revegetation</t>
        </is>
      </c>
      <c r="H72" s="156" t="n">
        <v>1331462.28</v>
      </c>
      <c r="I72" s="130" t="n"/>
      <c r="J72" s="157" t="n">
        <v>795093</v>
      </c>
      <c r="K72" s="130" t="n"/>
      <c r="L72" s="168" t="n">
        <v>536369.28</v>
      </c>
      <c r="M72" s="130" t="n"/>
      <c r="N72" s="159" t="n">
        <v>0</v>
      </c>
      <c r="O72" s="130" t="n"/>
      <c r="P72" s="169" t="inlineStr">
        <is>
          <t>✓ Under</t>
        </is>
      </c>
      <c r="Q72" s="130" t="n"/>
      <c r="R72" s="133" t="n"/>
      <c r="S72" s="133" t="n"/>
      <c r="T72" s="133" t="n"/>
      <c r="U72" s="133" t="n"/>
    </row>
    <row r="73" ht="16" customHeight="1">
      <c r="A73" s="133" t="n"/>
      <c r="B73" s="161" t="inlineStr">
        <is>
          <t>0-4108</t>
        </is>
      </c>
      <c r="C73" s="162" t="inlineStr">
        <is>
          <t>0-4108-Fences &amp; Gates</t>
        </is>
      </c>
      <c r="H73" s="163" t="n">
        <v>1066260</v>
      </c>
      <c r="I73" s="133" t="n"/>
      <c r="J73" s="164" t="n">
        <v>0</v>
      </c>
      <c r="K73" s="133" t="n"/>
      <c r="L73" s="165" t="n">
        <v>1066260</v>
      </c>
      <c r="M73" s="133" t="n"/>
      <c r="N73" s="166" t="n">
        <v>0</v>
      </c>
      <c r="O73" s="133" t="n"/>
      <c r="P73" s="167" t="inlineStr">
        <is>
          <t>✓ Under</t>
        </is>
      </c>
      <c r="Q73" s="133" t="n"/>
      <c r="R73" s="133" t="n"/>
      <c r="S73" s="133" t="n"/>
      <c r="T73" s="133" t="n"/>
      <c r="U73" s="133" t="n"/>
    </row>
    <row r="74" ht="16" customHeight="1">
      <c r="A74" s="133" t="n"/>
      <c r="B74" s="154" t="inlineStr">
        <is>
          <t>0-4004-12</t>
        </is>
      </c>
      <c r="C74" s="155" t="inlineStr">
        <is>
          <t>0-4004-12 Non Tracker Piles</t>
        </is>
      </c>
      <c r="H74" s="156" t="n">
        <v>967434.0599999999</v>
      </c>
      <c r="I74" s="130" t="n"/>
      <c r="J74" s="157" t="n">
        <v>967434.0599999999</v>
      </c>
      <c r="K74" s="130" t="n"/>
      <c r="L74" s="168" t="n">
        <v>0</v>
      </c>
      <c r="M74" s="130" t="n"/>
      <c r="N74" s="159" t="n">
        <v>0</v>
      </c>
      <c r="O74" s="130" t="n"/>
      <c r="P74" s="169" t="inlineStr">
        <is>
          <t>✓ Under</t>
        </is>
      </c>
      <c r="Q74" s="130" t="n"/>
      <c r="R74" s="133" t="n"/>
      <c r="S74" s="133" t="n"/>
      <c r="T74" s="133" t="n"/>
      <c r="U74" s="133" t="n"/>
    </row>
    <row r="75" ht="16" customHeight="1">
      <c r="A75" s="133" t="n"/>
      <c r="B75" s="161" t="inlineStr">
        <is>
          <t>0-4121</t>
        </is>
      </c>
      <c r="C75" s="162" t="inlineStr">
        <is>
          <t>0-4121-Laydown Areas</t>
        </is>
      </c>
      <c r="H75" s="163" t="n">
        <v>937478.36</v>
      </c>
      <c r="I75" s="133" t="n"/>
      <c r="J75" s="164" t="n">
        <v>754913.78</v>
      </c>
      <c r="K75" s="133" t="n"/>
      <c r="L75" s="165" t="n">
        <v>182564.58</v>
      </c>
      <c r="M75" s="133" t="n"/>
      <c r="N75" s="166" t="n">
        <v>156147.77</v>
      </c>
      <c r="O75" s="133" t="n"/>
      <c r="P75" s="167" t="inlineStr">
        <is>
          <t>✓ Under</t>
        </is>
      </c>
      <c r="Q75" s="133" t="n"/>
      <c r="R75" s="133" t="n"/>
      <c r="S75" s="133" t="n"/>
      <c r="T75" s="133" t="n"/>
      <c r="U75" s="133" t="n"/>
    </row>
    <row r="76" ht="16" customHeight="1">
      <c r="A76" s="133" t="n"/>
      <c r="B76" s="154" t="inlineStr">
        <is>
          <t>0-4006</t>
        </is>
      </c>
      <c r="C76" s="155" t="inlineStr">
        <is>
          <t>0-4006-Yard and Trailer</t>
        </is>
      </c>
      <c r="H76" s="156" t="n">
        <v>389281.43</v>
      </c>
      <c r="I76" s="130" t="n"/>
      <c r="J76" s="157" t="n">
        <v>312745.98</v>
      </c>
      <c r="K76" s="130" t="n"/>
      <c r="L76" s="168" t="n">
        <v>76535.45</v>
      </c>
      <c r="M76" s="130" t="n"/>
      <c r="N76" s="159" t="n">
        <v>35420.42</v>
      </c>
      <c r="O76" s="130" t="n"/>
      <c r="P76" s="169" t="inlineStr">
        <is>
          <t>✓ Under</t>
        </is>
      </c>
      <c r="Q76" s="130" t="n"/>
      <c r="R76" s="133" t="n"/>
      <c r="S76" s="133" t="n"/>
      <c r="T76" s="133" t="n"/>
      <c r="U76" s="133" t="n"/>
    </row>
    <row r="77" ht="16" customHeight="1">
      <c r="A77" s="133" t="n"/>
      <c r="B77" s="161" t="inlineStr">
        <is>
          <t>0-4015</t>
        </is>
      </c>
      <c r="C77" s="162" t="inlineStr">
        <is>
          <t>0-4015-Survey</t>
        </is>
      </c>
      <c r="H77" s="163" t="n">
        <v>350989.35</v>
      </c>
      <c r="I77" s="133" t="n"/>
      <c r="J77" s="164" t="n">
        <v>29570.59</v>
      </c>
      <c r="K77" s="133" t="n"/>
      <c r="L77" s="165" t="n">
        <v>321418.76</v>
      </c>
      <c r="M77" s="133" t="n"/>
      <c r="N77" s="166" t="n">
        <v>29570.59</v>
      </c>
      <c r="O77" s="133" t="n"/>
      <c r="P77" s="167" t="inlineStr">
        <is>
          <t>✓ Under</t>
        </is>
      </c>
      <c r="Q77" s="133" t="n"/>
      <c r="R77" s="133" t="n"/>
      <c r="S77" s="133" t="n"/>
      <c r="T77" s="133" t="n"/>
      <c r="U77" s="133" t="n"/>
    </row>
    <row r="78" ht="16" customHeight="1">
      <c r="A78" s="133" t="n"/>
      <c r="B78" s="154" t="inlineStr">
        <is>
          <t>0-4004-13</t>
        </is>
      </c>
      <c r="C78" s="155" t="inlineStr">
        <is>
          <t>0-4004-13 CenterPoint's Breaker</t>
        </is>
      </c>
      <c r="H78" s="156" t="n">
        <v>300000</v>
      </c>
      <c r="I78" s="130" t="n"/>
      <c r="J78" s="157" t="n">
        <v>333000</v>
      </c>
      <c r="K78" s="130" t="n"/>
      <c r="L78" s="158" t="n">
        <v>-33000</v>
      </c>
      <c r="M78" s="130" t="n"/>
      <c r="N78" s="159" t="n">
        <v>0</v>
      </c>
      <c r="O78" s="130" t="n"/>
      <c r="P78" s="160" t="inlineStr">
        <is>
          <t>▲ Over</t>
        </is>
      </c>
      <c r="Q78" s="130" t="n"/>
      <c r="R78" s="133" t="n"/>
      <c r="S78" s="133" t="n"/>
      <c r="T78" s="133" t="n"/>
      <c r="U78" s="133" t="n"/>
    </row>
    <row r="79" ht="16" customHeight="1">
      <c r="A79" s="133" t="n"/>
      <c r="B79" s="161" t="inlineStr">
        <is>
          <t>0-4510</t>
        </is>
      </c>
      <c r="C79" s="162" t="inlineStr">
        <is>
          <t>0-4510-AC-MV Cable Pull</t>
        </is>
      </c>
      <c r="H79" s="163" t="n">
        <v>244130.56</v>
      </c>
      <c r="I79" s="133" t="n"/>
      <c r="J79" s="164" t="n">
        <v>174130.56</v>
      </c>
      <c r="K79" s="133" t="n"/>
      <c r="L79" s="165" t="n">
        <v>70000</v>
      </c>
      <c r="M79" s="133" t="n"/>
      <c r="N79" s="166" t="n">
        <v>274.5</v>
      </c>
      <c r="O79" s="133" t="n"/>
      <c r="P79" s="167" t="inlineStr">
        <is>
          <t>✓ Under</t>
        </is>
      </c>
      <c r="Q79" s="133" t="n"/>
      <c r="R79" s="133" t="n"/>
      <c r="S79" s="133" t="n"/>
      <c r="T79" s="133" t="n"/>
      <c r="U79" s="133" t="n"/>
    </row>
    <row r="80" ht="16" customHeight="1">
      <c r="A80" s="133" t="n"/>
      <c r="B80" s="154" t="inlineStr">
        <is>
          <t>0-4103</t>
        </is>
      </c>
      <c r="C80" s="155" t="inlineStr">
        <is>
          <t>0-4103-Drainage</t>
        </is>
      </c>
      <c r="H80" s="156" t="n">
        <v>233266.3</v>
      </c>
      <c r="I80" s="130" t="n"/>
      <c r="J80" s="157" t="n">
        <v>0</v>
      </c>
      <c r="K80" s="130" t="n"/>
      <c r="L80" s="168" t="n">
        <v>233266.3</v>
      </c>
      <c r="M80" s="130" t="n"/>
      <c r="N80" s="159" t="n">
        <v>0</v>
      </c>
      <c r="O80" s="130" t="n"/>
      <c r="P80" s="169" t="inlineStr">
        <is>
          <t>✓ Under</t>
        </is>
      </c>
      <c r="Q80" s="130" t="n"/>
      <c r="R80" s="133" t="n"/>
      <c r="S80" s="133" t="n"/>
      <c r="T80" s="133" t="n"/>
      <c r="U80" s="133" t="n"/>
    </row>
    <row r="81" ht="16" customHeight="1">
      <c r="A81" s="133" t="n"/>
      <c r="B81" s="161" t="inlineStr">
        <is>
          <t>0-4512</t>
        </is>
      </c>
      <c r="C81" s="162" t="inlineStr">
        <is>
          <t>0-4512-AC Testing</t>
        </is>
      </c>
      <c r="H81" s="163" t="n">
        <v>231000</v>
      </c>
      <c r="I81" s="133" t="n"/>
      <c r="J81" s="164" t="n">
        <v>0</v>
      </c>
      <c r="K81" s="133" t="n"/>
      <c r="L81" s="165" t="n">
        <v>231000</v>
      </c>
      <c r="M81" s="133" t="n"/>
      <c r="N81" s="166" t="n">
        <v>0</v>
      </c>
      <c r="O81" s="133" t="n"/>
      <c r="P81" s="167" t="inlineStr">
        <is>
          <t>✓ Under</t>
        </is>
      </c>
      <c r="Q81" s="133" t="n"/>
      <c r="R81" s="133" t="n"/>
      <c r="S81" s="133" t="n"/>
      <c r="T81" s="133" t="n"/>
      <c r="U81" s="133" t="n"/>
    </row>
    <row r="82" ht="16" customHeight="1">
      <c r="A82" s="133" t="n"/>
      <c r="B82" s="154" t="inlineStr">
        <is>
          <t>0-4001</t>
        </is>
      </c>
      <c r="C82" s="155" t="inlineStr">
        <is>
          <t>0-4001-Demobilization</t>
        </is>
      </c>
      <c r="H82" s="156" t="n">
        <v>222650.84</v>
      </c>
      <c r="I82" s="130" t="n"/>
      <c r="J82" s="157" t="n">
        <v>2350</v>
      </c>
      <c r="K82" s="130" t="n"/>
      <c r="L82" s="168" t="n">
        <v>220300.84</v>
      </c>
      <c r="M82" s="130" t="n"/>
      <c r="N82" s="159" t="n">
        <v>2350</v>
      </c>
      <c r="O82" s="130" t="n"/>
      <c r="P82" s="169" t="inlineStr">
        <is>
          <t>✓ Under</t>
        </is>
      </c>
      <c r="Q82" s="130" t="n"/>
      <c r="R82" s="133" t="n"/>
      <c r="S82" s="133" t="n"/>
      <c r="T82" s="133" t="n"/>
      <c r="U82" s="133" t="n"/>
    </row>
    <row r="83" ht="16" customHeight="1">
      <c r="A83" s="133" t="n"/>
      <c r="B83" s="161" t="inlineStr">
        <is>
          <t>0-4111</t>
        </is>
      </c>
      <c r="C83" s="162" t="inlineStr">
        <is>
          <t>0-4111-Compaction Testing</t>
        </is>
      </c>
      <c r="H83" s="163" t="n">
        <v>221784</v>
      </c>
      <c r="I83" s="133" t="n"/>
      <c r="J83" s="164" t="n">
        <v>55500</v>
      </c>
      <c r="K83" s="133" t="n"/>
      <c r="L83" s="165" t="n">
        <v>166284</v>
      </c>
      <c r="M83" s="133" t="n"/>
      <c r="N83" s="166" t="n">
        <v>0</v>
      </c>
      <c r="O83" s="133" t="n"/>
      <c r="P83" s="167" t="inlineStr">
        <is>
          <t>✓ Under</t>
        </is>
      </c>
      <c r="Q83" s="133" t="n"/>
      <c r="R83" s="133" t="n"/>
      <c r="S83" s="133" t="n"/>
      <c r="T83" s="133" t="n"/>
      <c r="U83" s="133" t="n"/>
    </row>
    <row r="84" ht="16" customHeight="1">
      <c r="A84" s="133" t="n"/>
      <c r="B84" s="154" t="inlineStr">
        <is>
          <t>0-4000</t>
        </is>
      </c>
      <c r="C84" s="155" t="inlineStr">
        <is>
          <t>0-4000-Mobilization</t>
        </is>
      </c>
      <c r="H84" s="156" t="n">
        <v>216913.73</v>
      </c>
      <c r="I84" s="130" t="n"/>
      <c r="J84" s="157" t="n">
        <v>38865</v>
      </c>
      <c r="K84" s="130" t="n"/>
      <c r="L84" s="168" t="n">
        <v>178048.73</v>
      </c>
      <c r="M84" s="130" t="n"/>
      <c r="N84" s="159" t="n">
        <v>38865</v>
      </c>
      <c r="O84" s="130" t="n"/>
      <c r="P84" s="169" t="inlineStr">
        <is>
          <t>✓ Under</t>
        </is>
      </c>
      <c r="Q84" s="130" t="n"/>
      <c r="R84" s="133" t="n"/>
      <c r="S84" s="133" t="n"/>
      <c r="T84" s="133" t="n"/>
      <c r="U84" s="133" t="n"/>
    </row>
    <row r="85" ht="16" customHeight="1">
      <c r="A85" s="133" t="n"/>
      <c r="B85" s="161" t="inlineStr">
        <is>
          <t>0-4705</t>
        </is>
      </c>
      <c r="C85" s="162" t="inlineStr">
        <is>
          <t>0-4705-Inverter Pads</t>
        </is>
      </c>
      <c r="H85" s="163" t="n">
        <v>186821.46</v>
      </c>
      <c r="I85" s="133" t="n"/>
      <c r="J85" s="164" t="n">
        <v>0</v>
      </c>
      <c r="K85" s="133" t="n"/>
      <c r="L85" s="165" t="n">
        <v>186821.46</v>
      </c>
      <c r="M85" s="133" t="n"/>
      <c r="N85" s="166" t="n">
        <v>0</v>
      </c>
      <c r="O85" s="133" t="n"/>
      <c r="P85" s="167" t="inlineStr">
        <is>
          <t>✓ Under</t>
        </is>
      </c>
      <c r="Q85" s="133" t="n"/>
      <c r="R85" s="133" t="n"/>
      <c r="S85" s="133" t="n"/>
      <c r="T85" s="133" t="n"/>
      <c r="U85" s="133" t="n"/>
    </row>
    <row r="86" ht="16" customHeight="1">
      <c r="A86" s="133" t="n"/>
      <c r="B86" s="154" t="inlineStr">
        <is>
          <t>0-4128</t>
        </is>
      </c>
      <c r="C86" s="155" t="inlineStr">
        <is>
          <t>0-4128-Basin Installation</t>
        </is>
      </c>
      <c r="H86" s="156" t="n">
        <v>154560.43</v>
      </c>
      <c r="I86" s="130" t="n"/>
      <c r="J86" s="157" t="n">
        <v>0</v>
      </c>
      <c r="K86" s="130" t="n"/>
      <c r="L86" s="168" t="n">
        <v>154560.43</v>
      </c>
      <c r="M86" s="130" t="n"/>
      <c r="N86" s="159" t="n">
        <v>0</v>
      </c>
      <c r="O86" s="130" t="n"/>
      <c r="P86" s="169" t="inlineStr">
        <is>
          <t>✓ Under</t>
        </is>
      </c>
      <c r="Q86" s="130" t="n"/>
      <c r="R86" s="133" t="n"/>
      <c r="S86" s="133" t="n"/>
      <c r="T86" s="133" t="n"/>
      <c r="U86" s="133" t="n"/>
    </row>
    <row r="87" ht="16" customHeight="1">
      <c r="A87" s="133" t="n"/>
      <c r="B87" s="161" t="inlineStr">
        <is>
          <t>0-4508</t>
        </is>
      </c>
      <c r="C87" s="162" t="inlineStr">
        <is>
          <t>0-4508-AC-MV Trenching &amp; BackFill</t>
        </is>
      </c>
      <c r="H87" s="163" t="n">
        <v>150000</v>
      </c>
      <c r="I87" s="133" t="n"/>
      <c r="J87" s="164" t="n">
        <v>0</v>
      </c>
      <c r="K87" s="133" t="n"/>
      <c r="L87" s="165" t="n">
        <v>150000</v>
      </c>
      <c r="M87" s="133" t="n"/>
      <c r="N87" s="166" t="n">
        <v>0</v>
      </c>
      <c r="O87" s="133" t="n"/>
      <c r="P87" s="167" t="inlineStr">
        <is>
          <t>✓ Under</t>
        </is>
      </c>
      <c r="Q87" s="133" t="n"/>
      <c r="R87" s="133" t="n"/>
      <c r="S87" s="133" t="n"/>
      <c r="T87" s="133" t="n"/>
      <c r="U87" s="133" t="n"/>
    </row>
    <row r="88" ht="16" customHeight="1">
      <c r="A88" s="133" t="n"/>
      <c r="B88" s="154" t="inlineStr">
        <is>
          <t>0-4500</t>
        </is>
      </c>
      <c r="C88" s="155" t="inlineStr">
        <is>
          <t>0-4500-AC-MV Plowing</t>
        </is>
      </c>
      <c r="H88" s="156" t="n">
        <v>147627.24</v>
      </c>
      <c r="I88" s="130" t="n"/>
      <c r="J88" s="157" t="n">
        <v>0</v>
      </c>
      <c r="K88" s="130" t="n"/>
      <c r="L88" s="168" t="n">
        <v>147627.24</v>
      </c>
      <c r="M88" s="130" t="n"/>
      <c r="N88" s="159" t="n">
        <v>0</v>
      </c>
      <c r="O88" s="130" t="n"/>
      <c r="P88" s="169" t="inlineStr">
        <is>
          <t>✓ Under</t>
        </is>
      </c>
      <c r="Q88" s="130" t="n"/>
      <c r="R88" s="133" t="n"/>
      <c r="S88" s="133" t="n"/>
      <c r="T88" s="133" t="n"/>
      <c r="U88" s="133" t="n"/>
    </row>
    <row r="89" ht="16" customHeight="1">
      <c r="A89" s="133" t="n"/>
      <c r="B89" s="161" t="inlineStr">
        <is>
          <t>0-4100-01</t>
        </is>
      </c>
      <c r="C89" s="162" t="inlineStr">
        <is>
          <t>0-4100-01-Erosion Control</t>
        </is>
      </c>
      <c r="H89" s="163" t="n">
        <v>143017.58</v>
      </c>
      <c r="I89" s="133" t="n"/>
      <c r="J89" s="164" t="n">
        <v>124738.65</v>
      </c>
      <c r="K89" s="133" t="n"/>
      <c r="L89" s="165" t="n">
        <v>18278.93</v>
      </c>
      <c r="M89" s="133" t="n"/>
      <c r="N89" s="166" t="n">
        <v>24756.07</v>
      </c>
      <c r="O89" s="133" t="n"/>
      <c r="P89" s="167" t="inlineStr">
        <is>
          <t>✓ Under</t>
        </is>
      </c>
      <c r="Q89" s="133" t="n"/>
      <c r="R89" s="133" t="n"/>
      <c r="S89" s="133" t="n"/>
      <c r="T89" s="133" t="n"/>
      <c r="U89" s="133" t="n"/>
    </row>
    <row r="90" ht="16" customHeight="1">
      <c r="A90" s="133" t="n"/>
      <c r="B90" s="154" t="inlineStr">
        <is>
          <t>0-4113</t>
        </is>
      </c>
      <c r="C90" s="155" t="inlineStr">
        <is>
          <t>0-4113-Construction Entrance</t>
        </is>
      </c>
      <c r="H90" s="156" t="n">
        <v>114993.97</v>
      </c>
      <c r="I90" s="130" t="n"/>
      <c r="J90" s="157" t="n">
        <v>0</v>
      </c>
      <c r="K90" s="130" t="n"/>
      <c r="L90" s="168" t="n">
        <v>114993.97</v>
      </c>
      <c r="M90" s="130" t="n"/>
      <c r="N90" s="159" t="n">
        <v>0</v>
      </c>
      <c r="O90" s="130" t="n"/>
      <c r="P90" s="169" t="inlineStr">
        <is>
          <t>✓ Under</t>
        </is>
      </c>
      <c r="Q90" s="130" t="n"/>
      <c r="R90" s="133" t="n"/>
      <c r="S90" s="133" t="n"/>
      <c r="T90" s="133" t="n"/>
      <c r="U90" s="133" t="n"/>
    </row>
    <row r="91" ht="16" customHeight="1">
      <c r="A91" s="133" t="n"/>
      <c r="B91" s="161" t="inlineStr">
        <is>
          <t>0-4302</t>
        </is>
      </c>
      <c r="C91" s="162" t="inlineStr">
        <is>
          <t>0-4302-Pile Installs</t>
        </is>
      </c>
      <c r="H91" s="163" t="n">
        <v>114488.16</v>
      </c>
      <c r="I91" s="133" t="n"/>
      <c r="J91" s="164" t="n">
        <v>0</v>
      </c>
      <c r="K91" s="133" t="n"/>
      <c r="L91" s="165" t="n">
        <v>114488.16</v>
      </c>
      <c r="M91" s="133" t="n"/>
      <c r="N91" s="166" t="n">
        <v>0</v>
      </c>
      <c r="O91" s="133" t="n"/>
      <c r="P91" s="167" t="inlineStr">
        <is>
          <t>✓ Under</t>
        </is>
      </c>
      <c r="Q91" s="133" t="n"/>
      <c r="R91" s="133" t="n"/>
      <c r="S91" s="133" t="n"/>
      <c r="T91" s="133" t="n"/>
      <c r="U91" s="133" t="n"/>
    </row>
    <row r="92" ht="16" customHeight="1">
      <c r="A92" s="133" t="n"/>
      <c r="B92" s="154" t="inlineStr">
        <is>
          <t>0-4016</t>
        </is>
      </c>
      <c r="C92" s="155" t="inlineStr">
        <is>
          <t>0-4016-Permits</t>
        </is>
      </c>
      <c r="H92" s="156" t="n">
        <v>100000</v>
      </c>
      <c r="I92" s="130" t="n"/>
      <c r="J92" s="157" t="n">
        <v>63445.61</v>
      </c>
      <c r="K92" s="130" t="n"/>
      <c r="L92" s="168" t="n">
        <v>36554.39</v>
      </c>
      <c r="M92" s="130" t="n"/>
      <c r="N92" s="159" t="n">
        <v>20024.36</v>
      </c>
      <c r="O92" s="130" t="n"/>
      <c r="P92" s="169" t="inlineStr">
        <is>
          <t>✓ Under</t>
        </is>
      </c>
      <c r="Q92" s="130" t="n"/>
      <c r="R92" s="133" t="n"/>
      <c r="S92" s="133" t="n"/>
      <c r="T92" s="133" t="n"/>
      <c r="U92" s="133" t="n"/>
    </row>
    <row r="93" ht="16" customHeight="1">
      <c r="A93" s="133" t="n"/>
      <c r="B93" s="161" t="inlineStr">
        <is>
          <t>0-4123</t>
        </is>
      </c>
      <c r="C93" s="162" t="inlineStr">
        <is>
          <t>0-4123-Dust Control</t>
        </is>
      </c>
      <c r="H93" s="163" t="n">
        <v>95877.25</v>
      </c>
      <c r="I93" s="133" t="n"/>
      <c r="J93" s="164" t="n">
        <v>0</v>
      </c>
      <c r="K93" s="133" t="n"/>
      <c r="L93" s="165" t="n">
        <v>95877.25</v>
      </c>
      <c r="M93" s="133" t="n"/>
      <c r="N93" s="166" t="n">
        <v>0</v>
      </c>
      <c r="O93" s="133" t="n"/>
      <c r="P93" s="167" t="inlineStr">
        <is>
          <t>✓ Under</t>
        </is>
      </c>
      <c r="Q93" s="133" t="n"/>
      <c r="R93" s="133" t="n"/>
      <c r="S93" s="133" t="n"/>
      <c r="T93" s="133" t="n"/>
      <c r="U93" s="133" t="n"/>
    </row>
    <row r="94" ht="16" customHeight="1">
      <c r="A94" s="133" t="n"/>
      <c r="B94" s="154" t="inlineStr">
        <is>
          <t>0-4704</t>
        </is>
      </c>
      <c r="C94" s="155" t="inlineStr">
        <is>
          <t>0-4704-Inv Skid Setting</t>
        </is>
      </c>
      <c r="H94" s="156" t="n">
        <v>95200</v>
      </c>
      <c r="I94" s="130" t="n"/>
      <c r="J94" s="157" t="n">
        <v>0</v>
      </c>
      <c r="K94" s="130" t="n"/>
      <c r="L94" s="168" t="n">
        <v>95200</v>
      </c>
      <c r="M94" s="130" t="n"/>
      <c r="N94" s="159" t="n">
        <v>0</v>
      </c>
      <c r="O94" s="130" t="n"/>
      <c r="P94" s="169" t="inlineStr">
        <is>
          <t>✓ Under</t>
        </is>
      </c>
      <c r="Q94" s="130" t="n"/>
      <c r="R94" s="133" t="n"/>
      <c r="S94" s="133" t="n"/>
      <c r="T94" s="133" t="n"/>
      <c r="U94" s="133" t="n"/>
    </row>
    <row r="95" ht="16" customHeight="1">
      <c r="A95" s="133" t="n"/>
      <c r="B95" s="161" t="inlineStr">
        <is>
          <t>0-4110</t>
        </is>
      </c>
      <c r="C95" s="162" t="inlineStr">
        <is>
          <t>0-4110-Ditches</t>
        </is>
      </c>
      <c r="H95" s="163" t="n">
        <v>87171.7</v>
      </c>
      <c r="I95" s="133" t="n"/>
      <c r="J95" s="164" t="n">
        <v>0</v>
      </c>
      <c r="K95" s="133" t="n"/>
      <c r="L95" s="165" t="n">
        <v>87171.7</v>
      </c>
      <c r="M95" s="133" t="n"/>
      <c r="N95" s="166" t="n">
        <v>0</v>
      </c>
      <c r="O95" s="133" t="n"/>
      <c r="P95" s="167" t="inlineStr">
        <is>
          <t>✓ Under</t>
        </is>
      </c>
      <c r="Q95" s="133" t="n"/>
      <c r="R95" s="133" t="n"/>
      <c r="S95" s="133" t="n"/>
      <c r="T95" s="133" t="n"/>
      <c r="U95" s="133" t="n"/>
    </row>
    <row r="96" ht="16" customHeight="1">
      <c r="A96" s="133" t="n"/>
      <c r="B96" s="154" t="inlineStr">
        <is>
          <t>0-4110-01</t>
        </is>
      </c>
      <c r="C96" s="155" t="inlineStr">
        <is>
          <t>0-4110-01-Canal Bridge Repair</t>
        </is>
      </c>
      <c r="H96" s="156" t="n">
        <v>70000</v>
      </c>
      <c r="I96" s="130" t="n"/>
      <c r="J96" s="157" t="n">
        <v>0</v>
      </c>
      <c r="K96" s="130" t="n"/>
      <c r="L96" s="168" t="n">
        <v>70000</v>
      </c>
      <c r="M96" s="130" t="n"/>
      <c r="N96" s="159" t="n">
        <v>0</v>
      </c>
      <c r="O96" s="130" t="n"/>
      <c r="P96" s="169" t="inlineStr">
        <is>
          <t>✓ Under</t>
        </is>
      </c>
      <c r="Q96" s="130" t="n"/>
      <c r="R96" s="133" t="n"/>
      <c r="S96" s="133" t="n"/>
      <c r="T96" s="133" t="n"/>
      <c r="U96" s="133" t="n"/>
    </row>
    <row r="97" ht="16" customHeight="1">
      <c r="A97" s="133" t="n"/>
      <c r="B97" s="161" t="inlineStr">
        <is>
          <t>0-4000-01</t>
        </is>
      </c>
      <c r="C97" s="162" t="inlineStr">
        <is>
          <t>0-4000-01-Mobilization</t>
        </is>
      </c>
      <c r="H97" s="163" t="n">
        <v>66371.17999999999</v>
      </c>
      <c r="I97" s="133" t="n"/>
      <c r="J97" s="164" t="n">
        <v>0</v>
      </c>
      <c r="K97" s="133" t="n"/>
      <c r="L97" s="165" t="n">
        <v>66371.17999999999</v>
      </c>
      <c r="M97" s="133" t="n"/>
      <c r="N97" s="166" t="n">
        <v>0</v>
      </c>
      <c r="O97" s="133" t="n"/>
      <c r="P97" s="167" t="inlineStr">
        <is>
          <t>✓ Under</t>
        </is>
      </c>
      <c r="Q97" s="133" t="n"/>
      <c r="R97" s="133" t="n"/>
      <c r="S97" s="133" t="n"/>
      <c r="T97" s="133" t="n"/>
      <c r="U97" s="133" t="n"/>
    </row>
    <row r="98" ht="16" customHeight="1">
      <c r="A98" s="133" t="n"/>
      <c r="B98" s="154" t="inlineStr">
        <is>
          <t>0-4001-01</t>
        </is>
      </c>
      <c r="C98" s="155" t="inlineStr">
        <is>
          <t>0-4001-01-Demobilization</t>
        </is>
      </c>
      <c r="H98" s="156" t="n">
        <v>60400</v>
      </c>
      <c r="I98" s="130" t="n"/>
      <c r="J98" s="157" t="n">
        <v>0</v>
      </c>
      <c r="K98" s="130" t="n"/>
      <c r="L98" s="168" t="n">
        <v>60400</v>
      </c>
      <c r="M98" s="130" t="n"/>
      <c r="N98" s="159" t="n">
        <v>0</v>
      </c>
      <c r="O98" s="130" t="n"/>
      <c r="P98" s="169" t="inlineStr">
        <is>
          <t>✓ Under</t>
        </is>
      </c>
      <c r="Q98" s="130" t="n"/>
      <c r="R98" s="133" t="n"/>
      <c r="S98" s="133" t="n"/>
      <c r="T98" s="133" t="n"/>
      <c r="U98" s="133" t="n"/>
    </row>
    <row r="99" ht="16" customHeight="1">
      <c r="A99" s="133" t="n"/>
      <c r="B99" s="161" t="inlineStr">
        <is>
          <t>0-4413</t>
        </is>
      </c>
      <c r="C99" s="162" t="inlineStr">
        <is>
          <t>0-4413-DC Testing</t>
        </is>
      </c>
      <c r="H99" s="163" t="n">
        <v>59537.5</v>
      </c>
      <c r="I99" s="133" t="n"/>
      <c r="J99" s="164" t="n">
        <v>0</v>
      </c>
      <c r="K99" s="133" t="n"/>
      <c r="L99" s="165" t="n">
        <v>59537.5</v>
      </c>
      <c r="M99" s="133" t="n"/>
      <c r="N99" s="166" t="n">
        <v>0</v>
      </c>
      <c r="O99" s="133" t="n"/>
      <c r="P99" s="167" t="inlineStr">
        <is>
          <t>✓ Under</t>
        </is>
      </c>
      <c r="Q99" s="133" t="n"/>
      <c r="R99" s="133" t="n"/>
      <c r="S99" s="133" t="n"/>
      <c r="T99" s="133" t="n"/>
      <c r="U99" s="133" t="n"/>
    </row>
    <row r="100" ht="16" customHeight="1">
      <c r="B100" s="154" t="inlineStr">
        <is>
          <t>0-4702</t>
        </is>
      </c>
      <c r="C100" s="155" t="inlineStr">
        <is>
          <t>0-4702-Inv Skid Backfill</t>
        </is>
      </c>
      <c r="H100" s="156" t="n">
        <v>59537.5</v>
      </c>
      <c r="I100" s="130" t="n"/>
      <c r="J100" s="157" t="n">
        <v>0</v>
      </c>
      <c r="K100" s="130" t="n"/>
      <c r="L100" s="168" t="n">
        <v>59537.5</v>
      </c>
      <c r="M100" s="130" t="n"/>
      <c r="N100" s="159" t="n">
        <v>0</v>
      </c>
      <c r="O100" s="130" t="n"/>
      <c r="P100" s="169" t="inlineStr">
        <is>
          <t>✓ Under</t>
        </is>
      </c>
      <c r="Q100" s="130" t="n"/>
    </row>
    <row r="101" ht="16" customHeight="1">
      <c r="B101" s="161" t="inlineStr">
        <is>
          <t>0-4100</t>
        </is>
      </c>
      <c r="C101" s="162" t="inlineStr">
        <is>
          <t>0-4100-Silt Fence</t>
        </is>
      </c>
      <c r="H101" s="163" t="n">
        <v>56956.07</v>
      </c>
      <c r="I101" s="133" t="n"/>
      <c r="J101" s="164" t="n">
        <v>48956.07</v>
      </c>
      <c r="K101" s="133" t="n"/>
      <c r="L101" s="165" t="n">
        <v>8000</v>
      </c>
      <c r="M101" s="133" t="n"/>
      <c r="N101" s="166" t="n">
        <v>48956.07</v>
      </c>
      <c r="O101" s="133" t="n"/>
      <c r="P101" s="167" t="inlineStr">
        <is>
          <t>✓ Under</t>
        </is>
      </c>
      <c r="Q101" s="133" t="n"/>
    </row>
    <row r="102" ht="16" customHeight="1">
      <c r="B102" s="154" t="inlineStr">
        <is>
          <t>0-4116</t>
        </is>
      </c>
      <c r="C102" s="155" t="inlineStr">
        <is>
          <t>0-4116-Bush Hog</t>
        </is>
      </c>
      <c r="H102" s="156" t="n">
        <v>53177.5</v>
      </c>
      <c r="I102" s="130" t="n"/>
      <c r="J102" s="157" t="n">
        <v>0</v>
      </c>
      <c r="K102" s="130" t="n"/>
      <c r="L102" s="168" t="n">
        <v>53177.5</v>
      </c>
      <c r="M102" s="130" t="n"/>
      <c r="N102" s="159" t="n">
        <v>0</v>
      </c>
      <c r="O102" s="130" t="n"/>
      <c r="P102" s="169" t="inlineStr">
        <is>
          <t>✓ Under</t>
        </is>
      </c>
      <c r="Q102" s="130" t="n"/>
    </row>
    <row r="103" ht="16" customHeight="1">
      <c r="B103" s="161" t="inlineStr">
        <is>
          <t>0-4018</t>
        </is>
      </c>
      <c r="C103" s="162" t="inlineStr">
        <is>
          <t>0-4018 Travel</t>
        </is>
      </c>
      <c r="H103" s="163" t="n">
        <v>50000</v>
      </c>
      <c r="I103" s="133" t="n"/>
      <c r="J103" s="164" t="n">
        <v>36745.18</v>
      </c>
      <c r="K103" s="133" t="n"/>
      <c r="L103" s="165" t="n">
        <v>13254.82</v>
      </c>
      <c r="M103" s="133" t="n"/>
      <c r="N103" s="166" t="n">
        <v>36745.18</v>
      </c>
      <c r="O103" s="133" t="n"/>
      <c r="P103" s="167" t="inlineStr">
        <is>
          <t>✓ Under</t>
        </is>
      </c>
      <c r="Q103" s="133" t="n"/>
    </row>
    <row r="104" ht="16" customHeight="1">
      <c r="B104" s="154" t="inlineStr">
        <is>
          <t>0-4614</t>
        </is>
      </c>
      <c r="C104" s="155" t="inlineStr">
        <is>
          <t>0-4614 SCADA MET Install</t>
        </is>
      </c>
      <c r="H104" s="156" t="n">
        <v>42860.7</v>
      </c>
      <c r="I104" s="130" t="n"/>
      <c r="J104" s="157" t="n">
        <v>0</v>
      </c>
      <c r="K104" s="130" t="n"/>
      <c r="L104" s="168" t="n">
        <v>42860.7</v>
      </c>
      <c r="M104" s="130" t="n"/>
      <c r="N104" s="159" t="n">
        <v>0</v>
      </c>
      <c r="O104" s="130" t="n"/>
      <c r="P104" s="169" t="inlineStr">
        <is>
          <t>✓ Under</t>
        </is>
      </c>
      <c r="Q104" s="130" t="n"/>
    </row>
    <row r="105" ht="16" customHeight="1">
      <c r="B105" s="161" t="inlineStr">
        <is>
          <t>0-4400</t>
        </is>
      </c>
      <c r="C105" s="162" t="inlineStr">
        <is>
          <t>0-4400-Electrical Receiving</t>
        </is>
      </c>
      <c r="H105" s="163" t="n">
        <v>32864.51</v>
      </c>
      <c r="I105" s="133" t="n"/>
      <c r="J105" s="164" t="n">
        <v>0</v>
      </c>
      <c r="K105" s="133" t="n"/>
      <c r="L105" s="165" t="n">
        <v>32864.51</v>
      </c>
      <c r="M105" s="133" t="n"/>
      <c r="N105" s="166" t="n">
        <v>0</v>
      </c>
      <c r="O105" s="133" t="n"/>
      <c r="P105" s="167" t="inlineStr">
        <is>
          <t>✓ Under</t>
        </is>
      </c>
      <c r="Q105" s="133" t="n"/>
    </row>
    <row r="106" ht="16" customHeight="1">
      <c r="B106" s="154" t="inlineStr">
        <is>
          <t>0-4017</t>
        </is>
      </c>
      <c r="C106" s="155" t="inlineStr">
        <is>
          <t>0-4017-Utility Locate</t>
        </is>
      </c>
      <c r="H106" s="156" t="n">
        <v>25000</v>
      </c>
      <c r="I106" s="130" t="n"/>
      <c r="J106" s="157" t="n">
        <v>22178.41</v>
      </c>
      <c r="K106" s="130" t="n"/>
      <c r="L106" s="168" t="n">
        <v>2821.59</v>
      </c>
      <c r="M106" s="130" t="n"/>
      <c r="N106" s="159" t="n">
        <v>849.86</v>
      </c>
      <c r="O106" s="130" t="n"/>
      <c r="P106" s="169" t="inlineStr">
        <is>
          <t>✓ Under</t>
        </is>
      </c>
      <c r="Q106" s="130" t="n"/>
    </row>
    <row r="107" ht="16" customHeight="1">
      <c r="B107" s="161" t="inlineStr">
        <is>
          <t>0-4005</t>
        </is>
      </c>
      <c r="C107" s="162" t="inlineStr">
        <is>
          <t>0-4005-FOE</t>
        </is>
      </c>
      <c r="H107" s="163" t="n">
        <v>23868.88</v>
      </c>
      <c r="I107" s="133" t="n"/>
      <c r="J107" s="164" t="n">
        <v>20433.51</v>
      </c>
      <c r="K107" s="133" t="n"/>
      <c r="L107" s="165" t="n">
        <v>3435.37</v>
      </c>
      <c r="M107" s="133" t="n"/>
      <c r="N107" s="166" t="n">
        <v>20433.51</v>
      </c>
      <c r="O107" s="133" t="n"/>
      <c r="P107" s="167" t="inlineStr">
        <is>
          <t>✓ Under</t>
        </is>
      </c>
      <c r="Q107" s="133" t="n"/>
    </row>
    <row r="108" ht="16" customHeight="1">
      <c r="B108" s="154" t="inlineStr">
        <is>
          <t>0-4015-01</t>
        </is>
      </c>
      <c r="C108" s="155" t="inlineStr">
        <is>
          <t>0-4015-01-Survey</t>
        </is>
      </c>
      <c r="H108" s="156" t="n">
        <v>16365.19</v>
      </c>
      <c r="I108" s="130" t="n"/>
      <c r="J108" s="157" t="n">
        <v>1196.88</v>
      </c>
      <c r="K108" s="130" t="n"/>
      <c r="L108" s="168" t="n">
        <v>15168.31</v>
      </c>
      <c r="M108" s="130" t="n"/>
      <c r="N108" s="159" t="n">
        <v>1196.88</v>
      </c>
      <c r="O108" s="130" t="n"/>
      <c r="P108" s="169" t="inlineStr">
        <is>
          <t>✓ Under</t>
        </is>
      </c>
      <c r="Q108" s="130" t="n"/>
    </row>
    <row r="109" ht="16" customHeight="1">
      <c r="B109" s="161" t="inlineStr">
        <is>
          <t>0-4125</t>
        </is>
      </c>
      <c r="C109" s="162" t="inlineStr">
        <is>
          <t>0-4125-SWPPP Maintenance</t>
        </is>
      </c>
      <c r="H109" s="163" t="n">
        <v>13345.35</v>
      </c>
      <c r="I109" s="133" t="n"/>
      <c r="J109" s="164" t="n">
        <v>0</v>
      </c>
      <c r="K109" s="133" t="n"/>
      <c r="L109" s="165" t="n">
        <v>13345.35</v>
      </c>
      <c r="M109" s="133" t="n"/>
      <c r="N109" s="166" t="n">
        <v>0</v>
      </c>
      <c r="O109" s="133" t="n"/>
      <c r="P109" s="167" t="inlineStr">
        <is>
          <t>✓ Under</t>
        </is>
      </c>
      <c r="Q109" s="133" t="n"/>
    </row>
    <row r="110" ht="16" customHeight="1">
      <c r="B110" s="154" t="inlineStr">
        <is>
          <t>0-4027</t>
        </is>
      </c>
      <c r="C110" s="155" t="inlineStr">
        <is>
          <t>0-4027 Early Work</t>
        </is>
      </c>
      <c r="H110" s="156" t="n">
        <v>9210.870000000001</v>
      </c>
      <c r="I110" s="130" t="n"/>
      <c r="J110" s="157" t="n">
        <v>9210.870000000001</v>
      </c>
      <c r="K110" s="130" t="n"/>
      <c r="L110" s="168" t="n">
        <v>0</v>
      </c>
      <c r="M110" s="130" t="n"/>
      <c r="N110" s="159" t="n">
        <v>8020.360000000001</v>
      </c>
      <c r="O110" s="130" t="n"/>
      <c r="P110" s="169" t="inlineStr">
        <is>
          <t>✓ Under</t>
        </is>
      </c>
      <c r="Q110" s="130" t="n"/>
    </row>
    <row r="111" ht="16" customHeight="1">
      <c r="B111" s="161" t="inlineStr">
        <is>
          <t>0-4703</t>
        </is>
      </c>
      <c r="C111" s="162" t="inlineStr">
        <is>
          <t>0-4703-Inv Pile Caps</t>
        </is>
      </c>
      <c r="H111" s="163" t="n">
        <v>8182.95</v>
      </c>
      <c r="I111" s="133" t="n"/>
      <c r="J111" s="164" t="n">
        <v>0</v>
      </c>
      <c r="K111" s="133" t="n"/>
      <c r="L111" s="165" t="n">
        <v>8182.95</v>
      </c>
      <c r="M111" s="133" t="n"/>
      <c r="N111" s="166" t="n">
        <v>0</v>
      </c>
      <c r="O111" s="133" t="n"/>
      <c r="P111" s="167" t="inlineStr">
        <is>
          <t>✓ Under</t>
        </is>
      </c>
      <c r="Q111" s="133" t="n"/>
    </row>
    <row r="112" ht="16" customHeight="1">
      <c r="B112" s="154" t="inlineStr">
        <is>
          <t>0-4520</t>
        </is>
      </c>
      <c r="C112" s="155" t="inlineStr">
        <is>
          <t>0-4520-Electrical MV Punch List</t>
        </is>
      </c>
      <c r="H112" s="156" t="n">
        <v>8004.85</v>
      </c>
      <c r="I112" s="130" t="n"/>
      <c r="J112" s="157" t="n">
        <v>0</v>
      </c>
      <c r="K112" s="130" t="n"/>
      <c r="L112" s="168" t="n">
        <v>8004.85</v>
      </c>
      <c r="M112" s="130" t="n"/>
      <c r="N112" s="159" t="n">
        <v>0</v>
      </c>
      <c r="O112" s="130" t="n"/>
      <c r="P112" s="169" t="inlineStr">
        <is>
          <t>✓ Under</t>
        </is>
      </c>
      <c r="Q112" s="130" t="n"/>
    </row>
    <row r="113" ht="16" customHeight="1">
      <c r="B113" s="161" t="inlineStr">
        <is>
          <t>0-4005-01</t>
        </is>
      </c>
      <c r="C113" s="162" t="inlineStr">
        <is>
          <t>0-4005-01-Civil FOE</t>
        </is>
      </c>
      <c r="H113" s="163" t="n">
        <v>7988.36</v>
      </c>
      <c r="I113" s="133" t="n"/>
      <c r="J113" s="164" t="n">
        <v>0</v>
      </c>
      <c r="K113" s="133" t="n"/>
      <c r="L113" s="165" t="n">
        <v>7988.36</v>
      </c>
      <c r="M113" s="133" t="n"/>
      <c r="N113" s="166" t="n">
        <v>0</v>
      </c>
      <c r="O113" s="133" t="n"/>
      <c r="P113" s="167" t="inlineStr">
        <is>
          <t>✓ Under</t>
        </is>
      </c>
      <c r="Q113" s="133" t="n"/>
    </row>
    <row r="114" ht="16" customHeight="1">
      <c r="B114" s="154" t="inlineStr">
        <is>
          <t>0-4102</t>
        </is>
      </c>
      <c r="C114" s="155" t="inlineStr">
        <is>
          <t>0-4102-Cut&amp;Fill</t>
        </is>
      </c>
      <c r="H114" s="156" t="n">
        <v>7477.79</v>
      </c>
      <c r="I114" s="130" t="n"/>
      <c r="J114" s="157" t="n">
        <v>0</v>
      </c>
      <c r="K114" s="130" t="n"/>
      <c r="L114" s="168" t="n">
        <v>7477.79</v>
      </c>
      <c r="M114" s="130" t="n"/>
      <c r="N114" s="159" t="n">
        <v>0</v>
      </c>
      <c r="O114" s="130" t="n"/>
      <c r="P114" s="169" t="inlineStr">
        <is>
          <t>✓ Under</t>
        </is>
      </c>
      <c r="Q114" s="130" t="n"/>
    </row>
    <row r="115" ht="16" customHeight="1">
      <c r="B115" s="161" t="inlineStr">
        <is>
          <t>0-4999</t>
        </is>
      </c>
      <c r="C115" s="162" t="inlineStr">
        <is>
          <t>0-4999 Job Abuse</t>
        </is>
      </c>
      <c r="H115" s="163" t="n">
        <v>4314.49</v>
      </c>
      <c r="I115" s="133" t="n"/>
      <c r="J115" s="164" t="n">
        <v>1035.85</v>
      </c>
      <c r="K115" s="133" t="n"/>
      <c r="L115" s="165" t="n">
        <v>3278.64</v>
      </c>
      <c r="M115" s="133" t="n"/>
      <c r="N115" s="166" t="n">
        <v>1035.85</v>
      </c>
      <c r="O115" s="133" t="n"/>
      <c r="P115" s="167" t="inlineStr">
        <is>
          <t>✓ Under</t>
        </is>
      </c>
      <c r="Q115" s="133" t="n"/>
    </row>
    <row r="116" ht="16" customHeight="1">
      <c r="B116" s="154" t="inlineStr">
        <is>
          <t>0-4414</t>
        </is>
      </c>
      <c r="C116" s="155" t="inlineStr">
        <is>
          <t>0-4414- Commisioning</t>
        </is>
      </c>
      <c r="H116" s="156" t="n">
        <v>3621.99</v>
      </c>
      <c r="I116" s="130" t="n"/>
      <c r="J116" s="157" t="n">
        <v>0</v>
      </c>
      <c r="K116" s="130" t="n"/>
      <c r="L116" s="168" t="n">
        <v>3621.99</v>
      </c>
      <c r="M116" s="130" t="n"/>
      <c r="N116" s="159" t="n">
        <v>0</v>
      </c>
      <c r="O116" s="130" t="n"/>
      <c r="P116" s="169" t="inlineStr">
        <is>
          <t>✓ Under</t>
        </is>
      </c>
      <c r="Q116" s="130" t="n"/>
    </row>
    <row r="117" ht="16" customHeight="1">
      <c r="B117" s="161" t="inlineStr">
        <is>
          <t>0-4701</t>
        </is>
      </c>
      <c r="C117" s="162" t="inlineStr">
        <is>
          <t>0-4701-Inv Skid Conduit</t>
        </is>
      </c>
      <c r="H117" s="163" t="n">
        <v>3096.41</v>
      </c>
      <c r="I117" s="133" t="n"/>
      <c r="J117" s="164" t="n">
        <v>0</v>
      </c>
      <c r="K117" s="133" t="n"/>
      <c r="L117" s="165" t="n">
        <v>3096.41</v>
      </c>
      <c r="M117" s="133" t="n"/>
      <c r="N117" s="166" t="n">
        <v>0</v>
      </c>
      <c r="O117" s="133" t="n"/>
      <c r="P117" s="167" t="inlineStr">
        <is>
          <t>✓ Under</t>
        </is>
      </c>
      <c r="Q117" s="133" t="n"/>
    </row>
    <row r="118" ht="16" customHeight="1">
      <c r="B118" s="154" t="inlineStr">
        <is>
          <t>0-4503</t>
        </is>
      </c>
      <c r="C118" s="155" t="inlineStr">
        <is>
          <t>0-4503-AC-MV Cable Tie-ins</t>
        </is>
      </c>
      <c r="H118" s="156" t="n">
        <v>2877.54</v>
      </c>
      <c r="I118" s="130" t="n"/>
      <c r="J118" s="157" t="n">
        <v>0</v>
      </c>
      <c r="K118" s="130" t="n"/>
      <c r="L118" s="168" t="n">
        <v>2877.54</v>
      </c>
      <c r="M118" s="130" t="n"/>
      <c r="N118" s="159" t="n">
        <v>0</v>
      </c>
      <c r="O118" s="130" t="n"/>
      <c r="P118" s="169" t="inlineStr">
        <is>
          <t>✓ Under</t>
        </is>
      </c>
      <c r="Q118" s="130" t="n"/>
    </row>
    <row r="119" ht="16" customHeight="1">
      <c r="B119" s="161" t="inlineStr">
        <is>
          <t>0-4104</t>
        </is>
      </c>
      <c r="C119" s="162" t="inlineStr">
        <is>
          <t>0-4104-Grading</t>
        </is>
      </c>
      <c r="H119" s="163" t="n">
        <v>2165</v>
      </c>
      <c r="I119" s="133" t="n"/>
      <c r="J119" s="164" t="n">
        <v>0</v>
      </c>
      <c r="K119" s="133" t="n"/>
      <c r="L119" s="165" t="n">
        <v>2165</v>
      </c>
      <c r="M119" s="133" t="n"/>
      <c r="N119" s="166" t="n">
        <v>0</v>
      </c>
      <c r="O119" s="133" t="n"/>
      <c r="P119" s="167" t="inlineStr">
        <is>
          <t>✓ Under</t>
        </is>
      </c>
      <c r="Q119" s="133" t="n"/>
    </row>
    <row r="120" ht="16" customHeight="1">
      <c r="B120" s="154" t="inlineStr">
        <is>
          <t>0-4031</t>
        </is>
      </c>
      <c r="C120" s="155" t="inlineStr">
        <is>
          <t>0-4031-Hire-In and Orientation</t>
        </is>
      </c>
      <c r="H120" s="156" t="n">
        <v>2093.75</v>
      </c>
      <c r="I120" s="130" t="n"/>
      <c r="J120" s="157" t="n">
        <v>1549.5</v>
      </c>
      <c r="K120" s="130" t="n"/>
      <c r="L120" s="168" t="n">
        <v>544.25</v>
      </c>
      <c r="M120" s="130" t="n"/>
      <c r="N120" s="159" t="n">
        <v>1549.5</v>
      </c>
      <c r="O120" s="130" t="n"/>
      <c r="P120" s="169" t="inlineStr">
        <is>
          <t>✓ Under</t>
        </is>
      </c>
      <c r="Q120" s="130" t="n"/>
    </row>
    <row r="121" ht="16" customHeight="1">
      <c r="B121" s="161" t="inlineStr">
        <is>
          <t>0-4115-01</t>
        </is>
      </c>
      <c r="C121" s="162" t="inlineStr">
        <is>
          <t>0-4115-01-Clean Up</t>
        </is>
      </c>
      <c r="H121" s="163" t="n">
        <v>1200</v>
      </c>
      <c r="I121" s="133" t="n"/>
      <c r="J121" s="164" t="n">
        <v>0</v>
      </c>
      <c r="K121" s="133" t="n"/>
      <c r="L121" s="165" t="n">
        <v>1200</v>
      </c>
      <c r="M121" s="133" t="n"/>
      <c r="N121" s="166" t="n">
        <v>0</v>
      </c>
      <c r="O121" s="133" t="n"/>
      <c r="P121" s="167" t="inlineStr">
        <is>
          <t>✓ Under</t>
        </is>
      </c>
      <c r="Q121" s="133" t="n"/>
    </row>
    <row r="122" ht="16" customHeight="1">
      <c r="B122" s="154" t="inlineStr">
        <is>
          <t>0-4418</t>
        </is>
      </c>
      <c r="C122" s="155" t="inlineStr">
        <is>
          <t>0-4418 - Electrical QAQC</t>
        </is>
      </c>
      <c r="H122" s="156" t="n">
        <v>108.61</v>
      </c>
      <c r="I122" s="130" t="n"/>
      <c r="J122" s="157" t="n">
        <v>0</v>
      </c>
      <c r="K122" s="130" t="n"/>
      <c r="L122" s="168" t="n">
        <v>108.61</v>
      </c>
      <c r="M122" s="130" t="n"/>
      <c r="N122" s="159" t="n">
        <v>0</v>
      </c>
      <c r="O122" s="130" t="n"/>
      <c r="P122" s="169" t="inlineStr">
        <is>
          <t>✓ Under</t>
        </is>
      </c>
      <c r="Q122" s="130" t="n"/>
    </row>
    <row r="123" ht="16" customHeight="1">
      <c r="B123" s="161" t="inlineStr">
        <is>
          <t>0-4xyy</t>
        </is>
      </c>
      <c r="C123" s="162" t="inlineStr">
        <is>
          <t>Risk</t>
        </is>
      </c>
      <c r="H123" s="163" t="n">
        <v>-2390722.77</v>
      </c>
      <c r="I123" s="133" t="n"/>
      <c r="J123" s="164" t="n">
        <v>0</v>
      </c>
      <c r="K123" s="133" t="n"/>
      <c r="L123" s="170" t="n">
        <v>-2390722.77</v>
      </c>
      <c r="M123" s="133" t="n"/>
      <c r="N123" s="166" t="n">
        <v>0</v>
      </c>
      <c r="O123" s="133" t="n"/>
      <c r="P123" s="171" t="inlineStr">
        <is>
          <t>▲ Over</t>
        </is>
      </c>
      <c r="Q123" s="133" t="n"/>
    </row>
    <row r="124" ht="16" customHeight="1">
      <c r="B124" s="154" t="inlineStr">
        <is>
          <t>0-4xxy</t>
        </is>
      </c>
      <c r="C124" s="155" t="inlineStr">
        <is>
          <t>Opps</t>
        </is>
      </c>
      <c r="H124" s="156" t="n">
        <v>-2420810.63</v>
      </c>
      <c r="I124" s="130" t="n"/>
      <c r="J124" s="157" t="n">
        <v>0</v>
      </c>
      <c r="K124" s="130" t="n"/>
      <c r="L124" s="158" t="n">
        <v>-2420810.63</v>
      </c>
      <c r="M124" s="130" t="n"/>
      <c r="N124" s="159" t="n">
        <v>0</v>
      </c>
      <c r="O124" s="130" t="n"/>
      <c r="P124" s="160" t="inlineStr">
        <is>
          <t>▲ Over</t>
        </is>
      </c>
      <c r="Q124" s="130" t="n"/>
    </row>
  </sheetData>
  <mergeCells count="88">
    <mergeCell ref="B2:M2"/>
    <mergeCell ref="C68:G68"/>
    <mergeCell ref="C83:G83"/>
    <mergeCell ref="C58:G58"/>
    <mergeCell ref="C97:G97"/>
    <mergeCell ref="D6:E6"/>
    <mergeCell ref="C65:G65"/>
    <mergeCell ref="C109:G109"/>
    <mergeCell ref="P6:Q6"/>
    <mergeCell ref="B54:T54"/>
    <mergeCell ref="C95:G95"/>
    <mergeCell ref="C60:G60"/>
    <mergeCell ref="C71:G71"/>
    <mergeCell ref="C123:G123"/>
    <mergeCell ref="C110:G110"/>
    <mergeCell ref="N2:T2"/>
    <mergeCell ref="C91:G91"/>
    <mergeCell ref="C57:G57"/>
    <mergeCell ref="C101:G101"/>
    <mergeCell ref="C77:G77"/>
    <mergeCell ref="C86:G86"/>
    <mergeCell ref="C108:G108"/>
    <mergeCell ref="F6:G6"/>
    <mergeCell ref="C113:G113"/>
    <mergeCell ref="C103:G103"/>
    <mergeCell ref="C85:G85"/>
    <mergeCell ref="C100:G100"/>
    <mergeCell ref="C112:G112"/>
    <mergeCell ref="C94:G94"/>
    <mergeCell ref="C118:G118"/>
    <mergeCell ref="C75:G75"/>
    <mergeCell ref="C84:G84"/>
    <mergeCell ref="C80:G80"/>
    <mergeCell ref="C114:G114"/>
    <mergeCell ref="C59:G59"/>
    <mergeCell ref="C61:G61"/>
    <mergeCell ref="C70:G70"/>
    <mergeCell ref="C106:G106"/>
    <mergeCell ref="B6:C6"/>
    <mergeCell ref="L6:M6"/>
    <mergeCell ref="C81:G81"/>
    <mergeCell ref="N6:O6"/>
    <mergeCell ref="C87:G87"/>
    <mergeCell ref="C89:G89"/>
    <mergeCell ref="C104:G104"/>
    <mergeCell ref="C116:G116"/>
    <mergeCell ref="C74:G74"/>
    <mergeCell ref="C88:G88"/>
    <mergeCell ref="C121:G121"/>
    <mergeCell ref="C117:G117"/>
    <mergeCell ref="C99:G99"/>
    <mergeCell ref="L8:M8"/>
    <mergeCell ref="N8:O8"/>
    <mergeCell ref="F8:G8"/>
    <mergeCell ref="C115:G115"/>
    <mergeCell ref="C122:G122"/>
    <mergeCell ref="C67:G67"/>
    <mergeCell ref="C72:G72"/>
    <mergeCell ref="C69:G69"/>
    <mergeCell ref="C96:G96"/>
    <mergeCell ref="C78:G78"/>
    <mergeCell ref="C92:G92"/>
    <mergeCell ref="C62:G62"/>
    <mergeCell ref="C98:G98"/>
    <mergeCell ref="C107:G107"/>
    <mergeCell ref="C64:G64"/>
    <mergeCell ref="C79:G79"/>
    <mergeCell ref="C73:G73"/>
    <mergeCell ref="H6:I6"/>
    <mergeCell ref="J6:K6"/>
    <mergeCell ref="P8:Q8"/>
    <mergeCell ref="C63:G63"/>
    <mergeCell ref="C93:G93"/>
    <mergeCell ref="C124:G124"/>
    <mergeCell ref="B8:C8"/>
    <mergeCell ref="C56:G56"/>
    <mergeCell ref="C90:G90"/>
    <mergeCell ref="C105:G105"/>
    <mergeCell ref="C76:G76"/>
    <mergeCell ref="C120:G120"/>
    <mergeCell ref="C119:G119"/>
    <mergeCell ref="D8:E8"/>
    <mergeCell ref="C82:G82"/>
    <mergeCell ref="C66:G66"/>
    <mergeCell ref="C102:G102"/>
    <mergeCell ref="H8:I8"/>
    <mergeCell ref="C111:G111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S370"/>
  <sheetViews>
    <sheetView tabSelected="1" workbookViewId="0">
      <pane xSplit="2" ySplit="3" topLeftCell="O4" activePane="bottomRight" state="frozen"/>
      <selection pane="topRight" activeCell="C1" sqref="C1"/>
      <selection pane="bottomLeft" activeCell="A4" sqref="A4"/>
      <selection pane="bottomRight" activeCell="T5" sqref="T5"/>
    </sheetView>
  </sheetViews>
  <sheetFormatPr baseColWidth="8" defaultRowHeight="14.4"/>
  <cols>
    <col width="12.88671875" customWidth="1" min="1" max="1"/>
    <col collapsed="1" width="31.21875" bestFit="1" customWidth="1" min="2" max="2"/>
    <col hidden="1" outlineLevel="1" width="17.44140625" customWidth="1" min="3" max="14"/>
    <col width="17.44140625" customWidth="1" min="15" max="20"/>
    <col outlineLevel="1" width="18.5546875" customWidth="1" min="21" max="29"/>
    <col width="20.5546875" customWidth="1" min="30" max="32"/>
    <col width="14.6640625" customWidth="1" min="33" max="35"/>
    <col width="19.88671875" customWidth="1" min="36" max="38"/>
    <col width="18.109375" customWidth="1" min="39" max="39"/>
    <col width="15.44140625" customWidth="1" min="40" max="41"/>
    <col width="17" customWidth="1" min="42" max="44"/>
  </cols>
  <sheetData>
    <row r="1" ht="21" customFormat="1" customHeight="1" s="99">
      <c r="A1" s="100" t="inlineStr">
        <is>
          <t>CVR Month:</t>
        </is>
      </c>
      <c r="B1" s="89" t="inlineStr">
        <is>
          <t>May, 2026</t>
        </is>
      </c>
      <c r="C1" s="101">
        <f>SUBTOTAL(9,C4:C370)</f>
        <v/>
      </c>
      <c r="D1" s="101">
        <f>SUBTOTAL(9,D4:D370)</f>
        <v/>
      </c>
      <c r="E1" s="101">
        <f>SUBTOTAL(9,E4:E370)</f>
        <v/>
      </c>
      <c r="F1" s="102">
        <f>SUBTOTAL(9,F4:F370)</f>
        <v/>
      </c>
      <c r="G1" s="101">
        <f>SUBTOTAL(9,G4:G370)</f>
        <v/>
      </c>
      <c r="H1" s="101">
        <f>SUBTOTAL(9,H4:H370)</f>
        <v/>
      </c>
      <c r="I1" s="102">
        <f>SUBTOTAL(9,I4:I370)</f>
        <v/>
      </c>
      <c r="J1" s="101">
        <f>SUBTOTAL(9,J4:J370)</f>
        <v/>
      </c>
      <c r="K1" s="101">
        <f>SUBTOTAL(9,K4:K370)</f>
        <v/>
      </c>
      <c r="L1" s="102">
        <f>SUBTOTAL(9,L4:L370)</f>
        <v/>
      </c>
      <c r="M1" s="101">
        <f>SUBTOTAL(9,M4:M370)</f>
        <v/>
      </c>
      <c r="N1" s="101">
        <f>SUBTOTAL(9,N4:N370)</f>
        <v/>
      </c>
      <c r="O1" s="103">
        <f>SUBTOTAL(9,O4:O370)</f>
        <v/>
      </c>
      <c r="P1" s="104">
        <f>SUBTOTAL(9,P4:P370)</f>
        <v/>
      </c>
      <c r="Q1" s="104">
        <f>SUBTOTAL(9,Q4:Q370)</f>
        <v/>
      </c>
      <c r="R1" s="105">
        <f>SUBTOTAL(9,R4:R370)</f>
        <v/>
      </c>
      <c r="S1" s="106">
        <f>SUBTOTAL(9,S4:S370)</f>
        <v/>
      </c>
      <c r="T1" s="106">
        <f>SUBTOTAL(9,T4:T370)</f>
        <v/>
      </c>
      <c r="U1" s="103">
        <f>SUBTOTAL(9,U4:U370)</f>
        <v/>
      </c>
      <c r="V1" s="104">
        <f>SUBTOTAL(9,V4:V370)</f>
        <v/>
      </c>
      <c r="W1" s="104">
        <f>SUBTOTAL(9,W4:W370)</f>
        <v/>
      </c>
      <c r="X1" s="103">
        <f>SUBTOTAL(9,X4:X370)</f>
        <v/>
      </c>
      <c r="Y1" s="104">
        <f>SUBTOTAL(9,Y4:Y370)</f>
        <v/>
      </c>
      <c r="Z1" s="104">
        <f>SUBTOTAL(9,Z4:Z370)</f>
        <v/>
      </c>
      <c r="AA1" s="103">
        <f>SUBTOTAL(9,AA4:AA370)</f>
        <v/>
      </c>
      <c r="AB1" s="104">
        <f>SUBTOTAL(9,AB4:AB370)</f>
        <v/>
      </c>
      <c r="AC1" s="104">
        <f>SUBTOTAL(9,AC4:AC370)</f>
        <v/>
      </c>
      <c r="AD1" s="107">
        <f>SUBTOTAL(9,AD4:AD370)</f>
        <v/>
      </c>
      <c r="AE1" s="108">
        <f>SUBTOTAL(9,AE4:AE370)</f>
        <v/>
      </c>
      <c r="AF1" s="108">
        <f>SUBTOTAL(9,AF4:AF370)</f>
        <v/>
      </c>
      <c r="AG1" s="103">
        <f>SUBTOTAL(9,AG4:AG370)</f>
        <v/>
      </c>
      <c r="AH1" s="104">
        <f>SUBTOTAL(9,AH4:AH370)</f>
        <v/>
      </c>
      <c r="AI1" s="104">
        <f>SUBTOTAL(9,AI4:AI370)</f>
        <v/>
      </c>
      <c r="AJ1" s="103">
        <f>SUBTOTAL(9,AJ4:AJ370)</f>
        <v/>
      </c>
      <c r="AK1" s="104">
        <f>SUBTOTAL(9,AK4:AK370)</f>
        <v/>
      </c>
      <c r="AL1" s="104">
        <f>SUBTOTAL(9,AL4:AL370)</f>
        <v/>
      </c>
      <c r="AM1" s="103">
        <f>SUBTOTAL(9,AM4:AM370)</f>
        <v/>
      </c>
      <c r="AN1" s="104">
        <f>SUBTOTAL(9,AN4:AN370)</f>
        <v/>
      </c>
      <c r="AO1" s="104">
        <f>SUBTOTAL(9,AO4:AO370)</f>
        <v/>
      </c>
      <c r="AP1" s="109">
        <f>IF(AM1&gt;0, "Under",IF(AM1&lt;0,"Over",""))</f>
        <v/>
      </c>
      <c r="AQ1" s="110">
        <f>IF(AN1&gt;0, "Under",IF(AN1&lt;0,"Over",""))</f>
        <v/>
      </c>
      <c r="AR1" s="111">
        <f>IF(AO1&gt;0, "Under",IF(AO1&lt;0,"Over",""))</f>
        <v/>
      </c>
      <c r="AS1" s="112" t="n"/>
    </row>
    <row r="2" hidden="1" customFormat="1" s="1">
      <c r="C2" s="14" t="inlineStr">
        <is>
          <t>SU</t>
        </is>
      </c>
      <c r="D2" s="15" t="inlineStr">
        <is>
          <t>OC</t>
        </is>
      </c>
      <c r="E2" s="15" t="inlineStr">
        <is>
          <t>MA</t>
        </is>
      </c>
      <c r="F2" s="14" t="inlineStr">
        <is>
          <t>SU</t>
        </is>
      </c>
      <c r="G2" s="15" t="inlineStr">
        <is>
          <t>OC</t>
        </is>
      </c>
      <c r="H2" s="15" t="inlineStr">
        <is>
          <t>MA</t>
        </is>
      </c>
      <c r="I2" s="14" t="inlineStr">
        <is>
          <t>SU</t>
        </is>
      </c>
      <c r="J2" s="15" t="inlineStr">
        <is>
          <t>OC</t>
        </is>
      </c>
      <c r="K2" s="15" t="inlineStr">
        <is>
          <t>MA</t>
        </is>
      </c>
      <c r="L2" s="14" t="inlineStr">
        <is>
          <t>SU</t>
        </is>
      </c>
      <c r="M2" s="15" t="inlineStr">
        <is>
          <t>OC</t>
        </is>
      </c>
      <c r="N2" s="15" t="inlineStr">
        <is>
          <t>MA</t>
        </is>
      </c>
      <c r="O2" s="2" t="inlineStr">
        <is>
          <t>SU</t>
        </is>
      </c>
      <c r="P2" s="1" t="inlineStr">
        <is>
          <t>OC</t>
        </is>
      </c>
      <c r="Q2" s="1" t="inlineStr">
        <is>
          <t>MA</t>
        </is>
      </c>
      <c r="R2" s="10" t="inlineStr">
        <is>
          <t>SU</t>
        </is>
      </c>
      <c r="S2" s="11" t="inlineStr">
        <is>
          <t>OC</t>
        </is>
      </c>
      <c r="T2" s="11" t="inlineStr">
        <is>
          <t>MA</t>
        </is>
      </c>
      <c r="U2" s="2" t="inlineStr">
        <is>
          <t>SU</t>
        </is>
      </c>
      <c r="V2" s="1" t="inlineStr">
        <is>
          <t>OC</t>
        </is>
      </c>
      <c r="W2" s="1" t="inlineStr">
        <is>
          <t>MA</t>
        </is>
      </c>
      <c r="X2" s="2" t="inlineStr">
        <is>
          <t>SU</t>
        </is>
      </c>
      <c r="Y2" s="1" t="inlineStr">
        <is>
          <t>OC</t>
        </is>
      </c>
      <c r="Z2" s="1" t="inlineStr">
        <is>
          <t>MA</t>
        </is>
      </c>
      <c r="AA2" s="2" t="inlineStr">
        <is>
          <t>SU</t>
        </is>
      </c>
      <c r="AB2" s="1" t="inlineStr">
        <is>
          <t>OC</t>
        </is>
      </c>
      <c r="AC2" s="1" t="inlineStr">
        <is>
          <t>MA</t>
        </is>
      </c>
      <c r="AD2" s="46" t="inlineStr">
        <is>
          <t>SU</t>
        </is>
      </c>
      <c r="AE2" s="47" t="inlineStr">
        <is>
          <t>OC</t>
        </is>
      </c>
      <c r="AF2" s="47" t="inlineStr">
        <is>
          <t>MA</t>
        </is>
      </c>
      <c r="AG2" s="2" t="inlineStr">
        <is>
          <t>SU</t>
        </is>
      </c>
      <c r="AH2" s="1" t="inlineStr">
        <is>
          <t>OC</t>
        </is>
      </c>
      <c r="AI2" s="1" t="inlineStr">
        <is>
          <t>MA</t>
        </is>
      </c>
      <c r="AJ2" s="2" t="n"/>
      <c r="AM2" s="2" t="inlineStr">
        <is>
          <t>SU</t>
        </is>
      </c>
      <c r="AN2" s="1" t="inlineStr">
        <is>
          <t>OC</t>
        </is>
      </c>
      <c r="AO2" s="1" t="inlineStr">
        <is>
          <t>MA</t>
        </is>
      </c>
      <c r="AP2" s="50" t="inlineStr">
        <is>
          <t>SU</t>
        </is>
      </c>
      <c r="AQ2" s="51" t="inlineStr">
        <is>
          <t>OC</t>
        </is>
      </c>
      <c r="AR2" s="51" t="inlineStr">
        <is>
          <t>MA</t>
        </is>
      </c>
      <c r="AS2" s="2" t="n"/>
    </row>
    <row r="3" ht="29.4" customFormat="1" customHeight="1" s="7" thickBot="1">
      <c r="A3" s="4" t="inlineStr">
        <is>
          <t>Cost Code</t>
        </is>
      </c>
      <c r="B3" s="4" t="inlineStr">
        <is>
          <t>Item</t>
        </is>
      </c>
      <c r="C3" s="16" t="inlineStr">
        <is>
          <t>Subcontracts CVR Actual Cost</t>
        </is>
      </c>
      <c r="D3" s="17" t="inlineStr">
        <is>
          <t>Supplies CVR Actual Cost</t>
        </is>
      </c>
      <c r="E3" s="17" t="inlineStr">
        <is>
          <t>Material CVR Actual Cost</t>
        </is>
      </c>
      <c r="F3" s="16" t="inlineStr">
        <is>
          <t>Subcontracts CVR FC</t>
        </is>
      </c>
      <c r="G3" s="17" t="inlineStr">
        <is>
          <t>Supplies CVR FC</t>
        </is>
      </c>
      <c r="H3" s="17" t="inlineStr">
        <is>
          <t>Material CVR FC</t>
        </is>
      </c>
      <c r="I3" s="16" t="inlineStr">
        <is>
          <t>Subcontracts CVR Accruals</t>
        </is>
      </c>
      <c r="J3" s="17" t="inlineStr">
        <is>
          <t>Supplies CVR Accruals</t>
        </is>
      </c>
      <c r="K3" s="17" t="inlineStr">
        <is>
          <t>Material CVR Accruals</t>
        </is>
      </c>
      <c r="L3" s="16" t="inlineStr">
        <is>
          <t>Subcontracts CVR Out PO's</t>
        </is>
      </c>
      <c r="M3" s="17" t="inlineStr">
        <is>
          <t>Supplies CVR Out PO's</t>
        </is>
      </c>
      <c r="N3" s="17" t="inlineStr">
        <is>
          <t>Material CVR Out PO's</t>
        </is>
      </c>
      <c r="O3" s="5" t="inlineStr">
        <is>
          <t>Subcontracts 
CVR EAC</t>
        </is>
      </c>
      <c r="P3" s="4" t="inlineStr">
        <is>
          <t>Supplies 
CVR EAC</t>
        </is>
      </c>
      <c r="Q3" s="4" t="inlineStr">
        <is>
          <t>Material 
CVR EAC</t>
        </is>
      </c>
      <c r="R3" s="12" t="inlineStr">
        <is>
          <t>Subcontracts PO Log Amount</t>
        </is>
      </c>
      <c r="S3" s="13" t="inlineStr">
        <is>
          <t>Supplies PO Log Amount</t>
        </is>
      </c>
      <c r="T3" s="13" t="inlineStr">
        <is>
          <t>Material PO Log Amount</t>
        </is>
      </c>
      <c r="U3" s="5" t="inlineStr">
        <is>
          <t>Subcontracts Accrued Costs</t>
        </is>
      </c>
      <c r="V3" s="4" t="inlineStr">
        <is>
          <t>Supplies
Accrued Costs</t>
        </is>
      </c>
      <c r="W3" s="4" t="inlineStr">
        <is>
          <t>Material
Accrued Costs</t>
        </is>
      </c>
      <c r="X3" s="5" t="inlineStr">
        <is>
          <t>Subcontracts Comms Actuals</t>
        </is>
      </c>
      <c r="Y3" s="4" t="inlineStr">
        <is>
          <t>Supplies
Comms Actuals</t>
        </is>
      </c>
      <c r="Z3" s="4" t="inlineStr">
        <is>
          <t>Material
Comms Actuals</t>
        </is>
      </c>
      <c r="AA3" s="5" t="inlineStr">
        <is>
          <t>Subcontracts Committed</t>
        </is>
      </c>
      <c r="AB3" s="4" t="inlineStr">
        <is>
          <t>Supplies
Committed</t>
        </is>
      </c>
      <c r="AC3" s="4" t="inlineStr">
        <is>
          <t>Material
Committed</t>
        </is>
      </c>
      <c r="AD3" s="48" t="inlineStr">
        <is>
          <t>Subcontracts Total Comms JTD Cost</t>
        </is>
      </c>
      <c r="AE3" s="49" t="inlineStr">
        <is>
          <t>Supplies Total Comms JTD Cost</t>
        </is>
      </c>
      <c r="AF3" s="49" t="inlineStr">
        <is>
          <t>Material Total Comms JTD Cost</t>
        </is>
      </c>
      <c r="AG3" s="5" t="inlineStr">
        <is>
          <t>Subcontracts CTD</t>
        </is>
      </c>
      <c r="AH3" s="4" t="inlineStr">
        <is>
          <t>Supplies CTD</t>
        </is>
      </c>
      <c r="AI3" s="4" t="inlineStr">
        <is>
          <t>Material CTD</t>
        </is>
      </c>
      <c r="AJ3" s="5" t="inlineStr">
        <is>
          <t>Subcontracts Manual Adjustment</t>
        </is>
      </c>
      <c r="AK3" s="4" t="inlineStr">
        <is>
          <t>Supplies Manual Adjustment</t>
        </is>
      </c>
      <c r="AL3" s="4" t="inlineStr">
        <is>
          <t>Material Manual Adjustment</t>
        </is>
      </c>
      <c r="AM3" s="5" t="inlineStr">
        <is>
          <t>Subcontracts Rem EAC</t>
        </is>
      </c>
      <c r="AN3" s="4" t="inlineStr">
        <is>
          <t>Supplies Rem EAC</t>
        </is>
      </c>
      <c r="AO3" s="4" t="inlineStr">
        <is>
          <t>Material Rem EAC</t>
        </is>
      </c>
      <c r="AP3" s="52" t="inlineStr">
        <is>
          <t>Subcontracts Over/Under</t>
        </is>
      </c>
      <c r="AQ3" s="53" t="inlineStr">
        <is>
          <t>Supplies Over/Under</t>
        </is>
      </c>
      <c r="AR3" s="53" t="inlineStr">
        <is>
          <t>Material Over/Under</t>
        </is>
      </c>
      <c r="AS3" s="6" t="n"/>
    </row>
    <row r="4" ht="15" customHeight="1" thickTop="1">
      <c r="A4" t="inlineStr">
        <is>
          <t>0-4000</t>
        </is>
      </c>
      <c r="B4" t="inlineStr">
        <is>
          <t>0-4000-Mobilization</t>
        </is>
      </c>
      <c r="C4" s="113" t="n">
        <v>0</v>
      </c>
      <c r="D4" s="114" t="n">
        <v>38865</v>
      </c>
      <c r="E4" s="114" t="n">
        <v>0</v>
      </c>
      <c r="F4" s="113" t="n">
        <v>178048.73</v>
      </c>
      <c r="G4" s="114" t="n">
        <v>0</v>
      </c>
      <c r="H4" s="114" t="n">
        <v>0</v>
      </c>
      <c r="I4" s="113" t="n">
        <v>0</v>
      </c>
      <c r="J4" s="114" t="n">
        <v>0</v>
      </c>
      <c r="K4" s="114" t="n">
        <v>0</v>
      </c>
      <c r="L4" s="113" t="n">
        <v>0</v>
      </c>
      <c r="M4" s="114" t="n">
        <v>0</v>
      </c>
      <c r="N4" s="114" t="n">
        <v>0</v>
      </c>
      <c r="O4" s="113">
        <f>L4+I4+F4+C4</f>
        <v/>
      </c>
      <c r="P4" s="114">
        <f>M4+J4+G4+D4</f>
        <v/>
      </c>
      <c r="Q4" s="114">
        <f>N4+K4+H4+E4</f>
        <v/>
      </c>
      <c r="R4" s="113">
        <f>SUMIFS('PO Log'!$E:$E,'PO Log'!$D:$D,'Category Table'!R$2,'PO Log'!$C:$C,'Category Table'!$A4)</f>
        <v/>
      </c>
      <c r="S4" s="114">
        <f>SUMIFS('PO Log'!$E:$E,'PO Log'!$D:$D,'Category Table'!S$2,'PO Log'!$C:$C,'Category Table'!$A4)</f>
        <v/>
      </c>
      <c r="T4" s="114">
        <f>SUMIFS('PO Log'!$E:$E,'PO Log'!$D:$D,'Category Table'!T$2,'PO Log'!$C:$C,'Category Table'!$A4)</f>
        <v/>
      </c>
      <c r="U4" s="113">
        <f>SUMIFS('Committments Dump'!$Q:$Q,'Committments Dump'!$C:$C,'Category Table'!U$2,'Committments Dump'!$B:$B,'Category Table'!$A4)</f>
        <v/>
      </c>
      <c r="V4" s="114">
        <f>SUMIFS('Committments Dump'!$Q:$Q,'Committments Dump'!$C:$C,'Category Table'!V$2,'Committments Dump'!$B:$B,'Category Table'!$A4)</f>
        <v/>
      </c>
      <c r="W4" s="114">
        <f>SUMIFS('Committments Dump'!$Q:$Q,'Committments Dump'!$C:$C,'Category Table'!W$2,'Committments Dump'!$B:$B,'Category Table'!$A4)</f>
        <v/>
      </c>
      <c r="X4" s="113">
        <f>SUMIFS('Committments Dump'!$R:$R,'Committments Dump'!$C:$C,'Category Table'!X$2,'Committments Dump'!$B:$B,'Category Table'!$A4)</f>
        <v/>
      </c>
      <c r="Y4" s="114">
        <f>SUMIFS('Committments Dump'!$R:$R,'Committments Dump'!$C:$C,'Category Table'!Y$2,'Committments Dump'!$B:$B,'Category Table'!$A4)</f>
        <v/>
      </c>
      <c r="Z4" s="114">
        <f>SUMIFS('Committments Dump'!$R:$R,'Committments Dump'!$C:$C,'Category Table'!Z$2,'Committments Dump'!$B:$B,'Category Table'!$A4)</f>
        <v/>
      </c>
      <c r="AA4" s="113">
        <f>SUMIFS('Committments Dump'!$S:$S,'Committments Dump'!$C:$C,'Category Table'!AA$2,'Committments Dump'!$B:$B,'Category Table'!$A4)</f>
        <v/>
      </c>
      <c r="AB4" s="114">
        <f>SUMIFS('Committments Dump'!$S:$S,'Committments Dump'!$C:$C,'Category Table'!AB$2,'Committments Dump'!$B:$B,'Category Table'!$A4)</f>
        <v/>
      </c>
      <c r="AC4" s="114">
        <f>SUMIFS('Committments Dump'!$S:$S,'Committments Dump'!$C:$C,'Category Table'!AC$2,'Committments Dump'!$B:$B,'Category Table'!$A4)</f>
        <v/>
      </c>
      <c r="AD4" s="113">
        <f>U4+X4+AA4</f>
        <v/>
      </c>
      <c r="AE4" s="114">
        <f>V4+Y4+AB4</f>
        <v/>
      </c>
      <c r="AF4" s="114">
        <f>W4+Z4+AC4</f>
        <v/>
      </c>
      <c r="AG4" s="113">
        <f>R4+AD4</f>
        <v/>
      </c>
      <c r="AH4" s="114">
        <f>S4+AE4</f>
        <v/>
      </c>
      <c r="AI4" s="114">
        <f>T4+AF4</f>
        <v/>
      </c>
      <c r="AJ4" s="113" t="n"/>
      <c r="AK4" s="114" t="n"/>
      <c r="AL4" s="114" t="n"/>
      <c r="AM4" s="113">
        <f>(O4-AG4)+AJ4</f>
        <v/>
      </c>
      <c r="AN4" s="114">
        <f>(P4-AH4)+AK4</f>
        <v/>
      </c>
      <c r="AO4" s="114">
        <f>(Q4-AI4)+AL4</f>
        <v/>
      </c>
      <c r="AP4" s="2">
        <f>IF(AM4&gt;0, "Under",IF(AM4&lt;0,"Over",""))</f>
        <v/>
      </c>
      <c r="AQ4" s="1">
        <f>IF(AN4&gt;0, "Under",IF(AN4&lt;0,"Over",""))</f>
        <v/>
      </c>
      <c r="AR4" s="1">
        <f>IF(AO4&gt;0, "Under",IF(AO4&lt;0,"Over",""))</f>
        <v/>
      </c>
      <c r="AS4" s="3" t="n"/>
    </row>
    <row r="5">
      <c r="A5" s="90" t="inlineStr">
        <is>
          <t>0-4001</t>
        </is>
      </c>
      <c r="B5" s="90" t="inlineStr">
        <is>
          <t>0-4001-Demobilization</t>
        </is>
      </c>
      <c r="C5" s="115" t="n">
        <v>0</v>
      </c>
      <c r="D5" s="116" t="n">
        <v>2350</v>
      </c>
      <c r="E5" s="116" t="n">
        <v>0</v>
      </c>
      <c r="F5" s="115" t="n">
        <v>220300.84</v>
      </c>
      <c r="G5" s="116" t="n">
        <v>0</v>
      </c>
      <c r="H5" s="116" t="n">
        <v>0</v>
      </c>
      <c r="I5" s="115" t="n">
        <v>0</v>
      </c>
      <c r="J5" s="116" t="n">
        <v>0</v>
      </c>
      <c r="K5" s="116" t="n">
        <v>0</v>
      </c>
      <c r="L5" s="115" t="n">
        <v>0</v>
      </c>
      <c r="M5" s="116" t="n">
        <v>0</v>
      </c>
      <c r="N5" s="116" t="n">
        <v>0</v>
      </c>
      <c r="O5" s="115">
        <f>L5+I5+F5+C5</f>
        <v/>
      </c>
      <c r="P5" s="116">
        <f>M5+J5+G5+D5</f>
        <v/>
      </c>
      <c r="Q5" s="116">
        <f>N5+K5+H5+E5</f>
        <v/>
      </c>
      <c r="R5" s="115">
        <f>SUMIFS('PO Log'!$E:$E,'PO Log'!$D:$D,'Category Table'!R$2,'PO Log'!$C:$C,'Category Table'!$A5)</f>
        <v/>
      </c>
      <c r="S5" s="116">
        <f>SUMIFS('PO Log'!$E:$E,'PO Log'!$D:$D,'Category Table'!S$2,'PO Log'!$C:$C,'Category Table'!$A5)</f>
        <v/>
      </c>
      <c r="T5" s="116">
        <f>SUMIFS('PO Log'!$E:$E,'PO Log'!$D:$D,'Category Table'!T$2,'PO Log'!$C:$C,'Category Table'!$A5)</f>
        <v/>
      </c>
      <c r="U5" s="115">
        <f>SUMIFS('Committments Dump'!$Q:$Q,'Committments Dump'!$C:$C,'Category Table'!U$2,'Committments Dump'!$B:$B,'Category Table'!$A5)</f>
        <v/>
      </c>
      <c r="V5" s="116">
        <f>SUMIFS('Committments Dump'!$Q:$Q,'Committments Dump'!$C:$C,'Category Table'!V$2,'Committments Dump'!$B:$B,'Category Table'!$A5)</f>
        <v/>
      </c>
      <c r="W5" s="116">
        <f>SUMIFS('Committments Dump'!$Q:$Q,'Committments Dump'!$C:$C,'Category Table'!W$2,'Committments Dump'!$B:$B,'Category Table'!$A5)</f>
        <v/>
      </c>
      <c r="X5" s="115">
        <f>SUMIFS('Committments Dump'!$R:$R,'Committments Dump'!$C:$C,'Category Table'!X$2,'Committments Dump'!$B:$B,'Category Table'!$A5)</f>
        <v/>
      </c>
      <c r="Y5" s="116">
        <f>SUMIFS('Committments Dump'!$R:$R,'Committments Dump'!$C:$C,'Category Table'!Y$2,'Committments Dump'!$B:$B,'Category Table'!$A5)</f>
        <v/>
      </c>
      <c r="Z5" s="116">
        <f>SUMIFS('Committments Dump'!$R:$R,'Committments Dump'!$C:$C,'Category Table'!Z$2,'Committments Dump'!$B:$B,'Category Table'!$A5)</f>
        <v/>
      </c>
      <c r="AA5" s="115">
        <f>SUMIFS('Committments Dump'!$S:$S,'Committments Dump'!$C:$C,'Category Table'!AA$2,'Committments Dump'!$B:$B,'Category Table'!$A5)</f>
        <v/>
      </c>
      <c r="AB5" s="116">
        <f>SUMIFS('Committments Dump'!$S:$S,'Committments Dump'!$C:$C,'Category Table'!AB$2,'Committments Dump'!$B:$B,'Category Table'!$A5)</f>
        <v/>
      </c>
      <c r="AC5" s="116">
        <f>SUMIFS('Committments Dump'!$S:$S,'Committments Dump'!$C:$C,'Category Table'!AC$2,'Committments Dump'!$B:$B,'Category Table'!$A5)</f>
        <v/>
      </c>
      <c r="AD5" s="115">
        <f>U5+X5+AA5</f>
        <v/>
      </c>
      <c r="AE5" s="116">
        <f>V5+Y5+AB5</f>
        <v/>
      </c>
      <c r="AF5" s="116">
        <f>W5+Z5+AC5</f>
        <v/>
      </c>
      <c r="AG5" s="115">
        <f>R5+AD5</f>
        <v/>
      </c>
      <c r="AH5" s="116">
        <f>S5+AE5</f>
        <v/>
      </c>
      <c r="AI5" s="116">
        <f>T5+AF5</f>
        <v/>
      </c>
      <c r="AJ5" s="115" t="n"/>
      <c r="AK5" s="116" t="n"/>
      <c r="AL5" s="116" t="n"/>
      <c r="AM5" s="115">
        <f>(O5-AG5)+AJ5</f>
        <v/>
      </c>
      <c r="AN5" s="116">
        <f>(P5-AH5)+AK5</f>
        <v/>
      </c>
      <c r="AO5" s="116">
        <f>(Q5-AI5)+AL5</f>
        <v/>
      </c>
      <c r="AP5" s="93">
        <f>IF(AM5&gt;0, "Under",IF(AM5&lt;0,"Over",""))</f>
        <v/>
      </c>
      <c r="AQ5" s="94">
        <f>IF(AN5&gt;0, "Under",IF(AN5&lt;0,"Over",""))</f>
        <v/>
      </c>
      <c r="AR5" s="94">
        <f>IF(AO5&gt;0, "Under",IF(AO5&lt;0,"Over",""))</f>
        <v/>
      </c>
      <c r="AS5" s="3" t="n"/>
    </row>
    <row r="6">
      <c r="A6" t="inlineStr">
        <is>
          <t>0-4004-01</t>
        </is>
      </c>
      <c r="B6" t="inlineStr">
        <is>
          <t>0-4004-01 Racking Materials</t>
        </is>
      </c>
      <c r="C6" s="113" t="n">
        <v>0</v>
      </c>
      <c r="D6" s="114" t="n">
        <v>1035502.42</v>
      </c>
      <c r="E6" s="114" t="n">
        <v>9355889.1</v>
      </c>
      <c r="F6" s="113" t="n"/>
      <c r="G6" s="114" t="n"/>
      <c r="H6" s="114" t="n">
        <v>-8395820.009999998</v>
      </c>
      <c r="I6" s="113" t="n">
        <v>0</v>
      </c>
      <c r="J6" s="114" t="n">
        <v>0</v>
      </c>
      <c r="K6" s="114" t="n">
        <v>0</v>
      </c>
      <c r="L6" s="113" t="n">
        <v>0</v>
      </c>
      <c r="M6" s="114" t="n">
        <v>11408138.22</v>
      </c>
      <c r="N6" s="114" t="n">
        <v>24924070.87</v>
      </c>
      <c r="O6" s="113">
        <f>L6+I6+F6+C6</f>
        <v/>
      </c>
      <c r="P6" s="114">
        <f>M6+J6+G6+D6</f>
        <v/>
      </c>
      <c r="Q6" s="114">
        <f>N6+K6+H6+E6</f>
        <v/>
      </c>
      <c r="R6" s="113">
        <f>SUMIFS('PO Log'!$E:$E,'PO Log'!$D:$D,'Category Table'!R$2,'PO Log'!$C:$C,'Category Table'!$A6)</f>
        <v/>
      </c>
      <c r="S6" s="114">
        <f>SUMIFS('PO Log'!$E:$E,'PO Log'!$D:$D,'Category Table'!S$2,'PO Log'!$C:$C,'Category Table'!$A6)</f>
        <v/>
      </c>
      <c r="T6" s="114">
        <f>SUMIFS('PO Log'!$E:$E,'PO Log'!$D:$D,'Category Table'!T$2,'PO Log'!$C:$C,'Category Table'!$A6)</f>
        <v/>
      </c>
      <c r="U6" s="113">
        <f>SUMIFS('Committments Dump'!$Q:$Q,'Committments Dump'!$C:$C,'Category Table'!U$2,'Committments Dump'!$B:$B,'Category Table'!$A6)</f>
        <v/>
      </c>
      <c r="V6" s="114">
        <f>SUMIFS('Committments Dump'!$Q:$Q,'Committments Dump'!$C:$C,'Category Table'!V$2,'Committments Dump'!$B:$B,'Category Table'!$A6)</f>
        <v/>
      </c>
      <c r="W6" s="114">
        <f>SUMIFS('Committments Dump'!$Q:$Q,'Committments Dump'!$C:$C,'Category Table'!W$2,'Committments Dump'!$B:$B,'Category Table'!$A6)</f>
        <v/>
      </c>
      <c r="X6" s="113">
        <f>SUMIFS('Committments Dump'!$R:$R,'Committments Dump'!$C:$C,'Category Table'!X$2,'Committments Dump'!$B:$B,'Category Table'!$A6)</f>
        <v/>
      </c>
      <c r="Y6" s="114">
        <f>SUMIFS('Committments Dump'!$R:$R,'Committments Dump'!$C:$C,'Category Table'!Y$2,'Committments Dump'!$B:$B,'Category Table'!$A6)</f>
        <v/>
      </c>
      <c r="Z6" s="114">
        <f>SUMIFS('Committments Dump'!$R:$R,'Committments Dump'!$C:$C,'Category Table'!Z$2,'Committments Dump'!$B:$B,'Category Table'!$A6)</f>
        <v/>
      </c>
      <c r="AA6" s="113">
        <f>SUMIFS('Committments Dump'!$S:$S,'Committments Dump'!$C:$C,'Category Table'!AA$2,'Committments Dump'!$B:$B,'Category Table'!$A6)</f>
        <v/>
      </c>
      <c r="AB6" s="114">
        <f>SUMIFS('Committments Dump'!$S:$S,'Committments Dump'!$C:$C,'Category Table'!AB$2,'Committments Dump'!$B:$B,'Category Table'!$A6)</f>
        <v/>
      </c>
      <c r="AC6" s="114">
        <f>SUMIFS('Committments Dump'!$S:$S,'Committments Dump'!$C:$C,'Category Table'!AC$2,'Committments Dump'!$B:$B,'Category Table'!$A6)</f>
        <v/>
      </c>
      <c r="AD6" s="113">
        <f>U6+X6+AA6</f>
        <v/>
      </c>
      <c r="AE6" s="114">
        <f>V6+Y6+AB6</f>
        <v/>
      </c>
      <c r="AF6" s="114">
        <f>W6+Z6+AC6</f>
        <v/>
      </c>
      <c r="AG6" s="113">
        <f>R6+AD6</f>
        <v/>
      </c>
      <c r="AH6" s="114">
        <f>S6+AE6</f>
        <v/>
      </c>
      <c r="AI6" s="114">
        <f>T6+AF6</f>
        <v/>
      </c>
      <c r="AJ6" s="113" t="n"/>
      <c r="AK6" s="114" t="n"/>
      <c r="AL6" s="114" t="n"/>
      <c r="AM6" s="113">
        <f>(O6-AG6)+AJ6</f>
        <v/>
      </c>
      <c r="AN6" s="114">
        <f>(P6-AH6)+AK6</f>
        <v/>
      </c>
      <c r="AO6" s="114">
        <f>(Q6-AI6)+AL6</f>
        <v/>
      </c>
      <c r="AP6" s="2">
        <f>IF(AM6&gt;0, "Under",IF(AM6&lt;0,"Over",""))</f>
        <v/>
      </c>
      <c r="AQ6" s="1">
        <f>IF(AN6&gt;0, "Under",IF(AN6&lt;0,"Over",""))</f>
        <v/>
      </c>
      <c r="AR6" s="1">
        <f>IF(AO6&gt;0, "Under",IF(AO6&lt;0,"Over",""))</f>
        <v/>
      </c>
      <c r="AS6" s="3" t="n"/>
    </row>
    <row r="7">
      <c r="A7" s="90" t="inlineStr">
        <is>
          <t>0-4004-02</t>
        </is>
      </c>
      <c r="B7" s="90" t="inlineStr">
        <is>
          <t>0-4004-02 Inverter Materials</t>
        </is>
      </c>
      <c r="C7" s="115" t="n">
        <v>0</v>
      </c>
      <c r="D7" s="116" t="n">
        <v>0</v>
      </c>
      <c r="E7" s="116" t="n">
        <v>4983660</v>
      </c>
      <c r="F7" s="115" t="n">
        <v>-350000</v>
      </c>
      <c r="G7" s="116" t="n"/>
      <c r="H7" s="116" t="n">
        <v>-4812801.780000001</v>
      </c>
      <c r="I7" s="115" t="n">
        <v>0</v>
      </c>
      <c r="J7" s="116" t="n">
        <v>0</v>
      </c>
      <c r="K7" s="116" t="n">
        <v>0</v>
      </c>
      <c r="L7" s="115" t="n">
        <v>0</v>
      </c>
      <c r="M7" s="116" t="n">
        <v>0</v>
      </c>
      <c r="N7" s="116" t="n">
        <v>16959929.76</v>
      </c>
      <c r="O7" s="115">
        <f>L7+I7+F7+C7</f>
        <v/>
      </c>
      <c r="P7" s="116">
        <f>M7+J7+G7+D7</f>
        <v/>
      </c>
      <c r="Q7" s="116">
        <f>N7+K7+H7+E7</f>
        <v/>
      </c>
      <c r="R7" s="115">
        <f>SUMIFS('PO Log'!$E:$E,'PO Log'!$D:$D,'Category Table'!R$2,'PO Log'!$C:$C,'Category Table'!$A7)</f>
        <v/>
      </c>
      <c r="S7" s="116">
        <f>SUMIFS('PO Log'!$E:$E,'PO Log'!$D:$D,'Category Table'!S$2,'PO Log'!$C:$C,'Category Table'!$A7)</f>
        <v/>
      </c>
      <c r="T7" s="116">
        <f>SUMIFS('PO Log'!$E:$E,'PO Log'!$D:$D,'Category Table'!T$2,'PO Log'!$C:$C,'Category Table'!$A7)</f>
        <v/>
      </c>
      <c r="U7" s="115">
        <f>SUMIFS('Committments Dump'!$Q:$Q,'Committments Dump'!$C:$C,'Category Table'!U$2,'Committments Dump'!$B:$B,'Category Table'!$A7)</f>
        <v/>
      </c>
      <c r="V7" s="116">
        <f>SUMIFS('Committments Dump'!$Q:$Q,'Committments Dump'!$C:$C,'Category Table'!V$2,'Committments Dump'!$B:$B,'Category Table'!$A7)</f>
        <v/>
      </c>
      <c r="W7" s="116">
        <f>SUMIFS('Committments Dump'!$Q:$Q,'Committments Dump'!$C:$C,'Category Table'!W$2,'Committments Dump'!$B:$B,'Category Table'!$A7)</f>
        <v/>
      </c>
      <c r="X7" s="115">
        <f>SUMIFS('Committments Dump'!$R:$R,'Committments Dump'!$C:$C,'Category Table'!X$2,'Committments Dump'!$B:$B,'Category Table'!$A7)</f>
        <v/>
      </c>
      <c r="Y7" s="116">
        <f>SUMIFS('Committments Dump'!$R:$R,'Committments Dump'!$C:$C,'Category Table'!Y$2,'Committments Dump'!$B:$B,'Category Table'!$A7)</f>
        <v/>
      </c>
      <c r="Z7" s="116">
        <f>SUMIFS('Committments Dump'!$R:$R,'Committments Dump'!$C:$C,'Category Table'!Z$2,'Committments Dump'!$B:$B,'Category Table'!$A7)</f>
        <v/>
      </c>
      <c r="AA7" s="115">
        <f>SUMIFS('Committments Dump'!$S:$S,'Committments Dump'!$C:$C,'Category Table'!AA$2,'Committments Dump'!$B:$B,'Category Table'!$A7)</f>
        <v/>
      </c>
      <c r="AB7" s="116">
        <f>SUMIFS('Committments Dump'!$S:$S,'Committments Dump'!$C:$C,'Category Table'!AB$2,'Committments Dump'!$B:$B,'Category Table'!$A7)</f>
        <v/>
      </c>
      <c r="AC7" s="116">
        <f>SUMIFS('Committments Dump'!$S:$S,'Committments Dump'!$C:$C,'Category Table'!AC$2,'Committments Dump'!$B:$B,'Category Table'!$A7)</f>
        <v/>
      </c>
      <c r="AD7" s="115">
        <f>U7+X7+AA7</f>
        <v/>
      </c>
      <c r="AE7" s="116">
        <f>V7+Y7+AB7</f>
        <v/>
      </c>
      <c r="AF7" s="116">
        <f>W7+Z7+AC7</f>
        <v/>
      </c>
      <c r="AG7" s="115">
        <f>R7+AD7</f>
        <v/>
      </c>
      <c r="AH7" s="116">
        <f>S7+AE7</f>
        <v/>
      </c>
      <c r="AI7" s="116">
        <f>T7+AF7</f>
        <v/>
      </c>
      <c r="AJ7" s="115" t="n"/>
      <c r="AK7" s="116" t="n"/>
      <c r="AL7" s="116" t="n"/>
      <c r="AM7" s="115">
        <f>(O7-AG7)+AJ7</f>
        <v/>
      </c>
      <c r="AN7" s="116">
        <f>(P7-AH7)+AK7</f>
        <v/>
      </c>
      <c r="AO7" s="116">
        <f>(Q7-AI7)+AL7</f>
        <v/>
      </c>
      <c r="AP7" s="93">
        <f>IF(AM7&gt;0, "Under",IF(AM7&lt;0,"Over",""))</f>
        <v/>
      </c>
      <c r="AQ7" s="94">
        <f>IF(AN7&gt;0, "Under",IF(AN7&lt;0,"Over",""))</f>
        <v/>
      </c>
      <c r="AR7" s="94">
        <f>IF(AO7&gt;0, "Under",IF(AO7&lt;0,"Over",""))</f>
        <v/>
      </c>
      <c r="AS7" s="3" t="n"/>
    </row>
    <row r="8">
      <c r="A8" t="inlineStr">
        <is>
          <t>0-4004-04</t>
        </is>
      </c>
      <c r="B8" t="inlineStr">
        <is>
          <t>0-4004-04 HV Breakers</t>
        </is>
      </c>
      <c r="C8" s="113" t="n">
        <v>0</v>
      </c>
      <c r="D8" s="114" t="n">
        <v>0</v>
      </c>
      <c r="E8" s="114" t="n">
        <v>0</v>
      </c>
      <c r="F8" s="113" t="n">
        <v>0</v>
      </c>
      <c r="G8" s="114" t="n">
        <v>0</v>
      </c>
      <c r="H8" s="114" t="n">
        <v>0</v>
      </c>
      <c r="I8" s="113" t="n">
        <v>0</v>
      </c>
      <c r="J8" s="114" t="n">
        <v>0</v>
      </c>
      <c r="K8" s="114" t="n">
        <v>0</v>
      </c>
      <c r="L8" s="113" t="n">
        <v>0</v>
      </c>
      <c r="M8" s="114" t="n">
        <v>0</v>
      </c>
      <c r="N8" s="114" t="n">
        <v>0</v>
      </c>
      <c r="O8" s="113">
        <f>L8+I8+F8+C8</f>
        <v/>
      </c>
      <c r="P8" s="114">
        <f>M8+J8+G8+D8</f>
        <v/>
      </c>
      <c r="Q8" s="114">
        <f>N8+K8+H8+E8</f>
        <v/>
      </c>
      <c r="R8" s="113">
        <f>SUMIFS('PO Log'!$E:$E,'PO Log'!$D:$D,'Category Table'!R$2,'PO Log'!$C:$C,'Category Table'!$A8)</f>
        <v/>
      </c>
      <c r="S8" s="114">
        <f>SUMIFS('PO Log'!$E:$E,'PO Log'!$D:$D,'Category Table'!S$2,'PO Log'!$C:$C,'Category Table'!$A8)</f>
        <v/>
      </c>
      <c r="T8" s="114">
        <f>SUMIFS('PO Log'!$E:$E,'PO Log'!$D:$D,'Category Table'!T$2,'PO Log'!$C:$C,'Category Table'!$A8)</f>
        <v/>
      </c>
      <c r="U8" s="113">
        <f>SUMIFS('Committments Dump'!$Q:$Q,'Committments Dump'!$C:$C,'Category Table'!U$2,'Committments Dump'!$B:$B,'Category Table'!$A8)</f>
        <v/>
      </c>
      <c r="V8" s="114">
        <f>SUMIFS('Committments Dump'!$Q:$Q,'Committments Dump'!$C:$C,'Category Table'!V$2,'Committments Dump'!$B:$B,'Category Table'!$A8)</f>
        <v/>
      </c>
      <c r="W8" s="114">
        <f>SUMIFS('Committments Dump'!$Q:$Q,'Committments Dump'!$C:$C,'Category Table'!W$2,'Committments Dump'!$B:$B,'Category Table'!$A8)</f>
        <v/>
      </c>
      <c r="X8" s="113">
        <f>SUMIFS('Committments Dump'!$R:$R,'Committments Dump'!$C:$C,'Category Table'!X$2,'Committments Dump'!$B:$B,'Category Table'!$A8)</f>
        <v/>
      </c>
      <c r="Y8" s="114">
        <f>SUMIFS('Committments Dump'!$R:$R,'Committments Dump'!$C:$C,'Category Table'!Y$2,'Committments Dump'!$B:$B,'Category Table'!$A8)</f>
        <v/>
      </c>
      <c r="Z8" s="114">
        <f>SUMIFS('Committments Dump'!$R:$R,'Committments Dump'!$C:$C,'Category Table'!Z$2,'Committments Dump'!$B:$B,'Category Table'!$A8)</f>
        <v/>
      </c>
      <c r="AA8" s="113">
        <f>SUMIFS('Committments Dump'!$S:$S,'Committments Dump'!$C:$C,'Category Table'!AA$2,'Committments Dump'!$B:$B,'Category Table'!$A8)</f>
        <v/>
      </c>
      <c r="AB8" s="114">
        <f>SUMIFS('Committments Dump'!$S:$S,'Committments Dump'!$C:$C,'Category Table'!AB$2,'Committments Dump'!$B:$B,'Category Table'!$A8)</f>
        <v/>
      </c>
      <c r="AC8" s="114">
        <f>SUMIFS('Committments Dump'!$S:$S,'Committments Dump'!$C:$C,'Category Table'!AC$2,'Committments Dump'!$B:$B,'Category Table'!$A8)</f>
        <v/>
      </c>
      <c r="AD8" s="113">
        <f>U8+X8+AA8</f>
        <v/>
      </c>
      <c r="AE8" s="114">
        <f>V8+Y8+AB8</f>
        <v/>
      </c>
      <c r="AF8" s="114">
        <f>W8+Z8+AC8</f>
        <v/>
      </c>
      <c r="AG8" s="113">
        <f>R8+AD8</f>
        <v/>
      </c>
      <c r="AH8" s="114">
        <f>S8+AE8</f>
        <v/>
      </c>
      <c r="AI8" s="114">
        <f>T8+AF8</f>
        <v/>
      </c>
      <c r="AJ8" s="113" t="n"/>
      <c r="AK8" s="114" t="n"/>
      <c r="AL8" s="114" t="n"/>
      <c r="AM8" s="113">
        <f>(O8-AG8)+AJ8</f>
        <v/>
      </c>
      <c r="AN8" s="114">
        <f>(P8-AH8)+AK8</f>
        <v/>
      </c>
      <c r="AO8" s="114">
        <f>(Q8-AI8)+AL8</f>
        <v/>
      </c>
      <c r="AP8" s="2">
        <f>IF(AM8&gt;0, "Under",IF(AM8&lt;0,"Over",""))</f>
        <v/>
      </c>
      <c r="AQ8" s="1">
        <f>IF(AN8&gt;0, "Under",IF(AN8&lt;0,"Over",""))</f>
        <v/>
      </c>
      <c r="AR8" s="1">
        <f>IF(AO8&gt;0, "Under",IF(AO8&lt;0,"Over",""))</f>
        <v/>
      </c>
      <c r="AS8" s="3" t="n"/>
    </row>
    <row r="9">
      <c r="A9" s="90" t="inlineStr">
        <is>
          <t>0-4004-05</t>
        </is>
      </c>
      <c r="B9" s="90" t="inlineStr">
        <is>
          <t>0-4004-05 PV Power Cable Materi</t>
        </is>
      </c>
      <c r="C9" s="115" t="n">
        <v>0</v>
      </c>
      <c r="D9" s="116" t="n">
        <v>0</v>
      </c>
      <c r="E9" s="116" t="n">
        <v>4497552.64</v>
      </c>
      <c r="F9" s="115" t="n">
        <v>1264434.049999997</v>
      </c>
      <c r="G9" s="116" t="n">
        <v>-385787.9800000004</v>
      </c>
      <c r="H9" s="116" t="n"/>
      <c r="I9" s="115" t="n">
        <v>0</v>
      </c>
      <c r="J9" s="116" t="n">
        <v>0</v>
      </c>
      <c r="K9" s="116" t="n">
        <v>21748.27</v>
      </c>
      <c r="L9" s="115" t="n">
        <v>0</v>
      </c>
      <c r="M9" s="116" t="n">
        <v>1033828.47</v>
      </c>
      <c r="N9" s="116" t="n">
        <v>14990593.76</v>
      </c>
      <c r="O9" s="115">
        <f>L9+I9+F9+C9</f>
        <v/>
      </c>
      <c r="P9" s="116">
        <f>M9+J9+G9+D9</f>
        <v/>
      </c>
      <c r="Q9" s="116">
        <f>N9+K9+H9+E9</f>
        <v/>
      </c>
      <c r="R9" s="115">
        <f>SUMIFS('PO Log'!$E:$E,'PO Log'!$D:$D,'Category Table'!R$2,'PO Log'!$C:$C,'Category Table'!$A9)</f>
        <v/>
      </c>
      <c r="S9" s="116">
        <f>SUMIFS('PO Log'!$E:$E,'PO Log'!$D:$D,'Category Table'!S$2,'PO Log'!$C:$C,'Category Table'!$A9)</f>
        <v/>
      </c>
      <c r="T9" s="116">
        <f>SUMIFS('PO Log'!$E:$E,'PO Log'!$D:$D,'Category Table'!T$2,'PO Log'!$C:$C,'Category Table'!$A9)</f>
        <v/>
      </c>
      <c r="U9" s="115">
        <f>SUMIFS('Committments Dump'!$Q:$Q,'Committments Dump'!$C:$C,'Category Table'!U$2,'Committments Dump'!$B:$B,'Category Table'!$A9)</f>
        <v/>
      </c>
      <c r="V9" s="116">
        <f>SUMIFS('Committments Dump'!$Q:$Q,'Committments Dump'!$C:$C,'Category Table'!V$2,'Committments Dump'!$B:$B,'Category Table'!$A9)</f>
        <v/>
      </c>
      <c r="W9" s="116">
        <f>SUMIFS('Committments Dump'!$Q:$Q,'Committments Dump'!$C:$C,'Category Table'!W$2,'Committments Dump'!$B:$B,'Category Table'!$A9)</f>
        <v/>
      </c>
      <c r="X9" s="115">
        <f>SUMIFS('Committments Dump'!$R:$R,'Committments Dump'!$C:$C,'Category Table'!X$2,'Committments Dump'!$B:$B,'Category Table'!$A9)</f>
        <v/>
      </c>
      <c r="Y9" s="116">
        <f>SUMIFS('Committments Dump'!$R:$R,'Committments Dump'!$C:$C,'Category Table'!Y$2,'Committments Dump'!$B:$B,'Category Table'!$A9)</f>
        <v/>
      </c>
      <c r="Z9" s="116">
        <f>SUMIFS('Committments Dump'!$R:$R,'Committments Dump'!$C:$C,'Category Table'!Z$2,'Committments Dump'!$B:$B,'Category Table'!$A9)</f>
        <v/>
      </c>
      <c r="AA9" s="115">
        <f>SUMIFS('Committments Dump'!$S:$S,'Committments Dump'!$C:$C,'Category Table'!AA$2,'Committments Dump'!$B:$B,'Category Table'!$A9)</f>
        <v/>
      </c>
      <c r="AB9" s="116">
        <f>SUMIFS('Committments Dump'!$S:$S,'Committments Dump'!$C:$C,'Category Table'!AB$2,'Committments Dump'!$B:$B,'Category Table'!$A9)</f>
        <v/>
      </c>
      <c r="AC9" s="116">
        <f>SUMIFS('Committments Dump'!$S:$S,'Committments Dump'!$C:$C,'Category Table'!AC$2,'Committments Dump'!$B:$B,'Category Table'!$A9)</f>
        <v/>
      </c>
      <c r="AD9" s="115">
        <f>U9+X9+AA9</f>
        <v/>
      </c>
      <c r="AE9" s="116">
        <f>V9+Y9+AB9</f>
        <v/>
      </c>
      <c r="AF9" s="116">
        <f>W9+Z9+AC9</f>
        <v/>
      </c>
      <c r="AG9" s="115">
        <f>R9+AD9</f>
        <v/>
      </c>
      <c r="AH9" s="116">
        <f>S9+AE9</f>
        <v/>
      </c>
      <c r="AI9" s="116">
        <f>T9+AF9</f>
        <v/>
      </c>
      <c r="AJ9" s="115" t="n"/>
      <c r="AK9" s="116" t="n"/>
      <c r="AL9" s="116" t="n"/>
      <c r="AM9" s="115">
        <f>(O9-AG9)+AJ9</f>
        <v/>
      </c>
      <c r="AN9" s="116">
        <f>(P9-AH9)+AK9</f>
        <v/>
      </c>
      <c r="AO9" s="116">
        <f>(Q9-AI9)+AL9</f>
        <v/>
      </c>
      <c r="AP9" s="93">
        <f>IF(AM9&gt;0, "Under",IF(AM9&lt;0,"Over",""))</f>
        <v/>
      </c>
      <c r="AQ9" s="94">
        <f>IF(AN9&gt;0, "Under",IF(AN9&lt;0,"Over",""))</f>
        <v/>
      </c>
      <c r="AR9" s="94">
        <f>IF(AO9&gt;0, "Under",IF(AO9&lt;0,"Over",""))</f>
        <v/>
      </c>
      <c r="AS9" s="3" t="n"/>
    </row>
    <row r="10">
      <c r="A10" t="inlineStr">
        <is>
          <t>0-4004-06</t>
        </is>
      </c>
      <c r="B10" t="inlineStr">
        <is>
          <t>0-4004-06 Cable Management</t>
        </is>
      </c>
      <c r="C10" s="113" t="n">
        <v>0</v>
      </c>
      <c r="D10" s="114" t="n">
        <v>0</v>
      </c>
      <c r="E10" s="114" t="n">
        <v>0</v>
      </c>
      <c r="F10" s="113" t="n">
        <v>0</v>
      </c>
      <c r="G10" s="114" t="n">
        <v>0</v>
      </c>
      <c r="H10" s="114" t="n">
        <v>1624883.96</v>
      </c>
      <c r="I10" s="113" t="n">
        <v>0</v>
      </c>
      <c r="J10" s="114" t="n">
        <v>0</v>
      </c>
      <c r="K10" s="114" t="n">
        <v>0</v>
      </c>
      <c r="L10" s="113" t="n">
        <v>0</v>
      </c>
      <c r="M10" s="114" t="n">
        <v>0</v>
      </c>
      <c r="N10" s="114" t="n">
        <v>0</v>
      </c>
      <c r="O10" s="113">
        <f>L10+I10+F10+C10</f>
        <v/>
      </c>
      <c r="P10" s="114">
        <f>M10+J10+G10+D10</f>
        <v/>
      </c>
      <c r="Q10" s="114">
        <f>N10+K10+H10+E10</f>
        <v/>
      </c>
      <c r="R10" s="113">
        <f>SUMIFS('PO Log'!$E:$E,'PO Log'!$D:$D,'Category Table'!R$2,'PO Log'!$C:$C,'Category Table'!$A10)</f>
        <v/>
      </c>
      <c r="S10" s="114">
        <f>SUMIFS('PO Log'!$E:$E,'PO Log'!$D:$D,'Category Table'!S$2,'PO Log'!$C:$C,'Category Table'!$A10)</f>
        <v/>
      </c>
      <c r="T10" s="114">
        <f>SUMIFS('PO Log'!$E:$E,'PO Log'!$D:$D,'Category Table'!T$2,'PO Log'!$C:$C,'Category Table'!$A10)</f>
        <v/>
      </c>
      <c r="U10" s="113">
        <f>SUMIFS('Committments Dump'!$Q:$Q,'Committments Dump'!$C:$C,'Category Table'!U$2,'Committments Dump'!$B:$B,'Category Table'!$A10)</f>
        <v/>
      </c>
      <c r="V10" s="114">
        <f>SUMIFS('Committments Dump'!$Q:$Q,'Committments Dump'!$C:$C,'Category Table'!V$2,'Committments Dump'!$B:$B,'Category Table'!$A10)</f>
        <v/>
      </c>
      <c r="W10" s="114">
        <f>SUMIFS('Committments Dump'!$Q:$Q,'Committments Dump'!$C:$C,'Category Table'!W$2,'Committments Dump'!$B:$B,'Category Table'!$A10)</f>
        <v/>
      </c>
      <c r="X10" s="113">
        <f>SUMIFS('Committments Dump'!$R:$R,'Committments Dump'!$C:$C,'Category Table'!X$2,'Committments Dump'!$B:$B,'Category Table'!$A10)</f>
        <v/>
      </c>
      <c r="Y10" s="114">
        <f>SUMIFS('Committments Dump'!$R:$R,'Committments Dump'!$C:$C,'Category Table'!Y$2,'Committments Dump'!$B:$B,'Category Table'!$A10)</f>
        <v/>
      </c>
      <c r="Z10" s="114">
        <f>SUMIFS('Committments Dump'!$R:$R,'Committments Dump'!$C:$C,'Category Table'!Z$2,'Committments Dump'!$B:$B,'Category Table'!$A10)</f>
        <v/>
      </c>
      <c r="AA10" s="113">
        <f>SUMIFS('Committments Dump'!$S:$S,'Committments Dump'!$C:$C,'Category Table'!AA$2,'Committments Dump'!$B:$B,'Category Table'!$A10)</f>
        <v/>
      </c>
      <c r="AB10" s="114">
        <f>SUMIFS('Committments Dump'!$S:$S,'Committments Dump'!$C:$C,'Category Table'!AB$2,'Committments Dump'!$B:$B,'Category Table'!$A10)</f>
        <v/>
      </c>
      <c r="AC10" s="114">
        <f>SUMIFS('Committments Dump'!$S:$S,'Committments Dump'!$C:$C,'Category Table'!AC$2,'Committments Dump'!$B:$B,'Category Table'!$A10)</f>
        <v/>
      </c>
      <c r="AD10" s="113">
        <f>U10+X10+AA10</f>
        <v/>
      </c>
      <c r="AE10" s="114">
        <f>V10+Y10+AB10</f>
        <v/>
      </c>
      <c r="AF10" s="114">
        <f>W10+Z10+AC10</f>
        <v/>
      </c>
      <c r="AG10" s="113">
        <f>R10+AD10</f>
        <v/>
      </c>
      <c r="AH10" s="114">
        <f>S10+AE10</f>
        <v/>
      </c>
      <c r="AI10" s="114">
        <f>T10+AF10</f>
        <v/>
      </c>
      <c r="AJ10" s="113" t="n"/>
      <c r="AK10" s="114" t="n"/>
      <c r="AL10" s="114" t="n"/>
      <c r="AM10" s="113">
        <f>(O10-AG10)+AJ10</f>
        <v/>
      </c>
      <c r="AN10" s="114">
        <f>(P10-AH10)+AK10</f>
        <v/>
      </c>
      <c r="AO10" s="114">
        <f>(Q10-AI10)+AL10</f>
        <v/>
      </c>
      <c r="AP10" s="2">
        <f>IF(AM10&gt;0, "Under",IF(AM10&lt;0,"Over",""))</f>
        <v/>
      </c>
      <c r="AQ10" s="1">
        <f>IF(AN10&gt;0, "Under",IF(AN10&lt;0,"Over",""))</f>
        <v/>
      </c>
      <c r="AR10" s="1">
        <f>IF(AO10&gt;0, "Under",IF(AO10&lt;0,"Over",""))</f>
        <v/>
      </c>
      <c r="AS10" s="3" t="n"/>
    </row>
    <row r="11">
      <c r="A11" s="90" t="inlineStr">
        <is>
          <t>0-4004-07</t>
        </is>
      </c>
      <c r="B11" s="90" t="inlineStr">
        <is>
          <t xml:space="preserve">0-4004-07 Scada </t>
        </is>
      </c>
      <c r="C11" s="115" t="n">
        <v>0</v>
      </c>
      <c r="D11" s="116" t="n">
        <v>0</v>
      </c>
      <c r="E11" s="116" t="n">
        <v>0</v>
      </c>
      <c r="F11" s="115" t="n">
        <v>138740</v>
      </c>
      <c r="G11" s="116" t="n">
        <v>0</v>
      </c>
      <c r="H11" s="116" t="n">
        <v>1848766.26</v>
      </c>
      <c r="I11" s="115" t="n">
        <v>0</v>
      </c>
      <c r="J11" s="116" t="n">
        <v>0</v>
      </c>
      <c r="K11" s="116" t="n">
        <v>0</v>
      </c>
      <c r="L11" s="115" t="n">
        <v>0</v>
      </c>
      <c r="M11" s="116" t="n">
        <v>0</v>
      </c>
      <c r="N11" s="116" t="n">
        <v>0</v>
      </c>
      <c r="O11" s="115">
        <f>L11+I11+F11+C11</f>
        <v/>
      </c>
      <c r="P11" s="116">
        <f>M11+J11+G11+D11</f>
        <v/>
      </c>
      <c r="Q11" s="116">
        <f>N11+K11+H11+E11</f>
        <v/>
      </c>
      <c r="R11" s="115">
        <f>SUMIFS('PO Log'!$E:$E,'PO Log'!$D:$D,'Category Table'!R$2,'PO Log'!$C:$C,'Category Table'!$A11)</f>
        <v/>
      </c>
      <c r="S11" s="116">
        <f>SUMIFS('PO Log'!$E:$E,'PO Log'!$D:$D,'Category Table'!S$2,'PO Log'!$C:$C,'Category Table'!$A11)</f>
        <v/>
      </c>
      <c r="T11" s="116">
        <f>SUMIFS('PO Log'!$E:$E,'PO Log'!$D:$D,'Category Table'!T$2,'PO Log'!$C:$C,'Category Table'!$A11)</f>
        <v/>
      </c>
      <c r="U11" s="115">
        <f>SUMIFS('Committments Dump'!$Q:$Q,'Committments Dump'!$C:$C,'Category Table'!U$2,'Committments Dump'!$B:$B,'Category Table'!$A11)</f>
        <v/>
      </c>
      <c r="V11" s="116">
        <f>SUMIFS('Committments Dump'!$Q:$Q,'Committments Dump'!$C:$C,'Category Table'!V$2,'Committments Dump'!$B:$B,'Category Table'!$A11)</f>
        <v/>
      </c>
      <c r="W11" s="116">
        <f>SUMIFS('Committments Dump'!$Q:$Q,'Committments Dump'!$C:$C,'Category Table'!W$2,'Committments Dump'!$B:$B,'Category Table'!$A11)</f>
        <v/>
      </c>
      <c r="X11" s="115">
        <f>SUMIFS('Committments Dump'!$R:$R,'Committments Dump'!$C:$C,'Category Table'!X$2,'Committments Dump'!$B:$B,'Category Table'!$A11)</f>
        <v/>
      </c>
      <c r="Y11" s="116">
        <f>SUMIFS('Committments Dump'!$R:$R,'Committments Dump'!$C:$C,'Category Table'!Y$2,'Committments Dump'!$B:$B,'Category Table'!$A11)</f>
        <v/>
      </c>
      <c r="Z11" s="116">
        <f>SUMIFS('Committments Dump'!$R:$R,'Committments Dump'!$C:$C,'Category Table'!Z$2,'Committments Dump'!$B:$B,'Category Table'!$A11)</f>
        <v/>
      </c>
      <c r="AA11" s="115">
        <f>SUMIFS('Committments Dump'!$S:$S,'Committments Dump'!$C:$C,'Category Table'!AA$2,'Committments Dump'!$B:$B,'Category Table'!$A11)</f>
        <v/>
      </c>
      <c r="AB11" s="116">
        <f>SUMIFS('Committments Dump'!$S:$S,'Committments Dump'!$C:$C,'Category Table'!AB$2,'Committments Dump'!$B:$B,'Category Table'!$A11)</f>
        <v/>
      </c>
      <c r="AC11" s="116">
        <f>SUMIFS('Committments Dump'!$S:$S,'Committments Dump'!$C:$C,'Category Table'!AC$2,'Committments Dump'!$B:$B,'Category Table'!$A11)</f>
        <v/>
      </c>
      <c r="AD11" s="115">
        <f>U11+X11+AA11</f>
        <v/>
      </c>
      <c r="AE11" s="116">
        <f>V11+Y11+AB11</f>
        <v/>
      </c>
      <c r="AF11" s="116">
        <f>W11+Z11+AC11</f>
        <v/>
      </c>
      <c r="AG11" s="115">
        <f>R11+AD11</f>
        <v/>
      </c>
      <c r="AH11" s="116">
        <f>S11+AE11</f>
        <v/>
      </c>
      <c r="AI11" s="116">
        <f>T11+AF11</f>
        <v/>
      </c>
      <c r="AJ11" s="115" t="n"/>
      <c r="AK11" s="116" t="n"/>
      <c r="AL11" s="116" t="n"/>
      <c r="AM11" s="115">
        <f>(O11-AG11)+AJ11</f>
        <v/>
      </c>
      <c r="AN11" s="116">
        <f>(P11-AH11)+AK11</f>
        <v/>
      </c>
      <c r="AO11" s="116">
        <f>(Q11-AI11)+AL11</f>
        <v/>
      </c>
      <c r="AP11" s="93">
        <f>IF(AM11&gt;0, "Under",IF(AM11&lt;0,"Over",""))</f>
        <v/>
      </c>
      <c r="AQ11" s="94">
        <f>IF(AN11&gt;0, "Under",IF(AN11&lt;0,"Over",""))</f>
        <v/>
      </c>
      <c r="AR11" s="94">
        <f>IF(AO11&gt;0, "Under",IF(AO11&lt;0,"Over",""))</f>
        <v/>
      </c>
      <c r="AS11" s="3" t="n"/>
    </row>
    <row r="12">
      <c r="A12" t="inlineStr">
        <is>
          <t>0-4004-08</t>
        </is>
      </c>
      <c r="B12" t="inlineStr">
        <is>
          <t>0-4004-08 PV Harness &amp; LBDs</t>
        </is>
      </c>
      <c r="C12" s="113" t="n">
        <v>0</v>
      </c>
      <c r="D12" s="114" t="n">
        <v>0</v>
      </c>
      <c r="E12" s="114" t="n">
        <v>0</v>
      </c>
      <c r="F12" s="113" t="n">
        <v>0</v>
      </c>
      <c r="G12" s="114" t="n">
        <v>0</v>
      </c>
      <c r="H12" s="114" t="n">
        <v>11679119.26</v>
      </c>
      <c r="I12" s="113" t="n">
        <v>0</v>
      </c>
      <c r="J12" s="114" t="n">
        <v>0</v>
      </c>
      <c r="K12" s="114" t="n">
        <v>0</v>
      </c>
      <c r="L12" s="113" t="n">
        <v>0</v>
      </c>
      <c r="M12" s="114" t="n">
        <v>0</v>
      </c>
      <c r="N12" s="114" t="n">
        <v>0</v>
      </c>
      <c r="O12" s="113">
        <f>L12+I12+F12+C12</f>
        <v/>
      </c>
      <c r="P12" s="114">
        <f>M12+J12+G12+D12</f>
        <v/>
      </c>
      <c r="Q12" s="114">
        <f>N12+K12+H12+E12</f>
        <v/>
      </c>
      <c r="R12" s="113">
        <f>SUMIFS('PO Log'!$E:$E,'PO Log'!$D:$D,'Category Table'!R$2,'PO Log'!$C:$C,'Category Table'!$A12)</f>
        <v/>
      </c>
      <c r="S12" s="114">
        <f>SUMIFS('PO Log'!$E:$E,'PO Log'!$D:$D,'Category Table'!S$2,'PO Log'!$C:$C,'Category Table'!$A12)</f>
        <v/>
      </c>
      <c r="T12" s="114">
        <f>SUMIFS('PO Log'!$E:$E,'PO Log'!$D:$D,'Category Table'!T$2,'PO Log'!$C:$C,'Category Table'!$A12)</f>
        <v/>
      </c>
      <c r="U12" s="113">
        <f>SUMIFS('Committments Dump'!$Q:$Q,'Committments Dump'!$C:$C,'Category Table'!U$2,'Committments Dump'!$B:$B,'Category Table'!$A12)</f>
        <v/>
      </c>
      <c r="V12" s="114">
        <f>SUMIFS('Committments Dump'!$Q:$Q,'Committments Dump'!$C:$C,'Category Table'!V$2,'Committments Dump'!$B:$B,'Category Table'!$A12)</f>
        <v/>
      </c>
      <c r="W12" s="114">
        <f>SUMIFS('Committments Dump'!$Q:$Q,'Committments Dump'!$C:$C,'Category Table'!W$2,'Committments Dump'!$B:$B,'Category Table'!$A12)</f>
        <v/>
      </c>
      <c r="X12" s="113">
        <f>SUMIFS('Committments Dump'!$R:$R,'Committments Dump'!$C:$C,'Category Table'!X$2,'Committments Dump'!$B:$B,'Category Table'!$A12)</f>
        <v/>
      </c>
      <c r="Y12" s="114">
        <f>SUMIFS('Committments Dump'!$R:$R,'Committments Dump'!$C:$C,'Category Table'!Y$2,'Committments Dump'!$B:$B,'Category Table'!$A12)</f>
        <v/>
      </c>
      <c r="Z12" s="114">
        <f>SUMIFS('Committments Dump'!$R:$R,'Committments Dump'!$C:$C,'Category Table'!Z$2,'Committments Dump'!$B:$B,'Category Table'!$A12)</f>
        <v/>
      </c>
      <c r="AA12" s="113">
        <f>SUMIFS('Committments Dump'!$S:$S,'Committments Dump'!$C:$C,'Category Table'!AA$2,'Committments Dump'!$B:$B,'Category Table'!$A12)</f>
        <v/>
      </c>
      <c r="AB12" s="114">
        <f>SUMIFS('Committments Dump'!$S:$S,'Committments Dump'!$C:$C,'Category Table'!AB$2,'Committments Dump'!$B:$B,'Category Table'!$A12)</f>
        <v/>
      </c>
      <c r="AC12" s="114">
        <f>SUMIFS('Committments Dump'!$S:$S,'Committments Dump'!$C:$C,'Category Table'!AC$2,'Committments Dump'!$B:$B,'Category Table'!$A12)</f>
        <v/>
      </c>
      <c r="AD12" s="113">
        <f>U12+X12+AA12</f>
        <v/>
      </c>
      <c r="AE12" s="114">
        <f>V12+Y12+AB12</f>
        <v/>
      </c>
      <c r="AF12" s="114">
        <f>W12+Z12+AC12</f>
        <v/>
      </c>
      <c r="AG12" s="113">
        <f>R12+AD12</f>
        <v/>
      </c>
      <c r="AH12" s="114">
        <f>S12+AE12</f>
        <v/>
      </c>
      <c r="AI12" s="114">
        <f>T12+AF12</f>
        <v/>
      </c>
      <c r="AJ12" s="113" t="n"/>
      <c r="AK12" s="114" t="n"/>
      <c r="AL12" s="114" t="n"/>
      <c r="AM12" s="113">
        <f>(O12-AG12)+AJ12</f>
        <v/>
      </c>
      <c r="AN12" s="114">
        <f>(P12-AH12)+AK12</f>
        <v/>
      </c>
      <c r="AO12" s="114">
        <f>(Q12-AI12)+AL12</f>
        <v/>
      </c>
      <c r="AP12" s="2">
        <f>IF(AM12&gt;0, "Under",IF(AM12&lt;0,"Over",""))</f>
        <v/>
      </c>
      <c r="AQ12" s="1">
        <f>IF(AN12&gt;0, "Under",IF(AN12&lt;0,"Over",""))</f>
        <v/>
      </c>
      <c r="AR12" s="1">
        <f>IF(AO12&gt;0, "Under",IF(AO12&lt;0,"Over",""))</f>
        <v/>
      </c>
      <c r="AS12" s="3" t="n"/>
    </row>
    <row r="13">
      <c r="A13" s="90" t="inlineStr">
        <is>
          <t>0-4004-10</t>
        </is>
      </c>
      <c r="B13" s="90" t="inlineStr">
        <is>
          <t>0-4004-10 PV Electrical Materia</t>
        </is>
      </c>
      <c r="C13" s="115" t="n">
        <v>0</v>
      </c>
      <c r="D13" s="116" t="n">
        <v>123.43</v>
      </c>
      <c r="E13" s="116" t="n">
        <v>34204.68</v>
      </c>
      <c r="F13" s="115" t="n">
        <v>0</v>
      </c>
      <c r="G13" s="116" t="n">
        <v>-132692.5900000311</v>
      </c>
      <c r="H13" s="116" t="n">
        <v>2032532.16</v>
      </c>
      <c r="I13" s="115" t="n">
        <v>0</v>
      </c>
      <c r="J13" s="116" t="n">
        <v>10.40000000000001</v>
      </c>
      <c r="K13" s="116" t="n">
        <v>2127.89</v>
      </c>
      <c r="L13" s="115" t="n">
        <v>0</v>
      </c>
      <c r="M13" s="116" t="n">
        <v>0</v>
      </c>
      <c r="N13" s="116" t="n">
        <v>4.092726157978177e-12</v>
      </c>
      <c r="O13" s="115">
        <f>L13+I13+F13+C13</f>
        <v/>
      </c>
      <c r="P13" s="116">
        <f>M13+J13+G13+D13</f>
        <v/>
      </c>
      <c r="Q13" s="116">
        <f>N13+K13+H13+E13</f>
        <v/>
      </c>
      <c r="R13" s="115">
        <f>SUMIFS('PO Log'!$E:$E,'PO Log'!$D:$D,'Category Table'!R$2,'PO Log'!$C:$C,'Category Table'!$A13)</f>
        <v/>
      </c>
      <c r="S13" s="116">
        <f>SUMIFS('PO Log'!$E:$E,'PO Log'!$D:$D,'Category Table'!S$2,'PO Log'!$C:$C,'Category Table'!$A13)</f>
        <v/>
      </c>
      <c r="T13" s="116">
        <f>SUMIFS('PO Log'!$E:$E,'PO Log'!$D:$D,'Category Table'!T$2,'PO Log'!$C:$C,'Category Table'!$A13)</f>
        <v/>
      </c>
      <c r="U13" s="115">
        <f>SUMIFS('Committments Dump'!$Q:$Q,'Committments Dump'!$C:$C,'Category Table'!U$2,'Committments Dump'!$B:$B,'Category Table'!$A13)</f>
        <v/>
      </c>
      <c r="V13" s="116">
        <f>SUMIFS('Committments Dump'!$Q:$Q,'Committments Dump'!$C:$C,'Category Table'!V$2,'Committments Dump'!$B:$B,'Category Table'!$A13)</f>
        <v/>
      </c>
      <c r="W13" s="116">
        <f>SUMIFS('Committments Dump'!$Q:$Q,'Committments Dump'!$C:$C,'Category Table'!W$2,'Committments Dump'!$B:$B,'Category Table'!$A13)</f>
        <v/>
      </c>
      <c r="X13" s="115">
        <f>SUMIFS('Committments Dump'!$R:$R,'Committments Dump'!$C:$C,'Category Table'!X$2,'Committments Dump'!$B:$B,'Category Table'!$A13)</f>
        <v/>
      </c>
      <c r="Y13" s="116">
        <f>SUMIFS('Committments Dump'!$R:$R,'Committments Dump'!$C:$C,'Category Table'!Y$2,'Committments Dump'!$B:$B,'Category Table'!$A13)</f>
        <v/>
      </c>
      <c r="Z13" s="116">
        <f>SUMIFS('Committments Dump'!$R:$R,'Committments Dump'!$C:$C,'Category Table'!Z$2,'Committments Dump'!$B:$B,'Category Table'!$A13)</f>
        <v/>
      </c>
      <c r="AA13" s="115">
        <f>SUMIFS('Committments Dump'!$S:$S,'Committments Dump'!$C:$C,'Category Table'!AA$2,'Committments Dump'!$B:$B,'Category Table'!$A13)</f>
        <v/>
      </c>
      <c r="AB13" s="116">
        <f>SUMIFS('Committments Dump'!$S:$S,'Committments Dump'!$C:$C,'Category Table'!AB$2,'Committments Dump'!$B:$B,'Category Table'!$A13)</f>
        <v/>
      </c>
      <c r="AC13" s="116">
        <f>SUMIFS('Committments Dump'!$S:$S,'Committments Dump'!$C:$C,'Category Table'!AC$2,'Committments Dump'!$B:$B,'Category Table'!$A13)</f>
        <v/>
      </c>
      <c r="AD13" s="115">
        <f>U13+X13+AA13</f>
        <v/>
      </c>
      <c r="AE13" s="116">
        <f>V13+Y13+AB13</f>
        <v/>
      </c>
      <c r="AF13" s="116">
        <f>W13+Z13+AC13</f>
        <v/>
      </c>
      <c r="AG13" s="115">
        <f>R13+AD13</f>
        <v/>
      </c>
      <c r="AH13" s="116">
        <f>S13+AE13</f>
        <v/>
      </c>
      <c r="AI13" s="116">
        <f>T13+AF13</f>
        <v/>
      </c>
      <c r="AJ13" s="115" t="n"/>
      <c r="AK13" s="116" t="n"/>
      <c r="AL13" s="116" t="n"/>
      <c r="AM13" s="115">
        <f>(O13-AG13)+AJ13</f>
        <v/>
      </c>
      <c r="AN13" s="116">
        <f>(P13-AH13)+AK13</f>
        <v/>
      </c>
      <c r="AO13" s="116">
        <f>(Q13-AI13)+AL13</f>
        <v/>
      </c>
      <c r="AP13" s="93">
        <f>IF(AM13&gt;0, "Under",IF(AM13&lt;0,"Over",""))</f>
        <v/>
      </c>
      <c r="AQ13" s="94">
        <f>IF(AN13&gt;0, "Under",IF(AN13&lt;0,"Over",""))</f>
        <v/>
      </c>
      <c r="AR13" s="94">
        <f>IF(AO13&gt;0, "Under",IF(AO13&lt;0,"Over",""))</f>
        <v/>
      </c>
      <c r="AS13" s="3" t="n"/>
    </row>
    <row r="14">
      <c r="A14" t="inlineStr">
        <is>
          <t>0-4004-12</t>
        </is>
      </c>
      <c r="B14" t="inlineStr">
        <is>
          <t>0-4004-12 Non Tracker Piles</t>
        </is>
      </c>
      <c r="C14" s="113" t="n">
        <v>0</v>
      </c>
      <c r="D14" s="114" t="n">
        <v>0</v>
      </c>
      <c r="E14" s="114" t="n">
        <v>0</v>
      </c>
      <c r="F14" s="113" t="n">
        <v>0</v>
      </c>
      <c r="G14" s="114" t="n">
        <v>0</v>
      </c>
      <c r="H14" s="114" t="n"/>
      <c r="I14" s="113" t="n">
        <v>0</v>
      </c>
      <c r="J14" s="114" t="n">
        <v>0</v>
      </c>
      <c r="K14" s="114" t="n">
        <v>0</v>
      </c>
      <c r="L14" s="113" t="n">
        <v>0</v>
      </c>
      <c r="M14" s="114" t="n">
        <v>212948.61</v>
      </c>
      <c r="N14" s="114" t="n">
        <v>754485.45</v>
      </c>
      <c r="O14" s="113">
        <f>L14+I14+F14+C14</f>
        <v/>
      </c>
      <c r="P14" s="114">
        <f>M14+J14+G14+D14</f>
        <v/>
      </c>
      <c r="Q14" s="114">
        <f>N14+K14+H14+E14</f>
        <v/>
      </c>
      <c r="R14" s="113">
        <f>SUMIFS('PO Log'!$E:$E,'PO Log'!$D:$D,'Category Table'!R$2,'PO Log'!$C:$C,'Category Table'!$A14)</f>
        <v/>
      </c>
      <c r="S14" s="114">
        <f>SUMIFS('PO Log'!$E:$E,'PO Log'!$D:$D,'Category Table'!S$2,'PO Log'!$C:$C,'Category Table'!$A14)</f>
        <v/>
      </c>
      <c r="T14" s="114">
        <f>SUMIFS('PO Log'!$E:$E,'PO Log'!$D:$D,'Category Table'!T$2,'PO Log'!$C:$C,'Category Table'!$A14)</f>
        <v/>
      </c>
      <c r="U14" s="113">
        <f>SUMIFS('Committments Dump'!$Q:$Q,'Committments Dump'!$C:$C,'Category Table'!U$2,'Committments Dump'!$B:$B,'Category Table'!$A14)</f>
        <v/>
      </c>
      <c r="V14" s="114">
        <f>SUMIFS('Committments Dump'!$Q:$Q,'Committments Dump'!$C:$C,'Category Table'!V$2,'Committments Dump'!$B:$B,'Category Table'!$A14)</f>
        <v/>
      </c>
      <c r="W14" s="114">
        <f>SUMIFS('Committments Dump'!$Q:$Q,'Committments Dump'!$C:$C,'Category Table'!W$2,'Committments Dump'!$B:$B,'Category Table'!$A14)</f>
        <v/>
      </c>
      <c r="X14" s="113">
        <f>SUMIFS('Committments Dump'!$R:$R,'Committments Dump'!$C:$C,'Category Table'!X$2,'Committments Dump'!$B:$B,'Category Table'!$A14)</f>
        <v/>
      </c>
      <c r="Y14" s="114">
        <f>SUMIFS('Committments Dump'!$R:$R,'Committments Dump'!$C:$C,'Category Table'!Y$2,'Committments Dump'!$B:$B,'Category Table'!$A14)</f>
        <v/>
      </c>
      <c r="Z14" s="114">
        <f>SUMIFS('Committments Dump'!$R:$R,'Committments Dump'!$C:$C,'Category Table'!Z$2,'Committments Dump'!$B:$B,'Category Table'!$A14)</f>
        <v/>
      </c>
      <c r="AA14" s="113">
        <f>SUMIFS('Committments Dump'!$S:$S,'Committments Dump'!$C:$C,'Category Table'!AA$2,'Committments Dump'!$B:$B,'Category Table'!$A14)</f>
        <v/>
      </c>
      <c r="AB14" s="114">
        <f>SUMIFS('Committments Dump'!$S:$S,'Committments Dump'!$C:$C,'Category Table'!AB$2,'Committments Dump'!$B:$B,'Category Table'!$A14)</f>
        <v/>
      </c>
      <c r="AC14" s="114">
        <f>SUMIFS('Committments Dump'!$S:$S,'Committments Dump'!$C:$C,'Category Table'!AC$2,'Committments Dump'!$B:$B,'Category Table'!$A14)</f>
        <v/>
      </c>
      <c r="AD14" s="113">
        <f>U14+X14+AA14</f>
        <v/>
      </c>
      <c r="AE14" s="114">
        <f>V14+Y14+AB14</f>
        <v/>
      </c>
      <c r="AF14" s="114">
        <f>W14+Z14+AC14</f>
        <v/>
      </c>
      <c r="AG14" s="113">
        <f>R14+AD14</f>
        <v/>
      </c>
      <c r="AH14" s="114">
        <f>S14+AE14</f>
        <v/>
      </c>
      <c r="AI14" s="114">
        <f>T14+AF14</f>
        <v/>
      </c>
      <c r="AJ14" s="113" t="n"/>
      <c r="AK14" s="114" t="n"/>
      <c r="AL14" s="114" t="n"/>
      <c r="AM14" s="113">
        <f>(O14-AG14)+AJ14</f>
        <v/>
      </c>
      <c r="AN14" s="114">
        <f>(P14-AH14)+AK14</f>
        <v/>
      </c>
      <c r="AO14" s="114">
        <f>(Q14-AI14)+AL14</f>
        <v/>
      </c>
      <c r="AP14" s="2">
        <f>IF(AM14&gt;0, "Under",IF(AM14&lt;0,"Over",""))</f>
        <v/>
      </c>
      <c r="AQ14" s="1">
        <f>IF(AN14&gt;0, "Under",IF(AN14&lt;0,"Over",""))</f>
        <v/>
      </c>
      <c r="AR14" s="1">
        <f>IF(AO14&gt;0, "Under",IF(AO14&lt;0,"Over",""))</f>
        <v/>
      </c>
      <c r="AS14" s="3" t="n"/>
    </row>
    <row r="15">
      <c r="A15" s="90" t="inlineStr">
        <is>
          <t>0-4004-13</t>
        </is>
      </c>
      <c r="B15" s="90" t="inlineStr">
        <is>
          <t>0-4004-13 CenterPoint's Breaker</t>
        </is>
      </c>
      <c r="C15" s="115" t="n">
        <v>0</v>
      </c>
      <c r="D15" s="116" t="n">
        <v>0</v>
      </c>
      <c r="E15" s="116" t="n">
        <v>0</v>
      </c>
      <c r="F15" s="115" t="n">
        <v>0</v>
      </c>
      <c r="G15" s="116" t="n">
        <v>0</v>
      </c>
      <c r="H15" s="116" t="n">
        <v>-33000</v>
      </c>
      <c r="I15" s="115" t="n">
        <v>0</v>
      </c>
      <c r="J15" s="116" t="n">
        <v>0</v>
      </c>
      <c r="K15" s="116" t="n">
        <v>0</v>
      </c>
      <c r="L15" s="115" t="n">
        <v>0</v>
      </c>
      <c r="M15" s="116" t="n">
        <v>0</v>
      </c>
      <c r="N15" s="116" t="n">
        <v>333000</v>
      </c>
      <c r="O15" s="115">
        <f>L15+I15+F15+C15</f>
        <v/>
      </c>
      <c r="P15" s="116">
        <f>M15+J15+G15+D15</f>
        <v/>
      </c>
      <c r="Q15" s="116">
        <f>N15+K15+H15+E15</f>
        <v/>
      </c>
      <c r="R15" s="115">
        <f>SUMIFS('PO Log'!$E:$E,'PO Log'!$D:$D,'Category Table'!R$2,'PO Log'!$C:$C,'Category Table'!$A15)</f>
        <v/>
      </c>
      <c r="S15" s="116">
        <f>SUMIFS('PO Log'!$E:$E,'PO Log'!$D:$D,'Category Table'!S$2,'PO Log'!$C:$C,'Category Table'!$A15)</f>
        <v/>
      </c>
      <c r="T15" s="116">
        <f>SUMIFS('PO Log'!$E:$E,'PO Log'!$D:$D,'Category Table'!T$2,'PO Log'!$C:$C,'Category Table'!$A15)</f>
        <v/>
      </c>
      <c r="U15" s="115">
        <f>SUMIFS('Committments Dump'!$Q:$Q,'Committments Dump'!$C:$C,'Category Table'!U$2,'Committments Dump'!$B:$B,'Category Table'!$A15)</f>
        <v/>
      </c>
      <c r="V15" s="116">
        <f>SUMIFS('Committments Dump'!$Q:$Q,'Committments Dump'!$C:$C,'Category Table'!V$2,'Committments Dump'!$B:$B,'Category Table'!$A15)</f>
        <v/>
      </c>
      <c r="W15" s="116">
        <f>SUMIFS('Committments Dump'!$Q:$Q,'Committments Dump'!$C:$C,'Category Table'!W$2,'Committments Dump'!$B:$B,'Category Table'!$A15)</f>
        <v/>
      </c>
      <c r="X15" s="115">
        <f>SUMIFS('Committments Dump'!$R:$R,'Committments Dump'!$C:$C,'Category Table'!X$2,'Committments Dump'!$B:$B,'Category Table'!$A15)</f>
        <v/>
      </c>
      <c r="Y15" s="116">
        <f>SUMIFS('Committments Dump'!$R:$R,'Committments Dump'!$C:$C,'Category Table'!Y$2,'Committments Dump'!$B:$B,'Category Table'!$A15)</f>
        <v/>
      </c>
      <c r="Z15" s="116">
        <f>SUMIFS('Committments Dump'!$R:$R,'Committments Dump'!$C:$C,'Category Table'!Z$2,'Committments Dump'!$B:$B,'Category Table'!$A15)</f>
        <v/>
      </c>
      <c r="AA15" s="115">
        <f>SUMIFS('Committments Dump'!$S:$S,'Committments Dump'!$C:$C,'Category Table'!AA$2,'Committments Dump'!$B:$B,'Category Table'!$A15)</f>
        <v/>
      </c>
      <c r="AB15" s="116">
        <f>SUMIFS('Committments Dump'!$S:$S,'Committments Dump'!$C:$C,'Category Table'!AB$2,'Committments Dump'!$B:$B,'Category Table'!$A15)</f>
        <v/>
      </c>
      <c r="AC15" s="116">
        <f>SUMIFS('Committments Dump'!$S:$S,'Committments Dump'!$C:$C,'Category Table'!AC$2,'Committments Dump'!$B:$B,'Category Table'!$A15)</f>
        <v/>
      </c>
      <c r="AD15" s="115">
        <f>U15+X15+AA15</f>
        <v/>
      </c>
      <c r="AE15" s="116">
        <f>V15+Y15+AB15</f>
        <v/>
      </c>
      <c r="AF15" s="116">
        <f>W15+Z15+AC15</f>
        <v/>
      </c>
      <c r="AG15" s="115">
        <f>R15+AD15</f>
        <v/>
      </c>
      <c r="AH15" s="116">
        <f>S15+AE15</f>
        <v/>
      </c>
      <c r="AI15" s="116">
        <f>T15+AF15</f>
        <v/>
      </c>
      <c r="AJ15" s="115" t="n"/>
      <c r="AK15" s="116" t="n"/>
      <c r="AL15" s="116" t="n"/>
      <c r="AM15" s="115">
        <f>(O15-AG15)+AJ15</f>
        <v/>
      </c>
      <c r="AN15" s="116">
        <f>(P15-AH15)+AK15</f>
        <v/>
      </c>
      <c r="AO15" s="116">
        <f>(Q15-AI15)+AL15</f>
        <v/>
      </c>
      <c r="AP15" s="93">
        <f>IF(AM15&gt;0, "Under",IF(AM15&lt;0,"Over",""))</f>
        <v/>
      </c>
      <c r="AQ15" s="94">
        <f>IF(AN15&gt;0, "Under",IF(AN15&lt;0,"Over",""))</f>
        <v/>
      </c>
      <c r="AR15" s="94">
        <f>IF(AO15&gt;0, "Under",IF(AO15&lt;0,"Over",""))</f>
        <v/>
      </c>
      <c r="AS15" s="3" t="n"/>
    </row>
    <row r="16">
      <c r="A16" t="inlineStr">
        <is>
          <t>0-4005</t>
        </is>
      </c>
      <c r="B16" t="inlineStr">
        <is>
          <t>0-4005-FOE</t>
        </is>
      </c>
      <c r="C16" s="113" t="n">
        <v>0</v>
      </c>
      <c r="D16" s="114" t="n">
        <v>20433.51</v>
      </c>
      <c r="E16" s="114" t="n">
        <v>0</v>
      </c>
      <c r="F16" s="113" t="n">
        <v>0</v>
      </c>
      <c r="G16" s="114" t="n">
        <v>3435.368520813994</v>
      </c>
      <c r="H16" s="114" t="n">
        <v>0</v>
      </c>
      <c r="I16" s="113" t="n">
        <v>0</v>
      </c>
      <c r="J16" s="114" t="n">
        <v>0</v>
      </c>
      <c r="K16" s="114" t="n">
        <v>0</v>
      </c>
      <c r="L16" s="113" t="n">
        <v>0</v>
      </c>
      <c r="M16" s="114" t="n">
        <v>0</v>
      </c>
      <c r="N16" s="114" t="n">
        <v>0</v>
      </c>
      <c r="O16" s="113">
        <f>L16+I16+F16+C16</f>
        <v/>
      </c>
      <c r="P16" s="114">
        <f>M16+J16+G16+D16</f>
        <v/>
      </c>
      <c r="Q16" s="114">
        <f>N16+K16+H16+E16</f>
        <v/>
      </c>
      <c r="R16" s="113">
        <f>SUMIFS('PO Log'!$E:$E,'PO Log'!$D:$D,'Category Table'!R$2,'PO Log'!$C:$C,'Category Table'!$A16)</f>
        <v/>
      </c>
      <c r="S16" s="114">
        <f>SUMIFS('PO Log'!$E:$E,'PO Log'!$D:$D,'Category Table'!S$2,'PO Log'!$C:$C,'Category Table'!$A16)</f>
        <v/>
      </c>
      <c r="T16" s="114">
        <f>SUMIFS('PO Log'!$E:$E,'PO Log'!$D:$D,'Category Table'!T$2,'PO Log'!$C:$C,'Category Table'!$A16)</f>
        <v/>
      </c>
      <c r="U16" s="113">
        <f>SUMIFS('Committments Dump'!$Q:$Q,'Committments Dump'!$C:$C,'Category Table'!U$2,'Committments Dump'!$B:$B,'Category Table'!$A16)</f>
        <v/>
      </c>
      <c r="V16" s="114">
        <f>SUMIFS('Committments Dump'!$Q:$Q,'Committments Dump'!$C:$C,'Category Table'!V$2,'Committments Dump'!$B:$B,'Category Table'!$A16)</f>
        <v/>
      </c>
      <c r="W16" s="114">
        <f>SUMIFS('Committments Dump'!$Q:$Q,'Committments Dump'!$C:$C,'Category Table'!W$2,'Committments Dump'!$B:$B,'Category Table'!$A16)</f>
        <v/>
      </c>
      <c r="X16" s="113">
        <f>SUMIFS('Committments Dump'!$R:$R,'Committments Dump'!$C:$C,'Category Table'!X$2,'Committments Dump'!$B:$B,'Category Table'!$A16)</f>
        <v/>
      </c>
      <c r="Y16" s="114">
        <f>SUMIFS('Committments Dump'!$R:$R,'Committments Dump'!$C:$C,'Category Table'!Y$2,'Committments Dump'!$B:$B,'Category Table'!$A16)</f>
        <v/>
      </c>
      <c r="Z16" s="114">
        <f>SUMIFS('Committments Dump'!$R:$R,'Committments Dump'!$C:$C,'Category Table'!Z$2,'Committments Dump'!$B:$B,'Category Table'!$A16)</f>
        <v/>
      </c>
      <c r="AA16" s="113">
        <f>SUMIFS('Committments Dump'!$S:$S,'Committments Dump'!$C:$C,'Category Table'!AA$2,'Committments Dump'!$B:$B,'Category Table'!$A16)</f>
        <v/>
      </c>
      <c r="AB16" s="114">
        <f>SUMIFS('Committments Dump'!$S:$S,'Committments Dump'!$C:$C,'Category Table'!AB$2,'Committments Dump'!$B:$B,'Category Table'!$A16)</f>
        <v/>
      </c>
      <c r="AC16" s="114">
        <f>SUMIFS('Committments Dump'!$S:$S,'Committments Dump'!$C:$C,'Category Table'!AC$2,'Committments Dump'!$B:$B,'Category Table'!$A16)</f>
        <v/>
      </c>
      <c r="AD16" s="113">
        <f>U16+X16+AA16</f>
        <v/>
      </c>
      <c r="AE16" s="114">
        <f>V16+Y16+AB16</f>
        <v/>
      </c>
      <c r="AF16" s="114">
        <f>W16+Z16+AC16</f>
        <v/>
      </c>
      <c r="AG16" s="113">
        <f>R16+AD16</f>
        <v/>
      </c>
      <c r="AH16" s="114">
        <f>S16+AE16</f>
        <v/>
      </c>
      <c r="AI16" s="114">
        <f>T16+AF16</f>
        <v/>
      </c>
      <c r="AJ16" s="113" t="n"/>
      <c r="AK16" s="114" t="n"/>
      <c r="AL16" s="114" t="n"/>
      <c r="AM16" s="113">
        <f>(O16-AG16)+AJ16</f>
        <v/>
      </c>
      <c r="AN16" s="114">
        <f>(P16-AH16)+AK16</f>
        <v/>
      </c>
      <c r="AO16" s="114">
        <f>(Q16-AI16)+AL16</f>
        <v/>
      </c>
      <c r="AP16" s="2">
        <f>IF(AM16&gt;0, "Under",IF(AM16&lt;0,"Over",""))</f>
        <v/>
      </c>
      <c r="AQ16" s="1">
        <f>IF(AN16&gt;0, "Under",IF(AN16&lt;0,"Over",""))</f>
        <v/>
      </c>
      <c r="AR16" s="1">
        <f>IF(AO16&gt;0, "Under",IF(AO16&lt;0,"Over",""))</f>
        <v/>
      </c>
      <c r="AS16" s="3" t="n"/>
    </row>
    <row r="17">
      <c r="A17" s="90" t="inlineStr">
        <is>
          <t>0-4005-02</t>
        </is>
      </c>
      <c r="B17" s="90" t="inlineStr">
        <is>
          <t>0-4005-02 Commish FOE</t>
        </is>
      </c>
      <c r="C17" s="115" t="n">
        <v>0</v>
      </c>
      <c r="D17" s="116" t="n">
        <v>0</v>
      </c>
      <c r="E17" s="116" t="n">
        <v>0</v>
      </c>
      <c r="F17" s="115" t="n">
        <v>0</v>
      </c>
      <c r="G17" s="116" t="n">
        <v>0</v>
      </c>
      <c r="H17" s="116" t="n">
        <v>0</v>
      </c>
      <c r="I17" s="115" t="n">
        <v>0</v>
      </c>
      <c r="J17" s="116" t="n">
        <v>0</v>
      </c>
      <c r="K17" s="116" t="n">
        <v>0</v>
      </c>
      <c r="L17" s="115" t="n">
        <v>0</v>
      </c>
      <c r="M17" s="116" t="n">
        <v>0</v>
      </c>
      <c r="N17" s="116" t="n">
        <v>0</v>
      </c>
      <c r="O17" s="115">
        <f>L17+I17+F17+C17</f>
        <v/>
      </c>
      <c r="P17" s="116">
        <f>M17+J17+G17+D17</f>
        <v/>
      </c>
      <c r="Q17" s="116">
        <f>N17+K17+H17+E17</f>
        <v/>
      </c>
      <c r="R17" s="115">
        <f>SUMIFS('PO Log'!$E:$E,'PO Log'!$D:$D,'Category Table'!R$2,'PO Log'!$C:$C,'Category Table'!$A17)</f>
        <v/>
      </c>
      <c r="S17" s="116">
        <f>SUMIFS('PO Log'!$E:$E,'PO Log'!$D:$D,'Category Table'!S$2,'PO Log'!$C:$C,'Category Table'!$A17)</f>
        <v/>
      </c>
      <c r="T17" s="116">
        <f>SUMIFS('PO Log'!$E:$E,'PO Log'!$D:$D,'Category Table'!T$2,'PO Log'!$C:$C,'Category Table'!$A17)</f>
        <v/>
      </c>
      <c r="U17" s="115">
        <f>SUMIFS('Committments Dump'!$Q:$Q,'Committments Dump'!$C:$C,'Category Table'!U$2,'Committments Dump'!$B:$B,'Category Table'!$A17)</f>
        <v/>
      </c>
      <c r="V17" s="116">
        <f>SUMIFS('Committments Dump'!$Q:$Q,'Committments Dump'!$C:$C,'Category Table'!V$2,'Committments Dump'!$B:$B,'Category Table'!$A17)</f>
        <v/>
      </c>
      <c r="W17" s="116">
        <f>SUMIFS('Committments Dump'!$Q:$Q,'Committments Dump'!$C:$C,'Category Table'!W$2,'Committments Dump'!$B:$B,'Category Table'!$A17)</f>
        <v/>
      </c>
      <c r="X17" s="115">
        <f>SUMIFS('Committments Dump'!$R:$R,'Committments Dump'!$C:$C,'Category Table'!X$2,'Committments Dump'!$B:$B,'Category Table'!$A17)</f>
        <v/>
      </c>
      <c r="Y17" s="116">
        <f>SUMIFS('Committments Dump'!$R:$R,'Committments Dump'!$C:$C,'Category Table'!Y$2,'Committments Dump'!$B:$B,'Category Table'!$A17)</f>
        <v/>
      </c>
      <c r="Z17" s="116">
        <f>SUMIFS('Committments Dump'!$R:$R,'Committments Dump'!$C:$C,'Category Table'!Z$2,'Committments Dump'!$B:$B,'Category Table'!$A17)</f>
        <v/>
      </c>
      <c r="AA17" s="115">
        <f>SUMIFS('Committments Dump'!$S:$S,'Committments Dump'!$C:$C,'Category Table'!AA$2,'Committments Dump'!$B:$B,'Category Table'!$A17)</f>
        <v/>
      </c>
      <c r="AB17" s="116">
        <f>SUMIFS('Committments Dump'!$S:$S,'Committments Dump'!$C:$C,'Category Table'!AB$2,'Committments Dump'!$B:$B,'Category Table'!$A17)</f>
        <v/>
      </c>
      <c r="AC17" s="116">
        <f>SUMIFS('Committments Dump'!$S:$S,'Committments Dump'!$C:$C,'Category Table'!AC$2,'Committments Dump'!$B:$B,'Category Table'!$A17)</f>
        <v/>
      </c>
      <c r="AD17" s="115">
        <f>U17+X17+AA17</f>
        <v/>
      </c>
      <c r="AE17" s="116">
        <f>V17+Y17+AB17</f>
        <v/>
      </c>
      <c r="AF17" s="116">
        <f>W17+Z17+AC17</f>
        <v/>
      </c>
      <c r="AG17" s="115">
        <f>R17+AD17</f>
        <v/>
      </c>
      <c r="AH17" s="116">
        <f>S17+AE17</f>
        <v/>
      </c>
      <c r="AI17" s="116">
        <f>T17+AF17</f>
        <v/>
      </c>
      <c r="AJ17" s="115" t="n"/>
      <c r="AK17" s="116" t="n"/>
      <c r="AL17" s="116" t="n"/>
      <c r="AM17" s="115">
        <f>(O17-AG17)+AJ17</f>
        <v/>
      </c>
      <c r="AN17" s="116">
        <f>(P17-AH17)+AK17</f>
        <v/>
      </c>
      <c r="AO17" s="116">
        <f>(Q17-AI17)+AL17</f>
        <v/>
      </c>
      <c r="AP17" s="93">
        <f>IF(AM17&gt;0, "Under",IF(AM17&lt;0,"Over",""))</f>
        <v/>
      </c>
      <c r="AQ17" s="94">
        <f>IF(AN17&gt;0, "Under",IF(AN17&lt;0,"Over",""))</f>
        <v/>
      </c>
      <c r="AR17" s="94">
        <f>IF(AO17&gt;0, "Under",IF(AO17&lt;0,"Over",""))</f>
        <v/>
      </c>
      <c r="AS17" s="3" t="n"/>
    </row>
    <row r="18">
      <c r="A18" t="inlineStr">
        <is>
          <t>0-4006</t>
        </is>
      </c>
      <c r="B18" t="inlineStr">
        <is>
          <t>0-4006-Yard and Trailer</t>
        </is>
      </c>
      <c r="C18" s="113" t="n">
        <v>0</v>
      </c>
      <c r="D18" s="114" t="n">
        <v>35420.42</v>
      </c>
      <c r="E18" s="114" t="n">
        <v>0</v>
      </c>
      <c r="F18" s="113" t="n">
        <v>76535.44653333351</v>
      </c>
      <c r="G18" s="114" t="n"/>
      <c r="H18" s="114" t="n">
        <v>0</v>
      </c>
      <c r="I18" s="113" t="n">
        <v>0</v>
      </c>
      <c r="J18" s="114" t="n">
        <v>0</v>
      </c>
      <c r="K18" s="114" t="n">
        <v>0</v>
      </c>
      <c r="L18" s="113" t="n">
        <v>0</v>
      </c>
      <c r="M18" s="114" t="n">
        <v>277325.5599999999</v>
      </c>
      <c r="N18" s="114" t="n">
        <v>0</v>
      </c>
      <c r="O18" s="113">
        <f>L18+I18+F18+C18</f>
        <v/>
      </c>
      <c r="P18" s="114">
        <f>M18+J18+G18+D18</f>
        <v/>
      </c>
      <c r="Q18" s="114">
        <f>N18+K18+H18+E18</f>
        <v/>
      </c>
      <c r="R18" s="113">
        <f>SUMIFS('PO Log'!$E:$E,'PO Log'!$D:$D,'Category Table'!R$2,'PO Log'!$C:$C,'Category Table'!$A18)</f>
        <v/>
      </c>
      <c r="S18" s="114">
        <f>SUMIFS('PO Log'!$E:$E,'PO Log'!$D:$D,'Category Table'!S$2,'PO Log'!$C:$C,'Category Table'!$A18)</f>
        <v/>
      </c>
      <c r="T18" s="114">
        <f>SUMIFS('PO Log'!$E:$E,'PO Log'!$D:$D,'Category Table'!T$2,'PO Log'!$C:$C,'Category Table'!$A18)</f>
        <v/>
      </c>
      <c r="U18" s="113">
        <f>SUMIFS('Committments Dump'!$Q:$Q,'Committments Dump'!$C:$C,'Category Table'!U$2,'Committments Dump'!$B:$B,'Category Table'!$A18)</f>
        <v/>
      </c>
      <c r="V18" s="114">
        <f>SUMIFS('Committments Dump'!$Q:$Q,'Committments Dump'!$C:$C,'Category Table'!V$2,'Committments Dump'!$B:$B,'Category Table'!$A18)</f>
        <v/>
      </c>
      <c r="W18" s="114">
        <f>SUMIFS('Committments Dump'!$Q:$Q,'Committments Dump'!$C:$C,'Category Table'!W$2,'Committments Dump'!$B:$B,'Category Table'!$A18)</f>
        <v/>
      </c>
      <c r="X18" s="113">
        <f>SUMIFS('Committments Dump'!$R:$R,'Committments Dump'!$C:$C,'Category Table'!X$2,'Committments Dump'!$B:$B,'Category Table'!$A18)</f>
        <v/>
      </c>
      <c r="Y18" s="114">
        <f>SUMIFS('Committments Dump'!$R:$R,'Committments Dump'!$C:$C,'Category Table'!Y$2,'Committments Dump'!$B:$B,'Category Table'!$A18)</f>
        <v/>
      </c>
      <c r="Z18" s="114">
        <f>SUMIFS('Committments Dump'!$R:$R,'Committments Dump'!$C:$C,'Category Table'!Z$2,'Committments Dump'!$B:$B,'Category Table'!$A18)</f>
        <v/>
      </c>
      <c r="AA18" s="113">
        <f>SUMIFS('Committments Dump'!$S:$S,'Committments Dump'!$C:$C,'Category Table'!AA$2,'Committments Dump'!$B:$B,'Category Table'!$A18)</f>
        <v/>
      </c>
      <c r="AB18" s="114">
        <f>SUMIFS('Committments Dump'!$S:$S,'Committments Dump'!$C:$C,'Category Table'!AB$2,'Committments Dump'!$B:$B,'Category Table'!$A18)</f>
        <v/>
      </c>
      <c r="AC18" s="114">
        <f>SUMIFS('Committments Dump'!$S:$S,'Committments Dump'!$C:$C,'Category Table'!AC$2,'Committments Dump'!$B:$B,'Category Table'!$A18)</f>
        <v/>
      </c>
      <c r="AD18" s="113">
        <f>U18+X18+AA18</f>
        <v/>
      </c>
      <c r="AE18" s="114">
        <f>V18+Y18+AB18</f>
        <v/>
      </c>
      <c r="AF18" s="114">
        <f>W18+Z18+AC18</f>
        <v/>
      </c>
      <c r="AG18" s="113">
        <f>R18+AD18</f>
        <v/>
      </c>
      <c r="AH18" s="114">
        <f>S18+AE18</f>
        <v/>
      </c>
      <c r="AI18" s="114">
        <f>T18+AF18</f>
        <v/>
      </c>
      <c r="AJ18" s="113" t="n"/>
      <c r="AK18" s="114" t="n"/>
      <c r="AL18" s="114" t="n"/>
      <c r="AM18" s="113">
        <f>(O18-AG18)+AJ18</f>
        <v/>
      </c>
      <c r="AN18" s="114">
        <f>(P18-AH18)+AK18</f>
        <v/>
      </c>
      <c r="AO18" s="114">
        <f>(Q18-AI18)+AL18</f>
        <v/>
      </c>
      <c r="AP18" s="2">
        <f>IF(AM18&gt;0, "Under",IF(AM18&lt;0,"Over",""))</f>
        <v/>
      </c>
      <c r="AQ18" s="1">
        <f>IF(AN18&gt;0, "Under",IF(AN18&lt;0,"Over",""))</f>
        <v/>
      </c>
      <c r="AR18" s="1">
        <f>IF(AO18&gt;0, "Under",IF(AO18&lt;0,"Over",""))</f>
        <v/>
      </c>
      <c r="AS18" s="3" t="n"/>
    </row>
    <row r="19">
      <c r="A19" s="90" t="inlineStr">
        <is>
          <t>0-4007</t>
        </is>
      </c>
      <c r="B19" s="90" t="inlineStr">
        <is>
          <t>0-4007-Mowing</t>
        </is>
      </c>
      <c r="C19" s="115" t="n">
        <v>0</v>
      </c>
      <c r="D19" s="116" t="n">
        <v>0</v>
      </c>
      <c r="E19" s="116" t="n">
        <v>0</v>
      </c>
      <c r="F19" s="115" t="n">
        <v>0</v>
      </c>
      <c r="G19" s="116" t="n">
        <v>0</v>
      </c>
      <c r="H19" s="116" t="n">
        <v>0</v>
      </c>
      <c r="I19" s="115" t="n">
        <v>0</v>
      </c>
      <c r="J19" s="116" t="n">
        <v>0</v>
      </c>
      <c r="K19" s="116" t="n">
        <v>0</v>
      </c>
      <c r="L19" s="115" t="n">
        <v>0</v>
      </c>
      <c r="M19" s="116" t="n">
        <v>0</v>
      </c>
      <c r="N19" s="116" t="n">
        <v>0</v>
      </c>
      <c r="O19" s="115">
        <f>L19+I19+F19+C19</f>
        <v/>
      </c>
      <c r="P19" s="116">
        <f>M19+J19+G19+D19</f>
        <v/>
      </c>
      <c r="Q19" s="116">
        <f>N19+K19+H19+E19</f>
        <v/>
      </c>
      <c r="R19" s="115">
        <f>SUMIFS('PO Log'!$E:$E,'PO Log'!$D:$D,'Category Table'!R$2,'PO Log'!$C:$C,'Category Table'!$A19)</f>
        <v/>
      </c>
      <c r="S19" s="116">
        <f>SUMIFS('PO Log'!$E:$E,'PO Log'!$D:$D,'Category Table'!S$2,'PO Log'!$C:$C,'Category Table'!$A19)</f>
        <v/>
      </c>
      <c r="T19" s="116">
        <f>SUMIFS('PO Log'!$E:$E,'PO Log'!$D:$D,'Category Table'!T$2,'PO Log'!$C:$C,'Category Table'!$A19)</f>
        <v/>
      </c>
      <c r="U19" s="115">
        <f>SUMIFS('Committments Dump'!$Q:$Q,'Committments Dump'!$C:$C,'Category Table'!U$2,'Committments Dump'!$B:$B,'Category Table'!$A19)</f>
        <v/>
      </c>
      <c r="V19" s="116">
        <f>SUMIFS('Committments Dump'!$Q:$Q,'Committments Dump'!$C:$C,'Category Table'!V$2,'Committments Dump'!$B:$B,'Category Table'!$A19)</f>
        <v/>
      </c>
      <c r="W19" s="116">
        <f>SUMIFS('Committments Dump'!$Q:$Q,'Committments Dump'!$C:$C,'Category Table'!W$2,'Committments Dump'!$B:$B,'Category Table'!$A19)</f>
        <v/>
      </c>
      <c r="X19" s="115">
        <f>SUMIFS('Committments Dump'!$R:$R,'Committments Dump'!$C:$C,'Category Table'!X$2,'Committments Dump'!$B:$B,'Category Table'!$A19)</f>
        <v/>
      </c>
      <c r="Y19" s="116">
        <f>SUMIFS('Committments Dump'!$R:$R,'Committments Dump'!$C:$C,'Category Table'!Y$2,'Committments Dump'!$B:$B,'Category Table'!$A19)</f>
        <v/>
      </c>
      <c r="Z19" s="116">
        <f>SUMIFS('Committments Dump'!$R:$R,'Committments Dump'!$C:$C,'Category Table'!Z$2,'Committments Dump'!$B:$B,'Category Table'!$A19)</f>
        <v/>
      </c>
      <c r="AA19" s="115">
        <f>SUMIFS('Committments Dump'!$S:$S,'Committments Dump'!$C:$C,'Category Table'!AA$2,'Committments Dump'!$B:$B,'Category Table'!$A19)</f>
        <v/>
      </c>
      <c r="AB19" s="116">
        <f>SUMIFS('Committments Dump'!$S:$S,'Committments Dump'!$C:$C,'Category Table'!AB$2,'Committments Dump'!$B:$B,'Category Table'!$A19)</f>
        <v/>
      </c>
      <c r="AC19" s="116">
        <f>SUMIFS('Committments Dump'!$S:$S,'Committments Dump'!$C:$C,'Category Table'!AC$2,'Committments Dump'!$B:$B,'Category Table'!$A19)</f>
        <v/>
      </c>
      <c r="AD19" s="115">
        <f>U19+X19+AA19</f>
        <v/>
      </c>
      <c r="AE19" s="116">
        <f>V19+Y19+AB19</f>
        <v/>
      </c>
      <c r="AF19" s="116">
        <f>W19+Z19+AC19</f>
        <v/>
      </c>
      <c r="AG19" s="115">
        <f>R19+AD19</f>
        <v/>
      </c>
      <c r="AH19" s="116">
        <f>S19+AE19</f>
        <v/>
      </c>
      <c r="AI19" s="116">
        <f>T19+AF19</f>
        <v/>
      </c>
      <c r="AJ19" s="115" t="n"/>
      <c r="AK19" s="116" t="n"/>
      <c r="AL19" s="116" t="n"/>
      <c r="AM19" s="115">
        <f>(O19-AG19)+AJ19</f>
        <v/>
      </c>
      <c r="AN19" s="116">
        <f>(P19-AH19)+AK19</f>
        <v/>
      </c>
      <c r="AO19" s="116">
        <f>(Q19-AI19)+AL19</f>
        <v/>
      </c>
      <c r="AP19" s="93">
        <f>IF(AM19&gt;0, "Under",IF(AM19&lt;0,"Over",""))</f>
        <v/>
      </c>
      <c r="AQ19" s="94">
        <f>IF(AN19&gt;0, "Under",IF(AN19&lt;0,"Over",""))</f>
        <v/>
      </c>
      <c r="AR19" s="94">
        <f>IF(AO19&gt;0, "Under",IF(AO19&lt;0,"Over",""))</f>
        <v/>
      </c>
      <c r="AS19" s="3" t="n"/>
    </row>
    <row r="20">
      <c r="A20" t="inlineStr">
        <is>
          <t>0-4008</t>
        </is>
      </c>
      <c r="B20" t="inlineStr">
        <is>
          <t>0-4008-Supplies</t>
        </is>
      </c>
      <c r="C20" s="113" t="n">
        <v>0</v>
      </c>
      <c r="D20" s="114" t="n">
        <v>108788</v>
      </c>
      <c r="E20" s="114" t="n">
        <v>0</v>
      </c>
      <c r="F20" s="113" t="n">
        <v>0</v>
      </c>
      <c r="G20" s="114" t="n">
        <v>2245561.25</v>
      </c>
      <c r="H20" s="114" t="n">
        <v>0</v>
      </c>
      <c r="I20" s="113" t="n">
        <v>0</v>
      </c>
      <c r="J20" s="114" t="n">
        <v>10749.05</v>
      </c>
      <c r="K20" s="114" t="n">
        <v>0</v>
      </c>
      <c r="L20" s="113" t="n">
        <v>0</v>
      </c>
      <c r="M20" s="114" t="n">
        <v>60149.43</v>
      </c>
      <c r="N20" s="114" t="n">
        <v>0</v>
      </c>
      <c r="O20" s="113">
        <f>L20+I20+F20+C20</f>
        <v/>
      </c>
      <c r="P20" s="114">
        <f>M20+J20+G20+D20</f>
        <v/>
      </c>
      <c r="Q20" s="114">
        <f>N20+K20+H20+E20</f>
        <v/>
      </c>
      <c r="R20" s="113">
        <f>SUMIFS('PO Log'!$E:$E,'PO Log'!$D:$D,'Category Table'!R$2,'PO Log'!$C:$C,'Category Table'!$A20)</f>
        <v/>
      </c>
      <c r="S20" s="114">
        <f>SUMIFS('PO Log'!$E:$E,'PO Log'!$D:$D,'Category Table'!S$2,'PO Log'!$C:$C,'Category Table'!$A20)</f>
        <v/>
      </c>
      <c r="T20" s="114">
        <f>SUMIFS('PO Log'!$E:$E,'PO Log'!$D:$D,'Category Table'!T$2,'PO Log'!$C:$C,'Category Table'!$A20)</f>
        <v/>
      </c>
      <c r="U20" s="113">
        <f>SUMIFS('Committments Dump'!$Q:$Q,'Committments Dump'!$C:$C,'Category Table'!U$2,'Committments Dump'!$B:$B,'Category Table'!$A20)</f>
        <v/>
      </c>
      <c r="V20" s="114">
        <f>SUMIFS('Committments Dump'!$Q:$Q,'Committments Dump'!$C:$C,'Category Table'!V$2,'Committments Dump'!$B:$B,'Category Table'!$A20)</f>
        <v/>
      </c>
      <c r="W20" s="114">
        <f>SUMIFS('Committments Dump'!$Q:$Q,'Committments Dump'!$C:$C,'Category Table'!W$2,'Committments Dump'!$B:$B,'Category Table'!$A20)</f>
        <v/>
      </c>
      <c r="X20" s="113">
        <f>SUMIFS('Committments Dump'!$R:$R,'Committments Dump'!$C:$C,'Category Table'!X$2,'Committments Dump'!$B:$B,'Category Table'!$A20)</f>
        <v/>
      </c>
      <c r="Y20" s="114">
        <f>SUMIFS('Committments Dump'!$R:$R,'Committments Dump'!$C:$C,'Category Table'!Y$2,'Committments Dump'!$B:$B,'Category Table'!$A20)</f>
        <v/>
      </c>
      <c r="Z20" s="114">
        <f>SUMIFS('Committments Dump'!$R:$R,'Committments Dump'!$C:$C,'Category Table'!Z$2,'Committments Dump'!$B:$B,'Category Table'!$A20)</f>
        <v/>
      </c>
      <c r="AA20" s="113">
        <f>SUMIFS('Committments Dump'!$S:$S,'Committments Dump'!$C:$C,'Category Table'!AA$2,'Committments Dump'!$B:$B,'Category Table'!$A20)</f>
        <v/>
      </c>
      <c r="AB20" s="114">
        <f>SUMIFS('Committments Dump'!$S:$S,'Committments Dump'!$C:$C,'Category Table'!AB$2,'Committments Dump'!$B:$B,'Category Table'!$A20)</f>
        <v/>
      </c>
      <c r="AC20" s="114">
        <f>SUMIFS('Committments Dump'!$S:$S,'Committments Dump'!$C:$C,'Category Table'!AC$2,'Committments Dump'!$B:$B,'Category Table'!$A20)</f>
        <v/>
      </c>
      <c r="AD20" s="113">
        <f>U20+X20+AA20</f>
        <v/>
      </c>
      <c r="AE20" s="114">
        <f>V20+Y20+AB20</f>
        <v/>
      </c>
      <c r="AF20" s="114">
        <f>W20+Z20+AC20</f>
        <v/>
      </c>
      <c r="AG20" s="113">
        <f>R20+AD20</f>
        <v/>
      </c>
      <c r="AH20" s="114">
        <f>S20+AE20</f>
        <v/>
      </c>
      <c r="AI20" s="114">
        <f>T20+AF20</f>
        <v/>
      </c>
      <c r="AJ20" s="113" t="n"/>
      <c r="AK20" s="114" t="n"/>
      <c r="AL20" s="114" t="n"/>
      <c r="AM20" s="113">
        <f>(O20-AG20)+AJ20</f>
        <v/>
      </c>
      <c r="AN20" s="114">
        <f>(P20-AH20)+AK20</f>
        <v/>
      </c>
      <c r="AO20" s="114">
        <f>(Q20-AI20)+AL20</f>
        <v/>
      </c>
      <c r="AP20" s="2">
        <f>IF(AM20&gt;0, "Under",IF(AM20&lt;0,"Over",""))</f>
        <v/>
      </c>
      <c r="AQ20" s="1">
        <f>IF(AN20&gt;0, "Under",IF(AN20&lt;0,"Over",""))</f>
        <v/>
      </c>
      <c r="AR20" s="1">
        <f>IF(AO20&gt;0, "Under",IF(AO20&lt;0,"Over",""))</f>
        <v/>
      </c>
      <c r="AS20" s="3" t="n"/>
    </row>
    <row r="21">
      <c r="A21" s="90" t="inlineStr">
        <is>
          <t>0-4010</t>
        </is>
      </c>
      <c r="B21" s="90" t="inlineStr">
        <is>
          <t>0-4010-FOG</t>
        </is>
      </c>
      <c r="C21" s="115" t="n">
        <v>0</v>
      </c>
      <c r="D21" s="116" t="n">
        <v>42925.37</v>
      </c>
      <c r="E21" s="116" t="n">
        <v>0</v>
      </c>
      <c r="F21" s="115" t="n">
        <v>0</v>
      </c>
      <c r="G21" s="116" t="n">
        <v>1855762.86</v>
      </c>
      <c r="H21" s="116" t="n">
        <v>0</v>
      </c>
      <c r="I21" s="115" t="n">
        <v>0</v>
      </c>
      <c r="J21" s="116" t="n">
        <v>-63562.62000000001</v>
      </c>
      <c r="K21" s="116" t="n">
        <v>0</v>
      </c>
      <c r="L21" s="115" t="n">
        <v>0</v>
      </c>
      <c r="M21" s="116" t="n">
        <v>0</v>
      </c>
      <c r="N21" s="116" t="n">
        <v>0</v>
      </c>
      <c r="O21" s="115">
        <f>L21+I21+F21+C21</f>
        <v/>
      </c>
      <c r="P21" s="116">
        <f>M21+J21+G21+D21</f>
        <v/>
      </c>
      <c r="Q21" s="116">
        <f>N21+K21+H21+E21</f>
        <v/>
      </c>
      <c r="R21" s="115">
        <f>SUMIFS('PO Log'!$E:$E,'PO Log'!$D:$D,'Category Table'!R$2,'PO Log'!$C:$C,'Category Table'!$A21)</f>
        <v/>
      </c>
      <c r="S21" s="116">
        <f>SUMIFS('PO Log'!$E:$E,'PO Log'!$D:$D,'Category Table'!S$2,'PO Log'!$C:$C,'Category Table'!$A21)</f>
        <v/>
      </c>
      <c r="T21" s="116">
        <f>SUMIFS('PO Log'!$E:$E,'PO Log'!$D:$D,'Category Table'!T$2,'PO Log'!$C:$C,'Category Table'!$A21)</f>
        <v/>
      </c>
      <c r="U21" s="115">
        <f>SUMIFS('Committments Dump'!$Q:$Q,'Committments Dump'!$C:$C,'Category Table'!U$2,'Committments Dump'!$B:$B,'Category Table'!$A21)</f>
        <v/>
      </c>
      <c r="V21" s="116">
        <f>SUMIFS('Committments Dump'!$Q:$Q,'Committments Dump'!$C:$C,'Category Table'!V$2,'Committments Dump'!$B:$B,'Category Table'!$A21)</f>
        <v/>
      </c>
      <c r="W21" s="116">
        <f>SUMIFS('Committments Dump'!$Q:$Q,'Committments Dump'!$C:$C,'Category Table'!W$2,'Committments Dump'!$B:$B,'Category Table'!$A21)</f>
        <v/>
      </c>
      <c r="X21" s="115">
        <f>SUMIFS('Committments Dump'!$R:$R,'Committments Dump'!$C:$C,'Category Table'!X$2,'Committments Dump'!$B:$B,'Category Table'!$A21)</f>
        <v/>
      </c>
      <c r="Y21" s="116">
        <f>SUMIFS('Committments Dump'!$R:$R,'Committments Dump'!$C:$C,'Category Table'!Y$2,'Committments Dump'!$B:$B,'Category Table'!$A21)</f>
        <v/>
      </c>
      <c r="Z21" s="116">
        <f>SUMIFS('Committments Dump'!$R:$R,'Committments Dump'!$C:$C,'Category Table'!Z$2,'Committments Dump'!$B:$B,'Category Table'!$A21)</f>
        <v/>
      </c>
      <c r="AA21" s="115">
        <f>SUMIFS('Committments Dump'!$S:$S,'Committments Dump'!$C:$C,'Category Table'!AA$2,'Committments Dump'!$B:$B,'Category Table'!$A21)</f>
        <v/>
      </c>
      <c r="AB21" s="116">
        <f>SUMIFS('Committments Dump'!$S:$S,'Committments Dump'!$C:$C,'Category Table'!AB$2,'Committments Dump'!$B:$B,'Category Table'!$A21)</f>
        <v/>
      </c>
      <c r="AC21" s="116">
        <f>SUMIFS('Committments Dump'!$S:$S,'Committments Dump'!$C:$C,'Category Table'!AC$2,'Committments Dump'!$B:$B,'Category Table'!$A21)</f>
        <v/>
      </c>
      <c r="AD21" s="115">
        <f>U21+X21+AA21</f>
        <v/>
      </c>
      <c r="AE21" s="116">
        <f>V21+Y21+AB21</f>
        <v/>
      </c>
      <c r="AF21" s="116">
        <f>W21+Z21+AC21</f>
        <v/>
      </c>
      <c r="AG21" s="115">
        <f>R21+AD21</f>
        <v/>
      </c>
      <c r="AH21" s="116">
        <f>S21+AE21</f>
        <v/>
      </c>
      <c r="AI21" s="116">
        <f>T21+AF21</f>
        <v/>
      </c>
      <c r="AJ21" s="115" t="n"/>
      <c r="AK21" s="116" t="n"/>
      <c r="AL21" s="116" t="n"/>
      <c r="AM21" s="115">
        <f>(O21-AG21)+AJ21</f>
        <v/>
      </c>
      <c r="AN21" s="116">
        <f>(P21-AH21)+AK21</f>
        <v/>
      </c>
      <c r="AO21" s="116">
        <f>(Q21-AI21)+AL21</f>
        <v/>
      </c>
      <c r="AP21" s="93">
        <f>IF(AM21&gt;0, "Under",IF(AM21&lt;0,"Over",""))</f>
        <v/>
      </c>
      <c r="AQ21" s="94">
        <f>IF(AN21&gt;0, "Under",IF(AN21&lt;0,"Over",""))</f>
        <v/>
      </c>
      <c r="AR21" s="94">
        <f>IF(AO21&gt;0, "Under",IF(AO21&lt;0,"Over",""))</f>
        <v/>
      </c>
      <c r="AS21" s="3" t="n"/>
    </row>
    <row r="22">
      <c r="A22" t="inlineStr">
        <is>
          <t>0-4013</t>
        </is>
      </c>
      <c r="B22" t="inlineStr">
        <is>
          <t>0-4013-Contingency</t>
        </is>
      </c>
      <c r="C22" s="113" t="n">
        <v>0</v>
      </c>
      <c r="D22" s="114" t="n">
        <v>0</v>
      </c>
      <c r="E22" s="114" t="n">
        <v>0</v>
      </c>
      <c r="F22" s="113" t="n">
        <v>4883701.58</v>
      </c>
      <c r="G22" s="114" t="n"/>
      <c r="H22" s="114" t="n">
        <v>0</v>
      </c>
      <c r="I22" s="113" t="n">
        <v>0</v>
      </c>
      <c r="J22" s="114" t="n">
        <v>0</v>
      </c>
      <c r="K22" s="114" t="n">
        <v>0</v>
      </c>
      <c r="L22" s="113" t="n">
        <v>0</v>
      </c>
      <c r="M22" s="114" t="n">
        <v>0</v>
      </c>
      <c r="N22" s="114" t="n">
        <v>0</v>
      </c>
      <c r="O22" s="113">
        <f>L22+I22+F22+C22</f>
        <v/>
      </c>
      <c r="P22" s="114">
        <f>M22+J22+G22+D22</f>
        <v/>
      </c>
      <c r="Q22" s="114">
        <f>N22+K22+H22+E22</f>
        <v/>
      </c>
      <c r="R22" s="113">
        <f>SUMIFS('PO Log'!$E:$E,'PO Log'!$D:$D,'Category Table'!R$2,'PO Log'!$C:$C,'Category Table'!$A22)</f>
        <v/>
      </c>
      <c r="S22" s="114">
        <f>SUMIFS('PO Log'!$E:$E,'PO Log'!$D:$D,'Category Table'!S$2,'PO Log'!$C:$C,'Category Table'!$A22)</f>
        <v/>
      </c>
      <c r="T22" s="114">
        <f>SUMIFS('PO Log'!$E:$E,'PO Log'!$D:$D,'Category Table'!T$2,'PO Log'!$C:$C,'Category Table'!$A22)</f>
        <v/>
      </c>
      <c r="U22" s="113">
        <f>SUMIFS('Committments Dump'!$Q:$Q,'Committments Dump'!$C:$C,'Category Table'!U$2,'Committments Dump'!$B:$B,'Category Table'!$A22)</f>
        <v/>
      </c>
      <c r="V22" s="114">
        <f>SUMIFS('Committments Dump'!$Q:$Q,'Committments Dump'!$C:$C,'Category Table'!V$2,'Committments Dump'!$B:$B,'Category Table'!$A22)</f>
        <v/>
      </c>
      <c r="W22" s="114">
        <f>SUMIFS('Committments Dump'!$Q:$Q,'Committments Dump'!$C:$C,'Category Table'!W$2,'Committments Dump'!$B:$B,'Category Table'!$A22)</f>
        <v/>
      </c>
      <c r="X22" s="113">
        <f>SUMIFS('Committments Dump'!$R:$R,'Committments Dump'!$C:$C,'Category Table'!X$2,'Committments Dump'!$B:$B,'Category Table'!$A22)</f>
        <v/>
      </c>
      <c r="Y22" s="114">
        <f>SUMIFS('Committments Dump'!$R:$R,'Committments Dump'!$C:$C,'Category Table'!Y$2,'Committments Dump'!$B:$B,'Category Table'!$A22)</f>
        <v/>
      </c>
      <c r="Z22" s="114">
        <f>SUMIFS('Committments Dump'!$R:$R,'Committments Dump'!$C:$C,'Category Table'!Z$2,'Committments Dump'!$B:$B,'Category Table'!$A22)</f>
        <v/>
      </c>
      <c r="AA22" s="113">
        <f>SUMIFS('Committments Dump'!$S:$S,'Committments Dump'!$C:$C,'Category Table'!AA$2,'Committments Dump'!$B:$B,'Category Table'!$A22)</f>
        <v/>
      </c>
      <c r="AB22" s="114">
        <f>SUMIFS('Committments Dump'!$S:$S,'Committments Dump'!$C:$C,'Category Table'!AB$2,'Committments Dump'!$B:$B,'Category Table'!$A22)</f>
        <v/>
      </c>
      <c r="AC22" s="114">
        <f>SUMIFS('Committments Dump'!$S:$S,'Committments Dump'!$C:$C,'Category Table'!AC$2,'Committments Dump'!$B:$B,'Category Table'!$A22)</f>
        <v/>
      </c>
      <c r="AD22" s="113">
        <f>U22+X22+AA22</f>
        <v/>
      </c>
      <c r="AE22" s="114">
        <f>V22+Y22+AB22</f>
        <v/>
      </c>
      <c r="AF22" s="114">
        <f>W22+Z22+AC22</f>
        <v/>
      </c>
      <c r="AG22" s="113">
        <f>R22+AD22</f>
        <v/>
      </c>
      <c r="AH22" s="114">
        <f>S22+AE22</f>
        <v/>
      </c>
      <c r="AI22" s="114">
        <f>T22+AF22</f>
        <v/>
      </c>
      <c r="AJ22" s="113" t="n"/>
      <c r="AK22" s="114" t="n"/>
      <c r="AL22" s="114" t="n"/>
      <c r="AM22" s="113">
        <f>(O22-AG22)+AJ22</f>
        <v/>
      </c>
      <c r="AN22" s="114">
        <f>(P22-AH22)+AK22</f>
        <v/>
      </c>
      <c r="AO22" s="114">
        <f>(Q22-AI22)+AL22</f>
        <v/>
      </c>
      <c r="AP22" s="2">
        <f>IF(AM22&gt;0, "Under",IF(AM22&lt;0,"Over",""))</f>
        <v/>
      </c>
      <c r="AQ22" s="1">
        <f>IF(AN22&gt;0, "Under",IF(AN22&lt;0,"Over",""))</f>
        <v/>
      </c>
      <c r="AR22" s="1">
        <f>IF(AO22&gt;0, "Under",IF(AO22&lt;0,"Over",""))</f>
        <v/>
      </c>
      <c r="AS22" s="3" t="n"/>
    </row>
    <row r="23">
      <c r="A23" s="90" t="inlineStr">
        <is>
          <t>0-4013-01</t>
        </is>
      </c>
      <c r="B23" s="90" t="inlineStr">
        <is>
          <t>0-4013-01-LD's</t>
        </is>
      </c>
      <c r="C23" s="115" t="n">
        <v>0</v>
      </c>
      <c r="D23" s="116" t="n">
        <v>0</v>
      </c>
      <c r="E23" s="116" t="n">
        <v>0</v>
      </c>
      <c r="F23" s="115" t="n">
        <v>1800000</v>
      </c>
      <c r="G23" s="116" t="n">
        <v>0</v>
      </c>
      <c r="H23" s="116" t="n">
        <v>0</v>
      </c>
      <c r="I23" s="115" t="n">
        <v>0</v>
      </c>
      <c r="J23" s="116" t="n">
        <v>0</v>
      </c>
      <c r="K23" s="116" t="n">
        <v>0</v>
      </c>
      <c r="L23" s="115" t="n">
        <v>0</v>
      </c>
      <c r="M23" s="116" t="n">
        <v>0</v>
      </c>
      <c r="N23" s="116" t="n">
        <v>0</v>
      </c>
      <c r="O23" s="115">
        <f>L23+I23+F23+C23</f>
        <v/>
      </c>
      <c r="P23" s="116">
        <f>M23+J23+G23+D23</f>
        <v/>
      </c>
      <c r="Q23" s="116">
        <f>N23+K23+H23+E23</f>
        <v/>
      </c>
      <c r="R23" s="115">
        <f>SUMIFS('PO Log'!$E:$E,'PO Log'!$D:$D,'Category Table'!R$2,'PO Log'!$C:$C,'Category Table'!$A23)</f>
        <v/>
      </c>
      <c r="S23" s="116">
        <f>SUMIFS('PO Log'!$E:$E,'PO Log'!$D:$D,'Category Table'!S$2,'PO Log'!$C:$C,'Category Table'!$A23)</f>
        <v/>
      </c>
      <c r="T23" s="116">
        <f>SUMIFS('PO Log'!$E:$E,'PO Log'!$D:$D,'Category Table'!T$2,'PO Log'!$C:$C,'Category Table'!$A23)</f>
        <v/>
      </c>
      <c r="U23" s="115">
        <f>SUMIFS('Committments Dump'!$Q:$Q,'Committments Dump'!$C:$C,'Category Table'!U$2,'Committments Dump'!$B:$B,'Category Table'!$A23)</f>
        <v/>
      </c>
      <c r="V23" s="116">
        <f>SUMIFS('Committments Dump'!$Q:$Q,'Committments Dump'!$C:$C,'Category Table'!V$2,'Committments Dump'!$B:$B,'Category Table'!$A23)</f>
        <v/>
      </c>
      <c r="W23" s="116">
        <f>SUMIFS('Committments Dump'!$Q:$Q,'Committments Dump'!$C:$C,'Category Table'!W$2,'Committments Dump'!$B:$B,'Category Table'!$A23)</f>
        <v/>
      </c>
      <c r="X23" s="115">
        <f>SUMIFS('Committments Dump'!$R:$R,'Committments Dump'!$C:$C,'Category Table'!X$2,'Committments Dump'!$B:$B,'Category Table'!$A23)</f>
        <v/>
      </c>
      <c r="Y23" s="116">
        <f>SUMIFS('Committments Dump'!$R:$R,'Committments Dump'!$C:$C,'Category Table'!Y$2,'Committments Dump'!$B:$B,'Category Table'!$A23)</f>
        <v/>
      </c>
      <c r="Z23" s="116">
        <f>SUMIFS('Committments Dump'!$R:$R,'Committments Dump'!$C:$C,'Category Table'!Z$2,'Committments Dump'!$B:$B,'Category Table'!$A23)</f>
        <v/>
      </c>
      <c r="AA23" s="115">
        <f>SUMIFS('Committments Dump'!$S:$S,'Committments Dump'!$C:$C,'Category Table'!AA$2,'Committments Dump'!$B:$B,'Category Table'!$A23)</f>
        <v/>
      </c>
      <c r="AB23" s="116">
        <f>SUMIFS('Committments Dump'!$S:$S,'Committments Dump'!$C:$C,'Category Table'!AB$2,'Committments Dump'!$B:$B,'Category Table'!$A23)</f>
        <v/>
      </c>
      <c r="AC23" s="116">
        <f>SUMIFS('Committments Dump'!$S:$S,'Committments Dump'!$C:$C,'Category Table'!AC$2,'Committments Dump'!$B:$B,'Category Table'!$A23)</f>
        <v/>
      </c>
      <c r="AD23" s="115">
        <f>U23+X23+AA23</f>
        <v/>
      </c>
      <c r="AE23" s="116">
        <f>V23+Y23+AB23</f>
        <v/>
      </c>
      <c r="AF23" s="116">
        <f>W23+Z23+AC23</f>
        <v/>
      </c>
      <c r="AG23" s="115">
        <f>R23+AD23</f>
        <v/>
      </c>
      <c r="AH23" s="116">
        <f>S23+AE23</f>
        <v/>
      </c>
      <c r="AI23" s="116">
        <f>T23+AF23</f>
        <v/>
      </c>
      <c r="AJ23" s="115" t="n"/>
      <c r="AK23" s="116" t="n"/>
      <c r="AL23" s="116" t="n"/>
      <c r="AM23" s="115">
        <f>(O23-AG23)+AJ23</f>
        <v/>
      </c>
      <c r="AN23" s="116">
        <f>(P23-AH23)+AK23</f>
        <v/>
      </c>
      <c r="AO23" s="116">
        <f>(Q23-AI23)+AL23</f>
        <v/>
      </c>
      <c r="AP23" s="93">
        <f>IF(AM23&gt;0, "Under",IF(AM23&lt;0,"Over",""))</f>
        <v/>
      </c>
      <c r="AQ23" s="94">
        <f>IF(AN23&gt;0, "Under",IF(AN23&lt;0,"Over",""))</f>
        <v/>
      </c>
      <c r="AR23" s="94">
        <f>IF(AO23&gt;0, "Under",IF(AO23&lt;0,"Over",""))</f>
        <v/>
      </c>
      <c r="AS23" s="3" t="n"/>
    </row>
    <row r="24">
      <c r="A24" t="inlineStr">
        <is>
          <t>0-4013-02</t>
        </is>
      </c>
      <c r="B24" t="inlineStr">
        <is>
          <t>0-4013-02-Weather Cont.</t>
        </is>
      </c>
      <c r="C24" s="113" t="n">
        <v>0</v>
      </c>
      <c r="D24" s="114" t="n">
        <v>0</v>
      </c>
      <c r="E24" s="114" t="n">
        <v>0</v>
      </c>
      <c r="F24" s="113" t="n">
        <v>1386220.96</v>
      </c>
      <c r="G24" s="114" t="n">
        <v>0</v>
      </c>
      <c r="H24" s="114" t="n">
        <v>0</v>
      </c>
      <c r="I24" s="113" t="n">
        <v>0</v>
      </c>
      <c r="J24" s="114" t="n">
        <v>0</v>
      </c>
      <c r="K24" s="114" t="n">
        <v>0</v>
      </c>
      <c r="L24" s="113" t="n">
        <v>0</v>
      </c>
      <c r="M24" s="114" t="n">
        <v>0</v>
      </c>
      <c r="N24" s="114" t="n">
        <v>0</v>
      </c>
      <c r="O24" s="113">
        <f>L24+I24+F24+C24</f>
        <v/>
      </c>
      <c r="P24" s="114">
        <f>M24+J24+G24+D24</f>
        <v/>
      </c>
      <c r="Q24" s="114">
        <f>N24+K24+H24+E24</f>
        <v/>
      </c>
      <c r="R24" s="113">
        <f>SUMIFS('PO Log'!$E:$E,'PO Log'!$D:$D,'Category Table'!R$2,'PO Log'!$C:$C,'Category Table'!$A24)</f>
        <v/>
      </c>
      <c r="S24" s="114">
        <f>SUMIFS('PO Log'!$E:$E,'PO Log'!$D:$D,'Category Table'!S$2,'PO Log'!$C:$C,'Category Table'!$A24)</f>
        <v/>
      </c>
      <c r="T24" s="114">
        <f>SUMIFS('PO Log'!$E:$E,'PO Log'!$D:$D,'Category Table'!T$2,'PO Log'!$C:$C,'Category Table'!$A24)</f>
        <v/>
      </c>
      <c r="U24" s="113">
        <f>SUMIFS('Committments Dump'!$Q:$Q,'Committments Dump'!$C:$C,'Category Table'!U$2,'Committments Dump'!$B:$B,'Category Table'!$A24)</f>
        <v/>
      </c>
      <c r="V24" s="114">
        <f>SUMIFS('Committments Dump'!$Q:$Q,'Committments Dump'!$C:$C,'Category Table'!V$2,'Committments Dump'!$B:$B,'Category Table'!$A24)</f>
        <v/>
      </c>
      <c r="W24" s="114">
        <f>SUMIFS('Committments Dump'!$Q:$Q,'Committments Dump'!$C:$C,'Category Table'!W$2,'Committments Dump'!$B:$B,'Category Table'!$A24)</f>
        <v/>
      </c>
      <c r="X24" s="113">
        <f>SUMIFS('Committments Dump'!$R:$R,'Committments Dump'!$C:$C,'Category Table'!X$2,'Committments Dump'!$B:$B,'Category Table'!$A24)</f>
        <v/>
      </c>
      <c r="Y24" s="114">
        <f>SUMIFS('Committments Dump'!$R:$R,'Committments Dump'!$C:$C,'Category Table'!Y$2,'Committments Dump'!$B:$B,'Category Table'!$A24)</f>
        <v/>
      </c>
      <c r="Z24" s="114">
        <f>SUMIFS('Committments Dump'!$R:$R,'Committments Dump'!$C:$C,'Category Table'!Z$2,'Committments Dump'!$B:$B,'Category Table'!$A24)</f>
        <v/>
      </c>
      <c r="AA24" s="113">
        <f>SUMIFS('Committments Dump'!$S:$S,'Committments Dump'!$C:$C,'Category Table'!AA$2,'Committments Dump'!$B:$B,'Category Table'!$A24)</f>
        <v/>
      </c>
      <c r="AB24" s="114">
        <f>SUMIFS('Committments Dump'!$S:$S,'Committments Dump'!$C:$C,'Category Table'!AB$2,'Committments Dump'!$B:$B,'Category Table'!$A24)</f>
        <v/>
      </c>
      <c r="AC24" s="114">
        <f>SUMIFS('Committments Dump'!$S:$S,'Committments Dump'!$C:$C,'Category Table'!AC$2,'Committments Dump'!$B:$B,'Category Table'!$A24)</f>
        <v/>
      </c>
      <c r="AD24" s="113">
        <f>U24+X24+AA24</f>
        <v/>
      </c>
      <c r="AE24" s="114">
        <f>V24+Y24+AB24</f>
        <v/>
      </c>
      <c r="AF24" s="114">
        <f>W24+Z24+AC24</f>
        <v/>
      </c>
      <c r="AG24" s="113">
        <f>R24+AD24</f>
        <v/>
      </c>
      <c r="AH24" s="114">
        <f>S24+AE24</f>
        <v/>
      </c>
      <c r="AI24" s="114">
        <f>T24+AF24</f>
        <v/>
      </c>
      <c r="AJ24" s="113" t="n"/>
      <c r="AK24" s="114" t="n"/>
      <c r="AL24" s="114" t="n"/>
      <c r="AM24" s="113">
        <f>(O24-AG24)+AJ24</f>
        <v/>
      </c>
      <c r="AN24" s="114">
        <f>(P24-AH24)+AK24</f>
        <v/>
      </c>
      <c r="AO24" s="114">
        <f>(Q24-AI24)+AL24</f>
        <v/>
      </c>
      <c r="AP24" s="2">
        <f>IF(AM24&gt;0, "Under",IF(AM24&lt;0,"Over",""))</f>
        <v/>
      </c>
      <c r="AQ24" s="1">
        <f>IF(AN24&gt;0, "Under",IF(AN24&lt;0,"Over",""))</f>
        <v/>
      </c>
      <c r="AR24" s="1">
        <f>IF(AO24&gt;0, "Under",IF(AO24&lt;0,"Over",""))</f>
        <v/>
      </c>
      <c r="AS24" s="3" t="n"/>
    </row>
    <row r="25">
      <c r="A25" s="90" t="inlineStr">
        <is>
          <t>0-4015</t>
        </is>
      </c>
      <c r="B25" s="90" t="inlineStr">
        <is>
          <t>0-4015-Survey</t>
        </is>
      </c>
      <c r="C25" s="115" t="n">
        <v>28288.75</v>
      </c>
      <c r="D25" s="116" t="n">
        <v>956.01</v>
      </c>
      <c r="E25" s="116" t="n">
        <v>325.83</v>
      </c>
      <c r="F25" s="115" t="n">
        <v>466368.3015288962</v>
      </c>
      <c r="G25" s="116" t="n">
        <v>-144949.5388560658</v>
      </c>
      <c r="H25" s="116" t="n">
        <v>0</v>
      </c>
      <c r="I25" s="115" t="n">
        <v>0</v>
      </c>
      <c r="J25" s="116" t="n">
        <v>0</v>
      </c>
      <c r="K25" s="116" t="n">
        <v>0</v>
      </c>
      <c r="L25" s="115" t="n">
        <v>0</v>
      </c>
      <c r="M25" s="116" t="n">
        <v>0</v>
      </c>
      <c r="N25" s="116" t="n">
        <v>0</v>
      </c>
      <c r="O25" s="115">
        <f>L25+I25+F25+C25</f>
        <v/>
      </c>
      <c r="P25" s="116">
        <f>M25+J25+G25+D25</f>
        <v/>
      </c>
      <c r="Q25" s="116">
        <f>N25+K25+H25+E25</f>
        <v/>
      </c>
      <c r="R25" s="115">
        <f>SUMIFS('PO Log'!$E:$E,'PO Log'!$D:$D,'Category Table'!R$2,'PO Log'!$C:$C,'Category Table'!$A25)</f>
        <v/>
      </c>
      <c r="S25" s="116">
        <f>SUMIFS('PO Log'!$E:$E,'PO Log'!$D:$D,'Category Table'!S$2,'PO Log'!$C:$C,'Category Table'!$A25)</f>
        <v/>
      </c>
      <c r="T25" s="116">
        <f>SUMIFS('PO Log'!$E:$E,'PO Log'!$D:$D,'Category Table'!T$2,'PO Log'!$C:$C,'Category Table'!$A25)</f>
        <v/>
      </c>
      <c r="U25" s="115">
        <f>SUMIFS('Committments Dump'!$Q:$Q,'Committments Dump'!$C:$C,'Category Table'!U$2,'Committments Dump'!$B:$B,'Category Table'!$A25)</f>
        <v/>
      </c>
      <c r="V25" s="116">
        <f>SUMIFS('Committments Dump'!$Q:$Q,'Committments Dump'!$C:$C,'Category Table'!V$2,'Committments Dump'!$B:$B,'Category Table'!$A25)</f>
        <v/>
      </c>
      <c r="W25" s="116">
        <f>SUMIFS('Committments Dump'!$Q:$Q,'Committments Dump'!$C:$C,'Category Table'!W$2,'Committments Dump'!$B:$B,'Category Table'!$A25)</f>
        <v/>
      </c>
      <c r="X25" s="115">
        <f>SUMIFS('Committments Dump'!$R:$R,'Committments Dump'!$C:$C,'Category Table'!X$2,'Committments Dump'!$B:$B,'Category Table'!$A25)</f>
        <v/>
      </c>
      <c r="Y25" s="116">
        <f>SUMIFS('Committments Dump'!$R:$R,'Committments Dump'!$C:$C,'Category Table'!Y$2,'Committments Dump'!$B:$B,'Category Table'!$A25)</f>
        <v/>
      </c>
      <c r="Z25" s="116">
        <f>SUMIFS('Committments Dump'!$R:$R,'Committments Dump'!$C:$C,'Category Table'!Z$2,'Committments Dump'!$B:$B,'Category Table'!$A25)</f>
        <v/>
      </c>
      <c r="AA25" s="115">
        <f>SUMIFS('Committments Dump'!$S:$S,'Committments Dump'!$C:$C,'Category Table'!AA$2,'Committments Dump'!$B:$B,'Category Table'!$A25)</f>
        <v/>
      </c>
      <c r="AB25" s="116">
        <f>SUMIFS('Committments Dump'!$S:$S,'Committments Dump'!$C:$C,'Category Table'!AB$2,'Committments Dump'!$B:$B,'Category Table'!$A25)</f>
        <v/>
      </c>
      <c r="AC25" s="116">
        <f>SUMIFS('Committments Dump'!$S:$S,'Committments Dump'!$C:$C,'Category Table'!AC$2,'Committments Dump'!$B:$B,'Category Table'!$A25)</f>
        <v/>
      </c>
      <c r="AD25" s="115">
        <f>U25+X25+AA25</f>
        <v/>
      </c>
      <c r="AE25" s="116">
        <f>V25+Y25+AB25</f>
        <v/>
      </c>
      <c r="AF25" s="116">
        <f>W25+Z25+AC25</f>
        <v/>
      </c>
      <c r="AG25" s="115">
        <f>R25+AD25</f>
        <v/>
      </c>
      <c r="AH25" s="116">
        <f>S25+AE25</f>
        <v/>
      </c>
      <c r="AI25" s="116">
        <f>T25+AF25</f>
        <v/>
      </c>
      <c r="AJ25" s="115" t="n"/>
      <c r="AK25" s="116" t="n"/>
      <c r="AL25" s="116" t="n"/>
      <c r="AM25" s="115">
        <f>(O25-AG25)+AJ25</f>
        <v/>
      </c>
      <c r="AN25" s="116">
        <f>(P25-AH25)+AK25</f>
        <v/>
      </c>
      <c r="AO25" s="116">
        <f>(Q25-AI25)+AL25</f>
        <v/>
      </c>
      <c r="AP25" s="93">
        <f>IF(AM25&gt;0, "Under",IF(AM25&lt;0,"Over",""))</f>
        <v/>
      </c>
      <c r="AQ25" s="94">
        <f>IF(AN25&gt;0, "Under",IF(AN25&lt;0,"Over",""))</f>
        <v/>
      </c>
      <c r="AR25" s="94">
        <f>IF(AO25&gt;0, "Under",IF(AO25&lt;0,"Over",""))</f>
        <v/>
      </c>
      <c r="AS25" s="3" t="n"/>
    </row>
    <row r="26">
      <c r="A26" t="inlineStr">
        <is>
          <t>0-4016</t>
        </is>
      </c>
      <c r="B26" t="inlineStr">
        <is>
          <t>0-4016-Permits</t>
        </is>
      </c>
      <c r="C26" s="113" t="n">
        <v>20024.36</v>
      </c>
      <c r="D26" s="114" t="n">
        <v>0</v>
      </c>
      <c r="E26" s="114" t="n">
        <v>0</v>
      </c>
      <c r="F26" s="113" t="n">
        <v>0</v>
      </c>
      <c r="G26" s="114" t="n">
        <v>0</v>
      </c>
      <c r="H26" s="114" t="n">
        <v>36554.39</v>
      </c>
      <c r="I26" s="113" t="n">
        <v>0</v>
      </c>
      <c r="J26" s="114" t="n">
        <v>0</v>
      </c>
      <c r="K26" s="114" t="n">
        <v>0</v>
      </c>
      <c r="L26" s="113" t="n">
        <v>43421.25</v>
      </c>
      <c r="M26" s="114" t="n">
        <v>0</v>
      </c>
      <c r="N26" s="114" t="n">
        <v>0</v>
      </c>
      <c r="O26" s="113">
        <f>L26+I26+F26+C26</f>
        <v/>
      </c>
      <c r="P26" s="114">
        <f>M26+J26+G26+D26</f>
        <v/>
      </c>
      <c r="Q26" s="114">
        <f>N26+K26+H26+E26</f>
        <v/>
      </c>
      <c r="R26" s="113">
        <f>SUMIFS('PO Log'!$E:$E,'PO Log'!$D:$D,'Category Table'!R$2,'PO Log'!$C:$C,'Category Table'!$A26)</f>
        <v/>
      </c>
      <c r="S26" s="114">
        <f>SUMIFS('PO Log'!$E:$E,'PO Log'!$D:$D,'Category Table'!S$2,'PO Log'!$C:$C,'Category Table'!$A26)</f>
        <v/>
      </c>
      <c r="T26" s="114">
        <f>SUMIFS('PO Log'!$E:$E,'PO Log'!$D:$D,'Category Table'!T$2,'PO Log'!$C:$C,'Category Table'!$A26)</f>
        <v/>
      </c>
      <c r="U26" s="113">
        <f>SUMIFS('Committments Dump'!$Q:$Q,'Committments Dump'!$C:$C,'Category Table'!U$2,'Committments Dump'!$B:$B,'Category Table'!$A26)</f>
        <v/>
      </c>
      <c r="V26" s="114">
        <f>SUMIFS('Committments Dump'!$Q:$Q,'Committments Dump'!$C:$C,'Category Table'!V$2,'Committments Dump'!$B:$B,'Category Table'!$A26)</f>
        <v/>
      </c>
      <c r="W26" s="114">
        <f>SUMIFS('Committments Dump'!$Q:$Q,'Committments Dump'!$C:$C,'Category Table'!W$2,'Committments Dump'!$B:$B,'Category Table'!$A26)</f>
        <v/>
      </c>
      <c r="X26" s="113">
        <f>SUMIFS('Committments Dump'!$R:$R,'Committments Dump'!$C:$C,'Category Table'!X$2,'Committments Dump'!$B:$B,'Category Table'!$A26)</f>
        <v/>
      </c>
      <c r="Y26" s="114">
        <f>SUMIFS('Committments Dump'!$R:$R,'Committments Dump'!$C:$C,'Category Table'!Y$2,'Committments Dump'!$B:$B,'Category Table'!$A26)</f>
        <v/>
      </c>
      <c r="Z26" s="114">
        <f>SUMIFS('Committments Dump'!$R:$R,'Committments Dump'!$C:$C,'Category Table'!Z$2,'Committments Dump'!$B:$B,'Category Table'!$A26)</f>
        <v/>
      </c>
      <c r="AA26" s="113">
        <f>SUMIFS('Committments Dump'!$S:$S,'Committments Dump'!$C:$C,'Category Table'!AA$2,'Committments Dump'!$B:$B,'Category Table'!$A26)</f>
        <v/>
      </c>
      <c r="AB26" s="114">
        <f>SUMIFS('Committments Dump'!$S:$S,'Committments Dump'!$C:$C,'Category Table'!AB$2,'Committments Dump'!$B:$B,'Category Table'!$A26)</f>
        <v/>
      </c>
      <c r="AC26" s="114">
        <f>SUMIFS('Committments Dump'!$S:$S,'Committments Dump'!$C:$C,'Category Table'!AC$2,'Committments Dump'!$B:$B,'Category Table'!$A26)</f>
        <v/>
      </c>
      <c r="AD26" s="113">
        <f>U26+X26+AA26</f>
        <v/>
      </c>
      <c r="AE26" s="114">
        <f>V26+Y26+AB26</f>
        <v/>
      </c>
      <c r="AF26" s="114">
        <f>W26+Z26+AC26</f>
        <v/>
      </c>
      <c r="AG26" s="113">
        <f>R26+AD26</f>
        <v/>
      </c>
      <c r="AH26" s="114">
        <f>S26+AE26</f>
        <v/>
      </c>
      <c r="AI26" s="114">
        <f>T26+AF26</f>
        <v/>
      </c>
      <c r="AJ26" s="113" t="n"/>
      <c r="AK26" s="114" t="n"/>
      <c r="AL26" s="114" t="n"/>
      <c r="AM26" s="113">
        <f>(O26-AG26)+AJ26</f>
        <v/>
      </c>
      <c r="AN26" s="114">
        <f>(P26-AH26)+AK26</f>
        <v/>
      </c>
      <c r="AO26" s="114">
        <f>(Q26-AI26)+AL26</f>
        <v/>
      </c>
      <c r="AP26" s="2">
        <f>IF(AM26&gt;0, "Under",IF(AM26&lt;0,"Over",""))</f>
        <v/>
      </c>
      <c r="AQ26" s="1">
        <f>IF(AN26&gt;0, "Under",IF(AN26&lt;0,"Over",""))</f>
        <v/>
      </c>
      <c r="AR26" s="1">
        <f>IF(AO26&gt;0, "Under",IF(AO26&lt;0,"Over",""))</f>
        <v/>
      </c>
      <c r="AS26" s="3" t="n"/>
    </row>
    <row r="27">
      <c r="A27" s="90" t="inlineStr">
        <is>
          <t>0-4017</t>
        </is>
      </c>
      <c r="B27" s="90" t="inlineStr">
        <is>
          <t>0-4017-Utility Locate</t>
        </is>
      </c>
      <c r="C27" s="115" t="n">
        <v>0</v>
      </c>
      <c r="D27" s="116" t="n">
        <v>849.86</v>
      </c>
      <c r="E27" s="116" t="n">
        <v>0</v>
      </c>
      <c r="F27" s="115" t="n">
        <v>2821.589999999997</v>
      </c>
      <c r="G27" s="116" t="n">
        <v>0</v>
      </c>
      <c r="H27" s="116" t="n">
        <v>0</v>
      </c>
      <c r="I27" s="115" t="n">
        <v>0</v>
      </c>
      <c r="J27" s="116" t="n">
        <v>0</v>
      </c>
      <c r="K27" s="116" t="n">
        <v>0</v>
      </c>
      <c r="L27" s="115" t="n">
        <v>0</v>
      </c>
      <c r="M27" s="116" t="n">
        <v>21328.55</v>
      </c>
      <c r="N27" s="116" t="n">
        <v>0</v>
      </c>
      <c r="O27" s="115">
        <f>L27+I27+F27+C27</f>
        <v/>
      </c>
      <c r="P27" s="116">
        <f>M27+J27+G27+D27</f>
        <v/>
      </c>
      <c r="Q27" s="116">
        <f>N27+K27+H27+E27</f>
        <v/>
      </c>
      <c r="R27" s="115">
        <f>SUMIFS('PO Log'!$E:$E,'PO Log'!$D:$D,'Category Table'!R$2,'PO Log'!$C:$C,'Category Table'!$A27)</f>
        <v/>
      </c>
      <c r="S27" s="116">
        <f>SUMIFS('PO Log'!$E:$E,'PO Log'!$D:$D,'Category Table'!S$2,'PO Log'!$C:$C,'Category Table'!$A27)</f>
        <v/>
      </c>
      <c r="T27" s="116">
        <f>SUMIFS('PO Log'!$E:$E,'PO Log'!$D:$D,'Category Table'!T$2,'PO Log'!$C:$C,'Category Table'!$A27)</f>
        <v/>
      </c>
      <c r="U27" s="115">
        <f>SUMIFS('Committments Dump'!$Q:$Q,'Committments Dump'!$C:$C,'Category Table'!U$2,'Committments Dump'!$B:$B,'Category Table'!$A27)</f>
        <v/>
      </c>
      <c r="V27" s="116">
        <f>SUMIFS('Committments Dump'!$Q:$Q,'Committments Dump'!$C:$C,'Category Table'!V$2,'Committments Dump'!$B:$B,'Category Table'!$A27)</f>
        <v/>
      </c>
      <c r="W27" s="116">
        <f>SUMIFS('Committments Dump'!$Q:$Q,'Committments Dump'!$C:$C,'Category Table'!W$2,'Committments Dump'!$B:$B,'Category Table'!$A27)</f>
        <v/>
      </c>
      <c r="X27" s="115">
        <f>SUMIFS('Committments Dump'!$R:$R,'Committments Dump'!$C:$C,'Category Table'!X$2,'Committments Dump'!$B:$B,'Category Table'!$A27)</f>
        <v/>
      </c>
      <c r="Y27" s="116">
        <f>SUMIFS('Committments Dump'!$R:$R,'Committments Dump'!$C:$C,'Category Table'!Y$2,'Committments Dump'!$B:$B,'Category Table'!$A27)</f>
        <v/>
      </c>
      <c r="Z27" s="116">
        <f>SUMIFS('Committments Dump'!$R:$R,'Committments Dump'!$C:$C,'Category Table'!Z$2,'Committments Dump'!$B:$B,'Category Table'!$A27)</f>
        <v/>
      </c>
      <c r="AA27" s="115">
        <f>SUMIFS('Committments Dump'!$S:$S,'Committments Dump'!$C:$C,'Category Table'!AA$2,'Committments Dump'!$B:$B,'Category Table'!$A27)</f>
        <v/>
      </c>
      <c r="AB27" s="116">
        <f>SUMIFS('Committments Dump'!$S:$S,'Committments Dump'!$C:$C,'Category Table'!AB$2,'Committments Dump'!$B:$B,'Category Table'!$A27)</f>
        <v/>
      </c>
      <c r="AC27" s="116">
        <f>SUMIFS('Committments Dump'!$S:$S,'Committments Dump'!$C:$C,'Category Table'!AC$2,'Committments Dump'!$B:$B,'Category Table'!$A27)</f>
        <v/>
      </c>
      <c r="AD27" s="115">
        <f>U27+X27+AA27</f>
        <v/>
      </c>
      <c r="AE27" s="116">
        <f>V27+Y27+AB27</f>
        <v/>
      </c>
      <c r="AF27" s="116">
        <f>W27+Z27+AC27</f>
        <v/>
      </c>
      <c r="AG27" s="115">
        <f>R27+AD27</f>
        <v/>
      </c>
      <c r="AH27" s="116">
        <f>S27+AE27</f>
        <v/>
      </c>
      <c r="AI27" s="116">
        <f>T27+AF27</f>
        <v/>
      </c>
      <c r="AJ27" s="115" t="n"/>
      <c r="AK27" s="116" t="n"/>
      <c r="AL27" s="116" t="n"/>
      <c r="AM27" s="115">
        <f>(O27-AG27)+AJ27</f>
        <v/>
      </c>
      <c r="AN27" s="116">
        <f>(P27-AH27)+AK27</f>
        <v/>
      </c>
      <c r="AO27" s="116">
        <f>(Q27-AI27)+AL27</f>
        <v/>
      </c>
      <c r="AP27" s="93">
        <f>IF(AM27&gt;0, "Under",IF(AM27&lt;0,"Over",""))</f>
        <v/>
      </c>
      <c r="AQ27" s="94">
        <f>IF(AN27&gt;0, "Under",IF(AN27&lt;0,"Over",""))</f>
        <v/>
      </c>
      <c r="AR27" s="94">
        <f>IF(AO27&gt;0, "Under",IF(AO27&lt;0,"Over",""))</f>
        <v/>
      </c>
      <c r="AS27" s="3" t="n"/>
    </row>
    <row r="28">
      <c r="A28" t="inlineStr">
        <is>
          <t>0-4024</t>
        </is>
      </c>
      <c r="B28" t="inlineStr">
        <is>
          <t>0-4024-Engineering</t>
        </is>
      </c>
      <c r="C28" s="113" t="n">
        <v>1128965.04</v>
      </c>
      <c r="D28" s="114" t="n">
        <v>28340.55</v>
      </c>
      <c r="E28" s="114" t="n">
        <v>0</v>
      </c>
      <c r="F28" s="113" t="n">
        <v>1419040.4</v>
      </c>
      <c r="G28" s="114" t="n">
        <v>0</v>
      </c>
      <c r="H28" s="114" t="n">
        <v>0</v>
      </c>
      <c r="I28" s="113" t="n">
        <v>0</v>
      </c>
      <c r="J28" s="114" t="n">
        <v>0</v>
      </c>
      <c r="K28" s="114" t="n">
        <v>0</v>
      </c>
      <c r="L28" s="113" t="n">
        <v>223654.0100000001</v>
      </c>
      <c r="M28" s="114" t="n">
        <v>0</v>
      </c>
      <c r="N28" s="114" t="n">
        <v>0</v>
      </c>
      <c r="O28" s="113">
        <f>L28+I28+F28+C28</f>
        <v/>
      </c>
      <c r="P28" s="114">
        <f>M28+J28+G28+D28</f>
        <v/>
      </c>
      <c r="Q28" s="114">
        <f>N28+K28+H28+E28</f>
        <v/>
      </c>
      <c r="R28" s="113">
        <f>SUMIFS('PO Log'!$E:$E,'PO Log'!$D:$D,'Category Table'!R$2,'PO Log'!$C:$C,'Category Table'!$A28)</f>
        <v/>
      </c>
      <c r="S28" s="114">
        <f>SUMIFS('PO Log'!$E:$E,'PO Log'!$D:$D,'Category Table'!S$2,'PO Log'!$C:$C,'Category Table'!$A28)</f>
        <v/>
      </c>
      <c r="T28" s="114">
        <f>SUMIFS('PO Log'!$E:$E,'PO Log'!$D:$D,'Category Table'!T$2,'PO Log'!$C:$C,'Category Table'!$A28)</f>
        <v/>
      </c>
      <c r="U28" s="113">
        <f>SUMIFS('Committments Dump'!$Q:$Q,'Committments Dump'!$C:$C,'Category Table'!U$2,'Committments Dump'!$B:$B,'Category Table'!$A28)</f>
        <v/>
      </c>
      <c r="V28" s="114">
        <f>SUMIFS('Committments Dump'!$Q:$Q,'Committments Dump'!$C:$C,'Category Table'!V$2,'Committments Dump'!$B:$B,'Category Table'!$A28)</f>
        <v/>
      </c>
      <c r="W28" s="114">
        <f>SUMIFS('Committments Dump'!$Q:$Q,'Committments Dump'!$C:$C,'Category Table'!W$2,'Committments Dump'!$B:$B,'Category Table'!$A28)</f>
        <v/>
      </c>
      <c r="X28" s="113">
        <f>SUMIFS('Committments Dump'!$R:$R,'Committments Dump'!$C:$C,'Category Table'!X$2,'Committments Dump'!$B:$B,'Category Table'!$A28)</f>
        <v/>
      </c>
      <c r="Y28" s="114">
        <f>SUMIFS('Committments Dump'!$R:$R,'Committments Dump'!$C:$C,'Category Table'!Y$2,'Committments Dump'!$B:$B,'Category Table'!$A28)</f>
        <v/>
      </c>
      <c r="Z28" s="114">
        <f>SUMIFS('Committments Dump'!$R:$R,'Committments Dump'!$C:$C,'Category Table'!Z$2,'Committments Dump'!$B:$B,'Category Table'!$A28)</f>
        <v/>
      </c>
      <c r="AA28" s="113">
        <f>SUMIFS('Committments Dump'!$S:$S,'Committments Dump'!$C:$C,'Category Table'!AA$2,'Committments Dump'!$B:$B,'Category Table'!$A28)</f>
        <v/>
      </c>
      <c r="AB28" s="114">
        <f>SUMIFS('Committments Dump'!$S:$S,'Committments Dump'!$C:$C,'Category Table'!AB$2,'Committments Dump'!$B:$B,'Category Table'!$A28)</f>
        <v/>
      </c>
      <c r="AC28" s="114">
        <f>SUMIFS('Committments Dump'!$S:$S,'Committments Dump'!$C:$C,'Category Table'!AC$2,'Committments Dump'!$B:$B,'Category Table'!$A28)</f>
        <v/>
      </c>
      <c r="AD28" s="113">
        <f>U28+X28+AA28</f>
        <v/>
      </c>
      <c r="AE28" s="114">
        <f>V28+Y28+AB28</f>
        <v/>
      </c>
      <c r="AF28" s="114">
        <f>W28+Z28+AC28</f>
        <v/>
      </c>
      <c r="AG28" s="113">
        <f>R28+AD28</f>
        <v/>
      </c>
      <c r="AH28" s="114">
        <f>S28+AE28</f>
        <v/>
      </c>
      <c r="AI28" s="114">
        <f>T28+AF28</f>
        <v/>
      </c>
      <c r="AJ28" s="113" t="n"/>
      <c r="AK28" s="114" t="n"/>
      <c r="AL28" s="114" t="n"/>
      <c r="AM28" s="113">
        <f>(O28-AG28)+AJ28</f>
        <v/>
      </c>
      <c r="AN28" s="114">
        <f>(P28-AH28)+AK28</f>
        <v/>
      </c>
      <c r="AO28" s="114">
        <f>(Q28-AI28)+AL28</f>
        <v/>
      </c>
      <c r="AP28" s="2">
        <f>IF(AM28&gt;0, "Under",IF(AM28&lt;0,"Over",""))</f>
        <v/>
      </c>
      <c r="AQ28" s="1">
        <f>IF(AN28&gt;0, "Under",IF(AN28&lt;0,"Over",""))</f>
        <v/>
      </c>
      <c r="AR28" s="1">
        <f>IF(AO28&gt;0, "Under",IF(AO28&lt;0,"Over",""))</f>
        <v/>
      </c>
      <c r="AS28" s="3" t="n"/>
    </row>
    <row r="29">
      <c r="A29" s="90" t="inlineStr">
        <is>
          <t>0-4029</t>
        </is>
      </c>
      <c r="B29" s="90" t="inlineStr">
        <is>
          <t xml:space="preserve">0-4029-ACS </t>
        </is>
      </c>
      <c r="C29" s="115" t="n">
        <v>0</v>
      </c>
      <c r="D29" s="116" t="n">
        <v>0</v>
      </c>
      <c r="E29" s="116" t="n">
        <v>0</v>
      </c>
      <c r="F29" s="115" t="n">
        <v>1680000</v>
      </c>
      <c r="G29" s="116" t="n">
        <v>0</v>
      </c>
      <c r="H29" s="116" t="n">
        <v>0</v>
      </c>
      <c r="I29" s="115" t="n">
        <v>0</v>
      </c>
      <c r="J29" s="116" t="n">
        <v>0</v>
      </c>
      <c r="K29" s="116" t="n">
        <v>0</v>
      </c>
      <c r="L29" s="115" t="n">
        <v>0</v>
      </c>
      <c r="M29" s="116" t="n">
        <v>0</v>
      </c>
      <c r="N29" s="116" t="n">
        <v>0</v>
      </c>
      <c r="O29" s="115">
        <f>L29+I29+F29+C29</f>
        <v/>
      </c>
      <c r="P29" s="116">
        <f>M29+J29+G29+D29</f>
        <v/>
      </c>
      <c r="Q29" s="116">
        <f>N29+K29+H29+E29</f>
        <v/>
      </c>
      <c r="R29" s="115">
        <f>SUMIFS('PO Log'!$E:$E,'PO Log'!$D:$D,'Category Table'!R$2,'PO Log'!$C:$C,'Category Table'!$A29)</f>
        <v/>
      </c>
      <c r="S29" s="116">
        <f>SUMIFS('PO Log'!$E:$E,'PO Log'!$D:$D,'Category Table'!S$2,'PO Log'!$C:$C,'Category Table'!$A29)</f>
        <v/>
      </c>
      <c r="T29" s="116">
        <f>SUMIFS('PO Log'!$E:$E,'PO Log'!$D:$D,'Category Table'!T$2,'PO Log'!$C:$C,'Category Table'!$A29)</f>
        <v/>
      </c>
      <c r="U29" s="115">
        <f>SUMIFS('Committments Dump'!$Q:$Q,'Committments Dump'!$C:$C,'Category Table'!U$2,'Committments Dump'!$B:$B,'Category Table'!$A29)</f>
        <v/>
      </c>
      <c r="V29" s="116">
        <f>SUMIFS('Committments Dump'!$Q:$Q,'Committments Dump'!$C:$C,'Category Table'!V$2,'Committments Dump'!$B:$B,'Category Table'!$A29)</f>
        <v/>
      </c>
      <c r="W29" s="116">
        <f>SUMIFS('Committments Dump'!$Q:$Q,'Committments Dump'!$C:$C,'Category Table'!W$2,'Committments Dump'!$B:$B,'Category Table'!$A29)</f>
        <v/>
      </c>
      <c r="X29" s="115">
        <f>SUMIFS('Committments Dump'!$R:$R,'Committments Dump'!$C:$C,'Category Table'!X$2,'Committments Dump'!$B:$B,'Category Table'!$A29)</f>
        <v/>
      </c>
      <c r="Y29" s="116">
        <f>SUMIFS('Committments Dump'!$R:$R,'Committments Dump'!$C:$C,'Category Table'!Y$2,'Committments Dump'!$B:$B,'Category Table'!$A29)</f>
        <v/>
      </c>
      <c r="Z29" s="116">
        <f>SUMIFS('Committments Dump'!$R:$R,'Committments Dump'!$C:$C,'Category Table'!Z$2,'Committments Dump'!$B:$B,'Category Table'!$A29)</f>
        <v/>
      </c>
      <c r="AA29" s="115">
        <f>SUMIFS('Committments Dump'!$S:$S,'Committments Dump'!$C:$C,'Category Table'!AA$2,'Committments Dump'!$B:$B,'Category Table'!$A29)</f>
        <v/>
      </c>
      <c r="AB29" s="116">
        <f>SUMIFS('Committments Dump'!$S:$S,'Committments Dump'!$C:$C,'Category Table'!AB$2,'Committments Dump'!$B:$B,'Category Table'!$A29)</f>
        <v/>
      </c>
      <c r="AC29" s="116">
        <f>SUMIFS('Committments Dump'!$S:$S,'Committments Dump'!$C:$C,'Category Table'!AC$2,'Committments Dump'!$B:$B,'Category Table'!$A29)</f>
        <v/>
      </c>
      <c r="AD29" s="115">
        <f>U29+X29+AA29</f>
        <v/>
      </c>
      <c r="AE29" s="116">
        <f>V29+Y29+AB29</f>
        <v/>
      </c>
      <c r="AF29" s="116">
        <f>W29+Z29+AC29</f>
        <v/>
      </c>
      <c r="AG29" s="115">
        <f>R29+AD29</f>
        <v/>
      </c>
      <c r="AH29" s="116">
        <f>S29+AE29</f>
        <v/>
      </c>
      <c r="AI29" s="116">
        <f>T29+AF29</f>
        <v/>
      </c>
      <c r="AJ29" s="115" t="n"/>
      <c r="AK29" s="116" t="n"/>
      <c r="AL29" s="116" t="n"/>
      <c r="AM29" s="115">
        <f>(O29-AG29)+AJ29</f>
        <v/>
      </c>
      <c r="AN29" s="116">
        <f>(P29-AH29)+AK29</f>
        <v/>
      </c>
      <c r="AO29" s="116">
        <f>(Q29-AI29)+AL29</f>
        <v/>
      </c>
      <c r="AP29" s="93">
        <f>IF(AM29&gt;0, "Under",IF(AM29&lt;0,"Over",""))</f>
        <v/>
      </c>
      <c r="AQ29" s="94">
        <f>IF(AN29&gt;0, "Under",IF(AN29&lt;0,"Over",""))</f>
        <v/>
      </c>
      <c r="AR29" s="94">
        <f>IF(AO29&gt;0, "Under",IF(AO29&lt;0,"Over",""))</f>
        <v/>
      </c>
      <c r="AS29" s="3" t="n"/>
    </row>
    <row r="30">
      <c r="A30" t="inlineStr">
        <is>
          <t>0-4031</t>
        </is>
      </c>
      <c r="B30" t="inlineStr">
        <is>
          <t>0-4031-Hire-In and Orientation</t>
        </is>
      </c>
      <c r="C30" s="113" t="n">
        <v>0</v>
      </c>
      <c r="D30" s="114" t="n">
        <v>1549.5</v>
      </c>
      <c r="E30" s="114" t="n">
        <v>0</v>
      </c>
      <c r="F30" s="113" t="n">
        <v>0</v>
      </c>
      <c r="G30" s="114" t="n">
        <v>544.2454054054106</v>
      </c>
      <c r="H30" s="114" t="n">
        <v>0</v>
      </c>
      <c r="I30" s="113" t="n">
        <v>0</v>
      </c>
      <c r="J30" s="114" t="n">
        <v>0</v>
      </c>
      <c r="K30" s="114" t="n">
        <v>0</v>
      </c>
      <c r="L30" s="113" t="n">
        <v>0</v>
      </c>
      <c r="M30" s="114" t="n">
        <v>0</v>
      </c>
      <c r="N30" s="114" t="n">
        <v>0</v>
      </c>
      <c r="O30" s="113">
        <f>L30+I30+F30+C30</f>
        <v/>
      </c>
      <c r="P30" s="114">
        <f>M30+J30+G30+D30</f>
        <v/>
      </c>
      <c r="Q30" s="114">
        <f>N30+K30+H30+E30</f>
        <v/>
      </c>
      <c r="R30" s="113">
        <f>SUMIFS('PO Log'!$E:$E,'PO Log'!$D:$D,'Category Table'!R$2,'PO Log'!$C:$C,'Category Table'!$A30)</f>
        <v/>
      </c>
      <c r="S30" s="114">
        <f>SUMIFS('PO Log'!$E:$E,'PO Log'!$D:$D,'Category Table'!S$2,'PO Log'!$C:$C,'Category Table'!$A30)</f>
        <v/>
      </c>
      <c r="T30" s="114">
        <f>SUMIFS('PO Log'!$E:$E,'PO Log'!$D:$D,'Category Table'!T$2,'PO Log'!$C:$C,'Category Table'!$A30)</f>
        <v/>
      </c>
      <c r="U30" s="113">
        <f>SUMIFS('Committments Dump'!$Q:$Q,'Committments Dump'!$C:$C,'Category Table'!U$2,'Committments Dump'!$B:$B,'Category Table'!$A30)</f>
        <v/>
      </c>
      <c r="V30" s="114">
        <f>SUMIFS('Committments Dump'!$Q:$Q,'Committments Dump'!$C:$C,'Category Table'!V$2,'Committments Dump'!$B:$B,'Category Table'!$A30)</f>
        <v/>
      </c>
      <c r="W30" s="114">
        <f>SUMIFS('Committments Dump'!$Q:$Q,'Committments Dump'!$C:$C,'Category Table'!W$2,'Committments Dump'!$B:$B,'Category Table'!$A30)</f>
        <v/>
      </c>
      <c r="X30" s="113">
        <f>SUMIFS('Committments Dump'!$R:$R,'Committments Dump'!$C:$C,'Category Table'!X$2,'Committments Dump'!$B:$B,'Category Table'!$A30)</f>
        <v/>
      </c>
      <c r="Y30" s="114">
        <f>SUMIFS('Committments Dump'!$R:$R,'Committments Dump'!$C:$C,'Category Table'!Y$2,'Committments Dump'!$B:$B,'Category Table'!$A30)</f>
        <v/>
      </c>
      <c r="Z30" s="114">
        <f>SUMIFS('Committments Dump'!$R:$R,'Committments Dump'!$C:$C,'Category Table'!Z$2,'Committments Dump'!$B:$B,'Category Table'!$A30)</f>
        <v/>
      </c>
      <c r="AA30" s="113">
        <f>SUMIFS('Committments Dump'!$S:$S,'Committments Dump'!$C:$C,'Category Table'!AA$2,'Committments Dump'!$B:$B,'Category Table'!$A30)</f>
        <v/>
      </c>
      <c r="AB30" s="114">
        <f>SUMIFS('Committments Dump'!$S:$S,'Committments Dump'!$C:$C,'Category Table'!AB$2,'Committments Dump'!$B:$B,'Category Table'!$A30)</f>
        <v/>
      </c>
      <c r="AC30" s="114">
        <f>SUMIFS('Committments Dump'!$S:$S,'Committments Dump'!$C:$C,'Category Table'!AC$2,'Committments Dump'!$B:$B,'Category Table'!$A30)</f>
        <v/>
      </c>
      <c r="AD30" s="113">
        <f>U30+X30+AA30</f>
        <v/>
      </c>
      <c r="AE30" s="114">
        <f>V30+Y30+AB30</f>
        <v/>
      </c>
      <c r="AF30" s="114">
        <f>W30+Z30+AC30</f>
        <v/>
      </c>
      <c r="AG30" s="113">
        <f>R30+AD30</f>
        <v/>
      </c>
      <c r="AH30" s="114">
        <f>S30+AE30</f>
        <v/>
      </c>
      <c r="AI30" s="114">
        <f>T30+AF30</f>
        <v/>
      </c>
      <c r="AJ30" s="113" t="n"/>
      <c r="AK30" s="114" t="n"/>
      <c r="AL30" s="114" t="n"/>
      <c r="AM30" s="113">
        <f>(O30-AG30)+AJ30</f>
        <v/>
      </c>
      <c r="AN30" s="114">
        <f>(P30-AH30)+AK30</f>
        <v/>
      </c>
      <c r="AO30" s="114">
        <f>(Q30-AI30)+AL30</f>
        <v/>
      </c>
      <c r="AP30" s="2">
        <f>IF(AM30&gt;0, "Under",IF(AM30&lt;0,"Over",""))</f>
        <v/>
      </c>
      <c r="AQ30" s="1">
        <f>IF(AN30&gt;0, "Under",IF(AN30&lt;0,"Over",""))</f>
        <v/>
      </c>
      <c r="AR30" s="1">
        <f>IF(AO30&gt;0, "Under",IF(AO30&lt;0,"Over",""))</f>
        <v/>
      </c>
      <c r="AS30" s="3" t="n"/>
    </row>
    <row r="31">
      <c r="A31" s="90" t="inlineStr">
        <is>
          <t>0-4115</t>
        </is>
      </c>
      <c r="B31" s="90" t="inlineStr">
        <is>
          <t>0-4115-Clean Up</t>
        </is>
      </c>
      <c r="C31" s="115" t="n">
        <v>0</v>
      </c>
      <c r="D31" s="116" t="n">
        <v>0</v>
      </c>
      <c r="E31" s="116" t="n">
        <v>0</v>
      </c>
      <c r="F31" s="115" t="n">
        <v>0</v>
      </c>
      <c r="G31" s="116" t="n">
        <v>0</v>
      </c>
      <c r="H31" s="116" t="n">
        <v>0</v>
      </c>
      <c r="I31" s="115" t="n">
        <v>0</v>
      </c>
      <c r="J31" s="116" t="n">
        <v>0</v>
      </c>
      <c r="K31" s="116" t="n">
        <v>0</v>
      </c>
      <c r="L31" s="115" t="n">
        <v>0</v>
      </c>
      <c r="M31" s="116" t="n">
        <v>0</v>
      </c>
      <c r="N31" s="116" t="n">
        <v>0</v>
      </c>
      <c r="O31" s="115">
        <f>L31+I31+F31+C31</f>
        <v/>
      </c>
      <c r="P31" s="116">
        <f>M31+J31+G31+D31</f>
        <v/>
      </c>
      <c r="Q31" s="116">
        <f>N31+K31+H31+E31</f>
        <v/>
      </c>
      <c r="R31" s="115">
        <f>SUMIFS('PO Log'!$E:$E,'PO Log'!$D:$D,'Category Table'!R$2,'PO Log'!$C:$C,'Category Table'!$A31)</f>
        <v/>
      </c>
      <c r="S31" s="116">
        <f>SUMIFS('PO Log'!$E:$E,'PO Log'!$D:$D,'Category Table'!S$2,'PO Log'!$C:$C,'Category Table'!$A31)</f>
        <v/>
      </c>
      <c r="T31" s="116">
        <f>SUMIFS('PO Log'!$E:$E,'PO Log'!$D:$D,'Category Table'!T$2,'PO Log'!$C:$C,'Category Table'!$A31)</f>
        <v/>
      </c>
      <c r="U31" s="115">
        <f>SUMIFS('Committments Dump'!$Q:$Q,'Committments Dump'!$C:$C,'Category Table'!U$2,'Committments Dump'!$B:$B,'Category Table'!$A31)</f>
        <v/>
      </c>
      <c r="V31" s="116">
        <f>SUMIFS('Committments Dump'!$Q:$Q,'Committments Dump'!$C:$C,'Category Table'!V$2,'Committments Dump'!$B:$B,'Category Table'!$A31)</f>
        <v/>
      </c>
      <c r="W31" s="116">
        <f>SUMIFS('Committments Dump'!$Q:$Q,'Committments Dump'!$C:$C,'Category Table'!W$2,'Committments Dump'!$B:$B,'Category Table'!$A31)</f>
        <v/>
      </c>
      <c r="X31" s="115">
        <f>SUMIFS('Committments Dump'!$R:$R,'Committments Dump'!$C:$C,'Category Table'!X$2,'Committments Dump'!$B:$B,'Category Table'!$A31)</f>
        <v/>
      </c>
      <c r="Y31" s="116">
        <f>SUMIFS('Committments Dump'!$R:$R,'Committments Dump'!$C:$C,'Category Table'!Y$2,'Committments Dump'!$B:$B,'Category Table'!$A31)</f>
        <v/>
      </c>
      <c r="Z31" s="116">
        <f>SUMIFS('Committments Dump'!$R:$R,'Committments Dump'!$C:$C,'Category Table'!Z$2,'Committments Dump'!$B:$B,'Category Table'!$A31)</f>
        <v/>
      </c>
      <c r="AA31" s="115">
        <f>SUMIFS('Committments Dump'!$S:$S,'Committments Dump'!$C:$C,'Category Table'!AA$2,'Committments Dump'!$B:$B,'Category Table'!$A31)</f>
        <v/>
      </c>
      <c r="AB31" s="116">
        <f>SUMIFS('Committments Dump'!$S:$S,'Committments Dump'!$C:$C,'Category Table'!AB$2,'Committments Dump'!$B:$B,'Category Table'!$A31)</f>
        <v/>
      </c>
      <c r="AC31" s="116">
        <f>SUMIFS('Committments Dump'!$S:$S,'Committments Dump'!$C:$C,'Category Table'!AC$2,'Committments Dump'!$B:$B,'Category Table'!$A31)</f>
        <v/>
      </c>
      <c r="AD31" s="115">
        <f>U31+X31+AA31</f>
        <v/>
      </c>
      <c r="AE31" s="116">
        <f>V31+Y31+AB31</f>
        <v/>
      </c>
      <c r="AF31" s="116">
        <f>W31+Z31+AC31</f>
        <v/>
      </c>
      <c r="AG31" s="115">
        <f>R31+AD31</f>
        <v/>
      </c>
      <c r="AH31" s="116">
        <f>S31+AE31</f>
        <v/>
      </c>
      <c r="AI31" s="116">
        <f>T31+AF31</f>
        <v/>
      </c>
      <c r="AJ31" s="115" t="n"/>
      <c r="AK31" s="116" t="n"/>
      <c r="AL31" s="116" t="n"/>
      <c r="AM31" s="115">
        <f>(O31-AG31)+AJ31</f>
        <v/>
      </c>
      <c r="AN31" s="116">
        <f>(P31-AH31)+AK31</f>
        <v/>
      </c>
      <c r="AO31" s="116">
        <f>(Q31-AI31)+AL31</f>
        <v/>
      </c>
      <c r="AP31" s="93">
        <f>IF(AM31&gt;0, "Under",IF(AM31&lt;0,"Over",""))</f>
        <v/>
      </c>
      <c r="AQ31" s="94">
        <f>IF(AN31&gt;0, "Under",IF(AN31&lt;0,"Over",""))</f>
        <v/>
      </c>
      <c r="AR31" s="94">
        <f>IF(AO31&gt;0, "Under",IF(AO31&lt;0,"Over",""))</f>
        <v/>
      </c>
      <c r="AS31" s="3" t="n"/>
    </row>
    <row r="32">
      <c r="A32" t="inlineStr">
        <is>
          <t>0-4300</t>
        </is>
      </c>
      <c r="B32" t="inlineStr">
        <is>
          <t>0-4300-Mechanical Receiving</t>
        </is>
      </c>
      <c r="C32" s="113" t="n">
        <v>0</v>
      </c>
      <c r="D32" s="114" t="n">
        <v>0</v>
      </c>
      <c r="E32" s="114" t="n">
        <v>0</v>
      </c>
      <c r="F32" s="113" t="n">
        <v>0</v>
      </c>
      <c r="G32" s="114" t="n">
        <v>0</v>
      </c>
      <c r="H32" s="114" t="n">
        <v>0</v>
      </c>
      <c r="I32" s="113" t="n">
        <v>0</v>
      </c>
      <c r="J32" s="114" t="n">
        <v>0</v>
      </c>
      <c r="K32" s="114" t="n">
        <v>0</v>
      </c>
      <c r="L32" s="113" t="n">
        <v>0</v>
      </c>
      <c r="M32" s="114" t="n">
        <v>0</v>
      </c>
      <c r="N32" s="114" t="n">
        <v>0</v>
      </c>
      <c r="O32" s="113">
        <f>L32+I32+F32+C32</f>
        <v/>
      </c>
      <c r="P32" s="114">
        <f>M32+J32+G32+D32</f>
        <v/>
      </c>
      <c r="Q32" s="114">
        <f>N32+K32+H32+E32</f>
        <v/>
      </c>
      <c r="R32" s="113">
        <f>SUMIFS('PO Log'!$E:$E,'PO Log'!$D:$D,'Category Table'!R$2,'PO Log'!$C:$C,'Category Table'!$A32)</f>
        <v/>
      </c>
      <c r="S32" s="114">
        <f>SUMIFS('PO Log'!$E:$E,'PO Log'!$D:$D,'Category Table'!S$2,'PO Log'!$C:$C,'Category Table'!$A32)</f>
        <v/>
      </c>
      <c r="T32" s="114">
        <f>SUMIFS('PO Log'!$E:$E,'PO Log'!$D:$D,'Category Table'!T$2,'PO Log'!$C:$C,'Category Table'!$A32)</f>
        <v/>
      </c>
      <c r="U32" s="113">
        <f>SUMIFS('Committments Dump'!$Q:$Q,'Committments Dump'!$C:$C,'Category Table'!U$2,'Committments Dump'!$B:$B,'Category Table'!$A32)</f>
        <v/>
      </c>
      <c r="V32" s="114">
        <f>SUMIFS('Committments Dump'!$Q:$Q,'Committments Dump'!$C:$C,'Category Table'!V$2,'Committments Dump'!$B:$B,'Category Table'!$A32)</f>
        <v/>
      </c>
      <c r="W32" s="114">
        <f>SUMIFS('Committments Dump'!$Q:$Q,'Committments Dump'!$C:$C,'Category Table'!W$2,'Committments Dump'!$B:$B,'Category Table'!$A32)</f>
        <v/>
      </c>
      <c r="X32" s="113">
        <f>SUMIFS('Committments Dump'!$R:$R,'Committments Dump'!$C:$C,'Category Table'!X$2,'Committments Dump'!$B:$B,'Category Table'!$A32)</f>
        <v/>
      </c>
      <c r="Y32" s="114">
        <f>SUMIFS('Committments Dump'!$R:$R,'Committments Dump'!$C:$C,'Category Table'!Y$2,'Committments Dump'!$B:$B,'Category Table'!$A32)</f>
        <v/>
      </c>
      <c r="Z32" s="114">
        <f>SUMIFS('Committments Dump'!$R:$R,'Committments Dump'!$C:$C,'Category Table'!Z$2,'Committments Dump'!$B:$B,'Category Table'!$A32)</f>
        <v/>
      </c>
      <c r="AA32" s="113">
        <f>SUMIFS('Committments Dump'!$S:$S,'Committments Dump'!$C:$C,'Category Table'!AA$2,'Committments Dump'!$B:$B,'Category Table'!$A32)</f>
        <v/>
      </c>
      <c r="AB32" s="114">
        <f>SUMIFS('Committments Dump'!$S:$S,'Committments Dump'!$C:$C,'Category Table'!AB$2,'Committments Dump'!$B:$B,'Category Table'!$A32)</f>
        <v/>
      </c>
      <c r="AC32" s="114">
        <f>SUMIFS('Committments Dump'!$S:$S,'Committments Dump'!$C:$C,'Category Table'!AC$2,'Committments Dump'!$B:$B,'Category Table'!$A32)</f>
        <v/>
      </c>
      <c r="AD32" s="113">
        <f>U32+X32+AA32</f>
        <v/>
      </c>
      <c r="AE32" s="114">
        <f>V32+Y32+AB32</f>
        <v/>
      </c>
      <c r="AF32" s="114">
        <f>W32+Z32+AC32</f>
        <v/>
      </c>
      <c r="AG32" s="113">
        <f>R32+AD32</f>
        <v/>
      </c>
      <c r="AH32" s="114">
        <f>S32+AE32</f>
        <v/>
      </c>
      <c r="AI32" s="114">
        <f>T32+AF32</f>
        <v/>
      </c>
      <c r="AJ32" s="113" t="n"/>
      <c r="AK32" s="114" t="n"/>
      <c r="AL32" s="114" t="n"/>
      <c r="AM32" s="113">
        <f>(O32-AG32)+AJ32</f>
        <v/>
      </c>
      <c r="AN32" s="114">
        <f>(P32-AH32)+AK32</f>
        <v/>
      </c>
      <c r="AO32" s="114">
        <f>(Q32-AI32)+AL32</f>
        <v/>
      </c>
      <c r="AP32" s="2">
        <f>IF(AM32&gt;0, "Under",IF(AM32&lt;0,"Over",""))</f>
        <v/>
      </c>
      <c r="AQ32" s="1">
        <f>IF(AN32&gt;0, "Under",IF(AN32&lt;0,"Over",""))</f>
        <v/>
      </c>
      <c r="AR32" s="1">
        <f>IF(AO32&gt;0, "Under",IF(AO32&lt;0,"Over",""))</f>
        <v/>
      </c>
      <c r="AS32" s="3" t="n"/>
    </row>
    <row r="33">
      <c r="A33" s="90" t="inlineStr">
        <is>
          <t>0-4301</t>
        </is>
      </c>
      <c r="B33" s="90" t="inlineStr">
        <is>
          <t>0-4301-Pile Layout</t>
        </is>
      </c>
      <c r="C33" s="115" t="n">
        <v>0</v>
      </c>
      <c r="D33" s="116" t="n">
        <v>0</v>
      </c>
      <c r="E33" s="116" t="n">
        <v>0</v>
      </c>
      <c r="F33" s="115" t="n">
        <v>0</v>
      </c>
      <c r="G33" s="116" t="n">
        <v>0</v>
      </c>
      <c r="H33" s="116" t="n">
        <v>0</v>
      </c>
      <c r="I33" s="115" t="n">
        <v>0</v>
      </c>
      <c r="J33" s="116" t="n">
        <v>0</v>
      </c>
      <c r="K33" s="116" t="n">
        <v>0</v>
      </c>
      <c r="L33" s="115" t="n">
        <v>0</v>
      </c>
      <c r="M33" s="116" t="n">
        <v>0</v>
      </c>
      <c r="N33" s="116" t="n">
        <v>0</v>
      </c>
      <c r="O33" s="115">
        <f>L33+I33+F33+C33</f>
        <v/>
      </c>
      <c r="P33" s="116">
        <f>M33+J33+G33+D33</f>
        <v/>
      </c>
      <c r="Q33" s="116">
        <f>N33+K33+H33+E33</f>
        <v/>
      </c>
      <c r="R33" s="115">
        <f>SUMIFS('PO Log'!$E:$E,'PO Log'!$D:$D,'Category Table'!R$2,'PO Log'!$C:$C,'Category Table'!$A33)</f>
        <v/>
      </c>
      <c r="S33" s="116">
        <f>SUMIFS('PO Log'!$E:$E,'PO Log'!$D:$D,'Category Table'!S$2,'PO Log'!$C:$C,'Category Table'!$A33)</f>
        <v/>
      </c>
      <c r="T33" s="116">
        <f>SUMIFS('PO Log'!$E:$E,'PO Log'!$D:$D,'Category Table'!T$2,'PO Log'!$C:$C,'Category Table'!$A33)</f>
        <v/>
      </c>
      <c r="U33" s="115">
        <f>SUMIFS('Committments Dump'!$Q:$Q,'Committments Dump'!$C:$C,'Category Table'!U$2,'Committments Dump'!$B:$B,'Category Table'!$A33)</f>
        <v/>
      </c>
      <c r="V33" s="116">
        <f>SUMIFS('Committments Dump'!$Q:$Q,'Committments Dump'!$C:$C,'Category Table'!V$2,'Committments Dump'!$B:$B,'Category Table'!$A33)</f>
        <v/>
      </c>
      <c r="W33" s="116">
        <f>SUMIFS('Committments Dump'!$Q:$Q,'Committments Dump'!$C:$C,'Category Table'!W$2,'Committments Dump'!$B:$B,'Category Table'!$A33)</f>
        <v/>
      </c>
      <c r="X33" s="115">
        <f>SUMIFS('Committments Dump'!$R:$R,'Committments Dump'!$C:$C,'Category Table'!X$2,'Committments Dump'!$B:$B,'Category Table'!$A33)</f>
        <v/>
      </c>
      <c r="Y33" s="116">
        <f>SUMIFS('Committments Dump'!$R:$R,'Committments Dump'!$C:$C,'Category Table'!Y$2,'Committments Dump'!$B:$B,'Category Table'!$A33)</f>
        <v/>
      </c>
      <c r="Z33" s="116">
        <f>SUMIFS('Committments Dump'!$R:$R,'Committments Dump'!$C:$C,'Category Table'!Z$2,'Committments Dump'!$B:$B,'Category Table'!$A33)</f>
        <v/>
      </c>
      <c r="AA33" s="115">
        <f>SUMIFS('Committments Dump'!$S:$S,'Committments Dump'!$C:$C,'Category Table'!AA$2,'Committments Dump'!$B:$B,'Category Table'!$A33)</f>
        <v/>
      </c>
      <c r="AB33" s="116">
        <f>SUMIFS('Committments Dump'!$S:$S,'Committments Dump'!$C:$C,'Category Table'!AB$2,'Committments Dump'!$B:$B,'Category Table'!$A33)</f>
        <v/>
      </c>
      <c r="AC33" s="116">
        <f>SUMIFS('Committments Dump'!$S:$S,'Committments Dump'!$C:$C,'Category Table'!AC$2,'Committments Dump'!$B:$B,'Category Table'!$A33)</f>
        <v/>
      </c>
      <c r="AD33" s="115">
        <f>U33+X33+AA33</f>
        <v/>
      </c>
      <c r="AE33" s="116">
        <f>V33+Y33+AB33</f>
        <v/>
      </c>
      <c r="AF33" s="116">
        <f>W33+Z33+AC33</f>
        <v/>
      </c>
      <c r="AG33" s="115">
        <f>R33+AD33</f>
        <v/>
      </c>
      <c r="AH33" s="116">
        <f>S33+AE33</f>
        <v/>
      </c>
      <c r="AI33" s="116">
        <f>T33+AF33</f>
        <v/>
      </c>
      <c r="AJ33" s="115" t="n"/>
      <c r="AK33" s="116" t="n"/>
      <c r="AL33" s="116" t="n"/>
      <c r="AM33" s="115">
        <f>(O33-AG33)+AJ33</f>
        <v/>
      </c>
      <c r="AN33" s="116">
        <f>(P33-AH33)+AK33</f>
        <v/>
      </c>
      <c r="AO33" s="116">
        <f>(Q33-AI33)+AL33</f>
        <v/>
      </c>
      <c r="AP33" s="93">
        <f>IF(AM33&gt;0, "Under",IF(AM33&lt;0,"Over",""))</f>
        <v/>
      </c>
      <c r="AQ33" s="94">
        <f>IF(AN33&gt;0, "Under",IF(AN33&lt;0,"Over",""))</f>
        <v/>
      </c>
      <c r="AR33" s="94">
        <f>IF(AO33&gt;0, "Under",IF(AO33&lt;0,"Over",""))</f>
        <v/>
      </c>
      <c r="AS33" s="3" t="n"/>
    </row>
    <row r="34">
      <c r="A34" t="inlineStr">
        <is>
          <t>0-4302</t>
        </is>
      </c>
      <c r="B34" t="inlineStr">
        <is>
          <t>0-4302-Pile Installs</t>
        </is>
      </c>
      <c r="C34" s="113" t="n">
        <v>0</v>
      </c>
      <c r="D34" s="114" t="n">
        <v>0</v>
      </c>
      <c r="E34" s="114" t="n">
        <v>0</v>
      </c>
      <c r="F34" s="113" t="n">
        <v>0</v>
      </c>
      <c r="G34" s="114" t="n">
        <v>0</v>
      </c>
      <c r="H34" s="114" t="n">
        <v>114488.16</v>
      </c>
      <c r="I34" s="113" t="n">
        <v>0</v>
      </c>
      <c r="J34" s="114" t="n">
        <v>0</v>
      </c>
      <c r="K34" s="114" t="n">
        <v>0</v>
      </c>
      <c r="L34" s="113" t="n">
        <v>0</v>
      </c>
      <c r="M34" s="114" t="n">
        <v>0</v>
      </c>
      <c r="N34" s="114" t="n">
        <v>0</v>
      </c>
      <c r="O34" s="113">
        <f>L34+I34+F34+C34</f>
        <v/>
      </c>
      <c r="P34" s="114">
        <f>M34+J34+G34+D34</f>
        <v/>
      </c>
      <c r="Q34" s="114">
        <f>N34+K34+H34+E34</f>
        <v/>
      </c>
      <c r="R34" s="113">
        <f>SUMIFS('PO Log'!$E:$E,'PO Log'!$D:$D,'Category Table'!R$2,'PO Log'!$C:$C,'Category Table'!$A34)</f>
        <v/>
      </c>
      <c r="S34" s="114">
        <f>SUMIFS('PO Log'!$E:$E,'PO Log'!$D:$D,'Category Table'!S$2,'PO Log'!$C:$C,'Category Table'!$A34)</f>
        <v/>
      </c>
      <c r="T34" s="114">
        <f>SUMIFS('PO Log'!$E:$E,'PO Log'!$D:$D,'Category Table'!T$2,'PO Log'!$C:$C,'Category Table'!$A34)</f>
        <v/>
      </c>
      <c r="U34" s="113">
        <f>SUMIFS('Committments Dump'!$Q:$Q,'Committments Dump'!$C:$C,'Category Table'!U$2,'Committments Dump'!$B:$B,'Category Table'!$A34)</f>
        <v/>
      </c>
      <c r="V34" s="114">
        <f>SUMIFS('Committments Dump'!$Q:$Q,'Committments Dump'!$C:$C,'Category Table'!V$2,'Committments Dump'!$B:$B,'Category Table'!$A34)</f>
        <v/>
      </c>
      <c r="W34" s="114">
        <f>SUMIFS('Committments Dump'!$Q:$Q,'Committments Dump'!$C:$C,'Category Table'!W$2,'Committments Dump'!$B:$B,'Category Table'!$A34)</f>
        <v/>
      </c>
      <c r="X34" s="113">
        <f>SUMIFS('Committments Dump'!$R:$R,'Committments Dump'!$C:$C,'Category Table'!X$2,'Committments Dump'!$B:$B,'Category Table'!$A34)</f>
        <v/>
      </c>
      <c r="Y34" s="114">
        <f>SUMIFS('Committments Dump'!$R:$R,'Committments Dump'!$C:$C,'Category Table'!Y$2,'Committments Dump'!$B:$B,'Category Table'!$A34)</f>
        <v/>
      </c>
      <c r="Z34" s="114">
        <f>SUMIFS('Committments Dump'!$R:$R,'Committments Dump'!$C:$C,'Category Table'!Z$2,'Committments Dump'!$B:$B,'Category Table'!$A34)</f>
        <v/>
      </c>
      <c r="AA34" s="113">
        <f>SUMIFS('Committments Dump'!$S:$S,'Committments Dump'!$C:$C,'Category Table'!AA$2,'Committments Dump'!$B:$B,'Category Table'!$A34)</f>
        <v/>
      </c>
      <c r="AB34" s="114">
        <f>SUMIFS('Committments Dump'!$S:$S,'Committments Dump'!$C:$C,'Category Table'!AB$2,'Committments Dump'!$B:$B,'Category Table'!$A34)</f>
        <v/>
      </c>
      <c r="AC34" s="114">
        <f>SUMIFS('Committments Dump'!$S:$S,'Committments Dump'!$C:$C,'Category Table'!AC$2,'Committments Dump'!$B:$B,'Category Table'!$A34)</f>
        <v/>
      </c>
      <c r="AD34" s="113">
        <f>U34+X34+AA34</f>
        <v/>
      </c>
      <c r="AE34" s="114">
        <f>V34+Y34+AB34</f>
        <v/>
      </c>
      <c r="AF34" s="114">
        <f>W34+Z34+AC34</f>
        <v/>
      </c>
      <c r="AG34" s="113">
        <f>R34+AD34</f>
        <v/>
      </c>
      <c r="AH34" s="114">
        <f>S34+AE34</f>
        <v/>
      </c>
      <c r="AI34" s="114">
        <f>T34+AF34</f>
        <v/>
      </c>
      <c r="AJ34" s="113" t="n"/>
      <c r="AK34" s="114" t="n"/>
      <c r="AL34" s="114" t="n"/>
      <c r="AM34" s="113">
        <f>(O34-AG34)+AJ34</f>
        <v/>
      </c>
      <c r="AN34" s="114">
        <f>(P34-AH34)+AK34</f>
        <v/>
      </c>
      <c r="AO34" s="114">
        <f>(Q34-AI34)+AL34</f>
        <v/>
      </c>
      <c r="AP34" s="2">
        <f>IF(AM34&gt;0, "Under",IF(AM34&lt;0,"Over",""))</f>
        <v/>
      </c>
      <c r="AQ34" s="1">
        <f>IF(AN34&gt;0, "Under",IF(AN34&lt;0,"Over",""))</f>
        <v/>
      </c>
      <c r="AR34" s="1">
        <f>IF(AO34&gt;0, "Under",IF(AO34&lt;0,"Over",""))</f>
        <v/>
      </c>
      <c r="AS34" s="3" t="n"/>
    </row>
    <row r="35">
      <c r="A35" s="90" t="inlineStr">
        <is>
          <t>0-4303</t>
        </is>
      </c>
      <c r="B35" s="90" t="inlineStr">
        <is>
          <t>0-4303-Pile QAQC</t>
        </is>
      </c>
      <c r="C35" s="115" t="n">
        <v>0</v>
      </c>
      <c r="D35" s="116" t="n">
        <v>0</v>
      </c>
      <c r="E35" s="116" t="n">
        <v>0</v>
      </c>
      <c r="F35" s="115" t="n">
        <v>0</v>
      </c>
      <c r="G35" s="116" t="n"/>
      <c r="H35" s="116" t="n">
        <v>0</v>
      </c>
      <c r="I35" s="115" t="n">
        <v>0</v>
      </c>
      <c r="J35" s="116" t="n">
        <v>0</v>
      </c>
      <c r="K35" s="116" t="n">
        <v>0</v>
      </c>
      <c r="L35" s="115" t="n">
        <v>0</v>
      </c>
      <c r="M35" s="116" t="n">
        <v>0</v>
      </c>
      <c r="N35" s="116" t="n">
        <v>0</v>
      </c>
      <c r="O35" s="115">
        <f>L35+I35+F35+C35</f>
        <v/>
      </c>
      <c r="P35" s="116">
        <f>M35+J35+G35+D35</f>
        <v/>
      </c>
      <c r="Q35" s="116">
        <f>N35+K35+H35+E35</f>
        <v/>
      </c>
      <c r="R35" s="115">
        <f>SUMIFS('PO Log'!$E:$E,'PO Log'!$D:$D,'Category Table'!R$2,'PO Log'!$C:$C,'Category Table'!$A35)</f>
        <v/>
      </c>
      <c r="S35" s="116">
        <f>SUMIFS('PO Log'!$E:$E,'PO Log'!$D:$D,'Category Table'!S$2,'PO Log'!$C:$C,'Category Table'!$A35)</f>
        <v/>
      </c>
      <c r="T35" s="116">
        <f>SUMIFS('PO Log'!$E:$E,'PO Log'!$D:$D,'Category Table'!T$2,'PO Log'!$C:$C,'Category Table'!$A35)</f>
        <v/>
      </c>
      <c r="U35" s="115">
        <f>SUMIFS('Committments Dump'!$Q:$Q,'Committments Dump'!$C:$C,'Category Table'!U$2,'Committments Dump'!$B:$B,'Category Table'!$A35)</f>
        <v/>
      </c>
      <c r="V35" s="116">
        <f>SUMIFS('Committments Dump'!$Q:$Q,'Committments Dump'!$C:$C,'Category Table'!V$2,'Committments Dump'!$B:$B,'Category Table'!$A35)</f>
        <v/>
      </c>
      <c r="W35" s="116">
        <f>SUMIFS('Committments Dump'!$Q:$Q,'Committments Dump'!$C:$C,'Category Table'!W$2,'Committments Dump'!$B:$B,'Category Table'!$A35)</f>
        <v/>
      </c>
      <c r="X35" s="115">
        <f>SUMIFS('Committments Dump'!$R:$R,'Committments Dump'!$C:$C,'Category Table'!X$2,'Committments Dump'!$B:$B,'Category Table'!$A35)</f>
        <v/>
      </c>
      <c r="Y35" s="116">
        <f>SUMIFS('Committments Dump'!$R:$R,'Committments Dump'!$C:$C,'Category Table'!Y$2,'Committments Dump'!$B:$B,'Category Table'!$A35)</f>
        <v/>
      </c>
      <c r="Z35" s="116">
        <f>SUMIFS('Committments Dump'!$R:$R,'Committments Dump'!$C:$C,'Category Table'!Z$2,'Committments Dump'!$B:$B,'Category Table'!$A35)</f>
        <v/>
      </c>
      <c r="AA35" s="115">
        <f>SUMIFS('Committments Dump'!$S:$S,'Committments Dump'!$C:$C,'Category Table'!AA$2,'Committments Dump'!$B:$B,'Category Table'!$A35)</f>
        <v/>
      </c>
      <c r="AB35" s="116">
        <f>SUMIFS('Committments Dump'!$S:$S,'Committments Dump'!$C:$C,'Category Table'!AB$2,'Committments Dump'!$B:$B,'Category Table'!$A35)</f>
        <v/>
      </c>
      <c r="AC35" s="116">
        <f>SUMIFS('Committments Dump'!$S:$S,'Committments Dump'!$C:$C,'Category Table'!AC$2,'Committments Dump'!$B:$B,'Category Table'!$A35)</f>
        <v/>
      </c>
      <c r="AD35" s="115">
        <f>U35+X35+AA35</f>
        <v/>
      </c>
      <c r="AE35" s="116">
        <f>V35+Y35+AB35</f>
        <v/>
      </c>
      <c r="AF35" s="116">
        <f>W35+Z35+AC35</f>
        <v/>
      </c>
      <c r="AG35" s="115">
        <f>R35+AD35</f>
        <v/>
      </c>
      <c r="AH35" s="116">
        <f>S35+AE35</f>
        <v/>
      </c>
      <c r="AI35" s="116">
        <f>T35+AF35</f>
        <v/>
      </c>
      <c r="AJ35" s="115" t="n"/>
      <c r="AK35" s="116" t="n"/>
      <c r="AL35" s="116" t="n"/>
      <c r="AM35" s="115">
        <f>(O35-AG35)+AJ35</f>
        <v/>
      </c>
      <c r="AN35" s="116">
        <f>(P35-AH35)+AK35</f>
        <v/>
      </c>
      <c r="AO35" s="116">
        <f>(Q35-AI35)+AL35</f>
        <v/>
      </c>
      <c r="AP35" s="93">
        <f>IF(AM35&gt;0, "Under",IF(AM35&lt;0,"Over",""))</f>
        <v/>
      </c>
      <c r="AQ35" s="94">
        <f>IF(AN35&gt;0, "Under",IF(AN35&lt;0,"Over",""))</f>
        <v/>
      </c>
      <c r="AR35" s="94">
        <f>IF(AO35&gt;0, "Under",IF(AO35&lt;0,"Over",""))</f>
        <v/>
      </c>
      <c r="AS35" s="3" t="n"/>
    </row>
    <row r="36">
      <c r="A36" t="inlineStr">
        <is>
          <t>0-4304</t>
        </is>
      </c>
      <c r="B36" t="inlineStr">
        <is>
          <t>0-4304-Racking Layout</t>
        </is>
      </c>
      <c r="C36" s="113" t="n">
        <v>0</v>
      </c>
      <c r="D36" s="114" t="n">
        <v>0</v>
      </c>
      <c r="E36" s="114" t="n">
        <v>0</v>
      </c>
      <c r="F36" s="113" t="n">
        <v>0</v>
      </c>
      <c r="G36" s="114" t="n"/>
      <c r="H36" s="114" t="n">
        <v>0</v>
      </c>
      <c r="I36" s="113" t="n">
        <v>0</v>
      </c>
      <c r="J36" s="114" t="n">
        <v>0</v>
      </c>
      <c r="K36" s="114" t="n">
        <v>0</v>
      </c>
      <c r="L36" s="113" t="n">
        <v>0</v>
      </c>
      <c r="M36" s="114" t="n">
        <v>0</v>
      </c>
      <c r="N36" s="114" t="n">
        <v>0</v>
      </c>
      <c r="O36" s="113">
        <f>L36+I36+F36+C36</f>
        <v/>
      </c>
      <c r="P36" s="114">
        <f>M36+J36+G36+D36</f>
        <v/>
      </c>
      <c r="Q36" s="114">
        <f>N36+K36+H36+E36</f>
        <v/>
      </c>
      <c r="R36" s="113">
        <f>SUMIFS('PO Log'!$E:$E,'PO Log'!$D:$D,'Category Table'!R$2,'PO Log'!$C:$C,'Category Table'!$A36)</f>
        <v/>
      </c>
      <c r="S36" s="114">
        <f>SUMIFS('PO Log'!$E:$E,'PO Log'!$D:$D,'Category Table'!S$2,'PO Log'!$C:$C,'Category Table'!$A36)</f>
        <v/>
      </c>
      <c r="T36" s="114">
        <f>SUMIFS('PO Log'!$E:$E,'PO Log'!$D:$D,'Category Table'!T$2,'PO Log'!$C:$C,'Category Table'!$A36)</f>
        <v/>
      </c>
      <c r="U36" s="113">
        <f>SUMIFS('Committments Dump'!$Q:$Q,'Committments Dump'!$C:$C,'Category Table'!U$2,'Committments Dump'!$B:$B,'Category Table'!$A36)</f>
        <v/>
      </c>
      <c r="V36" s="114">
        <f>SUMIFS('Committments Dump'!$Q:$Q,'Committments Dump'!$C:$C,'Category Table'!V$2,'Committments Dump'!$B:$B,'Category Table'!$A36)</f>
        <v/>
      </c>
      <c r="W36" s="114">
        <f>SUMIFS('Committments Dump'!$Q:$Q,'Committments Dump'!$C:$C,'Category Table'!W$2,'Committments Dump'!$B:$B,'Category Table'!$A36)</f>
        <v/>
      </c>
      <c r="X36" s="113">
        <f>SUMIFS('Committments Dump'!$R:$R,'Committments Dump'!$C:$C,'Category Table'!X$2,'Committments Dump'!$B:$B,'Category Table'!$A36)</f>
        <v/>
      </c>
      <c r="Y36" s="114">
        <f>SUMIFS('Committments Dump'!$R:$R,'Committments Dump'!$C:$C,'Category Table'!Y$2,'Committments Dump'!$B:$B,'Category Table'!$A36)</f>
        <v/>
      </c>
      <c r="Z36" s="114">
        <f>SUMIFS('Committments Dump'!$R:$R,'Committments Dump'!$C:$C,'Category Table'!Z$2,'Committments Dump'!$B:$B,'Category Table'!$A36)</f>
        <v/>
      </c>
      <c r="AA36" s="113">
        <f>SUMIFS('Committments Dump'!$S:$S,'Committments Dump'!$C:$C,'Category Table'!AA$2,'Committments Dump'!$B:$B,'Category Table'!$A36)</f>
        <v/>
      </c>
      <c r="AB36" s="114">
        <f>SUMIFS('Committments Dump'!$S:$S,'Committments Dump'!$C:$C,'Category Table'!AB$2,'Committments Dump'!$B:$B,'Category Table'!$A36)</f>
        <v/>
      </c>
      <c r="AC36" s="114">
        <f>SUMIFS('Committments Dump'!$S:$S,'Committments Dump'!$C:$C,'Category Table'!AC$2,'Committments Dump'!$B:$B,'Category Table'!$A36)</f>
        <v/>
      </c>
      <c r="AD36" s="113">
        <f>U36+X36+AA36</f>
        <v/>
      </c>
      <c r="AE36" s="114">
        <f>V36+Y36+AB36</f>
        <v/>
      </c>
      <c r="AF36" s="114">
        <f>W36+Z36+AC36</f>
        <v/>
      </c>
      <c r="AG36" s="113">
        <f>R36+AD36</f>
        <v/>
      </c>
      <c r="AH36" s="114">
        <f>S36+AE36</f>
        <v/>
      </c>
      <c r="AI36" s="114">
        <f>T36+AF36</f>
        <v/>
      </c>
      <c r="AJ36" s="113" t="n"/>
      <c r="AK36" s="114" t="n"/>
      <c r="AL36" s="114" t="n"/>
      <c r="AM36" s="113">
        <f>(O36-AG36)+AJ36</f>
        <v/>
      </c>
      <c r="AN36" s="114">
        <f>(P36-AH36)+AK36</f>
        <v/>
      </c>
      <c r="AO36" s="114">
        <f>(Q36-AI36)+AL36</f>
        <v/>
      </c>
      <c r="AP36" s="2">
        <f>IF(AM36&gt;0, "Under",IF(AM36&lt;0,"Over",""))</f>
        <v/>
      </c>
      <c r="AQ36" s="1">
        <f>IF(AN36&gt;0, "Under",IF(AN36&lt;0,"Over",""))</f>
        <v/>
      </c>
      <c r="AR36" s="1">
        <f>IF(AO36&gt;0, "Under",IF(AO36&lt;0,"Over",""))</f>
        <v/>
      </c>
      <c r="AS36" s="3" t="n"/>
    </row>
    <row r="37">
      <c r="A37" s="90" t="inlineStr">
        <is>
          <t>0-4305</t>
        </is>
      </c>
      <c r="B37" s="90" t="inlineStr">
        <is>
          <t>0-4305-Racking Install</t>
        </is>
      </c>
      <c r="C37" s="115" t="n">
        <v>0</v>
      </c>
      <c r="D37" s="116" t="n">
        <v>0</v>
      </c>
      <c r="E37" s="116" t="n">
        <v>0</v>
      </c>
      <c r="F37" s="115" t="n">
        <v>0</v>
      </c>
      <c r="G37" s="116" t="n"/>
      <c r="H37" s="116" t="n">
        <v>0</v>
      </c>
      <c r="I37" s="115" t="n">
        <v>0</v>
      </c>
      <c r="J37" s="116" t="n">
        <v>0</v>
      </c>
      <c r="K37" s="116" t="n">
        <v>0</v>
      </c>
      <c r="L37" s="115" t="n">
        <v>0</v>
      </c>
      <c r="M37" s="116" t="n">
        <v>0</v>
      </c>
      <c r="N37" s="116" t="n">
        <v>0</v>
      </c>
      <c r="O37" s="115">
        <f>L37+I37+F37+C37</f>
        <v/>
      </c>
      <c r="P37" s="116">
        <f>M37+J37+G37+D37</f>
        <v/>
      </c>
      <c r="Q37" s="116">
        <f>N37+K37+H37+E37</f>
        <v/>
      </c>
      <c r="R37" s="115">
        <f>SUMIFS('PO Log'!$E:$E,'PO Log'!$D:$D,'Category Table'!R$2,'PO Log'!$C:$C,'Category Table'!$A37)</f>
        <v/>
      </c>
      <c r="S37" s="116">
        <f>SUMIFS('PO Log'!$E:$E,'PO Log'!$D:$D,'Category Table'!S$2,'PO Log'!$C:$C,'Category Table'!$A37)</f>
        <v/>
      </c>
      <c r="T37" s="116">
        <f>SUMIFS('PO Log'!$E:$E,'PO Log'!$D:$D,'Category Table'!T$2,'PO Log'!$C:$C,'Category Table'!$A37)</f>
        <v/>
      </c>
      <c r="U37" s="115">
        <f>SUMIFS('Committments Dump'!$Q:$Q,'Committments Dump'!$C:$C,'Category Table'!U$2,'Committments Dump'!$B:$B,'Category Table'!$A37)</f>
        <v/>
      </c>
      <c r="V37" s="116">
        <f>SUMIFS('Committments Dump'!$Q:$Q,'Committments Dump'!$C:$C,'Category Table'!V$2,'Committments Dump'!$B:$B,'Category Table'!$A37)</f>
        <v/>
      </c>
      <c r="W37" s="116">
        <f>SUMIFS('Committments Dump'!$Q:$Q,'Committments Dump'!$C:$C,'Category Table'!W$2,'Committments Dump'!$B:$B,'Category Table'!$A37)</f>
        <v/>
      </c>
      <c r="X37" s="115">
        <f>SUMIFS('Committments Dump'!$R:$R,'Committments Dump'!$C:$C,'Category Table'!X$2,'Committments Dump'!$B:$B,'Category Table'!$A37)</f>
        <v/>
      </c>
      <c r="Y37" s="116">
        <f>SUMIFS('Committments Dump'!$R:$R,'Committments Dump'!$C:$C,'Category Table'!Y$2,'Committments Dump'!$B:$B,'Category Table'!$A37)</f>
        <v/>
      </c>
      <c r="Z37" s="116">
        <f>SUMIFS('Committments Dump'!$R:$R,'Committments Dump'!$C:$C,'Category Table'!Z$2,'Committments Dump'!$B:$B,'Category Table'!$A37)</f>
        <v/>
      </c>
      <c r="AA37" s="115">
        <f>SUMIFS('Committments Dump'!$S:$S,'Committments Dump'!$C:$C,'Category Table'!AA$2,'Committments Dump'!$B:$B,'Category Table'!$A37)</f>
        <v/>
      </c>
      <c r="AB37" s="116">
        <f>SUMIFS('Committments Dump'!$S:$S,'Committments Dump'!$C:$C,'Category Table'!AB$2,'Committments Dump'!$B:$B,'Category Table'!$A37)</f>
        <v/>
      </c>
      <c r="AC37" s="116">
        <f>SUMIFS('Committments Dump'!$S:$S,'Committments Dump'!$C:$C,'Category Table'!AC$2,'Committments Dump'!$B:$B,'Category Table'!$A37)</f>
        <v/>
      </c>
      <c r="AD37" s="115">
        <f>U37+X37+AA37</f>
        <v/>
      </c>
      <c r="AE37" s="116">
        <f>V37+Y37+AB37</f>
        <v/>
      </c>
      <c r="AF37" s="116">
        <f>W37+Z37+AC37</f>
        <v/>
      </c>
      <c r="AG37" s="115">
        <f>R37+AD37</f>
        <v/>
      </c>
      <c r="AH37" s="116">
        <f>S37+AE37</f>
        <v/>
      </c>
      <c r="AI37" s="116">
        <f>T37+AF37</f>
        <v/>
      </c>
      <c r="AJ37" s="115" t="n"/>
      <c r="AK37" s="116" t="n"/>
      <c r="AL37" s="116" t="n"/>
      <c r="AM37" s="115">
        <f>(O37-AG37)+AJ37</f>
        <v/>
      </c>
      <c r="AN37" s="116">
        <f>(P37-AH37)+AK37</f>
        <v/>
      </c>
      <c r="AO37" s="116">
        <f>(Q37-AI37)+AL37</f>
        <v/>
      </c>
      <c r="AP37" s="93">
        <f>IF(AM37&gt;0, "Under",IF(AM37&lt;0,"Over",""))</f>
        <v/>
      </c>
      <c r="AQ37" s="94">
        <f>IF(AN37&gt;0, "Under",IF(AN37&lt;0,"Over",""))</f>
        <v/>
      </c>
      <c r="AR37" s="94">
        <f>IF(AO37&gt;0, "Under",IF(AO37&lt;0,"Over",""))</f>
        <v/>
      </c>
      <c r="AS37" s="3" t="n"/>
    </row>
    <row r="38">
      <c r="A38" t="inlineStr">
        <is>
          <t>0-4306</t>
        </is>
      </c>
      <c r="B38" t="inlineStr">
        <is>
          <t>0-4306-Racking QAQC</t>
        </is>
      </c>
      <c r="C38" s="113" t="n">
        <v>0</v>
      </c>
      <c r="D38" s="114" t="n">
        <v>0</v>
      </c>
      <c r="E38" s="114" t="n">
        <v>0</v>
      </c>
      <c r="F38" s="113" t="n">
        <v>0</v>
      </c>
      <c r="G38" s="114" t="n">
        <v>0</v>
      </c>
      <c r="H38" s="114" t="n">
        <v>0</v>
      </c>
      <c r="I38" s="113" t="n">
        <v>0</v>
      </c>
      <c r="J38" s="114" t="n">
        <v>0</v>
      </c>
      <c r="K38" s="114" t="n">
        <v>0</v>
      </c>
      <c r="L38" s="113" t="n">
        <v>0</v>
      </c>
      <c r="M38" s="114" t="n">
        <v>0</v>
      </c>
      <c r="N38" s="114" t="n">
        <v>0</v>
      </c>
      <c r="O38" s="113">
        <f>L38+I38+F38+C38</f>
        <v/>
      </c>
      <c r="P38" s="114">
        <f>M38+J38+G38+D38</f>
        <v/>
      </c>
      <c r="Q38" s="114">
        <f>N38+K38+H38+E38</f>
        <v/>
      </c>
      <c r="R38" s="113">
        <f>SUMIFS('PO Log'!$E:$E,'PO Log'!$D:$D,'Category Table'!R$2,'PO Log'!$C:$C,'Category Table'!$A38)</f>
        <v/>
      </c>
      <c r="S38" s="114">
        <f>SUMIFS('PO Log'!$E:$E,'PO Log'!$D:$D,'Category Table'!S$2,'PO Log'!$C:$C,'Category Table'!$A38)</f>
        <v/>
      </c>
      <c r="T38" s="114">
        <f>SUMIFS('PO Log'!$E:$E,'PO Log'!$D:$D,'Category Table'!T$2,'PO Log'!$C:$C,'Category Table'!$A38)</f>
        <v/>
      </c>
      <c r="U38" s="113">
        <f>SUMIFS('Committments Dump'!$Q:$Q,'Committments Dump'!$C:$C,'Category Table'!U$2,'Committments Dump'!$B:$B,'Category Table'!$A38)</f>
        <v/>
      </c>
      <c r="V38" s="114">
        <f>SUMIFS('Committments Dump'!$Q:$Q,'Committments Dump'!$C:$C,'Category Table'!V$2,'Committments Dump'!$B:$B,'Category Table'!$A38)</f>
        <v/>
      </c>
      <c r="W38" s="114">
        <f>SUMIFS('Committments Dump'!$Q:$Q,'Committments Dump'!$C:$C,'Category Table'!W$2,'Committments Dump'!$B:$B,'Category Table'!$A38)</f>
        <v/>
      </c>
      <c r="X38" s="113">
        <f>SUMIFS('Committments Dump'!$R:$R,'Committments Dump'!$C:$C,'Category Table'!X$2,'Committments Dump'!$B:$B,'Category Table'!$A38)</f>
        <v/>
      </c>
      <c r="Y38" s="114">
        <f>SUMIFS('Committments Dump'!$R:$R,'Committments Dump'!$C:$C,'Category Table'!Y$2,'Committments Dump'!$B:$B,'Category Table'!$A38)</f>
        <v/>
      </c>
      <c r="Z38" s="114">
        <f>SUMIFS('Committments Dump'!$R:$R,'Committments Dump'!$C:$C,'Category Table'!Z$2,'Committments Dump'!$B:$B,'Category Table'!$A38)</f>
        <v/>
      </c>
      <c r="AA38" s="113">
        <f>SUMIFS('Committments Dump'!$S:$S,'Committments Dump'!$C:$C,'Category Table'!AA$2,'Committments Dump'!$B:$B,'Category Table'!$A38)</f>
        <v/>
      </c>
      <c r="AB38" s="114">
        <f>SUMIFS('Committments Dump'!$S:$S,'Committments Dump'!$C:$C,'Category Table'!AB$2,'Committments Dump'!$B:$B,'Category Table'!$A38)</f>
        <v/>
      </c>
      <c r="AC38" s="114">
        <f>SUMIFS('Committments Dump'!$S:$S,'Committments Dump'!$C:$C,'Category Table'!AC$2,'Committments Dump'!$B:$B,'Category Table'!$A38)</f>
        <v/>
      </c>
      <c r="AD38" s="113">
        <f>U38+X38+AA38</f>
        <v/>
      </c>
      <c r="AE38" s="114">
        <f>V38+Y38+AB38</f>
        <v/>
      </c>
      <c r="AF38" s="114">
        <f>W38+Z38+AC38</f>
        <v/>
      </c>
      <c r="AG38" s="113">
        <f>R38+AD38</f>
        <v/>
      </c>
      <c r="AH38" s="114">
        <f>S38+AE38</f>
        <v/>
      </c>
      <c r="AI38" s="114">
        <f>T38+AF38</f>
        <v/>
      </c>
      <c r="AJ38" s="113" t="n"/>
      <c r="AK38" s="114" t="n"/>
      <c r="AL38" s="114" t="n"/>
      <c r="AM38" s="113">
        <f>(O38-AG38)+AJ38</f>
        <v/>
      </c>
      <c r="AN38" s="114">
        <f>(P38-AH38)+AK38</f>
        <v/>
      </c>
      <c r="AO38" s="114">
        <f>(Q38-AI38)+AL38</f>
        <v/>
      </c>
      <c r="AP38" s="2">
        <f>IF(AM38&gt;0, "Under",IF(AM38&lt;0,"Over",""))</f>
        <v/>
      </c>
      <c r="AQ38" s="1">
        <f>IF(AN38&gt;0, "Under",IF(AN38&lt;0,"Over",""))</f>
        <v/>
      </c>
      <c r="AR38" s="1">
        <f>IF(AO38&gt;0, "Under",IF(AO38&lt;0,"Over",""))</f>
        <v/>
      </c>
      <c r="AS38" s="3" t="n"/>
    </row>
    <row r="39">
      <c r="A39" s="90" t="inlineStr">
        <is>
          <t>0-4307</t>
        </is>
      </c>
      <c r="B39" s="90" t="inlineStr">
        <is>
          <t>0-4307-Modules Layout</t>
        </is>
      </c>
      <c r="C39" s="115" t="n">
        <v>0</v>
      </c>
      <c r="D39" s="116" t="n">
        <v>0</v>
      </c>
      <c r="E39" s="116" t="n">
        <v>0</v>
      </c>
      <c r="F39" s="115" t="n">
        <v>0</v>
      </c>
      <c r="G39" s="116" t="n"/>
      <c r="H39" s="116" t="n">
        <v>0</v>
      </c>
      <c r="I39" s="115" t="n">
        <v>0</v>
      </c>
      <c r="J39" s="116" t="n">
        <v>0</v>
      </c>
      <c r="K39" s="116" t="n">
        <v>0</v>
      </c>
      <c r="L39" s="115" t="n">
        <v>0</v>
      </c>
      <c r="M39" s="116" t="n">
        <v>0</v>
      </c>
      <c r="N39" s="116" t="n">
        <v>0</v>
      </c>
      <c r="O39" s="115">
        <f>L39+I39+F39+C39</f>
        <v/>
      </c>
      <c r="P39" s="116">
        <f>M39+J39+G39+D39</f>
        <v/>
      </c>
      <c r="Q39" s="116">
        <f>N39+K39+H39+E39</f>
        <v/>
      </c>
      <c r="R39" s="115">
        <f>SUMIFS('PO Log'!$E:$E,'PO Log'!$D:$D,'Category Table'!R$2,'PO Log'!$C:$C,'Category Table'!$A39)</f>
        <v/>
      </c>
      <c r="S39" s="116">
        <f>SUMIFS('PO Log'!$E:$E,'PO Log'!$D:$D,'Category Table'!S$2,'PO Log'!$C:$C,'Category Table'!$A39)</f>
        <v/>
      </c>
      <c r="T39" s="116">
        <f>SUMIFS('PO Log'!$E:$E,'PO Log'!$D:$D,'Category Table'!T$2,'PO Log'!$C:$C,'Category Table'!$A39)</f>
        <v/>
      </c>
      <c r="U39" s="115">
        <f>SUMIFS('Committments Dump'!$Q:$Q,'Committments Dump'!$C:$C,'Category Table'!U$2,'Committments Dump'!$B:$B,'Category Table'!$A39)</f>
        <v/>
      </c>
      <c r="V39" s="116">
        <f>SUMIFS('Committments Dump'!$Q:$Q,'Committments Dump'!$C:$C,'Category Table'!V$2,'Committments Dump'!$B:$B,'Category Table'!$A39)</f>
        <v/>
      </c>
      <c r="W39" s="116">
        <f>SUMIFS('Committments Dump'!$Q:$Q,'Committments Dump'!$C:$C,'Category Table'!W$2,'Committments Dump'!$B:$B,'Category Table'!$A39)</f>
        <v/>
      </c>
      <c r="X39" s="115">
        <f>SUMIFS('Committments Dump'!$R:$R,'Committments Dump'!$C:$C,'Category Table'!X$2,'Committments Dump'!$B:$B,'Category Table'!$A39)</f>
        <v/>
      </c>
      <c r="Y39" s="116">
        <f>SUMIFS('Committments Dump'!$R:$R,'Committments Dump'!$C:$C,'Category Table'!Y$2,'Committments Dump'!$B:$B,'Category Table'!$A39)</f>
        <v/>
      </c>
      <c r="Z39" s="116">
        <f>SUMIFS('Committments Dump'!$R:$R,'Committments Dump'!$C:$C,'Category Table'!Z$2,'Committments Dump'!$B:$B,'Category Table'!$A39)</f>
        <v/>
      </c>
      <c r="AA39" s="115">
        <f>SUMIFS('Committments Dump'!$S:$S,'Committments Dump'!$C:$C,'Category Table'!AA$2,'Committments Dump'!$B:$B,'Category Table'!$A39)</f>
        <v/>
      </c>
      <c r="AB39" s="116">
        <f>SUMIFS('Committments Dump'!$S:$S,'Committments Dump'!$C:$C,'Category Table'!AB$2,'Committments Dump'!$B:$B,'Category Table'!$A39)</f>
        <v/>
      </c>
      <c r="AC39" s="116">
        <f>SUMIFS('Committments Dump'!$S:$S,'Committments Dump'!$C:$C,'Category Table'!AC$2,'Committments Dump'!$B:$B,'Category Table'!$A39)</f>
        <v/>
      </c>
      <c r="AD39" s="115">
        <f>U39+X39+AA39</f>
        <v/>
      </c>
      <c r="AE39" s="116">
        <f>V39+Y39+AB39</f>
        <v/>
      </c>
      <c r="AF39" s="116">
        <f>W39+Z39+AC39</f>
        <v/>
      </c>
      <c r="AG39" s="115">
        <f>R39+AD39</f>
        <v/>
      </c>
      <c r="AH39" s="116">
        <f>S39+AE39</f>
        <v/>
      </c>
      <c r="AI39" s="116">
        <f>T39+AF39</f>
        <v/>
      </c>
      <c r="AJ39" s="115" t="n"/>
      <c r="AK39" s="116" t="n"/>
      <c r="AL39" s="116" t="n"/>
      <c r="AM39" s="115">
        <f>(O39-AG39)+AJ39</f>
        <v/>
      </c>
      <c r="AN39" s="116">
        <f>(P39-AH39)+AK39</f>
        <v/>
      </c>
      <c r="AO39" s="116">
        <f>(Q39-AI39)+AL39</f>
        <v/>
      </c>
      <c r="AP39" s="93">
        <f>IF(AM39&gt;0, "Under",IF(AM39&lt;0,"Over",""))</f>
        <v/>
      </c>
      <c r="AQ39" s="94">
        <f>IF(AN39&gt;0, "Under",IF(AN39&lt;0,"Over",""))</f>
        <v/>
      </c>
      <c r="AR39" s="94">
        <f>IF(AO39&gt;0, "Under",IF(AO39&lt;0,"Over",""))</f>
        <v/>
      </c>
      <c r="AS39" s="3" t="n"/>
    </row>
    <row r="40">
      <c r="A40" t="inlineStr">
        <is>
          <t>0-4308</t>
        </is>
      </c>
      <c r="B40" t="inlineStr">
        <is>
          <t>0-4308-Modules Install</t>
        </is>
      </c>
      <c r="C40" s="113" t="n">
        <v>0</v>
      </c>
      <c r="D40" s="114" t="n">
        <v>0</v>
      </c>
      <c r="E40" s="114" t="n">
        <v>0</v>
      </c>
      <c r="F40" s="113" t="n">
        <v>0</v>
      </c>
      <c r="G40" s="114" t="n"/>
      <c r="H40" s="114" t="n">
        <v>0</v>
      </c>
      <c r="I40" s="113" t="n">
        <v>0</v>
      </c>
      <c r="J40" s="114" t="n">
        <v>0</v>
      </c>
      <c r="K40" s="114" t="n">
        <v>0</v>
      </c>
      <c r="L40" s="113" t="n">
        <v>0</v>
      </c>
      <c r="M40" s="114" t="n">
        <v>0</v>
      </c>
      <c r="N40" s="114" t="n">
        <v>0</v>
      </c>
      <c r="O40" s="113">
        <f>L40+I40+F40+C40</f>
        <v/>
      </c>
      <c r="P40" s="114">
        <f>M40+J40+G40+D40</f>
        <v/>
      </c>
      <c r="Q40" s="114">
        <f>N40+K40+H40+E40</f>
        <v/>
      </c>
      <c r="R40" s="113">
        <f>SUMIFS('PO Log'!$E:$E,'PO Log'!$D:$D,'Category Table'!R$2,'PO Log'!$C:$C,'Category Table'!$A40)</f>
        <v/>
      </c>
      <c r="S40" s="114">
        <f>SUMIFS('PO Log'!$E:$E,'PO Log'!$D:$D,'Category Table'!S$2,'PO Log'!$C:$C,'Category Table'!$A40)</f>
        <v/>
      </c>
      <c r="T40" s="114">
        <f>SUMIFS('PO Log'!$E:$E,'PO Log'!$D:$D,'Category Table'!T$2,'PO Log'!$C:$C,'Category Table'!$A40)</f>
        <v/>
      </c>
      <c r="U40" s="113">
        <f>SUMIFS('Committments Dump'!$Q:$Q,'Committments Dump'!$C:$C,'Category Table'!U$2,'Committments Dump'!$B:$B,'Category Table'!$A40)</f>
        <v/>
      </c>
      <c r="V40" s="114">
        <f>SUMIFS('Committments Dump'!$Q:$Q,'Committments Dump'!$C:$C,'Category Table'!V$2,'Committments Dump'!$B:$B,'Category Table'!$A40)</f>
        <v/>
      </c>
      <c r="W40" s="114">
        <f>SUMIFS('Committments Dump'!$Q:$Q,'Committments Dump'!$C:$C,'Category Table'!W$2,'Committments Dump'!$B:$B,'Category Table'!$A40)</f>
        <v/>
      </c>
      <c r="X40" s="113">
        <f>SUMIFS('Committments Dump'!$R:$R,'Committments Dump'!$C:$C,'Category Table'!X$2,'Committments Dump'!$B:$B,'Category Table'!$A40)</f>
        <v/>
      </c>
      <c r="Y40" s="114">
        <f>SUMIFS('Committments Dump'!$R:$R,'Committments Dump'!$C:$C,'Category Table'!Y$2,'Committments Dump'!$B:$B,'Category Table'!$A40)</f>
        <v/>
      </c>
      <c r="Z40" s="114">
        <f>SUMIFS('Committments Dump'!$R:$R,'Committments Dump'!$C:$C,'Category Table'!Z$2,'Committments Dump'!$B:$B,'Category Table'!$A40)</f>
        <v/>
      </c>
      <c r="AA40" s="113">
        <f>SUMIFS('Committments Dump'!$S:$S,'Committments Dump'!$C:$C,'Category Table'!AA$2,'Committments Dump'!$B:$B,'Category Table'!$A40)</f>
        <v/>
      </c>
      <c r="AB40" s="114">
        <f>SUMIFS('Committments Dump'!$S:$S,'Committments Dump'!$C:$C,'Category Table'!AB$2,'Committments Dump'!$B:$B,'Category Table'!$A40)</f>
        <v/>
      </c>
      <c r="AC40" s="114">
        <f>SUMIFS('Committments Dump'!$S:$S,'Committments Dump'!$C:$C,'Category Table'!AC$2,'Committments Dump'!$B:$B,'Category Table'!$A40)</f>
        <v/>
      </c>
      <c r="AD40" s="113">
        <f>U40+X40+AA40</f>
        <v/>
      </c>
      <c r="AE40" s="114">
        <f>V40+Y40+AB40</f>
        <v/>
      </c>
      <c r="AF40" s="114">
        <f>W40+Z40+AC40</f>
        <v/>
      </c>
      <c r="AG40" s="113">
        <f>R40+AD40</f>
        <v/>
      </c>
      <c r="AH40" s="114">
        <f>S40+AE40</f>
        <v/>
      </c>
      <c r="AI40" s="114">
        <f>T40+AF40</f>
        <v/>
      </c>
      <c r="AJ40" s="113" t="n"/>
      <c r="AK40" s="114" t="n"/>
      <c r="AL40" s="114" t="n"/>
      <c r="AM40" s="113">
        <f>(O40-AG40)+AJ40</f>
        <v/>
      </c>
      <c r="AN40" s="114">
        <f>(P40-AH40)+AK40</f>
        <v/>
      </c>
      <c r="AO40" s="114">
        <f>(Q40-AI40)+AL40</f>
        <v/>
      </c>
      <c r="AP40" s="2">
        <f>IF(AM40&gt;0, "Under",IF(AM40&lt;0,"Over",""))</f>
        <v/>
      </c>
      <c r="AQ40" s="1">
        <f>IF(AN40&gt;0, "Under",IF(AN40&lt;0,"Over",""))</f>
        <v/>
      </c>
      <c r="AR40" s="1">
        <f>IF(AO40&gt;0, "Under",IF(AO40&lt;0,"Over",""))</f>
        <v/>
      </c>
      <c r="AS40" s="3" t="n"/>
    </row>
    <row r="41">
      <c r="A41" s="90" t="inlineStr">
        <is>
          <t>0-4309</t>
        </is>
      </c>
      <c r="B41" s="90" t="inlineStr">
        <is>
          <t>0-4309-Modules QAQC</t>
        </is>
      </c>
      <c r="C41" s="115" t="n">
        <v>0</v>
      </c>
      <c r="D41" s="116" t="n">
        <v>0</v>
      </c>
      <c r="E41" s="116" t="n">
        <v>0</v>
      </c>
      <c r="F41" s="115" t="n">
        <v>0</v>
      </c>
      <c r="G41" s="116" t="n"/>
      <c r="H41" s="116" t="n">
        <v>0</v>
      </c>
      <c r="I41" s="115" t="n">
        <v>0</v>
      </c>
      <c r="J41" s="116" t="n">
        <v>0</v>
      </c>
      <c r="K41" s="116" t="n">
        <v>0</v>
      </c>
      <c r="L41" s="115" t="n">
        <v>0</v>
      </c>
      <c r="M41" s="116" t="n">
        <v>0</v>
      </c>
      <c r="N41" s="116" t="n">
        <v>0</v>
      </c>
      <c r="O41" s="115">
        <f>L41+I41+F41+C41</f>
        <v/>
      </c>
      <c r="P41" s="116">
        <f>M41+J41+G41+D41</f>
        <v/>
      </c>
      <c r="Q41" s="116">
        <f>N41+K41+H41+E41</f>
        <v/>
      </c>
      <c r="R41" s="115">
        <f>SUMIFS('PO Log'!$E:$E,'PO Log'!$D:$D,'Category Table'!R$2,'PO Log'!$C:$C,'Category Table'!$A41)</f>
        <v/>
      </c>
      <c r="S41" s="116">
        <f>SUMIFS('PO Log'!$E:$E,'PO Log'!$D:$D,'Category Table'!S$2,'PO Log'!$C:$C,'Category Table'!$A41)</f>
        <v/>
      </c>
      <c r="T41" s="116">
        <f>SUMIFS('PO Log'!$E:$E,'PO Log'!$D:$D,'Category Table'!T$2,'PO Log'!$C:$C,'Category Table'!$A41)</f>
        <v/>
      </c>
      <c r="U41" s="115">
        <f>SUMIFS('Committments Dump'!$Q:$Q,'Committments Dump'!$C:$C,'Category Table'!U$2,'Committments Dump'!$B:$B,'Category Table'!$A41)</f>
        <v/>
      </c>
      <c r="V41" s="116">
        <f>SUMIFS('Committments Dump'!$Q:$Q,'Committments Dump'!$C:$C,'Category Table'!V$2,'Committments Dump'!$B:$B,'Category Table'!$A41)</f>
        <v/>
      </c>
      <c r="W41" s="116">
        <f>SUMIFS('Committments Dump'!$Q:$Q,'Committments Dump'!$C:$C,'Category Table'!W$2,'Committments Dump'!$B:$B,'Category Table'!$A41)</f>
        <v/>
      </c>
      <c r="X41" s="115">
        <f>SUMIFS('Committments Dump'!$R:$R,'Committments Dump'!$C:$C,'Category Table'!X$2,'Committments Dump'!$B:$B,'Category Table'!$A41)</f>
        <v/>
      </c>
      <c r="Y41" s="116">
        <f>SUMIFS('Committments Dump'!$R:$R,'Committments Dump'!$C:$C,'Category Table'!Y$2,'Committments Dump'!$B:$B,'Category Table'!$A41)</f>
        <v/>
      </c>
      <c r="Z41" s="116">
        <f>SUMIFS('Committments Dump'!$R:$R,'Committments Dump'!$C:$C,'Category Table'!Z$2,'Committments Dump'!$B:$B,'Category Table'!$A41)</f>
        <v/>
      </c>
      <c r="AA41" s="115">
        <f>SUMIFS('Committments Dump'!$S:$S,'Committments Dump'!$C:$C,'Category Table'!AA$2,'Committments Dump'!$B:$B,'Category Table'!$A41)</f>
        <v/>
      </c>
      <c r="AB41" s="116">
        <f>SUMIFS('Committments Dump'!$S:$S,'Committments Dump'!$C:$C,'Category Table'!AB$2,'Committments Dump'!$B:$B,'Category Table'!$A41)</f>
        <v/>
      </c>
      <c r="AC41" s="116">
        <f>SUMIFS('Committments Dump'!$S:$S,'Committments Dump'!$C:$C,'Category Table'!AC$2,'Committments Dump'!$B:$B,'Category Table'!$A41)</f>
        <v/>
      </c>
      <c r="AD41" s="115">
        <f>U41+X41+AA41</f>
        <v/>
      </c>
      <c r="AE41" s="116">
        <f>V41+Y41+AB41</f>
        <v/>
      </c>
      <c r="AF41" s="116">
        <f>W41+Z41+AC41</f>
        <v/>
      </c>
      <c r="AG41" s="115">
        <f>R41+AD41</f>
        <v/>
      </c>
      <c r="AH41" s="116">
        <f>S41+AE41</f>
        <v/>
      </c>
      <c r="AI41" s="116">
        <f>T41+AF41</f>
        <v/>
      </c>
      <c r="AJ41" s="115" t="n"/>
      <c r="AK41" s="116" t="n"/>
      <c r="AL41" s="116" t="n"/>
      <c r="AM41" s="115">
        <f>(O41-AG41)+AJ41</f>
        <v/>
      </c>
      <c r="AN41" s="116">
        <f>(P41-AH41)+AK41</f>
        <v/>
      </c>
      <c r="AO41" s="116">
        <f>(Q41-AI41)+AL41</f>
        <v/>
      </c>
      <c r="AP41" s="93">
        <f>IF(AM41&gt;0, "Under",IF(AM41&lt;0,"Over",""))</f>
        <v/>
      </c>
      <c r="AQ41" s="94">
        <f>IF(AN41&gt;0, "Under",IF(AN41&lt;0,"Over",""))</f>
        <v/>
      </c>
      <c r="AR41" s="94">
        <f>IF(AO41&gt;0, "Under",IF(AO41&lt;0,"Over",""))</f>
        <v/>
      </c>
      <c r="AS41" s="3" t="n"/>
    </row>
    <row r="42">
      <c r="A42" t="inlineStr">
        <is>
          <t>0-4320</t>
        </is>
      </c>
      <c r="B42" t="inlineStr">
        <is>
          <t>0-4320-Mechanical Punch List</t>
        </is>
      </c>
      <c r="C42" s="113" t="n">
        <v>0</v>
      </c>
      <c r="D42" s="114" t="n">
        <v>0</v>
      </c>
      <c r="E42" s="114" t="n">
        <v>0</v>
      </c>
      <c r="F42" s="113" t="n">
        <v>0</v>
      </c>
      <c r="G42" s="114" t="n"/>
      <c r="H42" s="114" t="n">
        <v>0</v>
      </c>
      <c r="I42" s="113" t="n">
        <v>0</v>
      </c>
      <c r="J42" s="114" t="n">
        <v>0</v>
      </c>
      <c r="K42" s="114" t="n">
        <v>0</v>
      </c>
      <c r="L42" s="113" t="n">
        <v>0</v>
      </c>
      <c r="M42" s="114" t="n">
        <v>0</v>
      </c>
      <c r="N42" s="114" t="n">
        <v>0</v>
      </c>
      <c r="O42" s="113">
        <f>L42+I42+F42+C42</f>
        <v/>
      </c>
      <c r="P42" s="114">
        <f>M42+J42+G42+D42</f>
        <v/>
      </c>
      <c r="Q42" s="114">
        <f>N42+K42+H42+E42</f>
        <v/>
      </c>
      <c r="R42" s="113">
        <f>SUMIFS('PO Log'!$E:$E,'PO Log'!$D:$D,'Category Table'!R$2,'PO Log'!$C:$C,'Category Table'!$A42)</f>
        <v/>
      </c>
      <c r="S42" s="114">
        <f>SUMIFS('PO Log'!$E:$E,'PO Log'!$D:$D,'Category Table'!S$2,'PO Log'!$C:$C,'Category Table'!$A42)</f>
        <v/>
      </c>
      <c r="T42" s="114">
        <f>SUMIFS('PO Log'!$E:$E,'PO Log'!$D:$D,'Category Table'!T$2,'PO Log'!$C:$C,'Category Table'!$A42)</f>
        <v/>
      </c>
      <c r="U42" s="113">
        <f>SUMIFS('Committments Dump'!$Q:$Q,'Committments Dump'!$C:$C,'Category Table'!U$2,'Committments Dump'!$B:$B,'Category Table'!$A42)</f>
        <v/>
      </c>
      <c r="V42" s="114">
        <f>SUMIFS('Committments Dump'!$Q:$Q,'Committments Dump'!$C:$C,'Category Table'!V$2,'Committments Dump'!$B:$B,'Category Table'!$A42)</f>
        <v/>
      </c>
      <c r="W42" s="114">
        <f>SUMIFS('Committments Dump'!$Q:$Q,'Committments Dump'!$C:$C,'Category Table'!W$2,'Committments Dump'!$B:$B,'Category Table'!$A42)</f>
        <v/>
      </c>
      <c r="X42" s="113">
        <f>SUMIFS('Committments Dump'!$R:$R,'Committments Dump'!$C:$C,'Category Table'!X$2,'Committments Dump'!$B:$B,'Category Table'!$A42)</f>
        <v/>
      </c>
      <c r="Y42" s="114">
        <f>SUMIFS('Committments Dump'!$R:$R,'Committments Dump'!$C:$C,'Category Table'!Y$2,'Committments Dump'!$B:$B,'Category Table'!$A42)</f>
        <v/>
      </c>
      <c r="Z42" s="114">
        <f>SUMIFS('Committments Dump'!$R:$R,'Committments Dump'!$C:$C,'Category Table'!Z$2,'Committments Dump'!$B:$B,'Category Table'!$A42)</f>
        <v/>
      </c>
      <c r="AA42" s="113">
        <f>SUMIFS('Committments Dump'!$S:$S,'Committments Dump'!$C:$C,'Category Table'!AA$2,'Committments Dump'!$B:$B,'Category Table'!$A42)</f>
        <v/>
      </c>
      <c r="AB42" s="114">
        <f>SUMIFS('Committments Dump'!$S:$S,'Committments Dump'!$C:$C,'Category Table'!AB$2,'Committments Dump'!$B:$B,'Category Table'!$A42)</f>
        <v/>
      </c>
      <c r="AC42" s="114">
        <f>SUMIFS('Committments Dump'!$S:$S,'Committments Dump'!$C:$C,'Category Table'!AC$2,'Committments Dump'!$B:$B,'Category Table'!$A42)</f>
        <v/>
      </c>
      <c r="AD42" s="113">
        <f>U42+X42+AA42</f>
        <v/>
      </c>
      <c r="AE42" s="114">
        <f>V42+Y42+AB42</f>
        <v/>
      </c>
      <c r="AF42" s="114">
        <f>W42+Z42+AC42</f>
        <v/>
      </c>
      <c r="AG42" s="113">
        <f>R42+AD42</f>
        <v/>
      </c>
      <c r="AH42" s="114">
        <f>S42+AE42</f>
        <v/>
      </c>
      <c r="AI42" s="114">
        <f>T42+AF42</f>
        <v/>
      </c>
      <c r="AJ42" s="113" t="n"/>
      <c r="AK42" s="114" t="n"/>
      <c r="AL42" s="114" t="n"/>
      <c r="AM42" s="113">
        <f>(O42-AG42)+AJ42</f>
        <v/>
      </c>
      <c r="AN42" s="114">
        <f>(P42-AH42)+AK42</f>
        <v/>
      </c>
      <c r="AO42" s="114">
        <f>(Q42-AI42)+AL42</f>
        <v/>
      </c>
      <c r="AP42" s="2">
        <f>IF(AM42&gt;0, "Under",IF(AM42&lt;0,"Over",""))</f>
        <v/>
      </c>
      <c r="AQ42" s="1">
        <f>IF(AN42&gt;0, "Under",IF(AN42&lt;0,"Over",""))</f>
        <v/>
      </c>
      <c r="AR42" s="1">
        <f>IF(AO42&gt;0, "Under",IF(AO42&lt;0,"Over",""))</f>
        <v/>
      </c>
      <c r="AS42" s="3" t="n"/>
    </row>
    <row r="43">
      <c r="A43" s="90" t="inlineStr">
        <is>
          <t>0-4400</t>
        </is>
      </c>
      <c r="B43" s="90" t="inlineStr">
        <is>
          <t>0-4400-Electrical Receiving</t>
        </is>
      </c>
      <c r="C43" s="115" t="n">
        <v>0</v>
      </c>
      <c r="D43" s="116" t="n">
        <v>0</v>
      </c>
      <c r="E43" s="116" t="n">
        <v>0</v>
      </c>
      <c r="F43" s="115" t="n">
        <v>0</v>
      </c>
      <c r="G43" s="116" t="n">
        <v>389.511331250018</v>
      </c>
      <c r="H43" s="116" t="n">
        <v>32475</v>
      </c>
      <c r="I43" s="115" t="n">
        <v>0</v>
      </c>
      <c r="J43" s="116" t="n">
        <v>0</v>
      </c>
      <c r="K43" s="116" t="n">
        <v>0</v>
      </c>
      <c r="L43" s="115" t="n">
        <v>0</v>
      </c>
      <c r="M43" s="116" t="n">
        <v>0</v>
      </c>
      <c r="N43" s="116" t="n">
        <v>0</v>
      </c>
      <c r="O43" s="115">
        <f>L43+I43+F43+C43</f>
        <v/>
      </c>
      <c r="P43" s="116">
        <f>M43+J43+G43+D43</f>
        <v/>
      </c>
      <c r="Q43" s="116">
        <f>N43+K43+H43+E43</f>
        <v/>
      </c>
      <c r="R43" s="115">
        <f>SUMIFS('PO Log'!$E:$E,'PO Log'!$D:$D,'Category Table'!R$2,'PO Log'!$C:$C,'Category Table'!$A43)</f>
        <v/>
      </c>
      <c r="S43" s="116">
        <f>SUMIFS('PO Log'!$E:$E,'PO Log'!$D:$D,'Category Table'!S$2,'PO Log'!$C:$C,'Category Table'!$A43)</f>
        <v/>
      </c>
      <c r="T43" s="116">
        <f>SUMIFS('PO Log'!$E:$E,'PO Log'!$D:$D,'Category Table'!T$2,'PO Log'!$C:$C,'Category Table'!$A43)</f>
        <v/>
      </c>
      <c r="U43" s="115">
        <f>SUMIFS('Committments Dump'!$Q:$Q,'Committments Dump'!$C:$C,'Category Table'!U$2,'Committments Dump'!$B:$B,'Category Table'!$A43)</f>
        <v/>
      </c>
      <c r="V43" s="116">
        <f>SUMIFS('Committments Dump'!$Q:$Q,'Committments Dump'!$C:$C,'Category Table'!V$2,'Committments Dump'!$B:$B,'Category Table'!$A43)</f>
        <v/>
      </c>
      <c r="W43" s="116">
        <f>SUMIFS('Committments Dump'!$Q:$Q,'Committments Dump'!$C:$C,'Category Table'!W$2,'Committments Dump'!$B:$B,'Category Table'!$A43)</f>
        <v/>
      </c>
      <c r="X43" s="115">
        <f>SUMIFS('Committments Dump'!$R:$R,'Committments Dump'!$C:$C,'Category Table'!X$2,'Committments Dump'!$B:$B,'Category Table'!$A43)</f>
        <v/>
      </c>
      <c r="Y43" s="116">
        <f>SUMIFS('Committments Dump'!$R:$R,'Committments Dump'!$C:$C,'Category Table'!Y$2,'Committments Dump'!$B:$B,'Category Table'!$A43)</f>
        <v/>
      </c>
      <c r="Z43" s="116">
        <f>SUMIFS('Committments Dump'!$R:$R,'Committments Dump'!$C:$C,'Category Table'!Z$2,'Committments Dump'!$B:$B,'Category Table'!$A43)</f>
        <v/>
      </c>
      <c r="AA43" s="115">
        <f>SUMIFS('Committments Dump'!$S:$S,'Committments Dump'!$C:$C,'Category Table'!AA$2,'Committments Dump'!$B:$B,'Category Table'!$A43)</f>
        <v/>
      </c>
      <c r="AB43" s="116">
        <f>SUMIFS('Committments Dump'!$S:$S,'Committments Dump'!$C:$C,'Category Table'!AB$2,'Committments Dump'!$B:$B,'Category Table'!$A43)</f>
        <v/>
      </c>
      <c r="AC43" s="116">
        <f>SUMIFS('Committments Dump'!$S:$S,'Committments Dump'!$C:$C,'Category Table'!AC$2,'Committments Dump'!$B:$B,'Category Table'!$A43)</f>
        <v/>
      </c>
      <c r="AD43" s="115">
        <f>U43+X43+AA43</f>
        <v/>
      </c>
      <c r="AE43" s="116">
        <f>V43+Y43+AB43</f>
        <v/>
      </c>
      <c r="AF43" s="116">
        <f>W43+Z43+AC43</f>
        <v/>
      </c>
      <c r="AG43" s="115">
        <f>R43+AD43</f>
        <v/>
      </c>
      <c r="AH43" s="116">
        <f>S43+AE43</f>
        <v/>
      </c>
      <c r="AI43" s="116">
        <f>T43+AF43</f>
        <v/>
      </c>
      <c r="AJ43" s="115" t="n"/>
      <c r="AK43" s="116" t="n"/>
      <c r="AL43" s="116" t="n"/>
      <c r="AM43" s="115">
        <f>(O43-AG43)+AJ43</f>
        <v/>
      </c>
      <c r="AN43" s="116">
        <f>(P43-AH43)+AK43</f>
        <v/>
      </c>
      <c r="AO43" s="116">
        <f>(Q43-AI43)+AL43</f>
        <v/>
      </c>
      <c r="AP43" s="93">
        <f>IF(AM43&gt;0, "Under",IF(AM43&lt;0,"Over",""))</f>
        <v/>
      </c>
      <c r="AQ43" s="94">
        <f>IF(AN43&gt;0, "Under",IF(AN43&lt;0,"Over",""))</f>
        <v/>
      </c>
      <c r="AR43" s="94">
        <f>IF(AO43&gt;0, "Under",IF(AO43&lt;0,"Over",""))</f>
        <v/>
      </c>
      <c r="AS43" s="3" t="n"/>
    </row>
    <row r="44">
      <c r="A44" t="inlineStr">
        <is>
          <t>0-4401</t>
        </is>
      </c>
      <c r="B44" t="inlineStr">
        <is>
          <t>0-4401-DC Trenching &amp; Boring</t>
        </is>
      </c>
      <c r="C44" s="113" t="n">
        <v>0</v>
      </c>
      <c r="D44" s="114" t="n">
        <v>0</v>
      </c>
      <c r="E44" s="114" t="n">
        <v>0</v>
      </c>
      <c r="F44" s="113" t="n">
        <v>0</v>
      </c>
      <c r="G44" s="114" t="n">
        <v>0</v>
      </c>
      <c r="H44" s="114" t="n">
        <v>0</v>
      </c>
      <c r="I44" s="113" t="n">
        <v>0</v>
      </c>
      <c r="J44" s="114" t="n">
        <v>0</v>
      </c>
      <c r="K44" s="114" t="n">
        <v>0</v>
      </c>
      <c r="L44" s="113" t="n">
        <v>0</v>
      </c>
      <c r="M44" s="114" t="n">
        <v>0</v>
      </c>
      <c r="N44" s="114" t="n">
        <v>0</v>
      </c>
      <c r="O44" s="113">
        <f>L44+I44+F44+C44</f>
        <v/>
      </c>
      <c r="P44" s="114">
        <f>M44+J44+G44+D44</f>
        <v/>
      </c>
      <c r="Q44" s="114">
        <f>N44+K44+H44+E44</f>
        <v/>
      </c>
      <c r="R44" s="113">
        <f>SUMIFS('PO Log'!$E:$E,'PO Log'!$D:$D,'Category Table'!R$2,'PO Log'!$C:$C,'Category Table'!$A44)</f>
        <v/>
      </c>
      <c r="S44" s="114">
        <f>SUMIFS('PO Log'!$E:$E,'PO Log'!$D:$D,'Category Table'!S$2,'PO Log'!$C:$C,'Category Table'!$A44)</f>
        <v/>
      </c>
      <c r="T44" s="114">
        <f>SUMIFS('PO Log'!$E:$E,'PO Log'!$D:$D,'Category Table'!T$2,'PO Log'!$C:$C,'Category Table'!$A44)</f>
        <v/>
      </c>
      <c r="U44" s="113">
        <f>SUMIFS('Committments Dump'!$Q:$Q,'Committments Dump'!$C:$C,'Category Table'!U$2,'Committments Dump'!$B:$B,'Category Table'!$A44)</f>
        <v/>
      </c>
      <c r="V44" s="114">
        <f>SUMIFS('Committments Dump'!$Q:$Q,'Committments Dump'!$C:$C,'Category Table'!V$2,'Committments Dump'!$B:$B,'Category Table'!$A44)</f>
        <v/>
      </c>
      <c r="W44" s="114">
        <f>SUMIFS('Committments Dump'!$Q:$Q,'Committments Dump'!$C:$C,'Category Table'!W$2,'Committments Dump'!$B:$B,'Category Table'!$A44)</f>
        <v/>
      </c>
      <c r="X44" s="113">
        <f>SUMIFS('Committments Dump'!$R:$R,'Committments Dump'!$C:$C,'Category Table'!X$2,'Committments Dump'!$B:$B,'Category Table'!$A44)</f>
        <v/>
      </c>
      <c r="Y44" s="114">
        <f>SUMIFS('Committments Dump'!$R:$R,'Committments Dump'!$C:$C,'Category Table'!Y$2,'Committments Dump'!$B:$B,'Category Table'!$A44)</f>
        <v/>
      </c>
      <c r="Z44" s="114">
        <f>SUMIFS('Committments Dump'!$R:$R,'Committments Dump'!$C:$C,'Category Table'!Z$2,'Committments Dump'!$B:$B,'Category Table'!$A44)</f>
        <v/>
      </c>
      <c r="AA44" s="113">
        <f>SUMIFS('Committments Dump'!$S:$S,'Committments Dump'!$C:$C,'Category Table'!AA$2,'Committments Dump'!$B:$B,'Category Table'!$A44)</f>
        <v/>
      </c>
      <c r="AB44" s="114">
        <f>SUMIFS('Committments Dump'!$S:$S,'Committments Dump'!$C:$C,'Category Table'!AB$2,'Committments Dump'!$B:$B,'Category Table'!$A44)</f>
        <v/>
      </c>
      <c r="AC44" s="114">
        <f>SUMIFS('Committments Dump'!$S:$S,'Committments Dump'!$C:$C,'Category Table'!AC$2,'Committments Dump'!$B:$B,'Category Table'!$A44)</f>
        <v/>
      </c>
      <c r="AD44" s="113">
        <f>U44+X44+AA44</f>
        <v/>
      </c>
      <c r="AE44" s="114">
        <f>V44+Y44+AB44</f>
        <v/>
      </c>
      <c r="AF44" s="114">
        <f>W44+Z44+AC44</f>
        <v/>
      </c>
      <c r="AG44" s="113">
        <f>R44+AD44</f>
        <v/>
      </c>
      <c r="AH44" s="114">
        <f>S44+AE44</f>
        <v/>
      </c>
      <c r="AI44" s="114">
        <f>T44+AF44</f>
        <v/>
      </c>
      <c r="AJ44" s="113" t="n"/>
      <c r="AK44" s="114" t="n"/>
      <c r="AL44" s="114" t="n"/>
      <c r="AM44" s="113">
        <f>(O44-AG44)+AJ44</f>
        <v/>
      </c>
      <c r="AN44" s="114">
        <f>(P44-AH44)+AK44</f>
        <v/>
      </c>
      <c r="AO44" s="114">
        <f>(Q44-AI44)+AL44</f>
        <v/>
      </c>
      <c r="AP44" s="2">
        <f>IF(AM44&gt;0, "Under",IF(AM44&lt;0,"Over",""))</f>
        <v/>
      </c>
      <c r="AQ44" s="1">
        <f>IF(AN44&gt;0, "Under",IF(AN44&lt;0,"Over",""))</f>
        <v/>
      </c>
      <c r="AR44" s="1">
        <f>IF(AO44&gt;0, "Under",IF(AO44&lt;0,"Over",""))</f>
        <v/>
      </c>
      <c r="AS44" s="3" t="n"/>
    </row>
    <row r="45">
      <c r="A45" s="90" t="inlineStr">
        <is>
          <t>0-4402</t>
        </is>
      </c>
      <c r="B45" s="90" t="inlineStr">
        <is>
          <t>0-4402-Transitions Pre-Fab</t>
        </is>
      </c>
      <c r="C45" s="115" t="n">
        <v>0</v>
      </c>
      <c r="D45" s="116" t="n">
        <v>0</v>
      </c>
      <c r="E45" s="116" t="n">
        <v>0</v>
      </c>
      <c r="F45" s="115" t="n">
        <v>0</v>
      </c>
      <c r="G45" s="116" t="n">
        <v>0</v>
      </c>
      <c r="H45" s="116" t="n">
        <v>0</v>
      </c>
      <c r="I45" s="115" t="n">
        <v>0</v>
      </c>
      <c r="J45" s="116" t="n">
        <v>0</v>
      </c>
      <c r="K45" s="116" t="n">
        <v>0</v>
      </c>
      <c r="L45" s="115" t="n">
        <v>0</v>
      </c>
      <c r="M45" s="116" t="n">
        <v>0</v>
      </c>
      <c r="N45" s="116" t="n">
        <v>0</v>
      </c>
      <c r="O45" s="115">
        <f>L45+I45+F45+C45</f>
        <v/>
      </c>
      <c r="P45" s="116">
        <f>M45+J45+G45+D45</f>
        <v/>
      </c>
      <c r="Q45" s="116">
        <f>N45+K45+H45+E45</f>
        <v/>
      </c>
      <c r="R45" s="115">
        <f>SUMIFS('PO Log'!$E:$E,'PO Log'!$D:$D,'Category Table'!R$2,'PO Log'!$C:$C,'Category Table'!$A45)</f>
        <v/>
      </c>
      <c r="S45" s="116">
        <f>SUMIFS('PO Log'!$E:$E,'PO Log'!$D:$D,'Category Table'!S$2,'PO Log'!$C:$C,'Category Table'!$A45)</f>
        <v/>
      </c>
      <c r="T45" s="116">
        <f>SUMIFS('PO Log'!$E:$E,'PO Log'!$D:$D,'Category Table'!T$2,'PO Log'!$C:$C,'Category Table'!$A45)</f>
        <v/>
      </c>
      <c r="U45" s="115">
        <f>SUMIFS('Committments Dump'!$Q:$Q,'Committments Dump'!$C:$C,'Category Table'!U$2,'Committments Dump'!$B:$B,'Category Table'!$A45)</f>
        <v/>
      </c>
      <c r="V45" s="116">
        <f>SUMIFS('Committments Dump'!$Q:$Q,'Committments Dump'!$C:$C,'Category Table'!V$2,'Committments Dump'!$B:$B,'Category Table'!$A45)</f>
        <v/>
      </c>
      <c r="W45" s="116">
        <f>SUMIFS('Committments Dump'!$Q:$Q,'Committments Dump'!$C:$C,'Category Table'!W$2,'Committments Dump'!$B:$B,'Category Table'!$A45)</f>
        <v/>
      </c>
      <c r="X45" s="115">
        <f>SUMIFS('Committments Dump'!$R:$R,'Committments Dump'!$C:$C,'Category Table'!X$2,'Committments Dump'!$B:$B,'Category Table'!$A45)</f>
        <v/>
      </c>
      <c r="Y45" s="116">
        <f>SUMIFS('Committments Dump'!$R:$R,'Committments Dump'!$C:$C,'Category Table'!Y$2,'Committments Dump'!$B:$B,'Category Table'!$A45)</f>
        <v/>
      </c>
      <c r="Z45" s="116">
        <f>SUMIFS('Committments Dump'!$R:$R,'Committments Dump'!$C:$C,'Category Table'!Z$2,'Committments Dump'!$B:$B,'Category Table'!$A45)</f>
        <v/>
      </c>
      <c r="AA45" s="115">
        <f>SUMIFS('Committments Dump'!$S:$S,'Committments Dump'!$C:$C,'Category Table'!AA$2,'Committments Dump'!$B:$B,'Category Table'!$A45)</f>
        <v/>
      </c>
      <c r="AB45" s="116">
        <f>SUMIFS('Committments Dump'!$S:$S,'Committments Dump'!$C:$C,'Category Table'!AB$2,'Committments Dump'!$B:$B,'Category Table'!$A45)</f>
        <v/>
      </c>
      <c r="AC45" s="116">
        <f>SUMIFS('Committments Dump'!$S:$S,'Committments Dump'!$C:$C,'Category Table'!AC$2,'Committments Dump'!$B:$B,'Category Table'!$A45)</f>
        <v/>
      </c>
      <c r="AD45" s="115">
        <f>U45+X45+AA45</f>
        <v/>
      </c>
      <c r="AE45" s="116">
        <f>V45+Y45+AB45</f>
        <v/>
      </c>
      <c r="AF45" s="116">
        <f>W45+Z45+AC45</f>
        <v/>
      </c>
      <c r="AG45" s="115">
        <f>R45+AD45</f>
        <v/>
      </c>
      <c r="AH45" s="116">
        <f>S45+AE45</f>
        <v/>
      </c>
      <c r="AI45" s="116">
        <f>T45+AF45</f>
        <v/>
      </c>
      <c r="AJ45" s="115" t="n"/>
      <c r="AK45" s="116" t="n"/>
      <c r="AL45" s="116" t="n"/>
      <c r="AM45" s="115">
        <f>(O45-AG45)+AJ45</f>
        <v/>
      </c>
      <c r="AN45" s="116">
        <f>(P45-AH45)+AK45</f>
        <v/>
      </c>
      <c r="AO45" s="116">
        <f>(Q45-AI45)+AL45</f>
        <v/>
      </c>
      <c r="AP45" s="93">
        <f>IF(AM45&gt;0, "Under",IF(AM45&lt;0,"Over",""))</f>
        <v/>
      </c>
      <c r="AQ45" s="94">
        <f>IF(AN45&gt;0, "Under",IF(AN45&lt;0,"Over",""))</f>
        <v/>
      </c>
      <c r="AR45" s="94">
        <f>IF(AO45&gt;0, "Under",IF(AO45&lt;0,"Over",""))</f>
        <v/>
      </c>
      <c r="AS45" s="3" t="n"/>
    </row>
    <row r="46">
      <c r="A46" t="inlineStr">
        <is>
          <t>0-4403</t>
        </is>
      </c>
      <c r="B46" t="inlineStr">
        <is>
          <t>0-4403-DC Transitions Install</t>
        </is>
      </c>
      <c r="C46" s="113" t="n">
        <v>0</v>
      </c>
      <c r="D46" s="114" t="n">
        <v>0</v>
      </c>
      <c r="E46" s="114" t="n">
        <v>0</v>
      </c>
      <c r="F46" s="113" t="n">
        <v>0</v>
      </c>
      <c r="G46" s="114" t="n">
        <v>0</v>
      </c>
      <c r="H46" s="114" t="n">
        <v>0</v>
      </c>
      <c r="I46" s="113" t="n">
        <v>0</v>
      </c>
      <c r="J46" s="114" t="n">
        <v>0</v>
      </c>
      <c r="K46" s="114" t="n">
        <v>0</v>
      </c>
      <c r="L46" s="113" t="n">
        <v>0</v>
      </c>
      <c r="M46" s="114" t="n">
        <v>0</v>
      </c>
      <c r="N46" s="114" t="n">
        <v>0</v>
      </c>
      <c r="O46" s="113">
        <f>L46+I46+F46+C46</f>
        <v/>
      </c>
      <c r="P46" s="114">
        <f>M46+J46+G46+D46</f>
        <v/>
      </c>
      <c r="Q46" s="114">
        <f>N46+K46+H46+E46</f>
        <v/>
      </c>
      <c r="R46" s="113">
        <f>SUMIFS('PO Log'!$E:$E,'PO Log'!$D:$D,'Category Table'!R$2,'PO Log'!$C:$C,'Category Table'!$A46)</f>
        <v/>
      </c>
      <c r="S46" s="114">
        <f>SUMIFS('PO Log'!$E:$E,'PO Log'!$D:$D,'Category Table'!S$2,'PO Log'!$C:$C,'Category Table'!$A46)</f>
        <v/>
      </c>
      <c r="T46" s="114">
        <f>SUMIFS('PO Log'!$E:$E,'PO Log'!$D:$D,'Category Table'!T$2,'PO Log'!$C:$C,'Category Table'!$A46)</f>
        <v/>
      </c>
      <c r="U46" s="113">
        <f>SUMIFS('Committments Dump'!$Q:$Q,'Committments Dump'!$C:$C,'Category Table'!U$2,'Committments Dump'!$B:$B,'Category Table'!$A46)</f>
        <v/>
      </c>
      <c r="V46" s="114">
        <f>SUMIFS('Committments Dump'!$Q:$Q,'Committments Dump'!$C:$C,'Category Table'!V$2,'Committments Dump'!$B:$B,'Category Table'!$A46)</f>
        <v/>
      </c>
      <c r="W46" s="114">
        <f>SUMIFS('Committments Dump'!$Q:$Q,'Committments Dump'!$C:$C,'Category Table'!W$2,'Committments Dump'!$B:$B,'Category Table'!$A46)</f>
        <v/>
      </c>
      <c r="X46" s="113">
        <f>SUMIFS('Committments Dump'!$R:$R,'Committments Dump'!$C:$C,'Category Table'!X$2,'Committments Dump'!$B:$B,'Category Table'!$A46)</f>
        <v/>
      </c>
      <c r="Y46" s="114">
        <f>SUMIFS('Committments Dump'!$R:$R,'Committments Dump'!$C:$C,'Category Table'!Y$2,'Committments Dump'!$B:$B,'Category Table'!$A46)</f>
        <v/>
      </c>
      <c r="Z46" s="114">
        <f>SUMIFS('Committments Dump'!$R:$R,'Committments Dump'!$C:$C,'Category Table'!Z$2,'Committments Dump'!$B:$B,'Category Table'!$A46)</f>
        <v/>
      </c>
      <c r="AA46" s="113">
        <f>SUMIFS('Committments Dump'!$S:$S,'Committments Dump'!$C:$C,'Category Table'!AA$2,'Committments Dump'!$B:$B,'Category Table'!$A46)</f>
        <v/>
      </c>
      <c r="AB46" s="114">
        <f>SUMIFS('Committments Dump'!$S:$S,'Committments Dump'!$C:$C,'Category Table'!AB$2,'Committments Dump'!$B:$B,'Category Table'!$A46)</f>
        <v/>
      </c>
      <c r="AC46" s="114">
        <f>SUMIFS('Committments Dump'!$S:$S,'Committments Dump'!$C:$C,'Category Table'!AC$2,'Committments Dump'!$B:$B,'Category Table'!$A46)</f>
        <v/>
      </c>
      <c r="AD46" s="113">
        <f>U46+X46+AA46</f>
        <v/>
      </c>
      <c r="AE46" s="114">
        <f>V46+Y46+AB46</f>
        <v/>
      </c>
      <c r="AF46" s="114">
        <f>W46+Z46+AC46</f>
        <v/>
      </c>
      <c r="AG46" s="113">
        <f>R46+AD46</f>
        <v/>
      </c>
      <c r="AH46" s="114">
        <f>S46+AE46</f>
        <v/>
      </c>
      <c r="AI46" s="114">
        <f>T46+AF46</f>
        <v/>
      </c>
      <c r="AJ46" s="113" t="n"/>
      <c r="AK46" s="114" t="n"/>
      <c r="AL46" s="114" t="n"/>
      <c r="AM46" s="113">
        <f>(O46-AG46)+AJ46</f>
        <v/>
      </c>
      <c r="AN46" s="114">
        <f>(P46-AH46)+AK46</f>
        <v/>
      </c>
      <c r="AO46" s="114">
        <f>(Q46-AI46)+AL46</f>
        <v/>
      </c>
      <c r="AP46" s="2">
        <f>IF(AM46&gt;0, "Under",IF(AM46&lt;0,"Over",""))</f>
        <v/>
      </c>
      <c r="AQ46" s="1">
        <f>IF(AN46&gt;0, "Under",IF(AN46&lt;0,"Over",""))</f>
        <v/>
      </c>
      <c r="AR46" s="1">
        <f>IF(AO46&gt;0, "Under",IF(AO46&lt;0,"Over",""))</f>
        <v/>
      </c>
      <c r="AS46" s="3" t="n"/>
    </row>
    <row r="47">
      <c r="A47" s="90" t="inlineStr">
        <is>
          <t>0-4405</t>
        </is>
      </c>
      <c r="B47" s="90" t="inlineStr">
        <is>
          <t>0-4405-DC Homerun</t>
        </is>
      </c>
      <c r="C47" s="115" t="n">
        <v>0</v>
      </c>
      <c r="D47" s="116" t="n">
        <v>0</v>
      </c>
      <c r="E47" s="116" t="n">
        <v>0</v>
      </c>
      <c r="F47" s="115" t="n">
        <v>0</v>
      </c>
      <c r="G47" s="116" t="n">
        <v>0</v>
      </c>
      <c r="H47" s="116" t="n">
        <v>0</v>
      </c>
      <c r="I47" s="115" t="n">
        <v>0</v>
      </c>
      <c r="J47" s="116" t="n">
        <v>0</v>
      </c>
      <c r="K47" s="116" t="n">
        <v>0</v>
      </c>
      <c r="L47" s="115" t="n">
        <v>0</v>
      </c>
      <c r="M47" s="116" t="n">
        <v>0</v>
      </c>
      <c r="N47" s="116" t="n">
        <v>0</v>
      </c>
      <c r="O47" s="115">
        <f>L47+I47+F47+C47</f>
        <v/>
      </c>
      <c r="P47" s="116">
        <f>M47+J47+G47+D47</f>
        <v/>
      </c>
      <c r="Q47" s="116">
        <f>N47+K47+H47+E47</f>
        <v/>
      </c>
      <c r="R47" s="115">
        <f>SUMIFS('PO Log'!$E:$E,'PO Log'!$D:$D,'Category Table'!R$2,'PO Log'!$C:$C,'Category Table'!$A47)</f>
        <v/>
      </c>
      <c r="S47" s="116">
        <f>SUMIFS('PO Log'!$E:$E,'PO Log'!$D:$D,'Category Table'!S$2,'PO Log'!$C:$C,'Category Table'!$A47)</f>
        <v/>
      </c>
      <c r="T47" s="116">
        <f>SUMIFS('PO Log'!$E:$E,'PO Log'!$D:$D,'Category Table'!T$2,'PO Log'!$C:$C,'Category Table'!$A47)</f>
        <v/>
      </c>
      <c r="U47" s="115">
        <f>SUMIFS('Committments Dump'!$Q:$Q,'Committments Dump'!$C:$C,'Category Table'!U$2,'Committments Dump'!$B:$B,'Category Table'!$A47)</f>
        <v/>
      </c>
      <c r="V47" s="116">
        <f>SUMIFS('Committments Dump'!$Q:$Q,'Committments Dump'!$C:$C,'Category Table'!V$2,'Committments Dump'!$B:$B,'Category Table'!$A47)</f>
        <v/>
      </c>
      <c r="W47" s="116">
        <f>SUMIFS('Committments Dump'!$Q:$Q,'Committments Dump'!$C:$C,'Category Table'!W$2,'Committments Dump'!$B:$B,'Category Table'!$A47)</f>
        <v/>
      </c>
      <c r="X47" s="115">
        <f>SUMIFS('Committments Dump'!$R:$R,'Committments Dump'!$C:$C,'Category Table'!X$2,'Committments Dump'!$B:$B,'Category Table'!$A47)</f>
        <v/>
      </c>
      <c r="Y47" s="116">
        <f>SUMIFS('Committments Dump'!$R:$R,'Committments Dump'!$C:$C,'Category Table'!Y$2,'Committments Dump'!$B:$B,'Category Table'!$A47)</f>
        <v/>
      </c>
      <c r="Z47" s="116">
        <f>SUMIFS('Committments Dump'!$R:$R,'Committments Dump'!$C:$C,'Category Table'!Z$2,'Committments Dump'!$B:$B,'Category Table'!$A47)</f>
        <v/>
      </c>
      <c r="AA47" s="115">
        <f>SUMIFS('Committments Dump'!$S:$S,'Committments Dump'!$C:$C,'Category Table'!AA$2,'Committments Dump'!$B:$B,'Category Table'!$A47)</f>
        <v/>
      </c>
      <c r="AB47" s="116">
        <f>SUMIFS('Committments Dump'!$S:$S,'Committments Dump'!$C:$C,'Category Table'!AB$2,'Committments Dump'!$B:$B,'Category Table'!$A47)</f>
        <v/>
      </c>
      <c r="AC47" s="116">
        <f>SUMIFS('Committments Dump'!$S:$S,'Committments Dump'!$C:$C,'Category Table'!AC$2,'Committments Dump'!$B:$B,'Category Table'!$A47)</f>
        <v/>
      </c>
      <c r="AD47" s="115">
        <f>U47+X47+AA47</f>
        <v/>
      </c>
      <c r="AE47" s="116">
        <f>V47+Y47+AB47</f>
        <v/>
      </c>
      <c r="AF47" s="116">
        <f>W47+Z47+AC47</f>
        <v/>
      </c>
      <c r="AG47" s="115">
        <f>R47+AD47</f>
        <v/>
      </c>
      <c r="AH47" s="116">
        <f>S47+AE47</f>
        <v/>
      </c>
      <c r="AI47" s="116">
        <f>T47+AF47</f>
        <v/>
      </c>
      <c r="AJ47" s="115" t="n"/>
      <c r="AK47" s="116" t="n"/>
      <c r="AL47" s="116" t="n"/>
      <c r="AM47" s="115">
        <f>(O47-AG47)+AJ47</f>
        <v/>
      </c>
      <c r="AN47" s="116">
        <f>(P47-AH47)+AK47</f>
        <v/>
      </c>
      <c r="AO47" s="116">
        <f>(Q47-AI47)+AL47</f>
        <v/>
      </c>
      <c r="AP47" s="93">
        <f>IF(AM47&gt;0, "Under",IF(AM47&lt;0,"Over",""))</f>
        <v/>
      </c>
      <c r="AQ47" s="94">
        <f>IF(AN47&gt;0, "Under",IF(AN47&lt;0,"Over",""))</f>
        <v/>
      </c>
      <c r="AR47" s="94">
        <f>IF(AO47&gt;0, "Under",IF(AO47&lt;0,"Over",""))</f>
        <v/>
      </c>
      <c r="AS47" s="3" t="n"/>
    </row>
    <row r="48">
      <c r="A48" t="inlineStr">
        <is>
          <t>0-4407</t>
        </is>
      </c>
      <c r="B48" t="inlineStr">
        <is>
          <t>0-4407-Module Wiring</t>
        </is>
      </c>
      <c r="C48" s="113" t="n">
        <v>0</v>
      </c>
      <c r="D48" s="114" t="n">
        <v>0</v>
      </c>
      <c r="E48" s="114" t="n">
        <v>0</v>
      </c>
      <c r="F48" s="113" t="n">
        <v>0</v>
      </c>
      <c r="G48" s="114" t="n">
        <v>0</v>
      </c>
      <c r="H48" s="114" t="n">
        <v>0</v>
      </c>
      <c r="I48" s="113" t="n">
        <v>0</v>
      </c>
      <c r="J48" s="114" t="n">
        <v>0</v>
      </c>
      <c r="K48" s="114" t="n">
        <v>0</v>
      </c>
      <c r="L48" s="113" t="n">
        <v>0</v>
      </c>
      <c r="M48" s="114" t="n">
        <v>0</v>
      </c>
      <c r="N48" s="114" t="n">
        <v>0</v>
      </c>
      <c r="O48" s="113">
        <f>L48+I48+F48+C48</f>
        <v/>
      </c>
      <c r="P48" s="114">
        <f>M48+J48+G48+D48</f>
        <v/>
      </c>
      <c r="Q48" s="114">
        <f>N48+K48+H48+E48</f>
        <v/>
      </c>
      <c r="R48" s="113">
        <f>SUMIFS('PO Log'!$E:$E,'PO Log'!$D:$D,'Category Table'!R$2,'PO Log'!$C:$C,'Category Table'!$A48)</f>
        <v/>
      </c>
      <c r="S48" s="114">
        <f>SUMIFS('PO Log'!$E:$E,'PO Log'!$D:$D,'Category Table'!S$2,'PO Log'!$C:$C,'Category Table'!$A48)</f>
        <v/>
      </c>
      <c r="T48" s="114">
        <f>SUMIFS('PO Log'!$E:$E,'PO Log'!$D:$D,'Category Table'!T$2,'PO Log'!$C:$C,'Category Table'!$A48)</f>
        <v/>
      </c>
      <c r="U48" s="113">
        <f>SUMIFS('Committments Dump'!$Q:$Q,'Committments Dump'!$C:$C,'Category Table'!U$2,'Committments Dump'!$B:$B,'Category Table'!$A48)</f>
        <v/>
      </c>
      <c r="V48" s="114">
        <f>SUMIFS('Committments Dump'!$Q:$Q,'Committments Dump'!$C:$C,'Category Table'!V$2,'Committments Dump'!$B:$B,'Category Table'!$A48)</f>
        <v/>
      </c>
      <c r="W48" s="114">
        <f>SUMIFS('Committments Dump'!$Q:$Q,'Committments Dump'!$C:$C,'Category Table'!W$2,'Committments Dump'!$B:$B,'Category Table'!$A48)</f>
        <v/>
      </c>
      <c r="X48" s="113">
        <f>SUMIFS('Committments Dump'!$R:$R,'Committments Dump'!$C:$C,'Category Table'!X$2,'Committments Dump'!$B:$B,'Category Table'!$A48)</f>
        <v/>
      </c>
      <c r="Y48" s="114">
        <f>SUMIFS('Committments Dump'!$R:$R,'Committments Dump'!$C:$C,'Category Table'!Y$2,'Committments Dump'!$B:$B,'Category Table'!$A48)</f>
        <v/>
      </c>
      <c r="Z48" s="114">
        <f>SUMIFS('Committments Dump'!$R:$R,'Committments Dump'!$C:$C,'Category Table'!Z$2,'Committments Dump'!$B:$B,'Category Table'!$A48)</f>
        <v/>
      </c>
      <c r="AA48" s="113">
        <f>SUMIFS('Committments Dump'!$S:$S,'Committments Dump'!$C:$C,'Category Table'!AA$2,'Committments Dump'!$B:$B,'Category Table'!$A48)</f>
        <v/>
      </c>
      <c r="AB48" s="114">
        <f>SUMIFS('Committments Dump'!$S:$S,'Committments Dump'!$C:$C,'Category Table'!AB$2,'Committments Dump'!$B:$B,'Category Table'!$A48)</f>
        <v/>
      </c>
      <c r="AC48" s="114">
        <f>SUMIFS('Committments Dump'!$S:$S,'Committments Dump'!$C:$C,'Category Table'!AC$2,'Committments Dump'!$B:$B,'Category Table'!$A48)</f>
        <v/>
      </c>
      <c r="AD48" s="113">
        <f>U48+X48+AA48</f>
        <v/>
      </c>
      <c r="AE48" s="114">
        <f>V48+Y48+AB48</f>
        <v/>
      </c>
      <c r="AF48" s="114">
        <f>W48+Z48+AC48</f>
        <v/>
      </c>
      <c r="AG48" s="113">
        <f>R48+AD48</f>
        <v/>
      </c>
      <c r="AH48" s="114">
        <f>S48+AE48</f>
        <v/>
      </c>
      <c r="AI48" s="114">
        <f>T48+AF48</f>
        <v/>
      </c>
      <c r="AJ48" s="113" t="n"/>
      <c r="AK48" s="114" t="n"/>
      <c r="AL48" s="114" t="n"/>
      <c r="AM48" s="113">
        <f>(O48-AG48)+AJ48</f>
        <v/>
      </c>
      <c r="AN48" s="114">
        <f>(P48-AH48)+AK48</f>
        <v/>
      </c>
      <c r="AO48" s="114">
        <f>(Q48-AI48)+AL48</f>
        <v/>
      </c>
      <c r="AP48" s="2">
        <f>IF(AM48&gt;0, "Under",IF(AM48&lt;0,"Over",""))</f>
        <v/>
      </c>
      <c r="AQ48" s="1">
        <f>IF(AN48&gt;0, "Under",IF(AN48&lt;0,"Over",""))</f>
        <v/>
      </c>
      <c r="AR48" s="1">
        <f>IF(AO48&gt;0, "Under",IF(AO48&lt;0,"Over",""))</f>
        <v/>
      </c>
      <c r="AS48" s="3" t="n"/>
    </row>
    <row r="49">
      <c r="A49" s="90" t="inlineStr">
        <is>
          <t>0-4408</t>
        </is>
      </c>
      <c r="B49" s="90" t="inlineStr">
        <is>
          <t>0-4408-Harness Install</t>
        </is>
      </c>
      <c r="C49" s="115" t="n">
        <v>0</v>
      </c>
      <c r="D49" s="116" t="n">
        <v>0</v>
      </c>
      <c r="E49" s="116" t="n">
        <v>0</v>
      </c>
      <c r="F49" s="115" t="n">
        <v>0</v>
      </c>
      <c r="G49" s="116" t="n">
        <v>0</v>
      </c>
      <c r="H49" s="116" t="n">
        <v>0</v>
      </c>
      <c r="I49" s="115" t="n">
        <v>0</v>
      </c>
      <c r="J49" s="116" t="n">
        <v>0</v>
      </c>
      <c r="K49" s="116" t="n">
        <v>0</v>
      </c>
      <c r="L49" s="115" t="n">
        <v>0</v>
      </c>
      <c r="M49" s="116" t="n">
        <v>0</v>
      </c>
      <c r="N49" s="116" t="n">
        <v>0</v>
      </c>
      <c r="O49" s="115">
        <f>L49+I49+F49+C49</f>
        <v/>
      </c>
      <c r="P49" s="116">
        <f>M49+J49+G49+D49</f>
        <v/>
      </c>
      <c r="Q49" s="116">
        <f>N49+K49+H49+E49</f>
        <v/>
      </c>
      <c r="R49" s="115">
        <f>SUMIFS('PO Log'!$E:$E,'PO Log'!$D:$D,'Category Table'!R$2,'PO Log'!$C:$C,'Category Table'!$A49)</f>
        <v/>
      </c>
      <c r="S49" s="116">
        <f>SUMIFS('PO Log'!$E:$E,'PO Log'!$D:$D,'Category Table'!S$2,'PO Log'!$C:$C,'Category Table'!$A49)</f>
        <v/>
      </c>
      <c r="T49" s="116">
        <f>SUMIFS('PO Log'!$E:$E,'PO Log'!$D:$D,'Category Table'!T$2,'PO Log'!$C:$C,'Category Table'!$A49)</f>
        <v/>
      </c>
      <c r="U49" s="115">
        <f>SUMIFS('Committments Dump'!$Q:$Q,'Committments Dump'!$C:$C,'Category Table'!U$2,'Committments Dump'!$B:$B,'Category Table'!$A49)</f>
        <v/>
      </c>
      <c r="V49" s="116">
        <f>SUMIFS('Committments Dump'!$Q:$Q,'Committments Dump'!$C:$C,'Category Table'!V$2,'Committments Dump'!$B:$B,'Category Table'!$A49)</f>
        <v/>
      </c>
      <c r="W49" s="116">
        <f>SUMIFS('Committments Dump'!$Q:$Q,'Committments Dump'!$C:$C,'Category Table'!W$2,'Committments Dump'!$B:$B,'Category Table'!$A49)</f>
        <v/>
      </c>
      <c r="X49" s="115">
        <f>SUMIFS('Committments Dump'!$R:$R,'Committments Dump'!$C:$C,'Category Table'!X$2,'Committments Dump'!$B:$B,'Category Table'!$A49)</f>
        <v/>
      </c>
      <c r="Y49" s="116">
        <f>SUMIFS('Committments Dump'!$R:$R,'Committments Dump'!$C:$C,'Category Table'!Y$2,'Committments Dump'!$B:$B,'Category Table'!$A49)</f>
        <v/>
      </c>
      <c r="Z49" s="116">
        <f>SUMIFS('Committments Dump'!$R:$R,'Committments Dump'!$C:$C,'Category Table'!Z$2,'Committments Dump'!$B:$B,'Category Table'!$A49)</f>
        <v/>
      </c>
      <c r="AA49" s="115">
        <f>SUMIFS('Committments Dump'!$S:$S,'Committments Dump'!$C:$C,'Category Table'!AA$2,'Committments Dump'!$B:$B,'Category Table'!$A49)</f>
        <v/>
      </c>
      <c r="AB49" s="116">
        <f>SUMIFS('Committments Dump'!$S:$S,'Committments Dump'!$C:$C,'Category Table'!AB$2,'Committments Dump'!$B:$B,'Category Table'!$A49)</f>
        <v/>
      </c>
      <c r="AC49" s="116">
        <f>SUMIFS('Committments Dump'!$S:$S,'Committments Dump'!$C:$C,'Category Table'!AC$2,'Committments Dump'!$B:$B,'Category Table'!$A49)</f>
        <v/>
      </c>
      <c r="AD49" s="115">
        <f>U49+X49+AA49</f>
        <v/>
      </c>
      <c r="AE49" s="116">
        <f>V49+Y49+AB49</f>
        <v/>
      </c>
      <c r="AF49" s="116">
        <f>W49+Z49+AC49</f>
        <v/>
      </c>
      <c r="AG49" s="115">
        <f>R49+AD49</f>
        <v/>
      </c>
      <c r="AH49" s="116">
        <f>S49+AE49</f>
        <v/>
      </c>
      <c r="AI49" s="116">
        <f>T49+AF49</f>
        <v/>
      </c>
      <c r="AJ49" s="115" t="n"/>
      <c r="AK49" s="116" t="n"/>
      <c r="AL49" s="116" t="n"/>
      <c r="AM49" s="115">
        <f>(O49-AG49)+AJ49</f>
        <v/>
      </c>
      <c r="AN49" s="116">
        <f>(P49-AH49)+AK49</f>
        <v/>
      </c>
      <c r="AO49" s="116">
        <f>(Q49-AI49)+AL49</f>
        <v/>
      </c>
      <c r="AP49" s="93">
        <f>IF(AM49&gt;0, "Under",IF(AM49&lt;0,"Over",""))</f>
        <v/>
      </c>
      <c r="AQ49" s="94">
        <f>IF(AN49&gt;0, "Under",IF(AN49&lt;0,"Over",""))</f>
        <v/>
      </c>
      <c r="AR49" s="94">
        <f>IF(AO49&gt;0, "Under",IF(AO49&lt;0,"Over",""))</f>
        <v/>
      </c>
      <c r="AS49" s="3" t="n"/>
    </row>
    <row r="50">
      <c r="A50" t="inlineStr">
        <is>
          <t>0-4410</t>
        </is>
      </c>
      <c r="B50" t="inlineStr">
        <is>
          <t>0-4410-DC Terminations</t>
        </is>
      </c>
      <c r="C50" s="113" t="n">
        <v>0</v>
      </c>
      <c r="D50" s="114" t="n">
        <v>0</v>
      </c>
      <c r="E50" s="114" t="n">
        <v>0</v>
      </c>
      <c r="F50" s="113" t="n">
        <v>0</v>
      </c>
      <c r="G50" s="114" t="n">
        <v>0</v>
      </c>
      <c r="H50" s="114" t="n">
        <v>0</v>
      </c>
      <c r="I50" s="113" t="n">
        <v>0</v>
      </c>
      <c r="J50" s="114" t="n">
        <v>0</v>
      </c>
      <c r="K50" s="114" t="n">
        <v>0</v>
      </c>
      <c r="L50" s="113" t="n">
        <v>0</v>
      </c>
      <c r="M50" s="114" t="n">
        <v>0</v>
      </c>
      <c r="N50" s="114" t="n">
        <v>0</v>
      </c>
      <c r="O50" s="113">
        <f>L50+I50+F50+C50</f>
        <v/>
      </c>
      <c r="P50" s="114">
        <f>M50+J50+G50+D50</f>
        <v/>
      </c>
      <c r="Q50" s="114">
        <f>N50+K50+H50+E50</f>
        <v/>
      </c>
      <c r="R50" s="113">
        <f>SUMIFS('PO Log'!$E:$E,'PO Log'!$D:$D,'Category Table'!R$2,'PO Log'!$C:$C,'Category Table'!$A50)</f>
        <v/>
      </c>
      <c r="S50" s="114">
        <f>SUMIFS('PO Log'!$E:$E,'PO Log'!$D:$D,'Category Table'!S$2,'PO Log'!$C:$C,'Category Table'!$A50)</f>
        <v/>
      </c>
      <c r="T50" s="114">
        <f>SUMIFS('PO Log'!$E:$E,'PO Log'!$D:$D,'Category Table'!T$2,'PO Log'!$C:$C,'Category Table'!$A50)</f>
        <v/>
      </c>
      <c r="U50" s="113">
        <f>SUMIFS('Committments Dump'!$Q:$Q,'Committments Dump'!$C:$C,'Category Table'!U$2,'Committments Dump'!$B:$B,'Category Table'!$A50)</f>
        <v/>
      </c>
      <c r="V50" s="114">
        <f>SUMIFS('Committments Dump'!$Q:$Q,'Committments Dump'!$C:$C,'Category Table'!V$2,'Committments Dump'!$B:$B,'Category Table'!$A50)</f>
        <v/>
      </c>
      <c r="W50" s="114">
        <f>SUMIFS('Committments Dump'!$Q:$Q,'Committments Dump'!$C:$C,'Category Table'!W$2,'Committments Dump'!$B:$B,'Category Table'!$A50)</f>
        <v/>
      </c>
      <c r="X50" s="113">
        <f>SUMIFS('Committments Dump'!$R:$R,'Committments Dump'!$C:$C,'Category Table'!X$2,'Committments Dump'!$B:$B,'Category Table'!$A50)</f>
        <v/>
      </c>
      <c r="Y50" s="114">
        <f>SUMIFS('Committments Dump'!$R:$R,'Committments Dump'!$C:$C,'Category Table'!Y$2,'Committments Dump'!$B:$B,'Category Table'!$A50)</f>
        <v/>
      </c>
      <c r="Z50" s="114">
        <f>SUMIFS('Committments Dump'!$R:$R,'Committments Dump'!$C:$C,'Category Table'!Z$2,'Committments Dump'!$B:$B,'Category Table'!$A50)</f>
        <v/>
      </c>
      <c r="AA50" s="113">
        <f>SUMIFS('Committments Dump'!$S:$S,'Committments Dump'!$C:$C,'Category Table'!AA$2,'Committments Dump'!$B:$B,'Category Table'!$A50)</f>
        <v/>
      </c>
      <c r="AB50" s="114">
        <f>SUMIFS('Committments Dump'!$S:$S,'Committments Dump'!$C:$C,'Category Table'!AB$2,'Committments Dump'!$B:$B,'Category Table'!$A50)</f>
        <v/>
      </c>
      <c r="AC50" s="114">
        <f>SUMIFS('Committments Dump'!$S:$S,'Committments Dump'!$C:$C,'Category Table'!AC$2,'Committments Dump'!$B:$B,'Category Table'!$A50)</f>
        <v/>
      </c>
      <c r="AD50" s="113">
        <f>U50+X50+AA50</f>
        <v/>
      </c>
      <c r="AE50" s="114">
        <f>V50+Y50+AB50</f>
        <v/>
      </c>
      <c r="AF50" s="114">
        <f>W50+Z50+AC50</f>
        <v/>
      </c>
      <c r="AG50" s="113">
        <f>R50+AD50</f>
        <v/>
      </c>
      <c r="AH50" s="114">
        <f>S50+AE50</f>
        <v/>
      </c>
      <c r="AI50" s="114">
        <f>T50+AF50</f>
        <v/>
      </c>
      <c r="AJ50" s="113" t="n"/>
      <c r="AK50" s="114" t="n"/>
      <c r="AL50" s="114" t="n"/>
      <c r="AM50" s="113">
        <f>(O50-AG50)+AJ50</f>
        <v/>
      </c>
      <c r="AN50" s="114">
        <f>(P50-AH50)+AK50</f>
        <v/>
      </c>
      <c r="AO50" s="114">
        <f>(Q50-AI50)+AL50</f>
        <v/>
      </c>
      <c r="AP50" s="2">
        <f>IF(AM50&gt;0, "Under",IF(AM50&lt;0,"Over",""))</f>
        <v/>
      </c>
      <c r="AQ50" s="1">
        <f>IF(AN50&gt;0, "Under",IF(AN50&lt;0,"Over",""))</f>
        <v/>
      </c>
      <c r="AR50" s="1">
        <f>IF(AO50&gt;0, "Under",IF(AO50&lt;0,"Over",""))</f>
        <v/>
      </c>
      <c r="AS50" s="3" t="n"/>
    </row>
    <row r="51">
      <c r="A51" s="90" t="inlineStr">
        <is>
          <t>0-4411</t>
        </is>
      </c>
      <c r="B51" s="90" t="inlineStr">
        <is>
          <t>0-4411-LDB Install</t>
        </is>
      </c>
      <c r="C51" s="115" t="n">
        <v>0</v>
      </c>
      <c r="D51" s="116" t="n">
        <v>0</v>
      </c>
      <c r="E51" s="116" t="n">
        <v>0</v>
      </c>
      <c r="F51" s="115" t="n">
        <v>0</v>
      </c>
      <c r="G51" s="116" t="n">
        <v>0</v>
      </c>
      <c r="H51" s="116" t="n">
        <v>0</v>
      </c>
      <c r="I51" s="115" t="n">
        <v>0</v>
      </c>
      <c r="J51" s="116" t="n">
        <v>0</v>
      </c>
      <c r="K51" s="116" t="n">
        <v>0</v>
      </c>
      <c r="L51" s="115" t="n">
        <v>0</v>
      </c>
      <c r="M51" s="116" t="n">
        <v>0</v>
      </c>
      <c r="N51" s="116" t="n">
        <v>0</v>
      </c>
      <c r="O51" s="115">
        <f>L51+I51+F51+C51</f>
        <v/>
      </c>
      <c r="P51" s="116">
        <f>M51+J51+G51+D51</f>
        <v/>
      </c>
      <c r="Q51" s="116">
        <f>N51+K51+H51+E51</f>
        <v/>
      </c>
      <c r="R51" s="115">
        <f>SUMIFS('PO Log'!$E:$E,'PO Log'!$D:$D,'Category Table'!R$2,'PO Log'!$C:$C,'Category Table'!$A51)</f>
        <v/>
      </c>
      <c r="S51" s="116">
        <f>SUMIFS('PO Log'!$E:$E,'PO Log'!$D:$D,'Category Table'!S$2,'PO Log'!$C:$C,'Category Table'!$A51)</f>
        <v/>
      </c>
      <c r="T51" s="116">
        <f>SUMIFS('PO Log'!$E:$E,'PO Log'!$D:$D,'Category Table'!T$2,'PO Log'!$C:$C,'Category Table'!$A51)</f>
        <v/>
      </c>
      <c r="U51" s="115">
        <f>SUMIFS('Committments Dump'!$Q:$Q,'Committments Dump'!$C:$C,'Category Table'!U$2,'Committments Dump'!$B:$B,'Category Table'!$A51)</f>
        <v/>
      </c>
      <c r="V51" s="116">
        <f>SUMIFS('Committments Dump'!$Q:$Q,'Committments Dump'!$C:$C,'Category Table'!V$2,'Committments Dump'!$B:$B,'Category Table'!$A51)</f>
        <v/>
      </c>
      <c r="W51" s="116">
        <f>SUMIFS('Committments Dump'!$Q:$Q,'Committments Dump'!$C:$C,'Category Table'!W$2,'Committments Dump'!$B:$B,'Category Table'!$A51)</f>
        <v/>
      </c>
      <c r="X51" s="115">
        <f>SUMIFS('Committments Dump'!$R:$R,'Committments Dump'!$C:$C,'Category Table'!X$2,'Committments Dump'!$B:$B,'Category Table'!$A51)</f>
        <v/>
      </c>
      <c r="Y51" s="116">
        <f>SUMIFS('Committments Dump'!$R:$R,'Committments Dump'!$C:$C,'Category Table'!Y$2,'Committments Dump'!$B:$B,'Category Table'!$A51)</f>
        <v/>
      </c>
      <c r="Z51" s="116">
        <f>SUMIFS('Committments Dump'!$R:$R,'Committments Dump'!$C:$C,'Category Table'!Z$2,'Committments Dump'!$B:$B,'Category Table'!$A51)</f>
        <v/>
      </c>
      <c r="AA51" s="115">
        <f>SUMIFS('Committments Dump'!$S:$S,'Committments Dump'!$C:$C,'Category Table'!AA$2,'Committments Dump'!$B:$B,'Category Table'!$A51)</f>
        <v/>
      </c>
      <c r="AB51" s="116">
        <f>SUMIFS('Committments Dump'!$S:$S,'Committments Dump'!$C:$C,'Category Table'!AB$2,'Committments Dump'!$B:$B,'Category Table'!$A51)</f>
        <v/>
      </c>
      <c r="AC51" s="116">
        <f>SUMIFS('Committments Dump'!$S:$S,'Committments Dump'!$C:$C,'Category Table'!AC$2,'Committments Dump'!$B:$B,'Category Table'!$A51)</f>
        <v/>
      </c>
      <c r="AD51" s="115">
        <f>U51+X51+AA51</f>
        <v/>
      </c>
      <c r="AE51" s="116">
        <f>V51+Y51+AB51</f>
        <v/>
      </c>
      <c r="AF51" s="116">
        <f>W51+Z51+AC51</f>
        <v/>
      </c>
      <c r="AG51" s="115">
        <f>R51+AD51</f>
        <v/>
      </c>
      <c r="AH51" s="116">
        <f>S51+AE51</f>
        <v/>
      </c>
      <c r="AI51" s="116">
        <f>T51+AF51</f>
        <v/>
      </c>
      <c r="AJ51" s="115" t="n"/>
      <c r="AK51" s="116" t="n"/>
      <c r="AL51" s="116" t="n"/>
      <c r="AM51" s="115">
        <f>(O51-AG51)+AJ51</f>
        <v/>
      </c>
      <c r="AN51" s="116">
        <f>(P51-AH51)+AK51</f>
        <v/>
      </c>
      <c r="AO51" s="116">
        <f>(Q51-AI51)+AL51</f>
        <v/>
      </c>
      <c r="AP51" s="93">
        <f>IF(AM51&gt;0, "Under",IF(AM51&lt;0,"Over",""))</f>
        <v/>
      </c>
      <c r="AQ51" s="94">
        <f>IF(AN51&gt;0, "Under",IF(AN51&lt;0,"Over",""))</f>
        <v/>
      </c>
      <c r="AR51" s="94">
        <f>IF(AO51&gt;0, "Under",IF(AO51&lt;0,"Over",""))</f>
        <v/>
      </c>
      <c r="AS51" s="3" t="n"/>
    </row>
    <row r="52">
      <c r="A52" t="inlineStr">
        <is>
          <t>0-4412</t>
        </is>
      </c>
      <c r="B52" t="inlineStr">
        <is>
          <t>0-4412-CAB System Install</t>
        </is>
      </c>
      <c r="C52" s="113" t="n">
        <v>0</v>
      </c>
      <c r="D52" s="114" t="n">
        <v>0</v>
      </c>
      <c r="E52" s="114" t="n">
        <v>0</v>
      </c>
      <c r="F52" s="113" t="n">
        <v>0</v>
      </c>
      <c r="G52" s="114" t="n">
        <v>0</v>
      </c>
      <c r="H52" s="114" t="n">
        <v>0</v>
      </c>
      <c r="I52" s="113" t="n">
        <v>0</v>
      </c>
      <c r="J52" s="114" t="n">
        <v>0</v>
      </c>
      <c r="K52" s="114" t="n">
        <v>0</v>
      </c>
      <c r="L52" s="113" t="n">
        <v>0</v>
      </c>
      <c r="M52" s="114" t="n">
        <v>0</v>
      </c>
      <c r="N52" s="114" t="n">
        <v>0</v>
      </c>
      <c r="O52" s="113">
        <f>L52+I52+F52+C52</f>
        <v/>
      </c>
      <c r="P52" s="114">
        <f>M52+J52+G52+D52</f>
        <v/>
      </c>
      <c r="Q52" s="114">
        <f>N52+K52+H52+E52</f>
        <v/>
      </c>
      <c r="R52" s="113">
        <f>SUMIFS('PO Log'!$E:$E,'PO Log'!$D:$D,'Category Table'!R$2,'PO Log'!$C:$C,'Category Table'!$A52)</f>
        <v/>
      </c>
      <c r="S52" s="114">
        <f>SUMIFS('PO Log'!$E:$E,'PO Log'!$D:$D,'Category Table'!S$2,'PO Log'!$C:$C,'Category Table'!$A52)</f>
        <v/>
      </c>
      <c r="T52" s="114">
        <f>SUMIFS('PO Log'!$E:$E,'PO Log'!$D:$D,'Category Table'!T$2,'PO Log'!$C:$C,'Category Table'!$A52)</f>
        <v/>
      </c>
      <c r="U52" s="113">
        <f>SUMIFS('Committments Dump'!$Q:$Q,'Committments Dump'!$C:$C,'Category Table'!U$2,'Committments Dump'!$B:$B,'Category Table'!$A52)</f>
        <v/>
      </c>
      <c r="V52" s="114">
        <f>SUMIFS('Committments Dump'!$Q:$Q,'Committments Dump'!$C:$C,'Category Table'!V$2,'Committments Dump'!$B:$B,'Category Table'!$A52)</f>
        <v/>
      </c>
      <c r="W52" s="114">
        <f>SUMIFS('Committments Dump'!$Q:$Q,'Committments Dump'!$C:$C,'Category Table'!W$2,'Committments Dump'!$B:$B,'Category Table'!$A52)</f>
        <v/>
      </c>
      <c r="X52" s="113">
        <f>SUMIFS('Committments Dump'!$R:$R,'Committments Dump'!$C:$C,'Category Table'!X$2,'Committments Dump'!$B:$B,'Category Table'!$A52)</f>
        <v/>
      </c>
      <c r="Y52" s="114">
        <f>SUMIFS('Committments Dump'!$R:$R,'Committments Dump'!$C:$C,'Category Table'!Y$2,'Committments Dump'!$B:$B,'Category Table'!$A52)</f>
        <v/>
      </c>
      <c r="Z52" s="114">
        <f>SUMIFS('Committments Dump'!$R:$R,'Committments Dump'!$C:$C,'Category Table'!Z$2,'Committments Dump'!$B:$B,'Category Table'!$A52)</f>
        <v/>
      </c>
      <c r="AA52" s="113">
        <f>SUMIFS('Committments Dump'!$S:$S,'Committments Dump'!$C:$C,'Category Table'!AA$2,'Committments Dump'!$B:$B,'Category Table'!$A52)</f>
        <v/>
      </c>
      <c r="AB52" s="114">
        <f>SUMIFS('Committments Dump'!$S:$S,'Committments Dump'!$C:$C,'Category Table'!AB$2,'Committments Dump'!$B:$B,'Category Table'!$A52)</f>
        <v/>
      </c>
      <c r="AC52" s="114">
        <f>SUMIFS('Committments Dump'!$S:$S,'Committments Dump'!$C:$C,'Category Table'!AC$2,'Committments Dump'!$B:$B,'Category Table'!$A52)</f>
        <v/>
      </c>
      <c r="AD52" s="113">
        <f>U52+X52+AA52</f>
        <v/>
      </c>
      <c r="AE52" s="114">
        <f>V52+Y52+AB52</f>
        <v/>
      </c>
      <c r="AF52" s="114">
        <f>W52+Z52+AC52</f>
        <v/>
      </c>
      <c r="AG52" s="113">
        <f>R52+AD52</f>
        <v/>
      </c>
      <c r="AH52" s="114">
        <f>S52+AE52</f>
        <v/>
      </c>
      <c r="AI52" s="114">
        <f>T52+AF52</f>
        <v/>
      </c>
      <c r="AJ52" s="113" t="n"/>
      <c r="AK52" s="114" t="n"/>
      <c r="AL52" s="114" t="n"/>
      <c r="AM52" s="113">
        <f>(O52-AG52)+AJ52</f>
        <v/>
      </c>
      <c r="AN52" s="114">
        <f>(P52-AH52)+AK52</f>
        <v/>
      </c>
      <c r="AO52" s="114">
        <f>(Q52-AI52)+AL52</f>
        <v/>
      </c>
      <c r="AP52" s="2">
        <f>IF(AM52&gt;0, "Under",IF(AM52&lt;0,"Over",""))</f>
        <v/>
      </c>
      <c r="AQ52" s="1">
        <f>IF(AN52&gt;0, "Under",IF(AN52&lt;0,"Over",""))</f>
        <v/>
      </c>
      <c r="AR52" s="1">
        <f>IF(AO52&gt;0, "Under",IF(AO52&lt;0,"Over",""))</f>
        <v/>
      </c>
      <c r="AS52" s="3" t="n"/>
    </row>
    <row r="53">
      <c r="A53" s="90" t="inlineStr">
        <is>
          <t>0-4413</t>
        </is>
      </c>
      <c r="B53" s="90" t="inlineStr">
        <is>
          <t>0-4413-DC Testing</t>
        </is>
      </c>
      <c r="C53" s="115" t="n">
        <v>0</v>
      </c>
      <c r="D53" s="116" t="n">
        <v>0</v>
      </c>
      <c r="E53" s="116" t="n">
        <v>0</v>
      </c>
      <c r="F53" s="115" t="n">
        <v>0</v>
      </c>
      <c r="G53" s="116" t="n">
        <v>0</v>
      </c>
      <c r="H53" s="116" t="n">
        <v>59537.5</v>
      </c>
      <c r="I53" s="115" t="n">
        <v>0</v>
      </c>
      <c r="J53" s="116" t="n">
        <v>0</v>
      </c>
      <c r="K53" s="116" t="n">
        <v>0</v>
      </c>
      <c r="L53" s="115" t="n">
        <v>0</v>
      </c>
      <c r="M53" s="116" t="n">
        <v>0</v>
      </c>
      <c r="N53" s="116" t="n">
        <v>0</v>
      </c>
      <c r="O53" s="115">
        <f>L53+I53+F53+C53</f>
        <v/>
      </c>
      <c r="P53" s="116">
        <f>M53+J53+G53+D53</f>
        <v/>
      </c>
      <c r="Q53" s="116">
        <f>N53+K53+H53+E53</f>
        <v/>
      </c>
      <c r="R53" s="115">
        <f>SUMIFS('PO Log'!$E:$E,'PO Log'!$D:$D,'Category Table'!R$2,'PO Log'!$C:$C,'Category Table'!$A53)</f>
        <v/>
      </c>
      <c r="S53" s="116">
        <f>SUMIFS('PO Log'!$E:$E,'PO Log'!$D:$D,'Category Table'!S$2,'PO Log'!$C:$C,'Category Table'!$A53)</f>
        <v/>
      </c>
      <c r="T53" s="116">
        <f>SUMIFS('PO Log'!$E:$E,'PO Log'!$D:$D,'Category Table'!T$2,'PO Log'!$C:$C,'Category Table'!$A53)</f>
        <v/>
      </c>
      <c r="U53" s="115">
        <f>SUMIFS('Committments Dump'!$Q:$Q,'Committments Dump'!$C:$C,'Category Table'!U$2,'Committments Dump'!$B:$B,'Category Table'!$A53)</f>
        <v/>
      </c>
      <c r="V53" s="116">
        <f>SUMIFS('Committments Dump'!$Q:$Q,'Committments Dump'!$C:$C,'Category Table'!V$2,'Committments Dump'!$B:$B,'Category Table'!$A53)</f>
        <v/>
      </c>
      <c r="W53" s="116">
        <f>SUMIFS('Committments Dump'!$Q:$Q,'Committments Dump'!$C:$C,'Category Table'!W$2,'Committments Dump'!$B:$B,'Category Table'!$A53)</f>
        <v/>
      </c>
      <c r="X53" s="115">
        <f>SUMIFS('Committments Dump'!$R:$R,'Committments Dump'!$C:$C,'Category Table'!X$2,'Committments Dump'!$B:$B,'Category Table'!$A53)</f>
        <v/>
      </c>
      <c r="Y53" s="116">
        <f>SUMIFS('Committments Dump'!$R:$R,'Committments Dump'!$C:$C,'Category Table'!Y$2,'Committments Dump'!$B:$B,'Category Table'!$A53)</f>
        <v/>
      </c>
      <c r="Z53" s="116">
        <f>SUMIFS('Committments Dump'!$R:$R,'Committments Dump'!$C:$C,'Category Table'!Z$2,'Committments Dump'!$B:$B,'Category Table'!$A53)</f>
        <v/>
      </c>
      <c r="AA53" s="115">
        <f>SUMIFS('Committments Dump'!$S:$S,'Committments Dump'!$C:$C,'Category Table'!AA$2,'Committments Dump'!$B:$B,'Category Table'!$A53)</f>
        <v/>
      </c>
      <c r="AB53" s="116">
        <f>SUMIFS('Committments Dump'!$S:$S,'Committments Dump'!$C:$C,'Category Table'!AB$2,'Committments Dump'!$B:$B,'Category Table'!$A53)</f>
        <v/>
      </c>
      <c r="AC53" s="116">
        <f>SUMIFS('Committments Dump'!$S:$S,'Committments Dump'!$C:$C,'Category Table'!AC$2,'Committments Dump'!$B:$B,'Category Table'!$A53)</f>
        <v/>
      </c>
      <c r="AD53" s="115">
        <f>U53+X53+AA53</f>
        <v/>
      </c>
      <c r="AE53" s="116">
        <f>V53+Y53+AB53</f>
        <v/>
      </c>
      <c r="AF53" s="116">
        <f>W53+Z53+AC53</f>
        <v/>
      </c>
      <c r="AG53" s="115">
        <f>R53+AD53</f>
        <v/>
      </c>
      <c r="AH53" s="116">
        <f>S53+AE53</f>
        <v/>
      </c>
      <c r="AI53" s="116">
        <f>T53+AF53</f>
        <v/>
      </c>
      <c r="AJ53" s="115" t="n"/>
      <c r="AK53" s="116" t="n"/>
      <c r="AL53" s="116" t="n"/>
      <c r="AM53" s="115">
        <f>(O53-AG53)+AJ53</f>
        <v/>
      </c>
      <c r="AN53" s="116">
        <f>(P53-AH53)+AK53</f>
        <v/>
      </c>
      <c r="AO53" s="116">
        <f>(Q53-AI53)+AL53</f>
        <v/>
      </c>
      <c r="AP53" s="93">
        <f>IF(AM53&gt;0, "Under",IF(AM53&lt;0,"Over",""))</f>
        <v/>
      </c>
      <c r="AQ53" s="94">
        <f>IF(AN53&gt;0, "Under",IF(AN53&lt;0,"Over",""))</f>
        <v/>
      </c>
      <c r="AR53" s="94">
        <f>IF(AO53&gt;0, "Under",IF(AO53&lt;0,"Over",""))</f>
        <v/>
      </c>
      <c r="AS53" s="3" t="n"/>
    </row>
    <row r="54">
      <c r="A54" t="inlineStr">
        <is>
          <t>0-4414</t>
        </is>
      </c>
      <c r="B54" t="inlineStr">
        <is>
          <t>0-4414- Commisioning</t>
        </is>
      </c>
      <c r="C54" s="113" t="n">
        <v>0</v>
      </c>
      <c r="D54" s="114" t="n">
        <v>0</v>
      </c>
      <c r="E54" s="114" t="n">
        <v>0</v>
      </c>
      <c r="F54" s="113" t="n">
        <v>0</v>
      </c>
      <c r="G54" s="114" t="n">
        <v>3621.988444444491</v>
      </c>
      <c r="H54" s="114" t="n">
        <v>0</v>
      </c>
      <c r="I54" s="113" t="n">
        <v>0</v>
      </c>
      <c r="J54" s="114" t="n">
        <v>0</v>
      </c>
      <c r="K54" s="114" t="n">
        <v>0</v>
      </c>
      <c r="L54" s="113" t="n">
        <v>0</v>
      </c>
      <c r="M54" s="114" t="n">
        <v>0</v>
      </c>
      <c r="N54" s="114" t="n">
        <v>0</v>
      </c>
      <c r="O54" s="113">
        <f>L54+I54+F54+C54</f>
        <v/>
      </c>
      <c r="P54" s="114">
        <f>M54+J54+G54+D54</f>
        <v/>
      </c>
      <c r="Q54" s="114">
        <f>N54+K54+H54+E54</f>
        <v/>
      </c>
      <c r="R54" s="113">
        <f>SUMIFS('PO Log'!$E:$E,'PO Log'!$D:$D,'Category Table'!R$2,'PO Log'!$C:$C,'Category Table'!$A54)</f>
        <v/>
      </c>
      <c r="S54" s="114">
        <f>SUMIFS('PO Log'!$E:$E,'PO Log'!$D:$D,'Category Table'!S$2,'PO Log'!$C:$C,'Category Table'!$A54)</f>
        <v/>
      </c>
      <c r="T54" s="114">
        <f>SUMIFS('PO Log'!$E:$E,'PO Log'!$D:$D,'Category Table'!T$2,'PO Log'!$C:$C,'Category Table'!$A54)</f>
        <v/>
      </c>
      <c r="U54" s="113">
        <f>SUMIFS('Committments Dump'!$Q:$Q,'Committments Dump'!$C:$C,'Category Table'!U$2,'Committments Dump'!$B:$B,'Category Table'!$A54)</f>
        <v/>
      </c>
      <c r="V54" s="114">
        <f>SUMIFS('Committments Dump'!$Q:$Q,'Committments Dump'!$C:$C,'Category Table'!V$2,'Committments Dump'!$B:$B,'Category Table'!$A54)</f>
        <v/>
      </c>
      <c r="W54" s="114">
        <f>SUMIFS('Committments Dump'!$Q:$Q,'Committments Dump'!$C:$C,'Category Table'!W$2,'Committments Dump'!$B:$B,'Category Table'!$A54)</f>
        <v/>
      </c>
      <c r="X54" s="113">
        <f>SUMIFS('Committments Dump'!$R:$R,'Committments Dump'!$C:$C,'Category Table'!X$2,'Committments Dump'!$B:$B,'Category Table'!$A54)</f>
        <v/>
      </c>
      <c r="Y54" s="114">
        <f>SUMIFS('Committments Dump'!$R:$R,'Committments Dump'!$C:$C,'Category Table'!Y$2,'Committments Dump'!$B:$B,'Category Table'!$A54)</f>
        <v/>
      </c>
      <c r="Z54" s="114">
        <f>SUMIFS('Committments Dump'!$R:$R,'Committments Dump'!$C:$C,'Category Table'!Z$2,'Committments Dump'!$B:$B,'Category Table'!$A54)</f>
        <v/>
      </c>
      <c r="AA54" s="113">
        <f>SUMIFS('Committments Dump'!$S:$S,'Committments Dump'!$C:$C,'Category Table'!AA$2,'Committments Dump'!$B:$B,'Category Table'!$A54)</f>
        <v/>
      </c>
      <c r="AB54" s="114">
        <f>SUMIFS('Committments Dump'!$S:$S,'Committments Dump'!$C:$C,'Category Table'!AB$2,'Committments Dump'!$B:$B,'Category Table'!$A54)</f>
        <v/>
      </c>
      <c r="AC54" s="114">
        <f>SUMIFS('Committments Dump'!$S:$S,'Committments Dump'!$C:$C,'Category Table'!AC$2,'Committments Dump'!$B:$B,'Category Table'!$A54)</f>
        <v/>
      </c>
      <c r="AD54" s="113">
        <f>U54+X54+AA54</f>
        <v/>
      </c>
      <c r="AE54" s="114">
        <f>V54+Y54+AB54</f>
        <v/>
      </c>
      <c r="AF54" s="114">
        <f>W54+Z54+AC54</f>
        <v/>
      </c>
      <c r="AG54" s="113">
        <f>R54+AD54</f>
        <v/>
      </c>
      <c r="AH54" s="114">
        <f>S54+AE54</f>
        <v/>
      </c>
      <c r="AI54" s="114">
        <f>T54+AF54</f>
        <v/>
      </c>
      <c r="AJ54" s="113" t="n"/>
      <c r="AK54" s="114" t="n"/>
      <c r="AL54" s="114" t="n"/>
      <c r="AM54" s="113">
        <f>(O54-AG54)+AJ54</f>
        <v/>
      </c>
      <c r="AN54" s="114">
        <f>(P54-AH54)+AK54</f>
        <v/>
      </c>
      <c r="AO54" s="114">
        <f>(Q54-AI54)+AL54</f>
        <v/>
      </c>
      <c r="AP54" s="2">
        <f>IF(AM54&gt;0, "Under",IF(AM54&lt;0,"Over",""))</f>
        <v/>
      </c>
      <c r="AQ54" s="1">
        <f>IF(AN54&gt;0, "Under",IF(AN54&lt;0,"Over",""))</f>
        <v/>
      </c>
      <c r="AR54" s="1">
        <f>IF(AO54&gt;0, "Under",IF(AO54&lt;0,"Over",""))</f>
        <v/>
      </c>
      <c r="AS54" s="3" t="n"/>
    </row>
    <row r="55">
      <c r="A55" s="90" t="inlineStr">
        <is>
          <t>0-4415</t>
        </is>
      </c>
      <c r="B55" s="90" t="inlineStr">
        <is>
          <t>0-4415-Grounding</t>
        </is>
      </c>
      <c r="C55" s="115" t="n">
        <v>0</v>
      </c>
      <c r="D55" s="116" t="n">
        <v>0</v>
      </c>
      <c r="E55" s="116" t="n">
        <v>0</v>
      </c>
      <c r="F55" s="115" t="n">
        <v>0</v>
      </c>
      <c r="G55" s="116" t="n">
        <v>0</v>
      </c>
      <c r="H55" s="116" t="n">
        <v>0</v>
      </c>
      <c r="I55" s="115" t="n">
        <v>0</v>
      </c>
      <c r="J55" s="116" t="n">
        <v>0</v>
      </c>
      <c r="K55" s="116" t="n">
        <v>0</v>
      </c>
      <c r="L55" s="115" t="n">
        <v>0</v>
      </c>
      <c r="M55" s="116" t="n">
        <v>0</v>
      </c>
      <c r="N55" s="116" t="n">
        <v>0</v>
      </c>
      <c r="O55" s="115">
        <f>L55+I55+F55+C55</f>
        <v/>
      </c>
      <c r="P55" s="116">
        <f>M55+J55+G55+D55</f>
        <v/>
      </c>
      <c r="Q55" s="116">
        <f>N55+K55+H55+E55</f>
        <v/>
      </c>
      <c r="R55" s="115">
        <f>SUMIFS('PO Log'!$E:$E,'PO Log'!$D:$D,'Category Table'!R$2,'PO Log'!$C:$C,'Category Table'!$A55)</f>
        <v/>
      </c>
      <c r="S55" s="116">
        <f>SUMIFS('PO Log'!$E:$E,'PO Log'!$D:$D,'Category Table'!S$2,'PO Log'!$C:$C,'Category Table'!$A55)</f>
        <v/>
      </c>
      <c r="T55" s="116">
        <f>SUMIFS('PO Log'!$E:$E,'PO Log'!$D:$D,'Category Table'!T$2,'PO Log'!$C:$C,'Category Table'!$A55)</f>
        <v/>
      </c>
      <c r="U55" s="115">
        <f>SUMIFS('Committments Dump'!$Q:$Q,'Committments Dump'!$C:$C,'Category Table'!U$2,'Committments Dump'!$B:$B,'Category Table'!$A55)</f>
        <v/>
      </c>
      <c r="V55" s="116">
        <f>SUMIFS('Committments Dump'!$Q:$Q,'Committments Dump'!$C:$C,'Category Table'!V$2,'Committments Dump'!$B:$B,'Category Table'!$A55)</f>
        <v/>
      </c>
      <c r="W55" s="116">
        <f>SUMIFS('Committments Dump'!$Q:$Q,'Committments Dump'!$C:$C,'Category Table'!W$2,'Committments Dump'!$B:$B,'Category Table'!$A55)</f>
        <v/>
      </c>
      <c r="X55" s="115">
        <f>SUMIFS('Committments Dump'!$R:$R,'Committments Dump'!$C:$C,'Category Table'!X$2,'Committments Dump'!$B:$B,'Category Table'!$A55)</f>
        <v/>
      </c>
      <c r="Y55" s="116">
        <f>SUMIFS('Committments Dump'!$R:$R,'Committments Dump'!$C:$C,'Category Table'!Y$2,'Committments Dump'!$B:$B,'Category Table'!$A55)</f>
        <v/>
      </c>
      <c r="Z55" s="116">
        <f>SUMIFS('Committments Dump'!$R:$R,'Committments Dump'!$C:$C,'Category Table'!Z$2,'Committments Dump'!$B:$B,'Category Table'!$A55)</f>
        <v/>
      </c>
      <c r="AA55" s="115">
        <f>SUMIFS('Committments Dump'!$S:$S,'Committments Dump'!$C:$C,'Category Table'!AA$2,'Committments Dump'!$B:$B,'Category Table'!$A55)</f>
        <v/>
      </c>
      <c r="AB55" s="116">
        <f>SUMIFS('Committments Dump'!$S:$S,'Committments Dump'!$C:$C,'Category Table'!AB$2,'Committments Dump'!$B:$B,'Category Table'!$A55)</f>
        <v/>
      </c>
      <c r="AC55" s="116">
        <f>SUMIFS('Committments Dump'!$S:$S,'Committments Dump'!$C:$C,'Category Table'!AC$2,'Committments Dump'!$B:$B,'Category Table'!$A55)</f>
        <v/>
      </c>
      <c r="AD55" s="115">
        <f>U55+X55+AA55</f>
        <v/>
      </c>
      <c r="AE55" s="116">
        <f>V55+Y55+AB55</f>
        <v/>
      </c>
      <c r="AF55" s="116">
        <f>W55+Z55+AC55</f>
        <v/>
      </c>
      <c r="AG55" s="115">
        <f>R55+AD55</f>
        <v/>
      </c>
      <c r="AH55" s="116">
        <f>S55+AE55</f>
        <v/>
      </c>
      <c r="AI55" s="116">
        <f>T55+AF55</f>
        <v/>
      </c>
      <c r="AJ55" s="115" t="n"/>
      <c r="AK55" s="116" t="n"/>
      <c r="AL55" s="116" t="n"/>
      <c r="AM55" s="115">
        <f>(O55-AG55)+AJ55</f>
        <v/>
      </c>
      <c r="AN55" s="116">
        <f>(P55-AH55)+AK55</f>
        <v/>
      </c>
      <c r="AO55" s="116">
        <f>(Q55-AI55)+AL55</f>
        <v/>
      </c>
      <c r="AP55" s="93">
        <f>IF(AM55&gt;0, "Under",IF(AM55&lt;0,"Over",""))</f>
        <v/>
      </c>
      <c r="AQ55" s="94">
        <f>IF(AN55&gt;0, "Under",IF(AN55&lt;0,"Over",""))</f>
        <v/>
      </c>
      <c r="AR55" s="94">
        <f>IF(AO55&gt;0, "Under",IF(AO55&lt;0,"Over",""))</f>
        <v/>
      </c>
      <c r="AS55" s="3" t="n"/>
    </row>
    <row r="56">
      <c r="A56" t="inlineStr">
        <is>
          <t>0-4416</t>
        </is>
      </c>
      <c r="B56" t="inlineStr">
        <is>
          <t>0-4416-Trunk Bus System</t>
        </is>
      </c>
      <c r="C56" s="113" t="n">
        <v>0</v>
      </c>
      <c r="D56" s="114" t="n">
        <v>0</v>
      </c>
      <c r="E56" s="114" t="n">
        <v>0</v>
      </c>
      <c r="F56" s="113" t="n">
        <v>0</v>
      </c>
      <c r="G56" s="114" t="n">
        <v>0</v>
      </c>
      <c r="H56" s="114" t="n">
        <v>0</v>
      </c>
      <c r="I56" s="113" t="n">
        <v>0</v>
      </c>
      <c r="J56" s="114" t="n">
        <v>0</v>
      </c>
      <c r="K56" s="114" t="n">
        <v>0</v>
      </c>
      <c r="L56" s="113" t="n">
        <v>0</v>
      </c>
      <c r="M56" s="114" t="n">
        <v>0</v>
      </c>
      <c r="N56" s="114" t="n">
        <v>0</v>
      </c>
      <c r="O56" s="113">
        <f>L56+I56+F56+C56</f>
        <v/>
      </c>
      <c r="P56" s="114">
        <f>M56+J56+G56+D56</f>
        <v/>
      </c>
      <c r="Q56" s="114">
        <f>N56+K56+H56+E56</f>
        <v/>
      </c>
      <c r="R56" s="113">
        <f>SUMIFS('PO Log'!$E:$E,'PO Log'!$D:$D,'Category Table'!R$2,'PO Log'!$C:$C,'Category Table'!$A56)</f>
        <v/>
      </c>
      <c r="S56" s="114">
        <f>SUMIFS('PO Log'!$E:$E,'PO Log'!$D:$D,'Category Table'!S$2,'PO Log'!$C:$C,'Category Table'!$A56)</f>
        <v/>
      </c>
      <c r="T56" s="114">
        <f>SUMIFS('PO Log'!$E:$E,'PO Log'!$D:$D,'Category Table'!T$2,'PO Log'!$C:$C,'Category Table'!$A56)</f>
        <v/>
      </c>
      <c r="U56" s="113">
        <f>SUMIFS('Committments Dump'!$Q:$Q,'Committments Dump'!$C:$C,'Category Table'!U$2,'Committments Dump'!$B:$B,'Category Table'!$A56)</f>
        <v/>
      </c>
      <c r="V56" s="114">
        <f>SUMIFS('Committments Dump'!$Q:$Q,'Committments Dump'!$C:$C,'Category Table'!V$2,'Committments Dump'!$B:$B,'Category Table'!$A56)</f>
        <v/>
      </c>
      <c r="W56" s="114">
        <f>SUMIFS('Committments Dump'!$Q:$Q,'Committments Dump'!$C:$C,'Category Table'!W$2,'Committments Dump'!$B:$B,'Category Table'!$A56)</f>
        <v/>
      </c>
      <c r="X56" s="113">
        <f>SUMIFS('Committments Dump'!$R:$R,'Committments Dump'!$C:$C,'Category Table'!X$2,'Committments Dump'!$B:$B,'Category Table'!$A56)</f>
        <v/>
      </c>
      <c r="Y56" s="114">
        <f>SUMIFS('Committments Dump'!$R:$R,'Committments Dump'!$C:$C,'Category Table'!Y$2,'Committments Dump'!$B:$B,'Category Table'!$A56)</f>
        <v/>
      </c>
      <c r="Z56" s="114">
        <f>SUMIFS('Committments Dump'!$R:$R,'Committments Dump'!$C:$C,'Category Table'!Z$2,'Committments Dump'!$B:$B,'Category Table'!$A56)</f>
        <v/>
      </c>
      <c r="AA56" s="113">
        <f>SUMIFS('Committments Dump'!$S:$S,'Committments Dump'!$C:$C,'Category Table'!AA$2,'Committments Dump'!$B:$B,'Category Table'!$A56)</f>
        <v/>
      </c>
      <c r="AB56" s="114">
        <f>SUMIFS('Committments Dump'!$S:$S,'Committments Dump'!$C:$C,'Category Table'!AB$2,'Committments Dump'!$B:$B,'Category Table'!$A56)</f>
        <v/>
      </c>
      <c r="AC56" s="114">
        <f>SUMIFS('Committments Dump'!$S:$S,'Committments Dump'!$C:$C,'Category Table'!AC$2,'Committments Dump'!$B:$B,'Category Table'!$A56)</f>
        <v/>
      </c>
      <c r="AD56" s="113">
        <f>U56+X56+AA56</f>
        <v/>
      </c>
      <c r="AE56" s="114">
        <f>V56+Y56+AB56</f>
        <v/>
      </c>
      <c r="AF56" s="114">
        <f>W56+Z56+AC56</f>
        <v/>
      </c>
      <c r="AG56" s="113">
        <f>R56+AD56</f>
        <v/>
      </c>
      <c r="AH56" s="114">
        <f>S56+AE56</f>
        <v/>
      </c>
      <c r="AI56" s="114">
        <f>T56+AF56</f>
        <v/>
      </c>
      <c r="AJ56" s="113" t="n"/>
      <c r="AK56" s="114" t="n"/>
      <c r="AL56" s="114" t="n"/>
      <c r="AM56" s="113">
        <f>(O56-AG56)+AJ56</f>
        <v/>
      </c>
      <c r="AN56" s="114">
        <f>(P56-AH56)+AK56</f>
        <v/>
      </c>
      <c r="AO56" s="114">
        <f>(Q56-AI56)+AL56</f>
        <v/>
      </c>
      <c r="AP56" s="2">
        <f>IF(AM56&gt;0, "Under",IF(AM56&lt;0,"Over",""))</f>
        <v/>
      </c>
      <c r="AQ56" s="1">
        <f>IF(AN56&gt;0, "Under",IF(AN56&lt;0,"Over",""))</f>
        <v/>
      </c>
      <c r="AR56" s="1">
        <f>IF(AO56&gt;0, "Under",IF(AO56&lt;0,"Over",""))</f>
        <v/>
      </c>
      <c r="AS56" s="3" t="n"/>
    </row>
    <row r="57">
      <c r="A57" s="90" t="inlineStr">
        <is>
          <t>0-4417</t>
        </is>
      </c>
      <c r="B57" s="90" t="inlineStr">
        <is>
          <t>0-4417-MV Juntion Box</t>
        </is>
      </c>
      <c r="C57" s="115" t="n">
        <v>0</v>
      </c>
      <c r="D57" s="116" t="n">
        <v>0</v>
      </c>
      <c r="E57" s="116" t="n">
        <v>0</v>
      </c>
      <c r="F57" s="115" t="n">
        <v>0</v>
      </c>
      <c r="G57" s="116" t="n">
        <v>0</v>
      </c>
      <c r="H57" s="116" t="n">
        <v>0</v>
      </c>
      <c r="I57" s="115" t="n">
        <v>0</v>
      </c>
      <c r="J57" s="116" t="n">
        <v>0</v>
      </c>
      <c r="K57" s="116" t="n">
        <v>0</v>
      </c>
      <c r="L57" s="115" t="n">
        <v>0</v>
      </c>
      <c r="M57" s="116" t="n">
        <v>0</v>
      </c>
      <c r="N57" s="116" t="n">
        <v>0</v>
      </c>
      <c r="O57" s="115">
        <f>L57+I57+F57+C57</f>
        <v/>
      </c>
      <c r="P57" s="116">
        <f>M57+J57+G57+D57</f>
        <v/>
      </c>
      <c r="Q57" s="116">
        <f>N57+K57+H57+E57</f>
        <v/>
      </c>
      <c r="R57" s="115">
        <f>SUMIFS('PO Log'!$E:$E,'PO Log'!$D:$D,'Category Table'!R$2,'PO Log'!$C:$C,'Category Table'!$A57)</f>
        <v/>
      </c>
      <c r="S57" s="116">
        <f>SUMIFS('PO Log'!$E:$E,'PO Log'!$D:$D,'Category Table'!S$2,'PO Log'!$C:$C,'Category Table'!$A57)</f>
        <v/>
      </c>
      <c r="T57" s="116">
        <f>SUMIFS('PO Log'!$E:$E,'PO Log'!$D:$D,'Category Table'!T$2,'PO Log'!$C:$C,'Category Table'!$A57)</f>
        <v/>
      </c>
      <c r="U57" s="115">
        <f>SUMIFS('Committments Dump'!$Q:$Q,'Committments Dump'!$C:$C,'Category Table'!U$2,'Committments Dump'!$B:$B,'Category Table'!$A57)</f>
        <v/>
      </c>
      <c r="V57" s="116">
        <f>SUMIFS('Committments Dump'!$Q:$Q,'Committments Dump'!$C:$C,'Category Table'!V$2,'Committments Dump'!$B:$B,'Category Table'!$A57)</f>
        <v/>
      </c>
      <c r="W57" s="116">
        <f>SUMIFS('Committments Dump'!$Q:$Q,'Committments Dump'!$C:$C,'Category Table'!W$2,'Committments Dump'!$B:$B,'Category Table'!$A57)</f>
        <v/>
      </c>
      <c r="X57" s="115">
        <f>SUMIFS('Committments Dump'!$R:$R,'Committments Dump'!$C:$C,'Category Table'!X$2,'Committments Dump'!$B:$B,'Category Table'!$A57)</f>
        <v/>
      </c>
      <c r="Y57" s="116">
        <f>SUMIFS('Committments Dump'!$R:$R,'Committments Dump'!$C:$C,'Category Table'!Y$2,'Committments Dump'!$B:$B,'Category Table'!$A57)</f>
        <v/>
      </c>
      <c r="Z57" s="116">
        <f>SUMIFS('Committments Dump'!$R:$R,'Committments Dump'!$C:$C,'Category Table'!Z$2,'Committments Dump'!$B:$B,'Category Table'!$A57)</f>
        <v/>
      </c>
      <c r="AA57" s="115">
        <f>SUMIFS('Committments Dump'!$S:$S,'Committments Dump'!$C:$C,'Category Table'!AA$2,'Committments Dump'!$B:$B,'Category Table'!$A57)</f>
        <v/>
      </c>
      <c r="AB57" s="116">
        <f>SUMIFS('Committments Dump'!$S:$S,'Committments Dump'!$C:$C,'Category Table'!AB$2,'Committments Dump'!$B:$B,'Category Table'!$A57)</f>
        <v/>
      </c>
      <c r="AC57" s="116">
        <f>SUMIFS('Committments Dump'!$S:$S,'Committments Dump'!$C:$C,'Category Table'!AC$2,'Committments Dump'!$B:$B,'Category Table'!$A57)</f>
        <v/>
      </c>
      <c r="AD57" s="115">
        <f>U57+X57+AA57</f>
        <v/>
      </c>
      <c r="AE57" s="116">
        <f>V57+Y57+AB57</f>
        <v/>
      </c>
      <c r="AF57" s="116">
        <f>W57+Z57+AC57</f>
        <v/>
      </c>
      <c r="AG57" s="115">
        <f>R57+AD57</f>
        <v/>
      </c>
      <c r="AH57" s="116">
        <f>S57+AE57</f>
        <v/>
      </c>
      <c r="AI57" s="116">
        <f>T57+AF57</f>
        <v/>
      </c>
      <c r="AJ57" s="115" t="n"/>
      <c r="AK57" s="116" t="n"/>
      <c r="AL57" s="116" t="n"/>
      <c r="AM57" s="115">
        <f>(O57-AG57)+AJ57</f>
        <v/>
      </c>
      <c r="AN57" s="116">
        <f>(P57-AH57)+AK57</f>
        <v/>
      </c>
      <c r="AO57" s="116">
        <f>(Q57-AI57)+AL57</f>
        <v/>
      </c>
      <c r="AP57" s="93">
        <f>IF(AM57&gt;0, "Under",IF(AM57&lt;0,"Over",""))</f>
        <v/>
      </c>
      <c r="AQ57" s="94">
        <f>IF(AN57&gt;0, "Under",IF(AN57&lt;0,"Over",""))</f>
        <v/>
      </c>
      <c r="AR57" s="94">
        <f>IF(AO57&gt;0, "Under",IF(AO57&lt;0,"Over",""))</f>
        <v/>
      </c>
      <c r="AS57" s="3" t="n"/>
    </row>
    <row r="58">
      <c r="A58" t="inlineStr">
        <is>
          <t>0-4418</t>
        </is>
      </c>
      <c r="B58" t="inlineStr">
        <is>
          <t>0-4418 - Electrical QAQC</t>
        </is>
      </c>
      <c r="C58" s="113" t="n">
        <v>0</v>
      </c>
      <c r="D58" s="114" t="n">
        <v>0</v>
      </c>
      <c r="E58" s="114" t="n">
        <v>0</v>
      </c>
      <c r="F58" s="113" t="n">
        <v>0</v>
      </c>
      <c r="G58" s="114" t="n">
        <v>108.6131645569694</v>
      </c>
      <c r="H58" s="114" t="n">
        <v>0</v>
      </c>
      <c r="I58" s="113" t="n">
        <v>0</v>
      </c>
      <c r="J58" s="114" t="n">
        <v>0</v>
      </c>
      <c r="K58" s="114" t="n">
        <v>0</v>
      </c>
      <c r="L58" s="113" t="n">
        <v>0</v>
      </c>
      <c r="M58" s="114" t="n">
        <v>0</v>
      </c>
      <c r="N58" s="114" t="n">
        <v>0</v>
      </c>
      <c r="O58" s="113">
        <f>L58+I58+F58+C58</f>
        <v/>
      </c>
      <c r="P58" s="114">
        <f>M58+J58+G58+D58</f>
        <v/>
      </c>
      <c r="Q58" s="114">
        <f>N58+K58+H58+E58</f>
        <v/>
      </c>
      <c r="R58" s="113">
        <f>SUMIFS('PO Log'!$E:$E,'PO Log'!$D:$D,'Category Table'!R$2,'PO Log'!$C:$C,'Category Table'!$A58)</f>
        <v/>
      </c>
      <c r="S58" s="114">
        <f>SUMIFS('PO Log'!$E:$E,'PO Log'!$D:$D,'Category Table'!S$2,'PO Log'!$C:$C,'Category Table'!$A58)</f>
        <v/>
      </c>
      <c r="T58" s="114">
        <f>SUMIFS('PO Log'!$E:$E,'PO Log'!$D:$D,'Category Table'!T$2,'PO Log'!$C:$C,'Category Table'!$A58)</f>
        <v/>
      </c>
      <c r="U58" s="113">
        <f>SUMIFS('Committments Dump'!$Q:$Q,'Committments Dump'!$C:$C,'Category Table'!U$2,'Committments Dump'!$B:$B,'Category Table'!$A58)</f>
        <v/>
      </c>
      <c r="V58" s="114">
        <f>SUMIFS('Committments Dump'!$Q:$Q,'Committments Dump'!$C:$C,'Category Table'!V$2,'Committments Dump'!$B:$B,'Category Table'!$A58)</f>
        <v/>
      </c>
      <c r="W58" s="114">
        <f>SUMIFS('Committments Dump'!$Q:$Q,'Committments Dump'!$C:$C,'Category Table'!W$2,'Committments Dump'!$B:$B,'Category Table'!$A58)</f>
        <v/>
      </c>
      <c r="X58" s="113">
        <f>SUMIFS('Committments Dump'!$R:$R,'Committments Dump'!$C:$C,'Category Table'!X$2,'Committments Dump'!$B:$B,'Category Table'!$A58)</f>
        <v/>
      </c>
      <c r="Y58" s="114">
        <f>SUMIFS('Committments Dump'!$R:$R,'Committments Dump'!$C:$C,'Category Table'!Y$2,'Committments Dump'!$B:$B,'Category Table'!$A58)</f>
        <v/>
      </c>
      <c r="Z58" s="114">
        <f>SUMIFS('Committments Dump'!$R:$R,'Committments Dump'!$C:$C,'Category Table'!Z$2,'Committments Dump'!$B:$B,'Category Table'!$A58)</f>
        <v/>
      </c>
      <c r="AA58" s="113">
        <f>SUMIFS('Committments Dump'!$S:$S,'Committments Dump'!$C:$C,'Category Table'!AA$2,'Committments Dump'!$B:$B,'Category Table'!$A58)</f>
        <v/>
      </c>
      <c r="AB58" s="114">
        <f>SUMIFS('Committments Dump'!$S:$S,'Committments Dump'!$C:$C,'Category Table'!AB$2,'Committments Dump'!$B:$B,'Category Table'!$A58)</f>
        <v/>
      </c>
      <c r="AC58" s="114">
        <f>SUMIFS('Committments Dump'!$S:$S,'Committments Dump'!$C:$C,'Category Table'!AC$2,'Committments Dump'!$B:$B,'Category Table'!$A58)</f>
        <v/>
      </c>
      <c r="AD58" s="113">
        <f>U58+X58+AA58</f>
        <v/>
      </c>
      <c r="AE58" s="114">
        <f>V58+Y58+AB58</f>
        <v/>
      </c>
      <c r="AF58" s="114">
        <f>W58+Z58+AC58</f>
        <v/>
      </c>
      <c r="AG58" s="113">
        <f>R58+AD58</f>
        <v/>
      </c>
      <c r="AH58" s="114">
        <f>S58+AE58</f>
        <v/>
      </c>
      <c r="AI58" s="114">
        <f>T58+AF58</f>
        <v/>
      </c>
      <c r="AJ58" s="113" t="n"/>
      <c r="AK58" s="114" t="n"/>
      <c r="AL58" s="114" t="n"/>
      <c r="AM58" s="113">
        <f>(O58-AG58)+AJ58</f>
        <v/>
      </c>
      <c r="AN58" s="114">
        <f>(P58-AH58)+AK58</f>
        <v/>
      </c>
      <c r="AO58" s="114">
        <f>(Q58-AI58)+AL58</f>
        <v/>
      </c>
      <c r="AP58" s="2">
        <f>IF(AM58&gt;0, "Under",IF(AM58&lt;0,"Over",""))</f>
        <v/>
      </c>
      <c r="AQ58" s="1">
        <f>IF(AN58&gt;0, "Under",IF(AN58&lt;0,"Over",""))</f>
        <v/>
      </c>
      <c r="AR58" s="1">
        <f>IF(AO58&gt;0, "Under",IF(AO58&lt;0,"Over",""))</f>
        <v/>
      </c>
      <c r="AS58" s="3" t="n"/>
    </row>
    <row r="59">
      <c r="A59" s="90" t="inlineStr">
        <is>
          <t>0-4420</t>
        </is>
      </c>
      <c r="B59" s="90" t="inlineStr">
        <is>
          <t>0-4420-Electrical DC Punch List</t>
        </is>
      </c>
      <c r="C59" s="115" t="n">
        <v>0</v>
      </c>
      <c r="D59" s="116" t="n">
        <v>0</v>
      </c>
      <c r="E59" s="116" t="n">
        <v>0</v>
      </c>
      <c r="F59" s="115" t="n">
        <v>0</v>
      </c>
      <c r="G59" s="116" t="n"/>
      <c r="H59" s="116" t="n">
        <v>0</v>
      </c>
      <c r="I59" s="115" t="n">
        <v>0</v>
      </c>
      <c r="J59" s="116" t="n">
        <v>0</v>
      </c>
      <c r="K59" s="116" t="n">
        <v>0</v>
      </c>
      <c r="L59" s="115" t="n">
        <v>0</v>
      </c>
      <c r="M59" s="116" t="n">
        <v>0</v>
      </c>
      <c r="N59" s="116" t="n">
        <v>0</v>
      </c>
      <c r="O59" s="115">
        <f>L59+I59+F59+C59</f>
        <v/>
      </c>
      <c r="P59" s="116">
        <f>M59+J59+G59+D59</f>
        <v/>
      </c>
      <c r="Q59" s="116">
        <f>N59+K59+H59+E59</f>
        <v/>
      </c>
      <c r="R59" s="115">
        <f>SUMIFS('PO Log'!$E:$E,'PO Log'!$D:$D,'Category Table'!R$2,'PO Log'!$C:$C,'Category Table'!$A59)</f>
        <v/>
      </c>
      <c r="S59" s="116">
        <f>SUMIFS('PO Log'!$E:$E,'PO Log'!$D:$D,'Category Table'!S$2,'PO Log'!$C:$C,'Category Table'!$A59)</f>
        <v/>
      </c>
      <c r="T59" s="116">
        <f>SUMIFS('PO Log'!$E:$E,'PO Log'!$D:$D,'Category Table'!T$2,'PO Log'!$C:$C,'Category Table'!$A59)</f>
        <v/>
      </c>
      <c r="U59" s="115">
        <f>SUMIFS('Committments Dump'!$Q:$Q,'Committments Dump'!$C:$C,'Category Table'!U$2,'Committments Dump'!$B:$B,'Category Table'!$A59)</f>
        <v/>
      </c>
      <c r="V59" s="116">
        <f>SUMIFS('Committments Dump'!$Q:$Q,'Committments Dump'!$C:$C,'Category Table'!V$2,'Committments Dump'!$B:$B,'Category Table'!$A59)</f>
        <v/>
      </c>
      <c r="W59" s="116">
        <f>SUMIFS('Committments Dump'!$Q:$Q,'Committments Dump'!$C:$C,'Category Table'!W$2,'Committments Dump'!$B:$B,'Category Table'!$A59)</f>
        <v/>
      </c>
      <c r="X59" s="115">
        <f>SUMIFS('Committments Dump'!$R:$R,'Committments Dump'!$C:$C,'Category Table'!X$2,'Committments Dump'!$B:$B,'Category Table'!$A59)</f>
        <v/>
      </c>
      <c r="Y59" s="116">
        <f>SUMIFS('Committments Dump'!$R:$R,'Committments Dump'!$C:$C,'Category Table'!Y$2,'Committments Dump'!$B:$B,'Category Table'!$A59)</f>
        <v/>
      </c>
      <c r="Z59" s="116">
        <f>SUMIFS('Committments Dump'!$R:$R,'Committments Dump'!$C:$C,'Category Table'!Z$2,'Committments Dump'!$B:$B,'Category Table'!$A59)</f>
        <v/>
      </c>
      <c r="AA59" s="115">
        <f>SUMIFS('Committments Dump'!$S:$S,'Committments Dump'!$C:$C,'Category Table'!AA$2,'Committments Dump'!$B:$B,'Category Table'!$A59)</f>
        <v/>
      </c>
      <c r="AB59" s="116">
        <f>SUMIFS('Committments Dump'!$S:$S,'Committments Dump'!$C:$C,'Category Table'!AB$2,'Committments Dump'!$B:$B,'Category Table'!$A59)</f>
        <v/>
      </c>
      <c r="AC59" s="116">
        <f>SUMIFS('Committments Dump'!$S:$S,'Committments Dump'!$C:$C,'Category Table'!AC$2,'Committments Dump'!$B:$B,'Category Table'!$A59)</f>
        <v/>
      </c>
      <c r="AD59" s="115">
        <f>U59+X59+AA59</f>
        <v/>
      </c>
      <c r="AE59" s="116">
        <f>V59+Y59+AB59</f>
        <v/>
      </c>
      <c r="AF59" s="116">
        <f>W59+Z59+AC59</f>
        <v/>
      </c>
      <c r="AG59" s="115">
        <f>R59+AD59</f>
        <v/>
      </c>
      <c r="AH59" s="116">
        <f>S59+AE59</f>
        <v/>
      </c>
      <c r="AI59" s="116">
        <f>T59+AF59</f>
        <v/>
      </c>
      <c r="AJ59" s="115" t="n"/>
      <c r="AK59" s="116" t="n"/>
      <c r="AL59" s="116" t="n"/>
      <c r="AM59" s="115">
        <f>(O59-AG59)+AJ59</f>
        <v/>
      </c>
      <c r="AN59" s="116">
        <f>(P59-AH59)+AK59</f>
        <v/>
      </c>
      <c r="AO59" s="116">
        <f>(Q59-AI59)+AL59</f>
        <v/>
      </c>
      <c r="AP59" s="93">
        <f>IF(AM59&gt;0, "Under",IF(AM59&lt;0,"Over",""))</f>
        <v/>
      </c>
      <c r="AQ59" s="94">
        <f>IF(AN59&gt;0, "Under",IF(AN59&lt;0,"Over",""))</f>
        <v/>
      </c>
      <c r="AR59" s="94">
        <f>IF(AO59&gt;0, "Under",IF(AO59&lt;0,"Over",""))</f>
        <v/>
      </c>
      <c r="AS59" s="3" t="n"/>
    </row>
    <row r="60">
      <c r="A60" t="inlineStr">
        <is>
          <t>0-4500</t>
        </is>
      </c>
      <c r="B60" t="inlineStr">
        <is>
          <t>0-4500-AC-MV Plowing</t>
        </is>
      </c>
      <c r="C60" s="113" t="n">
        <v>0</v>
      </c>
      <c r="D60" s="114" t="n">
        <v>0</v>
      </c>
      <c r="E60" s="114" t="n">
        <v>0</v>
      </c>
      <c r="F60" s="113" t="n">
        <v>0</v>
      </c>
      <c r="G60" s="114" t="n"/>
      <c r="H60" s="114" t="n">
        <v>147627.24</v>
      </c>
      <c r="I60" s="113" t="n">
        <v>0</v>
      </c>
      <c r="J60" s="114" t="n">
        <v>0</v>
      </c>
      <c r="K60" s="114" t="n">
        <v>0</v>
      </c>
      <c r="L60" s="113" t="n">
        <v>0</v>
      </c>
      <c r="M60" s="114" t="n">
        <v>0</v>
      </c>
      <c r="N60" s="114" t="n">
        <v>0</v>
      </c>
      <c r="O60" s="113">
        <f>L60+I60+F60+C60</f>
        <v/>
      </c>
      <c r="P60" s="114">
        <f>M60+J60+G60+D60</f>
        <v/>
      </c>
      <c r="Q60" s="114">
        <f>N60+K60+H60+E60</f>
        <v/>
      </c>
      <c r="R60" s="113">
        <f>SUMIFS('PO Log'!$E:$E,'PO Log'!$D:$D,'Category Table'!R$2,'PO Log'!$C:$C,'Category Table'!$A60)</f>
        <v/>
      </c>
      <c r="S60" s="114">
        <f>SUMIFS('PO Log'!$E:$E,'PO Log'!$D:$D,'Category Table'!S$2,'PO Log'!$C:$C,'Category Table'!$A60)</f>
        <v/>
      </c>
      <c r="T60" s="114">
        <f>SUMIFS('PO Log'!$E:$E,'PO Log'!$D:$D,'Category Table'!T$2,'PO Log'!$C:$C,'Category Table'!$A60)</f>
        <v/>
      </c>
      <c r="U60" s="113">
        <f>SUMIFS('Committments Dump'!$Q:$Q,'Committments Dump'!$C:$C,'Category Table'!U$2,'Committments Dump'!$B:$B,'Category Table'!$A60)</f>
        <v/>
      </c>
      <c r="V60" s="114">
        <f>SUMIFS('Committments Dump'!$Q:$Q,'Committments Dump'!$C:$C,'Category Table'!V$2,'Committments Dump'!$B:$B,'Category Table'!$A60)</f>
        <v/>
      </c>
      <c r="W60" s="114">
        <f>SUMIFS('Committments Dump'!$Q:$Q,'Committments Dump'!$C:$C,'Category Table'!W$2,'Committments Dump'!$B:$B,'Category Table'!$A60)</f>
        <v/>
      </c>
      <c r="X60" s="113">
        <f>SUMIFS('Committments Dump'!$R:$R,'Committments Dump'!$C:$C,'Category Table'!X$2,'Committments Dump'!$B:$B,'Category Table'!$A60)</f>
        <v/>
      </c>
      <c r="Y60" s="114">
        <f>SUMIFS('Committments Dump'!$R:$R,'Committments Dump'!$C:$C,'Category Table'!Y$2,'Committments Dump'!$B:$B,'Category Table'!$A60)</f>
        <v/>
      </c>
      <c r="Z60" s="114">
        <f>SUMIFS('Committments Dump'!$R:$R,'Committments Dump'!$C:$C,'Category Table'!Z$2,'Committments Dump'!$B:$B,'Category Table'!$A60)</f>
        <v/>
      </c>
      <c r="AA60" s="113">
        <f>SUMIFS('Committments Dump'!$S:$S,'Committments Dump'!$C:$C,'Category Table'!AA$2,'Committments Dump'!$B:$B,'Category Table'!$A60)</f>
        <v/>
      </c>
      <c r="AB60" s="114">
        <f>SUMIFS('Committments Dump'!$S:$S,'Committments Dump'!$C:$C,'Category Table'!AB$2,'Committments Dump'!$B:$B,'Category Table'!$A60)</f>
        <v/>
      </c>
      <c r="AC60" s="114">
        <f>SUMIFS('Committments Dump'!$S:$S,'Committments Dump'!$C:$C,'Category Table'!AC$2,'Committments Dump'!$B:$B,'Category Table'!$A60)</f>
        <v/>
      </c>
      <c r="AD60" s="113">
        <f>U60+X60+AA60</f>
        <v/>
      </c>
      <c r="AE60" s="114">
        <f>V60+Y60+AB60</f>
        <v/>
      </c>
      <c r="AF60" s="114">
        <f>W60+Z60+AC60</f>
        <v/>
      </c>
      <c r="AG60" s="113">
        <f>R60+AD60</f>
        <v/>
      </c>
      <c r="AH60" s="114">
        <f>S60+AE60</f>
        <v/>
      </c>
      <c r="AI60" s="114">
        <f>T60+AF60</f>
        <v/>
      </c>
      <c r="AJ60" s="113" t="n"/>
      <c r="AK60" s="114" t="n"/>
      <c r="AL60" s="114" t="n"/>
      <c r="AM60" s="113">
        <f>(O60-AG60)+AJ60</f>
        <v/>
      </c>
      <c r="AN60" s="114">
        <f>(P60-AH60)+AK60</f>
        <v/>
      </c>
      <c r="AO60" s="114">
        <f>(Q60-AI60)+AL60</f>
        <v/>
      </c>
      <c r="AP60" s="2">
        <f>IF(AM60&gt;0, "Under",IF(AM60&lt;0,"Over",""))</f>
        <v/>
      </c>
      <c r="AQ60" s="1">
        <f>IF(AN60&gt;0, "Under",IF(AN60&lt;0,"Over",""))</f>
        <v/>
      </c>
      <c r="AR60" s="1">
        <f>IF(AO60&gt;0, "Under",IF(AO60&lt;0,"Over",""))</f>
        <v/>
      </c>
      <c r="AS60" s="3" t="n"/>
    </row>
    <row r="61">
      <c r="A61" s="90" t="inlineStr">
        <is>
          <t>0-4501</t>
        </is>
      </c>
      <c r="B61" s="90" t="inlineStr">
        <is>
          <t>0-4501-AC-MV Terminations</t>
        </is>
      </c>
      <c r="C61" s="115" t="n">
        <v>0</v>
      </c>
      <c r="D61" s="116" t="n">
        <v>0</v>
      </c>
      <c r="E61" s="116" t="n">
        <v>0</v>
      </c>
      <c r="F61" s="115" t="n">
        <v>0</v>
      </c>
      <c r="G61" s="116" t="n">
        <v>0</v>
      </c>
      <c r="H61" s="116" t="n">
        <v>0</v>
      </c>
      <c r="I61" s="115" t="n">
        <v>0</v>
      </c>
      <c r="J61" s="116" t="n">
        <v>0</v>
      </c>
      <c r="K61" s="116" t="n">
        <v>0</v>
      </c>
      <c r="L61" s="115" t="n">
        <v>0</v>
      </c>
      <c r="M61" s="116" t="n">
        <v>0</v>
      </c>
      <c r="N61" s="116" t="n">
        <v>0</v>
      </c>
      <c r="O61" s="115">
        <f>L61+I61+F61+C61</f>
        <v/>
      </c>
      <c r="P61" s="116">
        <f>M61+J61+G61+D61</f>
        <v/>
      </c>
      <c r="Q61" s="116">
        <f>N61+K61+H61+E61</f>
        <v/>
      </c>
      <c r="R61" s="115">
        <f>SUMIFS('PO Log'!$E:$E,'PO Log'!$D:$D,'Category Table'!R$2,'PO Log'!$C:$C,'Category Table'!$A61)</f>
        <v/>
      </c>
      <c r="S61" s="116">
        <f>SUMIFS('PO Log'!$E:$E,'PO Log'!$D:$D,'Category Table'!S$2,'PO Log'!$C:$C,'Category Table'!$A61)</f>
        <v/>
      </c>
      <c r="T61" s="116">
        <f>SUMIFS('PO Log'!$E:$E,'PO Log'!$D:$D,'Category Table'!T$2,'PO Log'!$C:$C,'Category Table'!$A61)</f>
        <v/>
      </c>
      <c r="U61" s="115">
        <f>SUMIFS('Committments Dump'!$Q:$Q,'Committments Dump'!$C:$C,'Category Table'!U$2,'Committments Dump'!$B:$B,'Category Table'!$A61)</f>
        <v/>
      </c>
      <c r="V61" s="116">
        <f>SUMIFS('Committments Dump'!$Q:$Q,'Committments Dump'!$C:$C,'Category Table'!V$2,'Committments Dump'!$B:$B,'Category Table'!$A61)</f>
        <v/>
      </c>
      <c r="W61" s="116">
        <f>SUMIFS('Committments Dump'!$Q:$Q,'Committments Dump'!$C:$C,'Category Table'!W$2,'Committments Dump'!$B:$B,'Category Table'!$A61)</f>
        <v/>
      </c>
      <c r="X61" s="115">
        <f>SUMIFS('Committments Dump'!$R:$R,'Committments Dump'!$C:$C,'Category Table'!X$2,'Committments Dump'!$B:$B,'Category Table'!$A61)</f>
        <v/>
      </c>
      <c r="Y61" s="116">
        <f>SUMIFS('Committments Dump'!$R:$R,'Committments Dump'!$C:$C,'Category Table'!Y$2,'Committments Dump'!$B:$B,'Category Table'!$A61)</f>
        <v/>
      </c>
      <c r="Z61" s="116">
        <f>SUMIFS('Committments Dump'!$R:$R,'Committments Dump'!$C:$C,'Category Table'!Z$2,'Committments Dump'!$B:$B,'Category Table'!$A61)</f>
        <v/>
      </c>
      <c r="AA61" s="115">
        <f>SUMIFS('Committments Dump'!$S:$S,'Committments Dump'!$C:$C,'Category Table'!AA$2,'Committments Dump'!$B:$B,'Category Table'!$A61)</f>
        <v/>
      </c>
      <c r="AB61" s="116">
        <f>SUMIFS('Committments Dump'!$S:$S,'Committments Dump'!$C:$C,'Category Table'!AB$2,'Committments Dump'!$B:$B,'Category Table'!$A61)</f>
        <v/>
      </c>
      <c r="AC61" s="116">
        <f>SUMIFS('Committments Dump'!$S:$S,'Committments Dump'!$C:$C,'Category Table'!AC$2,'Committments Dump'!$B:$B,'Category Table'!$A61)</f>
        <v/>
      </c>
      <c r="AD61" s="115">
        <f>U61+X61+AA61</f>
        <v/>
      </c>
      <c r="AE61" s="116">
        <f>V61+Y61+AB61</f>
        <v/>
      </c>
      <c r="AF61" s="116">
        <f>W61+Z61+AC61</f>
        <v/>
      </c>
      <c r="AG61" s="115">
        <f>R61+AD61</f>
        <v/>
      </c>
      <c r="AH61" s="116">
        <f>S61+AE61</f>
        <v/>
      </c>
      <c r="AI61" s="116">
        <f>T61+AF61</f>
        <v/>
      </c>
      <c r="AJ61" s="115" t="n"/>
      <c r="AK61" s="116" t="n"/>
      <c r="AL61" s="116" t="n"/>
      <c r="AM61" s="115">
        <f>(O61-AG61)+AJ61</f>
        <v/>
      </c>
      <c r="AN61" s="116">
        <f>(P61-AH61)+AK61</f>
        <v/>
      </c>
      <c r="AO61" s="116">
        <f>(Q61-AI61)+AL61</f>
        <v/>
      </c>
      <c r="AP61" s="93">
        <f>IF(AM61&gt;0, "Under",IF(AM61&lt;0,"Over",""))</f>
        <v/>
      </c>
      <c r="AQ61" s="94">
        <f>IF(AN61&gt;0, "Under",IF(AN61&lt;0,"Over",""))</f>
        <v/>
      </c>
      <c r="AR61" s="94">
        <f>IF(AO61&gt;0, "Under",IF(AO61&lt;0,"Over",""))</f>
        <v/>
      </c>
      <c r="AS61" s="3" t="n"/>
    </row>
    <row r="62">
      <c r="A62" t="inlineStr">
        <is>
          <t>0-4502</t>
        </is>
      </c>
      <c r="B62" t="inlineStr">
        <is>
          <t>0-4502-AC-MV Splices</t>
        </is>
      </c>
      <c r="C62" s="113" t="n">
        <v>0</v>
      </c>
      <c r="D62" s="114" t="n">
        <v>0</v>
      </c>
      <c r="E62" s="114" t="n">
        <v>0</v>
      </c>
      <c r="F62" s="113" t="n">
        <v>0</v>
      </c>
      <c r="G62" s="114" t="n">
        <v>0</v>
      </c>
      <c r="H62" s="114" t="n">
        <v>0</v>
      </c>
      <c r="I62" s="113" t="n">
        <v>0</v>
      </c>
      <c r="J62" s="114" t="n">
        <v>0</v>
      </c>
      <c r="K62" s="114" t="n">
        <v>0</v>
      </c>
      <c r="L62" s="113" t="n">
        <v>0</v>
      </c>
      <c r="M62" s="114" t="n">
        <v>0</v>
      </c>
      <c r="N62" s="114" t="n">
        <v>0</v>
      </c>
      <c r="O62" s="113">
        <f>L62+I62+F62+C62</f>
        <v/>
      </c>
      <c r="P62" s="114">
        <f>M62+J62+G62+D62</f>
        <v/>
      </c>
      <c r="Q62" s="114">
        <f>N62+K62+H62+E62</f>
        <v/>
      </c>
      <c r="R62" s="113">
        <f>SUMIFS('PO Log'!$E:$E,'PO Log'!$D:$D,'Category Table'!R$2,'PO Log'!$C:$C,'Category Table'!$A62)</f>
        <v/>
      </c>
      <c r="S62" s="114">
        <f>SUMIFS('PO Log'!$E:$E,'PO Log'!$D:$D,'Category Table'!S$2,'PO Log'!$C:$C,'Category Table'!$A62)</f>
        <v/>
      </c>
      <c r="T62" s="114">
        <f>SUMIFS('PO Log'!$E:$E,'PO Log'!$D:$D,'Category Table'!T$2,'PO Log'!$C:$C,'Category Table'!$A62)</f>
        <v/>
      </c>
      <c r="U62" s="113">
        <f>SUMIFS('Committments Dump'!$Q:$Q,'Committments Dump'!$C:$C,'Category Table'!U$2,'Committments Dump'!$B:$B,'Category Table'!$A62)</f>
        <v/>
      </c>
      <c r="V62" s="114">
        <f>SUMIFS('Committments Dump'!$Q:$Q,'Committments Dump'!$C:$C,'Category Table'!V$2,'Committments Dump'!$B:$B,'Category Table'!$A62)</f>
        <v/>
      </c>
      <c r="W62" s="114">
        <f>SUMIFS('Committments Dump'!$Q:$Q,'Committments Dump'!$C:$C,'Category Table'!W$2,'Committments Dump'!$B:$B,'Category Table'!$A62)</f>
        <v/>
      </c>
      <c r="X62" s="113">
        <f>SUMIFS('Committments Dump'!$R:$R,'Committments Dump'!$C:$C,'Category Table'!X$2,'Committments Dump'!$B:$B,'Category Table'!$A62)</f>
        <v/>
      </c>
      <c r="Y62" s="114">
        <f>SUMIFS('Committments Dump'!$R:$R,'Committments Dump'!$C:$C,'Category Table'!Y$2,'Committments Dump'!$B:$B,'Category Table'!$A62)</f>
        <v/>
      </c>
      <c r="Z62" s="114">
        <f>SUMIFS('Committments Dump'!$R:$R,'Committments Dump'!$C:$C,'Category Table'!Z$2,'Committments Dump'!$B:$B,'Category Table'!$A62)</f>
        <v/>
      </c>
      <c r="AA62" s="113">
        <f>SUMIFS('Committments Dump'!$S:$S,'Committments Dump'!$C:$C,'Category Table'!AA$2,'Committments Dump'!$B:$B,'Category Table'!$A62)</f>
        <v/>
      </c>
      <c r="AB62" s="114">
        <f>SUMIFS('Committments Dump'!$S:$S,'Committments Dump'!$C:$C,'Category Table'!AB$2,'Committments Dump'!$B:$B,'Category Table'!$A62)</f>
        <v/>
      </c>
      <c r="AC62" s="114">
        <f>SUMIFS('Committments Dump'!$S:$S,'Committments Dump'!$C:$C,'Category Table'!AC$2,'Committments Dump'!$B:$B,'Category Table'!$A62)</f>
        <v/>
      </c>
      <c r="AD62" s="113">
        <f>U62+X62+AA62</f>
        <v/>
      </c>
      <c r="AE62" s="114">
        <f>V62+Y62+AB62</f>
        <v/>
      </c>
      <c r="AF62" s="114">
        <f>W62+Z62+AC62</f>
        <v/>
      </c>
      <c r="AG62" s="113">
        <f>R62+AD62</f>
        <v/>
      </c>
      <c r="AH62" s="114">
        <f>S62+AE62</f>
        <v/>
      </c>
      <c r="AI62" s="114">
        <f>T62+AF62</f>
        <v/>
      </c>
      <c r="AJ62" s="113" t="n"/>
      <c r="AK62" s="114" t="n"/>
      <c r="AL62" s="114" t="n"/>
      <c r="AM62" s="113">
        <f>(O62-AG62)+AJ62</f>
        <v/>
      </c>
      <c r="AN62" s="114">
        <f>(P62-AH62)+AK62</f>
        <v/>
      </c>
      <c r="AO62" s="114">
        <f>(Q62-AI62)+AL62</f>
        <v/>
      </c>
      <c r="AP62" s="2">
        <f>IF(AM62&gt;0, "Under",IF(AM62&lt;0,"Over",""))</f>
        <v/>
      </c>
      <c r="AQ62" s="1">
        <f>IF(AN62&gt;0, "Under",IF(AN62&lt;0,"Over",""))</f>
        <v/>
      </c>
      <c r="AR62" s="1">
        <f>IF(AO62&gt;0, "Under",IF(AO62&lt;0,"Over",""))</f>
        <v/>
      </c>
      <c r="AS62" s="3" t="n"/>
    </row>
    <row r="63">
      <c r="A63" s="90" t="inlineStr">
        <is>
          <t>0-4503</t>
        </is>
      </c>
      <c r="B63" s="90" t="inlineStr">
        <is>
          <t>0-4503-AC-MV Cable Tie-ins</t>
        </is>
      </c>
      <c r="C63" s="115" t="n">
        <v>0</v>
      </c>
      <c r="D63" s="116" t="n">
        <v>0</v>
      </c>
      <c r="E63" s="116" t="n">
        <v>0</v>
      </c>
      <c r="F63" s="115" t="n">
        <v>0</v>
      </c>
      <c r="G63" s="116" t="n">
        <v>0</v>
      </c>
      <c r="H63" s="116" t="n">
        <v>2877.540000000037</v>
      </c>
      <c r="I63" s="115" t="n">
        <v>0</v>
      </c>
      <c r="J63" s="116" t="n">
        <v>0</v>
      </c>
      <c r="K63" s="116" t="n">
        <v>0</v>
      </c>
      <c r="L63" s="115" t="n">
        <v>0</v>
      </c>
      <c r="M63" s="116" t="n">
        <v>0</v>
      </c>
      <c r="N63" s="116" t="n">
        <v>0</v>
      </c>
      <c r="O63" s="115">
        <f>L63+I63+F63+C63</f>
        <v/>
      </c>
      <c r="P63" s="116">
        <f>M63+J63+G63+D63</f>
        <v/>
      </c>
      <c r="Q63" s="116">
        <f>N63+K63+H63+E63</f>
        <v/>
      </c>
      <c r="R63" s="115">
        <f>SUMIFS('PO Log'!$E:$E,'PO Log'!$D:$D,'Category Table'!R$2,'PO Log'!$C:$C,'Category Table'!$A63)</f>
        <v/>
      </c>
      <c r="S63" s="116">
        <f>SUMIFS('PO Log'!$E:$E,'PO Log'!$D:$D,'Category Table'!S$2,'PO Log'!$C:$C,'Category Table'!$A63)</f>
        <v/>
      </c>
      <c r="T63" s="116">
        <f>SUMIFS('PO Log'!$E:$E,'PO Log'!$D:$D,'Category Table'!T$2,'PO Log'!$C:$C,'Category Table'!$A63)</f>
        <v/>
      </c>
      <c r="U63" s="115">
        <f>SUMIFS('Committments Dump'!$Q:$Q,'Committments Dump'!$C:$C,'Category Table'!U$2,'Committments Dump'!$B:$B,'Category Table'!$A63)</f>
        <v/>
      </c>
      <c r="V63" s="116">
        <f>SUMIFS('Committments Dump'!$Q:$Q,'Committments Dump'!$C:$C,'Category Table'!V$2,'Committments Dump'!$B:$B,'Category Table'!$A63)</f>
        <v/>
      </c>
      <c r="W63" s="116">
        <f>SUMIFS('Committments Dump'!$Q:$Q,'Committments Dump'!$C:$C,'Category Table'!W$2,'Committments Dump'!$B:$B,'Category Table'!$A63)</f>
        <v/>
      </c>
      <c r="X63" s="115">
        <f>SUMIFS('Committments Dump'!$R:$R,'Committments Dump'!$C:$C,'Category Table'!X$2,'Committments Dump'!$B:$B,'Category Table'!$A63)</f>
        <v/>
      </c>
      <c r="Y63" s="116">
        <f>SUMIFS('Committments Dump'!$R:$R,'Committments Dump'!$C:$C,'Category Table'!Y$2,'Committments Dump'!$B:$B,'Category Table'!$A63)</f>
        <v/>
      </c>
      <c r="Z63" s="116">
        <f>SUMIFS('Committments Dump'!$R:$R,'Committments Dump'!$C:$C,'Category Table'!Z$2,'Committments Dump'!$B:$B,'Category Table'!$A63)</f>
        <v/>
      </c>
      <c r="AA63" s="115">
        <f>SUMIFS('Committments Dump'!$S:$S,'Committments Dump'!$C:$C,'Category Table'!AA$2,'Committments Dump'!$B:$B,'Category Table'!$A63)</f>
        <v/>
      </c>
      <c r="AB63" s="116">
        <f>SUMIFS('Committments Dump'!$S:$S,'Committments Dump'!$C:$C,'Category Table'!AB$2,'Committments Dump'!$B:$B,'Category Table'!$A63)</f>
        <v/>
      </c>
      <c r="AC63" s="116">
        <f>SUMIFS('Committments Dump'!$S:$S,'Committments Dump'!$C:$C,'Category Table'!AC$2,'Committments Dump'!$B:$B,'Category Table'!$A63)</f>
        <v/>
      </c>
      <c r="AD63" s="115">
        <f>U63+X63+AA63</f>
        <v/>
      </c>
      <c r="AE63" s="116">
        <f>V63+Y63+AB63</f>
        <v/>
      </c>
      <c r="AF63" s="116">
        <f>W63+Z63+AC63</f>
        <v/>
      </c>
      <c r="AG63" s="115">
        <f>R63+AD63</f>
        <v/>
      </c>
      <c r="AH63" s="116">
        <f>S63+AE63</f>
        <v/>
      </c>
      <c r="AI63" s="116">
        <f>T63+AF63</f>
        <v/>
      </c>
      <c r="AJ63" s="115" t="n"/>
      <c r="AK63" s="116" t="n"/>
      <c r="AL63" s="116" t="n"/>
      <c r="AM63" s="115">
        <f>(O63-AG63)+AJ63</f>
        <v/>
      </c>
      <c r="AN63" s="116">
        <f>(P63-AH63)+AK63</f>
        <v/>
      </c>
      <c r="AO63" s="116">
        <f>(Q63-AI63)+AL63</f>
        <v/>
      </c>
      <c r="AP63" s="93">
        <f>IF(AM63&gt;0, "Under",IF(AM63&lt;0,"Over",""))</f>
        <v/>
      </c>
      <c r="AQ63" s="94">
        <f>IF(AN63&gt;0, "Under",IF(AN63&lt;0,"Over",""))</f>
        <v/>
      </c>
      <c r="AR63" s="94">
        <f>IF(AO63&gt;0, "Under",IF(AO63&lt;0,"Over",""))</f>
        <v/>
      </c>
      <c r="AS63" s="3" t="n"/>
    </row>
    <row r="64">
      <c r="A64" t="inlineStr">
        <is>
          <t>0-4505</t>
        </is>
      </c>
      <c r="B64" t="inlineStr">
        <is>
          <t>0-4505-AC-MV Boring</t>
        </is>
      </c>
      <c r="C64" s="113" t="n">
        <v>0</v>
      </c>
      <c r="D64" s="114" t="n">
        <v>0</v>
      </c>
      <c r="E64" s="114" t="n">
        <v>0</v>
      </c>
      <c r="F64" s="113" t="n">
        <v>22500</v>
      </c>
      <c r="G64" s="114" t="n">
        <v>200836.63</v>
      </c>
      <c r="H64" s="114" t="n">
        <v>1735000</v>
      </c>
      <c r="I64" s="113" t="n">
        <v>0</v>
      </c>
      <c r="J64" s="114" t="n">
        <v>0</v>
      </c>
      <c r="K64" s="114" t="n">
        <v>0</v>
      </c>
      <c r="L64" s="113" t="n">
        <v>0</v>
      </c>
      <c r="M64" s="114" t="n">
        <v>0</v>
      </c>
      <c r="N64" s="114" t="n">
        <v>0</v>
      </c>
      <c r="O64" s="113">
        <f>L64+I64+F64+C64</f>
        <v/>
      </c>
      <c r="P64" s="114">
        <f>M64+J64+G64+D64</f>
        <v/>
      </c>
      <c r="Q64" s="114">
        <f>N64+K64+H64+E64</f>
        <v/>
      </c>
      <c r="R64" s="113">
        <f>SUMIFS('PO Log'!$E:$E,'PO Log'!$D:$D,'Category Table'!R$2,'PO Log'!$C:$C,'Category Table'!$A64)</f>
        <v/>
      </c>
      <c r="S64" s="114">
        <f>SUMIFS('PO Log'!$E:$E,'PO Log'!$D:$D,'Category Table'!S$2,'PO Log'!$C:$C,'Category Table'!$A64)</f>
        <v/>
      </c>
      <c r="T64" s="114">
        <f>SUMIFS('PO Log'!$E:$E,'PO Log'!$D:$D,'Category Table'!T$2,'PO Log'!$C:$C,'Category Table'!$A64)</f>
        <v/>
      </c>
      <c r="U64" s="113">
        <f>SUMIFS('Committments Dump'!$Q:$Q,'Committments Dump'!$C:$C,'Category Table'!U$2,'Committments Dump'!$B:$B,'Category Table'!$A64)</f>
        <v/>
      </c>
      <c r="V64" s="114">
        <f>SUMIFS('Committments Dump'!$Q:$Q,'Committments Dump'!$C:$C,'Category Table'!V$2,'Committments Dump'!$B:$B,'Category Table'!$A64)</f>
        <v/>
      </c>
      <c r="W64" s="114">
        <f>SUMIFS('Committments Dump'!$Q:$Q,'Committments Dump'!$C:$C,'Category Table'!W$2,'Committments Dump'!$B:$B,'Category Table'!$A64)</f>
        <v/>
      </c>
      <c r="X64" s="113">
        <f>SUMIFS('Committments Dump'!$R:$R,'Committments Dump'!$C:$C,'Category Table'!X$2,'Committments Dump'!$B:$B,'Category Table'!$A64)</f>
        <v/>
      </c>
      <c r="Y64" s="114">
        <f>SUMIFS('Committments Dump'!$R:$R,'Committments Dump'!$C:$C,'Category Table'!Y$2,'Committments Dump'!$B:$B,'Category Table'!$A64)</f>
        <v/>
      </c>
      <c r="Z64" s="114">
        <f>SUMIFS('Committments Dump'!$R:$R,'Committments Dump'!$C:$C,'Category Table'!Z$2,'Committments Dump'!$B:$B,'Category Table'!$A64)</f>
        <v/>
      </c>
      <c r="AA64" s="113">
        <f>SUMIFS('Committments Dump'!$S:$S,'Committments Dump'!$C:$C,'Category Table'!AA$2,'Committments Dump'!$B:$B,'Category Table'!$A64)</f>
        <v/>
      </c>
      <c r="AB64" s="114">
        <f>SUMIFS('Committments Dump'!$S:$S,'Committments Dump'!$C:$C,'Category Table'!AB$2,'Committments Dump'!$B:$B,'Category Table'!$A64)</f>
        <v/>
      </c>
      <c r="AC64" s="114">
        <f>SUMIFS('Committments Dump'!$S:$S,'Committments Dump'!$C:$C,'Category Table'!AC$2,'Committments Dump'!$B:$B,'Category Table'!$A64)</f>
        <v/>
      </c>
      <c r="AD64" s="113">
        <f>U64+X64+AA64</f>
        <v/>
      </c>
      <c r="AE64" s="114">
        <f>V64+Y64+AB64</f>
        <v/>
      </c>
      <c r="AF64" s="114">
        <f>W64+Z64+AC64</f>
        <v/>
      </c>
      <c r="AG64" s="113">
        <f>R64+AD64</f>
        <v/>
      </c>
      <c r="AH64" s="114">
        <f>S64+AE64</f>
        <v/>
      </c>
      <c r="AI64" s="114">
        <f>T64+AF64</f>
        <v/>
      </c>
      <c r="AJ64" s="113" t="n"/>
      <c r="AK64" s="114" t="n"/>
      <c r="AL64" s="114" t="n"/>
      <c r="AM64" s="113">
        <f>(O64-AG64)+AJ64</f>
        <v/>
      </c>
      <c r="AN64" s="114">
        <f>(P64-AH64)+AK64</f>
        <v/>
      </c>
      <c r="AO64" s="114">
        <f>(Q64-AI64)+AL64</f>
        <v/>
      </c>
      <c r="AP64" s="2">
        <f>IF(AM64&gt;0, "Under",IF(AM64&lt;0,"Over",""))</f>
        <v/>
      </c>
      <c r="AQ64" s="1">
        <f>IF(AN64&gt;0, "Under",IF(AN64&lt;0,"Over",""))</f>
        <v/>
      </c>
      <c r="AR64" s="1">
        <f>IF(AO64&gt;0, "Under",IF(AO64&lt;0,"Over",""))</f>
        <v/>
      </c>
      <c r="AS64" s="3" t="n"/>
    </row>
    <row r="65">
      <c r="A65" s="90" t="inlineStr">
        <is>
          <t>0-4508</t>
        </is>
      </c>
      <c r="B65" s="90" t="inlineStr">
        <is>
          <t>0-4508-AC-MV Trenching &amp; BackFill</t>
        </is>
      </c>
      <c r="C65" s="115" t="n">
        <v>0</v>
      </c>
      <c r="D65" s="116" t="n">
        <v>0</v>
      </c>
      <c r="E65" s="116" t="n">
        <v>0</v>
      </c>
      <c r="F65" s="115" t="n">
        <v>0</v>
      </c>
      <c r="G65" s="116" t="n">
        <v>0</v>
      </c>
      <c r="H65" s="116" t="n">
        <v>150000</v>
      </c>
      <c r="I65" s="115" t="n">
        <v>0</v>
      </c>
      <c r="J65" s="116" t="n">
        <v>0</v>
      </c>
      <c r="K65" s="116" t="n">
        <v>0</v>
      </c>
      <c r="L65" s="115" t="n">
        <v>0</v>
      </c>
      <c r="M65" s="116" t="n">
        <v>0</v>
      </c>
      <c r="N65" s="116" t="n">
        <v>0</v>
      </c>
      <c r="O65" s="115">
        <f>L65+I65+F65+C65</f>
        <v/>
      </c>
      <c r="P65" s="116">
        <f>M65+J65+G65+D65</f>
        <v/>
      </c>
      <c r="Q65" s="116">
        <f>N65+K65+H65+E65</f>
        <v/>
      </c>
      <c r="R65" s="115">
        <f>SUMIFS('PO Log'!$E:$E,'PO Log'!$D:$D,'Category Table'!R$2,'PO Log'!$C:$C,'Category Table'!$A65)</f>
        <v/>
      </c>
      <c r="S65" s="116">
        <f>SUMIFS('PO Log'!$E:$E,'PO Log'!$D:$D,'Category Table'!S$2,'PO Log'!$C:$C,'Category Table'!$A65)</f>
        <v/>
      </c>
      <c r="T65" s="116">
        <f>SUMIFS('PO Log'!$E:$E,'PO Log'!$D:$D,'Category Table'!T$2,'PO Log'!$C:$C,'Category Table'!$A65)</f>
        <v/>
      </c>
      <c r="U65" s="115">
        <f>SUMIFS('Committments Dump'!$Q:$Q,'Committments Dump'!$C:$C,'Category Table'!U$2,'Committments Dump'!$B:$B,'Category Table'!$A65)</f>
        <v/>
      </c>
      <c r="V65" s="116">
        <f>SUMIFS('Committments Dump'!$Q:$Q,'Committments Dump'!$C:$C,'Category Table'!V$2,'Committments Dump'!$B:$B,'Category Table'!$A65)</f>
        <v/>
      </c>
      <c r="W65" s="116">
        <f>SUMIFS('Committments Dump'!$Q:$Q,'Committments Dump'!$C:$C,'Category Table'!W$2,'Committments Dump'!$B:$B,'Category Table'!$A65)</f>
        <v/>
      </c>
      <c r="X65" s="115">
        <f>SUMIFS('Committments Dump'!$R:$R,'Committments Dump'!$C:$C,'Category Table'!X$2,'Committments Dump'!$B:$B,'Category Table'!$A65)</f>
        <v/>
      </c>
      <c r="Y65" s="116">
        <f>SUMIFS('Committments Dump'!$R:$R,'Committments Dump'!$C:$C,'Category Table'!Y$2,'Committments Dump'!$B:$B,'Category Table'!$A65)</f>
        <v/>
      </c>
      <c r="Z65" s="116">
        <f>SUMIFS('Committments Dump'!$R:$R,'Committments Dump'!$C:$C,'Category Table'!Z$2,'Committments Dump'!$B:$B,'Category Table'!$A65)</f>
        <v/>
      </c>
      <c r="AA65" s="115">
        <f>SUMIFS('Committments Dump'!$S:$S,'Committments Dump'!$C:$C,'Category Table'!AA$2,'Committments Dump'!$B:$B,'Category Table'!$A65)</f>
        <v/>
      </c>
      <c r="AB65" s="116">
        <f>SUMIFS('Committments Dump'!$S:$S,'Committments Dump'!$C:$C,'Category Table'!AB$2,'Committments Dump'!$B:$B,'Category Table'!$A65)</f>
        <v/>
      </c>
      <c r="AC65" s="116">
        <f>SUMIFS('Committments Dump'!$S:$S,'Committments Dump'!$C:$C,'Category Table'!AC$2,'Committments Dump'!$B:$B,'Category Table'!$A65)</f>
        <v/>
      </c>
      <c r="AD65" s="115">
        <f>U65+X65+AA65</f>
        <v/>
      </c>
      <c r="AE65" s="116">
        <f>V65+Y65+AB65</f>
        <v/>
      </c>
      <c r="AF65" s="116">
        <f>W65+Z65+AC65</f>
        <v/>
      </c>
      <c r="AG65" s="115">
        <f>R65+AD65</f>
        <v/>
      </c>
      <c r="AH65" s="116">
        <f>S65+AE65</f>
        <v/>
      </c>
      <c r="AI65" s="116">
        <f>T65+AF65</f>
        <v/>
      </c>
      <c r="AJ65" s="115" t="n"/>
      <c r="AK65" s="116" t="n"/>
      <c r="AL65" s="116" t="n"/>
      <c r="AM65" s="115">
        <f>(O65-AG65)+AJ65</f>
        <v/>
      </c>
      <c r="AN65" s="116">
        <f>(P65-AH65)+AK65</f>
        <v/>
      </c>
      <c r="AO65" s="116">
        <f>(Q65-AI65)+AL65</f>
        <v/>
      </c>
      <c r="AP65" s="93">
        <f>IF(AM65&gt;0, "Under",IF(AM65&lt;0,"Over",""))</f>
        <v/>
      </c>
      <c r="AQ65" s="94">
        <f>IF(AN65&gt;0, "Under",IF(AN65&lt;0,"Over",""))</f>
        <v/>
      </c>
      <c r="AR65" s="94">
        <f>IF(AO65&gt;0, "Under",IF(AO65&lt;0,"Over",""))</f>
        <v/>
      </c>
      <c r="AS65" s="3" t="n"/>
    </row>
    <row r="66">
      <c r="A66" t="inlineStr">
        <is>
          <t>0-4510</t>
        </is>
      </c>
      <c r="B66" t="inlineStr">
        <is>
          <t>0-4510-AC-MV Cable Pull</t>
        </is>
      </c>
      <c r="C66" s="113" t="n">
        <v>0</v>
      </c>
      <c r="D66" s="114" t="n">
        <v>274.5</v>
      </c>
      <c r="E66" s="114" t="n">
        <v>0</v>
      </c>
      <c r="F66" s="113" t="n">
        <v>0</v>
      </c>
      <c r="G66" s="114" t="n">
        <v>0</v>
      </c>
      <c r="H66" s="114" t="n">
        <v>70000</v>
      </c>
      <c r="I66" s="113" t="n">
        <v>0</v>
      </c>
      <c r="J66" s="114" t="n">
        <v>-304.7</v>
      </c>
      <c r="K66" s="114" t="n">
        <v>54063.48</v>
      </c>
      <c r="L66" s="113" t="n">
        <v>0</v>
      </c>
      <c r="M66" s="114" t="n">
        <v>609.71</v>
      </c>
      <c r="N66" s="114" t="n">
        <v>119487.57</v>
      </c>
      <c r="O66" s="113">
        <f>L66+I66+F66+C66</f>
        <v/>
      </c>
      <c r="P66" s="114">
        <f>M66+J66+G66+D66</f>
        <v/>
      </c>
      <c r="Q66" s="114">
        <f>N66+K66+H66+E66</f>
        <v/>
      </c>
      <c r="R66" s="113">
        <f>SUMIFS('PO Log'!$E:$E,'PO Log'!$D:$D,'Category Table'!R$2,'PO Log'!$C:$C,'Category Table'!$A66)</f>
        <v/>
      </c>
      <c r="S66" s="114">
        <f>SUMIFS('PO Log'!$E:$E,'PO Log'!$D:$D,'Category Table'!S$2,'PO Log'!$C:$C,'Category Table'!$A66)</f>
        <v/>
      </c>
      <c r="T66" s="114">
        <f>SUMIFS('PO Log'!$E:$E,'PO Log'!$D:$D,'Category Table'!T$2,'PO Log'!$C:$C,'Category Table'!$A66)</f>
        <v/>
      </c>
      <c r="U66" s="113">
        <f>SUMIFS('Committments Dump'!$Q:$Q,'Committments Dump'!$C:$C,'Category Table'!U$2,'Committments Dump'!$B:$B,'Category Table'!$A66)</f>
        <v/>
      </c>
      <c r="V66" s="114">
        <f>SUMIFS('Committments Dump'!$Q:$Q,'Committments Dump'!$C:$C,'Category Table'!V$2,'Committments Dump'!$B:$B,'Category Table'!$A66)</f>
        <v/>
      </c>
      <c r="W66" s="114">
        <f>SUMIFS('Committments Dump'!$Q:$Q,'Committments Dump'!$C:$C,'Category Table'!W$2,'Committments Dump'!$B:$B,'Category Table'!$A66)</f>
        <v/>
      </c>
      <c r="X66" s="113">
        <f>SUMIFS('Committments Dump'!$R:$R,'Committments Dump'!$C:$C,'Category Table'!X$2,'Committments Dump'!$B:$B,'Category Table'!$A66)</f>
        <v/>
      </c>
      <c r="Y66" s="114">
        <f>SUMIFS('Committments Dump'!$R:$R,'Committments Dump'!$C:$C,'Category Table'!Y$2,'Committments Dump'!$B:$B,'Category Table'!$A66)</f>
        <v/>
      </c>
      <c r="Z66" s="114">
        <f>SUMIFS('Committments Dump'!$R:$R,'Committments Dump'!$C:$C,'Category Table'!Z$2,'Committments Dump'!$B:$B,'Category Table'!$A66)</f>
        <v/>
      </c>
      <c r="AA66" s="113">
        <f>SUMIFS('Committments Dump'!$S:$S,'Committments Dump'!$C:$C,'Category Table'!AA$2,'Committments Dump'!$B:$B,'Category Table'!$A66)</f>
        <v/>
      </c>
      <c r="AB66" s="114">
        <f>SUMIFS('Committments Dump'!$S:$S,'Committments Dump'!$C:$C,'Category Table'!AB$2,'Committments Dump'!$B:$B,'Category Table'!$A66)</f>
        <v/>
      </c>
      <c r="AC66" s="114">
        <f>SUMIFS('Committments Dump'!$S:$S,'Committments Dump'!$C:$C,'Category Table'!AC$2,'Committments Dump'!$B:$B,'Category Table'!$A66)</f>
        <v/>
      </c>
      <c r="AD66" s="113">
        <f>U66+X66+AA66</f>
        <v/>
      </c>
      <c r="AE66" s="114">
        <f>V66+Y66+AB66</f>
        <v/>
      </c>
      <c r="AF66" s="114">
        <f>W66+Z66+AC66</f>
        <v/>
      </c>
      <c r="AG66" s="113">
        <f>R66+AD66</f>
        <v/>
      </c>
      <c r="AH66" s="114">
        <f>S66+AE66</f>
        <v/>
      </c>
      <c r="AI66" s="114">
        <f>T66+AF66</f>
        <v/>
      </c>
      <c r="AJ66" s="113" t="n"/>
      <c r="AK66" s="114" t="n"/>
      <c r="AL66" s="114" t="n"/>
      <c r="AM66" s="113">
        <f>(O66-AG66)+AJ66</f>
        <v/>
      </c>
      <c r="AN66" s="114">
        <f>(P66-AH66)+AK66</f>
        <v/>
      </c>
      <c r="AO66" s="114">
        <f>(Q66-AI66)+AL66</f>
        <v/>
      </c>
      <c r="AP66" s="2">
        <f>IF(AM66&gt;0, "Under",IF(AM66&lt;0,"Over",""))</f>
        <v/>
      </c>
      <c r="AQ66" s="1">
        <f>IF(AN66&gt;0, "Under",IF(AN66&lt;0,"Over",""))</f>
        <v/>
      </c>
      <c r="AR66" s="1">
        <f>IF(AO66&gt;0, "Under",IF(AO66&lt;0,"Over",""))</f>
        <v/>
      </c>
      <c r="AS66" s="3" t="n"/>
    </row>
    <row r="67">
      <c r="A67" s="90" t="inlineStr">
        <is>
          <t>0-4512</t>
        </is>
      </c>
      <c r="B67" s="90" t="inlineStr">
        <is>
          <t>0-4512-AC Testing</t>
        </is>
      </c>
      <c r="C67" s="115" t="n">
        <v>0</v>
      </c>
      <c r="D67" s="116" t="n">
        <v>0</v>
      </c>
      <c r="E67" s="116" t="n">
        <v>0</v>
      </c>
      <c r="F67" s="115" t="n">
        <v>231000</v>
      </c>
      <c r="G67" s="116" t="n">
        <v>0</v>
      </c>
      <c r="H67" s="116" t="n">
        <v>0</v>
      </c>
      <c r="I67" s="115" t="n">
        <v>0</v>
      </c>
      <c r="J67" s="116" t="n">
        <v>0</v>
      </c>
      <c r="K67" s="116" t="n">
        <v>0</v>
      </c>
      <c r="L67" s="115" t="n">
        <v>0</v>
      </c>
      <c r="M67" s="116" t="n">
        <v>0</v>
      </c>
      <c r="N67" s="116" t="n">
        <v>0</v>
      </c>
      <c r="O67" s="115">
        <f>L67+I67+F67+C67</f>
        <v/>
      </c>
      <c r="P67" s="116">
        <f>M67+J67+G67+D67</f>
        <v/>
      </c>
      <c r="Q67" s="116">
        <f>N67+K67+H67+E67</f>
        <v/>
      </c>
      <c r="R67" s="115">
        <f>SUMIFS('PO Log'!$E:$E,'PO Log'!$D:$D,'Category Table'!R$2,'PO Log'!$C:$C,'Category Table'!$A67)</f>
        <v/>
      </c>
      <c r="S67" s="116">
        <f>SUMIFS('PO Log'!$E:$E,'PO Log'!$D:$D,'Category Table'!S$2,'PO Log'!$C:$C,'Category Table'!$A67)</f>
        <v/>
      </c>
      <c r="T67" s="116">
        <f>SUMIFS('PO Log'!$E:$E,'PO Log'!$D:$D,'Category Table'!T$2,'PO Log'!$C:$C,'Category Table'!$A67)</f>
        <v/>
      </c>
      <c r="U67" s="115">
        <f>SUMIFS('Committments Dump'!$Q:$Q,'Committments Dump'!$C:$C,'Category Table'!U$2,'Committments Dump'!$B:$B,'Category Table'!$A67)</f>
        <v/>
      </c>
      <c r="V67" s="116">
        <f>SUMIFS('Committments Dump'!$Q:$Q,'Committments Dump'!$C:$C,'Category Table'!V$2,'Committments Dump'!$B:$B,'Category Table'!$A67)</f>
        <v/>
      </c>
      <c r="W67" s="116">
        <f>SUMIFS('Committments Dump'!$Q:$Q,'Committments Dump'!$C:$C,'Category Table'!W$2,'Committments Dump'!$B:$B,'Category Table'!$A67)</f>
        <v/>
      </c>
      <c r="X67" s="115">
        <f>SUMIFS('Committments Dump'!$R:$R,'Committments Dump'!$C:$C,'Category Table'!X$2,'Committments Dump'!$B:$B,'Category Table'!$A67)</f>
        <v/>
      </c>
      <c r="Y67" s="116">
        <f>SUMIFS('Committments Dump'!$R:$R,'Committments Dump'!$C:$C,'Category Table'!Y$2,'Committments Dump'!$B:$B,'Category Table'!$A67)</f>
        <v/>
      </c>
      <c r="Z67" s="116">
        <f>SUMIFS('Committments Dump'!$R:$R,'Committments Dump'!$C:$C,'Category Table'!Z$2,'Committments Dump'!$B:$B,'Category Table'!$A67)</f>
        <v/>
      </c>
      <c r="AA67" s="115">
        <f>SUMIFS('Committments Dump'!$S:$S,'Committments Dump'!$C:$C,'Category Table'!AA$2,'Committments Dump'!$B:$B,'Category Table'!$A67)</f>
        <v/>
      </c>
      <c r="AB67" s="116">
        <f>SUMIFS('Committments Dump'!$S:$S,'Committments Dump'!$C:$C,'Category Table'!AB$2,'Committments Dump'!$B:$B,'Category Table'!$A67)</f>
        <v/>
      </c>
      <c r="AC67" s="116">
        <f>SUMIFS('Committments Dump'!$S:$S,'Committments Dump'!$C:$C,'Category Table'!AC$2,'Committments Dump'!$B:$B,'Category Table'!$A67)</f>
        <v/>
      </c>
      <c r="AD67" s="115">
        <f>U67+X67+AA67</f>
        <v/>
      </c>
      <c r="AE67" s="116">
        <f>V67+Y67+AB67</f>
        <v/>
      </c>
      <c r="AF67" s="116">
        <f>W67+Z67+AC67</f>
        <v/>
      </c>
      <c r="AG67" s="115">
        <f>R67+AD67</f>
        <v/>
      </c>
      <c r="AH67" s="116">
        <f>S67+AE67</f>
        <v/>
      </c>
      <c r="AI67" s="116">
        <f>T67+AF67</f>
        <v/>
      </c>
      <c r="AJ67" s="115" t="n"/>
      <c r="AK67" s="116" t="n"/>
      <c r="AL67" s="116" t="n"/>
      <c r="AM67" s="115">
        <f>(O67-AG67)+AJ67</f>
        <v/>
      </c>
      <c r="AN67" s="116">
        <f>(P67-AH67)+AK67</f>
        <v/>
      </c>
      <c r="AO67" s="116">
        <f>(Q67-AI67)+AL67</f>
        <v/>
      </c>
      <c r="AP67" s="93">
        <f>IF(AM67&gt;0, "Under",IF(AM67&lt;0,"Over",""))</f>
        <v/>
      </c>
      <c r="AQ67" s="94">
        <f>IF(AN67&gt;0, "Under",IF(AN67&lt;0,"Over",""))</f>
        <v/>
      </c>
      <c r="AR67" s="94">
        <f>IF(AO67&gt;0, "Under",IF(AO67&lt;0,"Over",""))</f>
        <v/>
      </c>
      <c r="AS67" s="3" t="n"/>
    </row>
    <row r="68">
      <c r="A68" t="inlineStr">
        <is>
          <t>0-4520</t>
        </is>
      </c>
      <c r="B68" t="inlineStr">
        <is>
          <t>0-4520-Electrical MV Punch List</t>
        </is>
      </c>
      <c r="C68" s="113" t="n">
        <v>0</v>
      </c>
      <c r="D68" s="114" t="n">
        <v>0</v>
      </c>
      <c r="E68" s="114" t="n">
        <v>0</v>
      </c>
      <c r="F68" s="113" t="n">
        <v>0</v>
      </c>
      <c r="G68" s="114" t="n">
        <v>8004.849999999977</v>
      </c>
      <c r="H68" s="114" t="n">
        <v>0</v>
      </c>
      <c r="I68" s="113" t="n">
        <v>0</v>
      </c>
      <c r="J68" s="114" t="n">
        <v>0</v>
      </c>
      <c r="K68" s="114" t="n">
        <v>0</v>
      </c>
      <c r="L68" s="113" t="n">
        <v>0</v>
      </c>
      <c r="M68" s="114" t="n">
        <v>0</v>
      </c>
      <c r="N68" s="114" t="n">
        <v>0</v>
      </c>
      <c r="O68" s="113">
        <f>L68+I68+F68+C68</f>
        <v/>
      </c>
      <c r="P68" s="114">
        <f>M68+J68+G68+D68</f>
        <v/>
      </c>
      <c r="Q68" s="114">
        <f>N68+K68+H68+E68</f>
        <v/>
      </c>
      <c r="R68" s="113">
        <f>SUMIFS('PO Log'!$E:$E,'PO Log'!$D:$D,'Category Table'!R$2,'PO Log'!$C:$C,'Category Table'!$A68)</f>
        <v/>
      </c>
      <c r="S68" s="114">
        <f>SUMIFS('PO Log'!$E:$E,'PO Log'!$D:$D,'Category Table'!S$2,'PO Log'!$C:$C,'Category Table'!$A68)</f>
        <v/>
      </c>
      <c r="T68" s="114">
        <f>SUMIFS('PO Log'!$E:$E,'PO Log'!$D:$D,'Category Table'!T$2,'PO Log'!$C:$C,'Category Table'!$A68)</f>
        <v/>
      </c>
      <c r="U68" s="113">
        <f>SUMIFS('Committments Dump'!$Q:$Q,'Committments Dump'!$C:$C,'Category Table'!U$2,'Committments Dump'!$B:$B,'Category Table'!$A68)</f>
        <v/>
      </c>
      <c r="V68" s="114">
        <f>SUMIFS('Committments Dump'!$Q:$Q,'Committments Dump'!$C:$C,'Category Table'!V$2,'Committments Dump'!$B:$B,'Category Table'!$A68)</f>
        <v/>
      </c>
      <c r="W68" s="114">
        <f>SUMIFS('Committments Dump'!$Q:$Q,'Committments Dump'!$C:$C,'Category Table'!W$2,'Committments Dump'!$B:$B,'Category Table'!$A68)</f>
        <v/>
      </c>
      <c r="X68" s="113">
        <f>SUMIFS('Committments Dump'!$R:$R,'Committments Dump'!$C:$C,'Category Table'!X$2,'Committments Dump'!$B:$B,'Category Table'!$A68)</f>
        <v/>
      </c>
      <c r="Y68" s="114">
        <f>SUMIFS('Committments Dump'!$R:$R,'Committments Dump'!$C:$C,'Category Table'!Y$2,'Committments Dump'!$B:$B,'Category Table'!$A68)</f>
        <v/>
      </c>
      <c r="Z68" s="114">
        <f>SUMIFS('Committments Dump'!$R:$R,'Committments Dump'!$C:$C,'Category Table'!Z$2,'Committments Dump'!$B:$B,'Category Table'!$A68)</f>
        <v/>
      </c>
      <c r="AA68" s="113">
        <f>SUMIFS('Committments Dump'!$S:$S,'Committments Dump'!$C:$C,'Category Table'!AA$2,'Committments Dump'!$B:$B,'Category Table'!$A68)</f>
        <v/>
      </c>
      <c r="AB68" s="114">
        <f>SUMIFS('Committments Dump'!$S:$S,'Committments Dump'!$C:$C,'Category Table'!AB$2,'Committments Dump'!$B:$B,'Category Table'!$A68)</f>
        <v/>
      </c>
      <c r="AC68" s="114">
        <f>SUMIFS('Committments Dump'!$S:$S,'Committments Dump'!$C:$C,'Category Table'!AC$2,'Committments Dump'!$B:$B,'Category Table'!$A68)</f>
        <v/>
      </c>
      <c r="AD68" s="113">
        <f>U68+X68+AA68</f>
        <v/>
      </c>
      <c r="AE68" s="114">
        <f>V68+Y68+AB68</f>
        <v/>
      </c>
      <c r="AF68" s="114">
        <f>W68+Z68+AC68</f>
        <v/>
      </c>
      <c r="AG68" s="113">
        <f>R68+AD68</f>
        <v/>
      </c>
      <c r="AH68" s="114">
        <f>S68+AE68</f>
        <v/>
      </c>
      <c r="AI68" s="114">
        <f>T68+AF68</f>
        <v/>
      </c>
      <c r="AJ68" s="113" t="n"/>
      <c r="AK68" s="114" t="n"/>
      <c r="AL68" s="114" t="n"/>
      <c r="AM68" s="113">
        <f>(O68-AG68)+AJ68</f>
        <v/>
      </c>
      <c r="AN68" s="114">
        <f>(P68-AH68)+AK68</f>
        <v/>
      </c>
      <c r="AO68" s="114">
        <f>(Q68-AI68)+AL68</f>
        <v/>
      </c>
      <c r="AP68" s="2">
        <f>IF(AM68&gt;0, "Under",IF(AM68&lt;0,"Over",""))</f>
        <v/>
      </c>
      <c r="AQ68" s="1">
        <f>IF(AN68&gt;0, "Under",IF(AN68&lt;0,"Over",""))</f>
        <v/>
      </c>
      <c r="AR68" s="1">
        <f>IF(AO68&gt;0, "Under",IF(AO68&lt;0,"Over",""))</f>
        <v/>
      </c>
      <c r="AS68" s="3" t="n"/>
    </row>
    <row r="69">
      <c r="A69" s="90" t="inlineStr">
        <is>
          <t>0-4700</t>
        </is>
      </c>
      <c r="B69" s="90" t="inlineStr">
        <is>
          <t>0-4700-Inv Skid Excavation</t>
        </is>
      </c>
      <c r="C69" s="115" t="n">
        <v>0</v>
      </c>
      <c r="D69" s="116" t="n">
        <v>0</v>
      </c>
      <c r="E69" s="116" t="n">
        <v>0</v>
      </c>
      <c r="F69" s="115" t="n">
        <v>0</v>
      </c>
      <c r="G69" s="116" t="n">
        <v>0</v>
      </c>
      <c r="H69" s="116" t="n">
        <v>0</v>
      </c>
      <c r="I69" s="115" t="n">
        <v>0</v>
      </c>
      <c r="J69" s="116" t="n">
        <v>0</v>
      </c>
      <c r="K69" s="116" t="n">
        <v>0</v>
      </c>
      <c r="L69" s="115" t="n">
        <v>0</v>
      </c>
      <c r="M69" s="116" t="n">
        <v>0</v>
      </c>
      <c r="N69" s="116" t="n">
        <v>0</v>
      </c>
      <c r="O69" s="115">
        <f>L69+I69+F69+C69</f>
        <v/>
      </c>
      <c r="P69" s="116">
        <f>M69+J69+G69+D69</f>
        <v/>
      </c>
      <c r="Q69" s="116">
        <f>N69+K69+H69+E69</f>
        <v/>
      </c>
      <c r="R69" s="115">
        <f>SUMIFS('PO Log'!$E:$E,'PO Log'!$D:$D,'Category Table'!R$2,'PO Log'!$C:$C,'Category Table'!$A69)</f>
        <v/>
      </c>
      <c r="S69" s="116">
        <f>SUMIFS('PO Log'!$E:$E,'PO Log'!$D:$D,'Category Table'!S$2,'PO Log'!$C:$C,'Category Table'!$A69)</f>
        <v/>
      </c>
      <c r="T69" s="116">
        <f>SUMIFS('PO Log'!$E:$E,'PO Log'!$D:$D,'Category Table'!T$2,'PO Log'!$C:$C,'Category Table'!$A69)</f>
        <v/>
      </c>
      <c r="U69" s="115">
        <f>SUMIFS('Committments Dump'!$Q:$Q,'Committments Dump'!$C:$C,'Category Table'!U$2,'Committments Dump'!$B:$B,'Category Table'!$A69)</f>
        <v/>
      </c>
      <c r="V69" s="116">
        <f>SUMIFS('Committments Dump'!$Q:$Q,'Committments Dump'!$C:$C,'Category Table'!V$2,'Committments Dump'!$B:$B,'Category Table'!$A69)</f>
        <v/>
      </c>
      <c r="W69" s="116">
        <f>SUMIFS('Committments Dump'!$Q:$Q,'Committments Dump'!$C:$C,'Category Table'!W$2,'Committments Dump'!$B:$B,'Category Table'!$A69)</f>
        <v/>
      </c>
      <c r="X69" s="115">
        <f>SUMIFS('Committments Dump'!$R:$R,'Committments Dump'!$C:$C,'Category Table'!X$2,'Committments Dump'!$B:$B,'Category Table'!$A69)</f>
        <v/>
      </c>
      <c r="Y69" s="116">
        <f>SUMIFS('Committments Dump'!$R:$R,'Committments Dump'!$C:$C,'Category Table'!Y$2,'Committments Dump'!$B:$B,'Category Table'!$A69)</f>
        <v/>
      </c>
      <c r="Z69" s="116">
        <f>SUMIFS('Committments Dump'!$R:$R,'Committments Dump'!$C:$C,'Category Table'!Z$2,'Committments Dump'!$B:$B,'Category Table'!$A69)</f>
        <v/>
      </c>
      <c r="AA69" s="115">
        <f>SUMIFS('Committments Dump'!$S:$S,'Committments Dump'!$C:$C,'Category Table'!AA$2,'Committments Dump'!$B:$B,'Category Table'!$A69)</f>
        <v/>
      </c>
      <c r="AB69" s="116">
        <f>SUMIFS('Committments Dump'!$S:$S,'Committments Dump'!$C:$C,'Category Table'!AB$2,'Committments Dump'!$B:$B,'Category Table'!$A69)</f>
        <v/>
      </c>
      <c r="AC69" s="116">
        <f>SUMIFS('Committments Dump'!$S:$S,'Committments Dump'!$C:$C,'Category Table'!AC$2,'Committments Dump'!$B:$B,'Category Table'!$A69)</f>
        <v/>
      </c>
      <c r="AD69" s="115">
        <f>U69+X69+AA69</f>
        <v/>
      </c>
      <c r="AE69" s="116">
        <f>V69+Y69+AB69</f>
        <v/>
      </c>
      <c r="AF69" s="116">
        <f>W69+Z69+AC69</f>
        <v/>
      </c>
      <c r="AG69" s="115">
        <f>R69+AD69</f>
        <v/>
      </c>
      <c r="AH69" s="116">
        <f>S69+AE69</f>
        <v/>
      </c>
      <c r="AI69" s="116">
        <f>T69+AF69</f>
        <v/>
      </c>
      <c r="AJ69" s="115" t="n"/>
      <c r="AK69" s="116" t="n"/>
      <c r="AL69" s="116" t="n"/>
      <c r="AM69" s="115">
        <f>(O69-AG69)+AJ69</f>
        <v/>
      </c>
      <c r="AN69" s="116">
        <f>(P69-AH69)+AK69</f>
        <v/>
      </c>
      <c r="AO69" s="116">
        <f>(Q69-AI69)+AL69</f>
        <v/>
      </c>
      <c r="AP69" s="93">
        <f>IF(AM69&gt;0, "Under",IF(AM69&lt;0,"Over",""))</f>
        <v/>
      </c>
      <c r="AQ69" s="94">
        <f>IF(AN69&gt;0, "Under",IF(AN69&lt;0,"Over",""))</f>
        <v/>
      </c>
      <c r="AR69" s="94">
        <f>IF(AO69&gt;0, "Under",IF(AO69&lt;0,"Over",""))</f>
        <v/>
      </c>
      <c r="AS69" s="3" t="n"/>
    </row>
    <row r="70">
      <c r="A70" t="inlineStr">
        <is>
          <t>0-4701</t>
        </is>
      </c>
      <c r="B70" t="inlineStr">
        <is>
          <t>0-4701-Inv Skid Conduit</t>
        </is>
      </c>
      <c r="C70" s="113" t="n">
        <v>0</v>
      </c>
      <c r="D70" s="114" t="n">
        <v>0</v>
      </c>
      <c r="E70" s="114" t="n">
        <v>0</v>
      </c>
      <c r="F70" s="113" t="n">
        <v>0</v>
      </c>
      <c r="G70" s="114" t="n">
        <v>3096.413830000209</v>
      </c>
      <c r="H70" s="114" t="n">
        <v>0</v>
      </c>
      <c r="I70" s="113" t="n">
        <v>0</v>
      </c>
      <c r="J70" s="114" t="n">
        <v>0</v>
      </c>
      <c r="K70" s="114" t="n">
        <v>0</v>
      </c>
      <c r="L70" s="113" t="n">
        <v>0</v>
      </c>
      <c r="M70" s="114" t="n">
        <v>0</v>
      </c>
      <c r="N70" s="114" t="n">
        <v>0</v>
      </c>
      <c r="O70" s="113">
        <f>L70+I70+F70+C70</f>
        <v/>
      </c>
      <c r="P70" s="114">
        <f>M70+J70+G70+D70</f>
        <v/>
      </c>
      <c r="Q70" s="114">
        <f>N70+K70+H70+E70</f>
        <v/>
      </c>
      <c r="R70" s="113">
        <f>SUMIFS('PO Log'!$E:$E,'PO Log'!$D:$D,'Category Table'!R$2,'PO Log'!$C:$C,'Category Table'!$A70)</f>
        <v/>
      </c>
      <c r="S70" s="114">
        <f>SUMIFS('PO Log'!$E:$E,'PO Log'!$D:$D,'Category Table'!S$2,'PO Log'!$C:$C,'Category Table'!$A70)</f>
        <v/>
      </c>
      <c r="T70" s="114">
        <f>SUMIFS('PO Log'!$E:$E,'PO Log'!$D:$D,'Category Table'!T$2,'PO Log'!$C:$C,'Category Table'!$A70)</f>
        <v/>
      </c>
      <c r="U70" s="113">
        <f>SUMIFS('Committments Dump'!$Q:$Q,'Committments Dump'!$C:$C,'Category Table'!U$2,'Committments Dump'!$B:$B,'Category Table'!$A70)</f>
        <v/>
      </c>
      <c r="V70" s="114">
        <f>SUMIFS('Committments Dump'!$Q:$Q,'Committments Dump'!$C:$C,'Category Table'!V$2,'Committments Dump'!$B:$B,'Category Table'!$A70)</f>
        <v/>
      </c>
      <c r="W70" s="114">
        <f>SUMIFS('Committments Dump'!$Q:$Q,'Committments Dump'!$C:$C,'Category Table'!W$2,'Committments Dump'!$B:$B,'Category Table'!$A70)</f>
        <v/>
      </c>
      <c r="X70" s="113">
        <f>SUMIFS('Committments Dump'!$R:$R,'Committments Dump'!$C:$C,'Category Table'!X$2,'Committments Dump'!$B:$B,'Category Table'!$A70)</f>
        <v/>
      </c>
      <c r="Y70" s="114">
        <f>SUMIFS('Committments Dump'!$R:$R,'Committments Dump'!$C:$C,'Category Table'!Y$2,'Committments Dump'!$B:$B,'Category Table'!$A70)</f>
        <v/>
      </c>
      <c r="Z70" s="114">
        <f>SUMIFS('Committments Dump'!$R:$R,'Committments Dump'!$C:$C,'Category Table'!Z$2,'Committments Dump'!$B:$B,'Category Table'!$A70)</f>
        <v/>
      </c>
      <c r="AA70" s="113">
        <f>SUMIFS('Committments Dump'!$S:$S,'Committments Dump'!$C:$C,'Category Table'!AA$2,'Committments Dump'!$B:$B,'Category Table'!$A70)</f>
        <v/>
      </c>
      <c r="AB70" s="114">
        <f>SUMIFS('Committments Dump'!$S:$S,'Committments Dump'!$C:$C,'Category Table'!AB$2,'Committments Dump'!$B:$B,'Category Table'!$A70)</f>
        <v/>
      </c>
      <c r="AC70" s="114">
        <f>SUMIFS('Committments Dump'!$S:$S,'Committments Dump'!$C:$C,'Category Table'!AC$2,'Committments Dump'!$B:$B,'Category Table'!$A70)</f>
        <v/>
      </c>
      <c r="AD70" s="113">
        <f>U70+X70+AA70</f>
        <v/>
      </c>
      <c r="AE70" s="114">
        <f>V70+Y70+AB70</f>
        <v/>
      </c>
      <c r="AF70" s="114">
        <f>W70+Z70+AC70</f>
        <v/>
      </c>
      <c r="AG70" s="113">
        <f>R70+AD70</f>
        <v/>
      </c>
      <c r="AH70" s="114">
        <f>S70+AE70</f>
        <v/>
      </c>
      <c r="AI70" s="114">
        <f>T70+AF70</f>
        <v/>
      </c>
      <c r="AJ70" s="113" t="n"/>
      <c r="AK70" s="114" t="n"/>
      <c r="AL70" s="114" t="n"/>
      <c r="AM70" s="113">
        <f>(O70-AG70)+AJ70</f>
        <v/>
      </c>
      <c r="AN70" s="114">
        <f>(P70-AH70)+AK70</f>
        <v/>
      </c>
      <c r="AO70" s="114">
        <f>(Q70-AI70)+AL70</f>
        <v/>
      </c>
      <c r="AP70" s="2">
        <f>IF(AM70&gt;0, "Under",IF(AM70&lt;0,"Over",""))</f>
        <v/>
      </c>
      <c r="AQ70" s="1">
        <f>IF(AN70&gt;0, "Under",IF(AN70&lt;0,"Over",""))</f>
        <v/>
      </c>
      <c r="AR70" s="1">
        <f>IF(AO70&gt;0, "Under",IF(AO70&lt;0,"Over",""))</f>
        <v/>
      </c>
      <c r="AS70" s="3" t="n"/>
    </row>
    <row r="71">
      <c r="A71" s="90" t="inlineStr">
        <is>
          <t>0-4702</t>
        </is>
      </c>
      <c r="B71" s="90" t="inlineStr">
        <is>
          <t>0-4702-Inv Skid Backfill</t>
        </is>
      </c>
      <c r="C71" s="115" t="n">
        <v>0</v>
      </c>
      <c r="D71" s="116" t="n">
        <v>0</v>
      </c>
      <c r="E71" s="116" t="n">
        <v>0</v>
      </c>
      <c r="F71" s="115" t="n">
        <v>0</v>
      </c>
      <c r="G71" s="116" t="n">
        <v>0</v>
      </c>
      <c r="H71" s="116" t="n">
        <v>59537.5</v>
      </c>
      <c r="I71" s="115" t="n">
        <v>0</v>
      </c>
      <c r="J71" s="116" t="n">
        <v>0</v>
      </c>
      <c r="K71" s="116" t="n">
        <v>0</v>
      </c>
      <c r="L71" s="115" t="n">
        <v>0</v>
      </c>
      <c r="M71" s="116" t="n">
        <v>0</v>
      </c>
      <c r="N71" s="116" t="n">
        <v>0</v>
      </c>
      <c r="O71" s="115">
        <f>L71+I71+F71+C71</f>
        <v/>
      </c>
      <c r="P71" s="116">
        <f>M71+J71+G71+D71</f>
        <v/>
      </c>
      <c r="Q71" s="116">
        <f>N71+K71+H71+E71</f>
        <v/>
      </c>
      <c r="R71" s="115">
        <f>SUMIFS('PO Log'!$E:$E,'PO Log'!$D:$D,'Category Table'!R$2,'PO Log'!$C:$C,'Category Table'!$A71)</f>
        <v/>
      </c>
      <c r="S71" s="116">
        <f>SUMIFS('PO Log'!$E:$E,'PO Log'!$D:$D,'Category Table'!S$2,'PO Log'!$C:$C,'Category Table'!$A71)</f>
        <v/>
      </c>
      <c r="T71" s="116">
        <f>SUMIFS('PO Log'!$E:$E,'PO Log'!$D:$D,'Category Table'!T$2,'PO Log'!$C:$C,'Category Table'!$A71)</f>
        <v/>
      </c>
      <c r="U71" s="115">
        <f>SUMIFS('Committments Dump'!$Q:$Q,'Committments Dump'!$C:$C,'Category Table'!U$2,'Committments Dump'!$B:$B,'Category Table'!$A71)</f>
        <v/>
      </c>
      <c r="V71" s="116">
        <f>SUMIFS('Committments Dump'!$Q:$Q,'Committments Dump'!$C:$C,'Category Table'!V$2,'Committments Dump'!$B:$B,'Category Table'!$A71)</f>
        <v/>
      </c>
      <c r="W71" s="116">
        <f>SUMIFS('Committments Dump'!$Q:$Q,'Committments Dump'!$C:$C,'Category Table'!W$2,'Committments Dump'!$B:$B,'Category Table'!$A71)</f>
        <v/>
      </c>
      <c r="X71" s="115">
        <f>SUMIFS('Committments Dump'!$R:$R,'Committments Dump'!$C:$C,'Category Table'!X$2,'Committments Dump'!$B:$B,'Category Table'!$A71)</f>
        <v/>
      </c>
      <c r="Y71" s="116">
        <f>SUMIFS('Committments Dump'!$R:$R,'Committments Dump'!$C:$C,'Category Table'!Y$2,'Committments Dump'!$B:$B,'Category Table'!$A71)</f>
        <v/>
      </c>
      <c r="Z71" s="116">
        <f>SUMIFS('Committments Dump'!$R:$R,'Committments Dump'!$C:$C,'Category Table'!Z$2,'Committments Dump'!$B:$B,'Category Table'!$A71)</f>
        <v/>
      </c>
      <c r="AA71" s="115">
        <f>SUMIFS('Committments Dump'!$S:$S,'Committments Dump'!$C:$C,'Category Table'!AA$2,'Committments Dump'!$B:$B,'Category Table'!$A71)</f>
        <v/>
      </c>
      <c r="AB71" s="116">
        <f>SUMIFS('Committments Dump'!$S:$S,'Committments Dump'!$C:$C,'Category Table'!AB$2,'Committments Dump'!$B:$B,'Category Table'!$A71)</f>
        <v/>
      </c>
      <c r="AC71" s="116">
        <f>SUMIFS('Committments Dump'!$S:$S,'Committments Dump'!$C:$C,'Category Table'!AC$2,'Committments Dump'!$B:$B,'Category Table'!$A71)</f>
        <v/>
      </c>
      <c r="AD71" s="115">
        <f>U71+X71+AA71</f>
        <v/>
      </c>
      <c r="AE71" s="116">
        <f>V71+Y71+AB71</f>
        <v/>
      </c>
      <c r="AF71" s="116">
        <f>W71+Z71+AC71</f>
        <v/>
      </c>
      <c r="AG71" s="115">
        <f>R71+AD71</f>
        <v/>
      </c>
      <c r="AH71" s="116">
        <f>S71+AE71</f>
        <v/>
      </c>
      <c r="AI71" s="116">
        <f>T71+AF71</f>
        <v/>
      </c>
      <c r="AJ71" s="115" t="n"/>
      <c r="AK71" s="116" t="n"/>
      <c r="AL71" s="116" t="n"/>
      <c r="AM71" s="115">
        <f>(O71-AG71)+AJ71</f>
        <v/>
      </c>
      <c r="AN71" s="116">
        <f>(P71-AH71)+AK71</f>
        <v/>
      </c>
      <c r="AO71" s="116">
        <f>(Q71-AI71)+AL71</f>
        <v/>
      </c>
      <c r="AP71" s="93">
        <f>IF(AM71&gt;0, "Under",IF(AM71&lt;0,"Over",""))</f>
        <v/>
      </c>
      <c r="AQ71" s="94">
        <f>IF(AN71&gt;0, "Under",IF(AN71&lt;0,"Over",""))</f>
        <v/>
      </c>
      <c r="AR71" s="94">
        <f>IF(AO71&gt;0, "Under",IF(AO71&lt;0,"Over",""))</f>
        <v/>
      </c>
      <c r="AS71" s="3" t="n"/>
    </row>
    <row r="72">
      <c r="A72" t="inlineStr">
        <is>
          <t>0-4703</t>
        </is>
      </c>
      <c r="B72" t="inlineStr">
        <is>
          <t>0-4703-Inv Pile Caps</t>
        </is>
      </c>
      <c r="C72" s="113" t="n">
        <v>0</v>
      </c>
      <c r="D72" s="114" t="n">
        <v>0</v>
      </c>
      <c r="E72" s="114" t="n">
        <v>0</v>
      </c>
      <c r="F72" s="113" t="n">
        <v>0</v>
      </c>
      <c r="G72" s="114" t="n">
        <v>0</v>
      </c>
      <c r="H72" s="114" t="n">
        <v>8182.95</v>
      </c>
      <c r="I72" s="113" t="n">
        <v>0</v>
      </c>
      <c r="J72" s="114" t="n">
        <v>0</v>
      </c>
      <c r="K72" s="114" t="n">
        <v>0</v>
      </c>
      <c r="L72" s="113" t="n">
        <v>0</v>
      </c>
      <c r="M72" s="114" t="n">
        <v>0</v>
      </c>
      <c r="N72" s="114" t="n">
        <v>0</v>
      </c>
      <c r="O72" s="113">
        <f>L72+I72+F72+C72</f>
        <v/>
      </c>
      <c r="P72" s="114">
        <f>M72+J72+G72+D72</f>
        <v/>
      </c>
      <c r="Q72" s="114">
        <f>N72+K72+H72+E72</f>
        <v/>
      </c>
      <c r="R72" s="113">
        <f>SUMIFS('PO Log'!$E:$E,'PO Log'!$D:$D,'Category Table'!R$2,'PO Log'!$C:$C,'Category Table'!$A72)</f>
        <v/>
      </c>
      <c r="S72" s="114">
        <f>SUMIFS('PO Log'!$E:$E,'PO Log'!$D:$D,'Category Table'!S$2,'PO Log'!$C:$C,'Category Table'!$A72)</f>
        <v/>
      </c>
      <c r="T72" s="114">
        <f>SUMIFS('PO Log'!$E:$E,'PO Log'!$D:$D,'Category Table'!T$2,'PO Log'!$C:$C,'Category Table'!$A72)</f>
        <v/>
      </c>
      <c r="U72" s="113">
        <f>SUMIFS('Committments Dump'!$Q:$Q,'Committments Dump'!$C:$C,'Category Table'!U$2,'Committments Dump'!$B:$B,'Category Table'!$A72)</f>
        <v/>
      </c>
      <c r="V72" s="114">
        <f>SUMIFS('Committments Dump'!$Q:$Q,'Committments Dump'!$C:$C,'Category Table'!V$2,'Committments Dump'!$B:$B,'Category Table'!$A72)</f>
        <v/>
      </c>
      <c r="W72" s="114">
        <f>SUMIFS('Committments Dump'!$Q:$Q,'Committments Dump'!$C:$C,'Category Table'!W$2,'Committments Dump'!$B:$B,'Category Table'!$A72)</f>
        <v/>
      </c>
      <c r="X72" s="113">
        <f>SUMIFS('Committments Dump'!$R:$R,'Committments Dump'!$C:$C,'Category Table'!X$2,'Committments Dump'!$B:$B,'Category Table'!$A72)</f>
        <v/>
      </c>
      <c r="Y72" s="114">
        <f>SUMIFS('Committments Dump'!$R:$R,'Committments Dump'!$C:$C,'Category Table'!Y$2,'Committments Dump'!$B:$B,'Category Table'!$A72)</f>
        <v/>
      </c>
      <c r="Z72" s="114">
        <f>SUMIFS('Committments Dump'!$R:$R,'Committments Dump'!$C:$C,'Category Table'!Z$2,'Committments Dump'!$B:$B,'Category Table'!$A72)</f>
        <v/>
      </c>
      <c r="AA72" s="113">
        <f>SUMIFS('Committments Dump'!$S:$S,'Committments Dump'!$C:$C,'Category Table'!AA$2,'Committments Dump'!$B:$B,'Category Table'!$A72)</f>
        <v/>
      </c>
      <c r="AB72" s="114">
        <f>SUMIFS('Committments Dump'!$S:$S,'Committments Dump'!$C:$C,'Category Table'!AB$2,'Committments Dump'!$B:$B,'Category Table'!$A72)</f>
        <v/>
      </c>
      <c r="AC72" s="114">
        <f>SUMIFS('Committments Dump'!$S:$S,'Committments Dump'!$C:$C,'Category Table'!AC$2,'Committments Dump'!$B:$B,'Category Table'!$A72)</f>
        <v/>
      </c>
      <c r="AD72" s="113">
        <f>U72+X72+AA72</f>
        <v/>
      </c>
      <c r="AE72" s="114">
        <f>V72+Y72+AB72</f>
        <v/>
      </c>
      <c r="AF72" s="114">
        <f>W72+Z72+AC72</f>
        <v/>
      </c>
      <c r="AG72" s="113">
        <f>R72+AD72</f>
        <v/>
      </c>
      <c r="AH72" s="114">
        <f>S72+AE72</f>
        <v/>
      </c>
      <c r="AI72" s="114">
        <f>T72+AF72</f>
        <v/>
      </c>
      <c r="AJ72" s="113" t="n"/>
      <c r="AK72" s="114" t="n"/>
      <c r="AL72" s="114" t="n"/>
      <c r="AM72" s="113">
        <f>(O72-AG72)+AJ72</f>
        <v/>
      </c>
      <c r="AN72" s="114">
        <f>(P72-AH72)+AK72</f>
        <v/>
      </c>
      <c r="AO72" s="114">
        <f>(Q72-AI72)+AL72</f>
        <v/>
      </c>
      <c r="AP72" s="2">
        <f>IF(AM72&gt;0, "Under",IF(AM72&lt;0,"Over",""))</f>
        <v/>
      </c>
      <c r="AQ72" s="1">
        <f>IF(AN72&gt;0, "Under",IF(AN72&lt;0,"Over",""))</f>
        <v/>
      </c>
      <c r="AR72" s="1">
        <f>IF(AO72&gt;0, "Under",IF(AO72&lt;0,"Over",""))</f>
        <v/>
      </c>
      <c r="AS72" s="3" t="n"/>
    </row>
    <row r="73">
      <c r="A73" s="90" t="inlineStr">
        <is>
          <t>0-4704</t>
        </is>
      </c>
      <c r="B73" s="90" t="inlineStr">
        <is>
          <t>0-4704-Inv Skid Setting</t>
        </is>
      </c>
      <c r="C73" s="115" t="n">
        <v>0</v>
      </c>
      <c r="D73" s="116" t="n">
        <v>0</v>
      </c>
      <c r="E73" s="116" t="n">
        <v>0</v>
      </c>
      <c r="F73" s="115" t="n">
        <v>95200</v>
      </c>
      <c r="G73" s="116" t="n">
        <v>0</v>
      </c>
      <c r="H73" s="116" t="n">
        <v>0</v>
      </c>
      <c r="I73" s="115" t="n">
        <v>0</v>
      </c>
      <c r="J73" s="116" t="n">
        <v>0</v>
      </c>
      <c r="K73" s="116" t="n">
        <v>0</v>
      </c>
      <c r="L73" s="115" t="n">
        <v>0</v>
      </c>
      <c r="M73" s="116" t="n">
        <v>0</v>
      </c>
      <c r="N73" s="116" t="n">
        <v>0</v>
      </c>
      <c r="O73" s="115">
        <f>L73+I73+F73+C73</f>
        <v/>
      </c>
      <c r="P73" s="116">
        <f>M73+J73+G73+D73</f>
        <v/>
      </c>
      <c r="Q73" s="116">
        <f>N73+K73+H73+E73</f>
        <v/>
      </c>
      <c r="R73" s="115">
        <f>SUMIFS('PO Log'!$E:$E,'PO Log'!$D:$D,'Category Table'!R$2,'PO Log'!$C:$C,'Category Table'!$A73)</f>
        <v/>
      </c>
      <c r="S73" s="116">
        <f>SUMIFS('PO Log'!$E:$E,'PO Log'!$D:$D,'Category Table'!S$2,'PO Log'!$C:$C,'Category Table'!$A73)</f>
        <v/>
      </c>
      <c r="T73" s="116">
        <f>SUMIFS('PO Log'!$E:$E,'PO Log'!$D:$D,'Category Table'!T$2,'PO Log'!$C:$C,'Category Table'!$A73)</f>
        <v/>
      </c>
      <c r="U73" s="115">
        <f>SUMIFS('Committments Dump'!$Q:$Q,'Committments Dump'!$C:$C,'Category Table'!U$2,'Committments Dump'!$B:$B,'Category Table'!$A73)</f>
        <v/>
      </c>
      <c r="V73" s="116">
        <f>SUMIFS('Committments Dump'!$Q:$Q,'Committments Dump'!$C:$C,'Category Table'!V$2,'Committments Dump'!$B:$B,'Category Table'!$A73)</f>
        <v/>
      </c>
      <c r="W73" s="116">
        <f>SUMIFS('Committments Dump'!$Q:$Q,'Committments Dump'!$C:$C,'Category Table'!W$2,'Committments Dump'!$B:$B,'Category Table'!$A73)</f>
        <v/>
      </c>
      <c r="X73" s="115">
        <f>SUMIFS('Committments Dump'!$R:$R,'Committments Dump'!$C:$C,'Category Table'!X$2,'Committments Dump'!$B:$B,'Category Table'!$A73)</f>
        <v/>
      </c>
      <c r="Y73" s="116">
        <f>SUMIFS('Committments Dump'!$R:$R,'Committments Dump'!$C:$C,'Category Table'!Y$2,'Committments Dump'!$B:$B,'Category Table'!$A73)</f>
        <v/>
      </c>
      <c r="Z73" s="116">
        <f>SUMIFS('Committments Dump'!$R:$R,'Committments Dump'!$C:$C,'Category Table'!Z$2,'Committments Dump'!$B:$B,'Category Table'!$A73)</f>
        <v/>
      </c>
      <c r="AA73" s="115">
        <f>SUMIFS('Committments Dump'!$S:$S,'Committments Dump'!$C:$C,'Category Table'!AA$2,'Committments Dump'!$B:$B,'Category Table'!$A73)</f>
        <v/>
      </c>
      <c r="AB73" s="116">
        <f>SUMIFS('Committments Dump'!$S:$S,'Committments Dump'!$C:$C,'Category Table'!AB$2,'Committments Dump'!$B:$B,'Category Table'!$A73)</f>
        <v/>
      </c>
      <c r="AC73" s="116">
        <f>SUMIFS('Committments Dump'!$S:$S,'Committments Dump'!$C:$C,'Category Table'!AC$2,'Committments Dump'!$B:$B,'Category Table'!$A73)</f>
        <v/>
      </c>
      <c r="AD73" s="115">
        <f>U73+X73+AA73</f>
        <v/>
      </c>
      <c r="AE73" s="116">
        <f>V73+Y73+AB73</f>
        <v/>
      </c>
      <c r="AF73" s="116">
        <f>W73+Z73+AC73</f>
        <v/>
      </c>
      <c r="AG73" s="115">
        <f>R73+AD73</f>
        <v/>
      </c>
      <c r="AH73" s="116">
        <f>S73+AE73</f>
        <v/>
      </c>
      <c r="AI73" s="116">
        <f>T73+AF73</f>
        <v/>
      </c>
      <c r="AJ73" s="115" t="n"/>
      <c r="AK73" s="116" t="n"/>
      <c r="AL73" s="116" t="n"/>
      <c r="AM73" s="115">
        <f>(O73-AG73)+AJ73</f>
        <v/>
      </c>
      <c r="AN73" s="116">
        <f>(P73-AH73)+AK73</f>
        <v/>
      </c>
      <c r="AO73" s="116">
        <f>(Q73-AI73)+AL73</f>
        <v/>
      </c>
      <c r="AP73" s="93">
        <f>IF(AM73&gt;0, "Under",IF(AM73&lt;0,"Over",""))</f>
        <v/>
      </c>
      <c r="AQ73" s="94">
        <f>IF(AN73&gt;0, "Under",IF(AN73&lt;0,"Over",""))</f>
        <v/>
      </c>
      <c r="AR73" s="94">
        <f>IF(AO73&gt;0, "Under",IF(AO73&lt;0,"Over",""))</f>
        <v/>
      </c>
      <c r="AS73" s="3" t="n"/>
    </row>
    <row r="74">
      <c r="A74" t="inlineStr">
        <is>
          <t>0-4000-01</t>
        </is>
      </c>
      <c r="B74" t="inlineStr">
        <is>
          <t>0-4000-01-Mobilization</t>
        </is>
      </c>
      <c r="C74" s="113" t="n">
        <v>0</v>
      </c>
      <c r="D74" s="114" t="n">
        <v>0</v>
      </c>
      <c r="E74" s="114" t="n">
        <v>0</v>
      </c>
      <c r="F74" s="113" t="n">
        <v>66371.18000000001</v>
      </c>
      <c r="G74" s="114" t="n">
        <v>0</v>
      </c>
      <c r="H74" s="114" t="n">
        <v>0</v>
      </c>
      <c r="I74" s="113" t="n">
        <v>0</v>
      </c>
      <c r="J74" s="114" t="n">
        <v>0</v>
      </c>
      <c r="K74" s="114" t="n">
        <v>0</v>
      </c>
      <c r="L74" s="113" t="n">
        <v>0</v>
      </c>
      <c r="M74" s="114" t="n">
        <v>0</v>
      </c>
      <c r="N74" s="114" t="n">
        <v>0</v>
      </c>
      <c r="O74" s="113">
        <f>L74+I74+F74+C74</f>
        <v/>
      </c>
      <c r="P74" s="114">
        <f>M74+J74+G74+D74</f>
        <v/>
      </c>
      <c r="Q74" s="114">
        <f>N74+K74+H74+E74</f>
        <v/>
      </c>
      <c r="R74" s="113">
        <f>SUMIFS('PO Log'!$E:$E,'PO Log'!$D:$D,'Category Table'!R$2,'PO Log'!$C:$C,'Category Table'!$A74)</f>
        <v/>
      </c>
      <c r="S74" s="114">
        <f>SUMIFS('PO Log'!$E:$E,'PO Log'!$D:$D,'Category Table'!S$2,'PO Log'!$C:$C,'Category Table'!$A74)</f>
        <v/>
      </c>
      <c r="T74" s="114">
        <f>SUMIFS('PO Log'!$E:$E,'PO Log'!$D:$D,'Category Table'!T$2,'PO Log'!$C:$C,'Category Table'!$A74)</f>
        <v/>
      </c>
      <c r="U74" s="113">
        <f>SUMIFS('Committments Dump'!$Q:$Q,'Committments Dump'!$C:$C,'Category Table'!U$2,'Committments Dump'!$B:$B,'Category Table'!$A74)</f>
        <v/>
      </c>
      <c r="V74" s="114">
        <f>SUMIFS('Committments Dump'!$Q:$Q,'Committments Dump'!$C:$C,'Category Table'!V$2,'Committments Dump'!$B:$B,'Category Table'!$A74)</f>
        <v/>
      </c>
      <c r="W74" s="114">
        <f>SUMIFS('Committments Dump'!$Q:$Q,'Committments Dump'!$C:$C,'Category Table'!W$2,'Committments Dump'!$B:$B,'Category Table'!$A74)</f>
        <v/>
      </c>
      <c r="X74" s="113">
        <f>SUMIFS('Committments Dump'!$R:$R,'Committments Dump'!$C:$C,'Category Table'!X$2,'Committments Dump'!$B:$B,'Category Table'!$A74)</f>
        <v/>
      </c>
      <c r="Y74" s="114">
        <f>SUMIFS('Committments Dump'!$R:$R,'Committments Dump'!$C:$C,'Category Table'!Y$2,'Committments Dump'!$B:$B,'Category Table'!$A74)</f>
        <v/>
      </c>
      <c r="Z74" s="114">
        <f>SUMIFS('Committments Dump'!$R:$R,'Committments Dump'!$C:$C,'Category Table'!Z$2,'Committments Dump'!$B:$B,'Category Table'!$A74)</f>
        <v/>
      </c>
      <c r="AA74" s="113">
        <f>SUMIFS('Committments Dump'!$S:$S,'Committments Dump'!$C:$C,'Category Table'!AA$2,'Committments Dump'!$B:$B,'Category Table'!$A74)</f>
        <v/>
      </c>
      <c r="AB74" s="114">
        <f>SUMIFS('Committments Dump'!$S:$S,'Committments Dump'!$C:$C,'Category Table'!AB$2,'Committments Dump'!$B:$B,'Category Table'!$A74)</f>
        <v/>
      </c>
      <c r="AC74" s="114">
        <f>SUMIFS('Committments Dump'!$S:$S,'Committments Dump'!$C:$C,'Category Table'!AC$2,'Committments Dump'!$B:$B,'Category Table'!$A74)</f>
        <v/>
      </c>
      <c r="AD74" s="113">
        <f>U74+X74+AA74</f>
        <v/>
      </c>
      <c r="AE74" s="114">
        <f>V74+Y74+AB74</f>
        <v/>
      </c>
      <c r="AF74" s="114">
        <f>W74+Z74+AC74</f>
        <v/>
      </c>
      <c r="AG74" s="113">
        <f>R74+AD74</f>
        <v/>
      </c>
      <c r="AH74" s="114">
        <f>S74+AE74</f>
        <v/>
      </c>
      <c r="AI74" s="114">
        <f>T74+AF74</f>
        <v/>
      </c>
      <c r="AJ74" s="113" t="n"/>
      <c r="AK74" s="114" t="n"/>
      <c r="AL74" s="114" t="n"/>
      <c r="AM74" s="113">
        <f>(O74-AG74)+AJ74</f>
        <v/>
      </c>
      <c r="AN74" s="114">
        <f>(P74-AH74)+AK74</f>
        <v/>
      </c>
      <c r="AO74" s="114">
        <f>(Q74-AI74)+AL74</f>
        <v/>
      </c>
      <c r="AP74" s="2">
        <f>IF(AM74&gt;0, "Under",IF(AM74&lt;0,"Over",""))</f>
        <v/>
      </c>
      <c r="AQ74" s="1">
        <f>IF(AN74&gt;0, "Under",IF(AN74&lt;0,"Over",""))</f>
        <v/>
      </c>
      <c r="AR74" s="1">
        <f>IF(AO74&gt;0, "Under",IF(AO74&lt;0,"Over",""))</f>
        <v/>
      </c>
      <c r="AS74" s="3" t="n"/>
    </row>
    <row r="75">
      <c r="A75" s="90" t="inlineStr">
        <is>
          <t>0-4001-01</t>
        </is>
      </c>
      <c r="B75" s="90" t="inlineStr">
        <is>
          <t>0-4001-01-Demobilization</t>
        </is>
      </c>
      <c r="C75" s="115" t="n">
        <v>0</v>
      </c>
      <c r="D75" s="116" t="n">
        <v>0</v>
      </c>
      <c r="E75" s="116" t="n">
        <v>0</v>
      </c>
      <c r="F75" s="115" t="n">
        <v>60400</v>
      </c>
      <c r="G75" s="116" t="n">
        <v>0</v>
      </c>
      <c r="H75" s="116" t="n">
        <v>0</v>
      </c>
      <c r="I75" s="115" t="n">
        <v>0</v>
      </c>
      <c r="J75" s="116" t="n">
        <v>0</v>
      </c>
      <c r="K75" s="116" t="n">
        <v>0</v>
      </c>
      <c r="L75" s="115" t="n">
        <v>0</v>
      </c>
      <c r="M75" s="116" t="n">
        <v>0</v>
      </c>
      <c r="N75" s="116" t="n">
        <v>0</v>
      </c>
      <c r="O75" s="115">
        <f>L75+I75+F75+C75</f>
        <v/>
      </c>
      <c r="P75" s="116">
        <f>M75+J75+G75+D75</f>
        <v/>
      </c>
      <c r="Q75" s="116">
        <f>N75+K75+H75+E75</f>
        <v/>
      </c>
      <c r="R75" s="115">
        <f>SUMIFS('PO Log'!$E:$E,'PO Log'!$D:$D,'Category Table'!R$2,'PO Log'!$C:$C,'Category Table'!$A75)</f>
        <v/>
      </c>
      <c r="S75" s="116">
        <f>SUMIFS('PO Log'!$E:$E,'PO Log'!$D:$D,'Category Table'!S$2,'PO Log'!$C:$C,'Category Table'!$A75)</f>
        <v/>
      </c>
      <c r="T75" s="116">
        <f>SUMIFS('PO Log'!$E:$E,'PO Log'!$D:$D,'Category Table'!T$2,'PO Log'!$C:$C,'Category Table'!$A75)</f>
        <v/>
      </c>
      <c r="U75" s="115">
        <f>SUMIFS('Committments Dump'!$Q:$Q,'Committments Dump'!$C:$C,'Category Table'!U$2,'Committments Dump'!$B:$B,'Category Table'!$A75)</f>
        <v/>
      </c>
      <c r="V75" s="116">
        <f>SUMIFS('Committments Dump'!$Q:$Q,'Committments Dump'!$C:$C,'Category Table'!V$2,'Committments Dump'!$B:$B,'Category Table'!$A75)</f>
        <v/>
      </c>
      <c r="W75" s="116">
        <f>SUMIFS('Committments Dump'!$Q:$Q,'Committments Dump'!$C:$C,'Category Table'!W$2,'Committments Dump'!$B:$B,'Category Table'!$A75)</f>
        <v/>
      </c>
      <c r="X75" s="115">
        <f>SUMIFS('Committments Dump'!$R:$R,'Committments Dump'!$C:$C,'Category Table'!X$2,'Committments Dump'!$B:$B,'Category Table'!$A75)</f>
        <v/>
      </c>
      <c r="Y75" s="116">
        <f>SUMIFS('Committments Dump'!$R:$R,'Committments Dump'!$C:$C,'Category Table'!Y$2,'Committments Dump'!$B:$B,'Category Table'!$A75)</f>
        <v/>
      </c>
      <c r="Z75" s="116">
        <f>SUMIFS('Committments Dump'!$R:$R,'Committments Dump'!$C:$C,'Category Table'!Z$2,'Committments Dump'!$B:$B,'Category Table'!$A75)</f>
        <v/>
      </c>
      <c r="AA75" s="115">
        <f>SUMIFS('Committments Dump'!$S:$S,'Committments Dump'!$C:$C,'Category Table'!AA$2,'Committments Dump'!$B:$B,'Category Table'!$A75)</f>
        <v/>
      </c>
      <c r="AB75" s="116">
        <f>SUMIFS('Committments Dump'!$S:$S,'Committments Dump'!$C:$C,'Category Table'!AB$2,'Committments Dump'!$B:$B,'Category Table'!$A75)</f>
        <v/>
      </c>
      <c r="AC75" s="116">
        <f>SUMIFS('Committments Dump'!$S:$S,'Committments Dump'!$C:$C,'Category Table'!AC$2,'Committments Dump'!$B:$B,'Category Table'!$A75)</f>
        <v/>
      </c>
      <c r="AD75" s="115">
        <f>U75+X75+AA75</f>
        <v/>
      </c>
      <c r="AE75" s="116">
        <f>V75+Y75+AB75</f>
        <v/>
      </c>
      <c r="AF75" s="116">
        <f>W75+Z75+AC75</f>
        <v/>
      </c>
      <c r="AG75" s="115">
        <f>R75+AD75</f>
        <v/>
      </c>
      <c r="AH75" s="116">
        <f>S75+AE75</f>
        <v/>
      </c>
      <c r="AI75" s="116">
        <f>T75+AF75</f>
        <v/>
      </c>
      <c r="AJ75" s="115" t="n"/>
      <c r="AK75" s="116" t="n"/>
      <c r="AL75" s="116" t="n"/>
      <c r="AM75" s="115">
        <f>(O75-AG75)+AJ75</f>
        <v/>
      </c>
      <c r="AN75" s="116">
        <f>(P75-AH75)+AK75</f>
        <v/>
      </c>
      <c r="AO75" s="116">
        <f>(Q75-AI75)+AL75</f>
        <v/>
      </c>
      <c r="AP75" s="93">
        <f>IF(AM75&gt;0, "Under",IF(AM75&lt;0,"Over",""))</f>
        <v/>
      </c>
      <c r="AQ75" s="94">
        <f>IF(AN75&gt;0, "Under",IF(AN75&lt;0,"Over",""))</f>
        <v/>
      </c>
      <c r="AR75" s="94">
        <f>IF(AO75&gt;0, "Under",IF(AO75&lt;0,"Over",""))</f>
        <v/>
      </c>
      <c r="AS75" s="3" t="n"/>
    </row>
    <row r="76">
      <c r="A76" t="inlineStr">
        <is>
          <t>0-4005-01</t>
        </is>
      </c>
      <c r="B76" t="inlineStr">
        <is>
          <t>0-4005-01-Civil FOE</t>
        </is>
      </c>
      <c r="C76" s="113" t="n">
        <v>0</v>
      </c>
      <c r="D76" s="114" t="n">
        <v>0</v>
      </c>
      <c r="E76" s="114" t="n">
        <v>0</v>
      </c>
      <c r="F76" s="113" t="n">
        <v>0</v>
      </c>
      <c r="G76" s="114" t="n">
        <v>0</v>
      </c>
      <c r="H76" s="114" t="n">
        <v>7988.362888888922</v>
      </c>
      <c r="I76" s="113" t="n">
        <v>0</v>
      </c>
      <c r="J76" s="114" t="n">
        <v>0</v>
      </c>
      <c r="K76" s="114" t="n">
        <v>0</v>
      </c>
      <c r="L76" s="113" t="n">
        <v>0</v>
      </c>
      <c r="M76" s="114" t="n">
        <v>0</v>
      </c>
      <c r="N76" s="114" t="n">
        <v>0</v>
      </c>
      <c r="O76" s="113">
        <f>L76+I76+F76+C76</f>
        <v/>
      </c>
      <c r="P76" s="114">
        <f>M76+J76+G76+D76</f>
        <v/>
      </c>
      <c r="Q76" s="114">
        <f>N76+K76+H76+E76</f>
        <v/>
      </c>
      <c r="R76" s="113">
        <f>SUMIFS('PO Log'!$E:$E,'PO Log'!$D:$D,'Category Table'!R$2,'PO Log'!$C:$C,'Category Table'!$A76)</f>
        <v/>
      </c>
      <c r="S76" s="114">
        <f>SUMIFS('PO Log'!$E:$E,'PO Log'!$D:$D,'Category Table'!S$2,'PO Log'!$C:$C,'Category Table'!$A76)</f>
        <v/>
      </c>
      <c r="T76" s="114">
        <f>SUMIFS('PO Log'!$E:$E,'PO Log'!$D:$D,'Category Table'!T$2,'PO Log'!$C:$C,'Category Table'!$A76)</f>
        <v/>
      </c>
      <c r="U76" s="113">
        <f>SUMIFS('Committments Dump'!$Q:$Q,'Committments Dump'!$C:$C,'Category Table'!U$2,'Committments Dump'!$B:$B,'Category Table'!$A76)</f>
        <v/>
      </c>
      <c r="V76" s="114">
        <f>SUMIFS('Committments Dump'!$Q:$Q,'Committments Dump'!$C:$C,'Category Table'!V$2,'Committments Dump'!$B:$B,'Category Table'!$A76)</f>
        <v/>
      </c>
      <c r="W76" s="114">
        <f>SUMIFS('Committments Dump'!$Q:$Q,'Committments Dump'!$C:$C,'Category Table'!W$2,'Committments Dump'!$B:$B,'Category Table'!$A76)</f>
        <v/>
      </c>
      <c r="X76" s="113">
        <f>SUMIFS('Committments Dump'!$R:$R,'Committments Dump'!$C:$C,'Category Table'!X$2,'Committments Dump'!$B:$B,'Category Table'!$A76)</f>
        <v/>
      </c>
      <c r="Y76" s="114">
        <f>SUMIFS('Committments Dump'!$R:$R,'Committments Dump'!$C:$C,'Category Table'!Y$2,'Committments Dump'!$B:$B,'Category Table'!$A76)</f>
        <v/>
      </c>
      <c r="Z76" s="114">
        <f>SUMIFS('Committments Dump'!$R:$R,'Committments Dump'!$C:$C,'Category Table'!Z$2,'Committments Dump'!$B:$B,'Category Table'!$A76)</f>
        <v/>
      </c>
      <c r="AA76" s="113">
        <f>SUMIFS('Committments Dump'!$S:$S,'Committments Dump'!$C:$C,'Category Table'!AA$2,'Committments Dump'!$B:$B,'Category Table'!$A76)</f>
        <v/>
      </c>
      <c r="AB76" s="114">
        <f>SUMIFS('Committments Dump'!$S:$S,'Committments Dump'!$C:$C,'Category Table'!AB$2,'Committments Dump'!$B:$B,'Category Table'!$A76)</f>
        <v/>
      </c>
      <c r="AC76" s="114">
        <f>SUMIFS('Committments Dump'!$S:$S,'Committments Dump'!$C:$C,'Category Table'!AC$2,'Committments Dump'!$B:$B,'Category Table'!$A76)</f>
        <v/>
      </c>
      <c r="AD76" s="113">
        <f>U76+X76+AA76</f>
        <v/>
      </c>
      <c r="AE76" s="114">
        <f>V76+Y76+AB76</f>
        <v/>
      </c>
      <c r="AF76" s="114">
        <f>W76+Z76+AC76</f>
        <v/>
      </c>
      <c r="AG76" s="113">
        <f>R76+AD76</f>
        <v/>
      </c>
      <c r="AH76" s="114">
        <f>S76+AE76</f>
        <v/>
      </c>
      <c r="AI76" s="114">
        <f>T76+AF76</f>
        <v/>
      </c>
      <c r="AJ76" s="113" t="n"/>
      <c r="AK76" s="114" t="n"/>
      <c r="AL76" s="114" t="n"/>
      <c r="AM76" s="113">
        <f>(O76-AG76)+AJ76</f>
        <v/>
      </c>
      <c r="AN76" s="114">
        <f>(P76-AH76)+AK76</f>
        <v/>
      </c>
      <c r="AO76" s="114">
        <f>(Q76-AI76)+AL76</f>
        <v/>
      </c>
      <c r="AP76" s="2">
        <f>IF(AM76&gt;0, "Under",IF(AM76&lt;0,"Over",""))</f>
        <v/>
      </c>
      <c r="AQ76" s="1">
        <f>IF(AN76&gt;0, "Under",IF(AN76&lt;0,"Over",""))</f>
        <v/>
      </c>
      <c r="AR76" s="1">
        <f>IF(AO76&gt;0, "Under",IF(AO76&lt;0,"Over",""))</f>
        <v/>
      </c>
      <c r="AS76" s="3" t="n"/>
    </row>
    <row r="77">
      <c r="A77" s="90" t="inlineStr">
        <is>
          <t>0-4100</t>
        </is>
      </c>
      <c r="B77" s="90" t="inlineStr">
        <is>
          <t>0-4100-Silt Fence</t>
        </is>
      </c>
      <c r="C77" s="115" t="n">
        <v>0</v>
      </c>
      <c r="D77" s="116" t="n">
        <v>48956.07</v>
      </c>
      <c r="E77" s="116" t="n">
        <v>0</v>
      </c>
      <c r="F77" s="115" t="n">
        <v>0</v>
      </c>
      <c r="G77" s="116" t="n">
        <v>0</v>
      </c>
      <c r="H77" s="116" t="n">
        <v>8000</v>
      </c>
      <c r="I77" s="115" t="n">
        <v>0</v>
      </c>
      <c r="J77" s="116" t="n">
        <v>0</v>
      </c>
      <c r="K77" s="116" t="n">
        <v>0</v>
      </c>
      <c r="L77" s="115" t="n">
        <v>0</v>
      </c>
      <c r="M77" s="116" t="n">
        <v>0</v>
      </c>
      <c r="N77" s="116" t="n">
        <v>0</v>
      </c>
      <c r="O77" s="115">
        <f>L77+I77+F77+C77</f>
        <v/>
      </c>
      <c r="P77" s="116">
        <f>M77+J77+G77+D77</f>
        <v/>
      </c>
      <c r="Q77" s="116">
        <f>N77+K77+H77+E77</f>
        <v/>
      </c>
      <c r="R77" s="115">
        <f>SUMIFS('PO Log'!$E:$E,'PO Log'!$D:$D,'Category Table'!R$2,'PO Log'!$C:$C,'Category Table'!$A77)</f>
        <v/>
      </c>
      <c r="S77" s="116">
        <f>SUMIFS('PO Log'!$E:$E,'PO Log'!$D:$D,'Category Table'!S$2,'PO Log'!$C:$C,'Category Table'!$A77)</f>
        <v/>
      </c>
      <c r="T77" s="116">
        <f>SUMIFS('PO Log'!$E:$E,'PO Log'!$D:$D,'Category Table'!T$2,'PO Log'!$C:$C,'Category Table'!$A77)</f>
        <v/>
      </c>
      <c r="U77" s="115">
        <f>SUMIFS('Committments Dump'!$Q:$Q,'Committments Dump'!$C:$C,'Category Table'!U$2,'Committments Dump'!$B:$B,'Category Table'!$A77)</f>
        <v/>
      </c>
      <c r="V77" s="116">
        <f>SUMIFS('Committments Dump'!$Q:$Q,'Committments Dump'!$C:$C,'Category Table'!V$2,'Committments Dump'!$B:$B,'Category Table'!$A77)</f>
        <v/>
      </c>
      <c r="W77" s="116">
        <f>SUMIFS('Committments Dump'!$Q:$Q,'Committments Dump'!$C:$C,'Category Table'!W$2,'Committments Dump'!$B:$B,'Category Table'!$A77)</f>
        <v/>
      </c>
      <c r="X77" s="115">
        <f>SUMIFS('Committments Dump'!$R:$R,'Committments Dump'!$C:$C,'Category Table'!X$2,'Committments Dump'!$B:$B,'Category Table'!$A77)</f>
        <v/>
      </c>
      <c r="Y77" s="116">
        <f>SUMIFS('Committments Dump'!$R:$R,'Committments Dump'!$C:$C,'Category Table'!Y$2,'Committments Dump'!$B:$B,'Category Table'!$A77)</f>
        <v/>
      </c>
      <c r="Z77" s="116">
        <f>SUMIFS('Committments Dump'!$R:$R,'Committments Dump'!$C:$C,'Category Table'!Z$2,'Committments Dump'!$B:$B,'Category Table'!$A77)</f>
        <v/>
      </c>
      <c r="AA77" s="115">
        <f>SUMIFS('Committments Dump'!$S:$S,'Committments Dump'!$C:$C,'Category Table'!AA$2,'Committments Dump'!$B:$B,'Category Table'!$A77)</f>
        <v/>
      </c>
      <c r="AB77" s="116">
        <f>SUMIFS('Committments Dump'!$S:$S,'Committments Dump'!$C:$C,'Category Table'!AB$2,'Committments Dump'!$B:$B,'Category Table'!$A77)</f>
        <v/>
      </c>
      <c r="AC77" s="116">
        <f>SUMIFS('Committments Dump'!$S:$S,'Committments Dump'!$C:$C,'Category Table'!AC$2,'Committments Dump'!$B:$B,'Category Table'!$A77)</f>
        <v/>
      </c>
      <c r="AD77" s="115">
        <f>U77+X77+AA77</f>
        <v/>
      </c>
      <c r="AE77" s="116">
        <f>V77+Y77+AB77</f>
        <v/>
      </c>
      <c r="AF77" s="116">
        <f>W77+Z77+AC77</f>
        <v/>
      </c>
      <c r="AG77" s="115">
        <f>R77+AD77</f>
        <v/>
      </c>
      <c r="AH77" s="116">
        <f>S77+AE77</f>
        <v/>
      </c>
      <c r="AI77" s="116">
        <f>T77+AF77</f>
        <v/>
      </c>
      <c r="AJ77" s="115" t="n"/>
      <c r="AK77" s="116" t="n"/>
      <c r="AL77" s="116" t="n"/>
      <c r="AM77" s="115">
        <f>(O77-AG77)+AJ77</f>
        <v/>
      </c>
      <c r="AN77" s="116">
        <f>(P77-AH77)+AK77</f>
        <v/>
      </c>
      <c r="AO77" s="116">
        <f>(Q77-AI77)+AL77</f>
        <v/>
      </c>
      <c r="AP77" s="93">
        <f>IF(AM77&gt;0, "Under",IF(AM77&lt;0,"Over",""))</f>
        <v/>
      </c>
      <c r="AQ77" s="94">
        <f>IF(AN77&gt;0, "Under",IF(AN77&lt;0,"Over",""))</f>
        <v/>
      </c>
      <c r="AR77" s="94">
        <f>IF(AO77&gt;0, "Under",IF(AO77&lt;0,"Over",""))</f>
        <v/>
      </c>
      <c r="AS77" s="3" t="n"/>
    </row>
    <row r="78">
      <c r="A78" t="inlineStr">
        <is>
          <t>0-4100-01</t>
        </is>
      </c>
      <c r="B78" t="inlineStr">
        <is>
          <t>0-4100-01-Erosion Control</t>
        </is>
      </c>
      <c r="C78" s="113" t="n">
        <v>0</v>
      </c>
      <c r="D78" s="114" t="n">
        <v>24756.07</v>
      </c>
      <c r="E78" s="114" t="n">
        <v>0</v>
      </c>
      <c r="F78" s="113" t="n">
        <v>0</v>
      </c>
      <c r="G78" s="114" t="n">
        <v>0</v>
      </c>
      <c r="H78" s="114" t="n">
        <v>18278.9266526316</v>
      </c>
      <c r="I78" s="113" t="n">
        <v>0</v>
      </c>
      <c r="J78" s="114" t="n">
        <v>0</v>
      </c>
      <c r="K78" s="114" t="n">
        <v>0</v>
      </c>
      <c r="L78" s="113" t="n">
        <v>0</v>
      </c>
      <c r="M78" s="114" t="n">
        <v>82.58000000000175</v>
      </c>
      <c r="N78" s="114" t="n">
        <v>99900</v>
      </c>
      <c r="O78" s="113">
        <f>L78+I78+F78+C78</f>
        <v/>
      </c>
      <c r="P78" s="114">
        <f>M78+J78+G78+D78</f>
        <v/>
      </c>
      <c r="Q78" s="114">
        <f>N78+K78+H78+E78</f>
        <v/>
      </c>
      <c r="R78" s="113">
        <f>SUMIFS('PO Log'!$E:$E,'PO Log'!$D:$D,'Category Table'!R$2,'PO Log'!$C:$C,'Category Table'!$A78)</f>
        <v/>
      </c>
      <c r="S78" s="114">
        <f>SUMIFS('PO Log'!$E:$E,'PO Log'!$D:$D,'Category Table'!S$2,'PO Log'!$C:$C,'Category Table'!$A78)</f>
        <v/>
      </c>
      <c r="T78" s="114">
        <f>SUMIFS('PO Log'!$E:$E,'PO Log'!$D:$D,'Category Table'!T$2,'PO Log'!$C:$C,'Category Table'!$A78)</f>
        <v/>
      </c>
      <c r="U78" s="113">
        <f>SUMIFS('Committments Dump'!$Q:$Q,'Committments Dump'!$C:$C,'Category Table'!U$2,'Committments Dump'!$B:$B,'Category Table'!$A78)</f>
        <v/>
      </c>
      <c r="V78" s="114">
        <f>SUMIFS('Committments Dump'!$Q:$Q,'Committments Dump'!$C:$C,'Category Table'!V$2,'Committments Dump'!$B:$B,'Category Table'!$A78)</f>
        <v/>
      </c>
      <c r="W78" s="114">
        <f>SUMIFS('Committments Dump'!$Q:$Q,'Committments Dump'!$C:$C,'Category Table'!W$2,'Committments Dump'!$B:$B,'Category Table'!$A78)</f>
        <v/>
      </c>
      <c r="X78" s="113">
        <f>SUMIFS('Committments Dump'!$R:$R,'Committments Dump'!$C:$C,'Category Table'!X$2,'Committments Dump'!$B:$B,'Category Table'!$A78)</f>
        <v/>
      </c>
      <c r="Y78" s="114">
        <f>SUMIFS('Committments Dump'!$R:$R,'Committments Dump'!$C:$C,'Category Table'!Y$2,'Committments Dump'!$B:$B,'Category Table'!$A78)</f>
        <v/>
      </c>
      <c r="Z78" s="114">
        <f>SUMIFS('Committments Dump'!$R:$R,'Committments Dump'!$C:$C,'Category Table'!Z$2,'Committments Dump'!$B:$B,'Category Table'!$A78)</f>
        <v/>
      </c>
      <c r="AA78" s="113">
        <f>SUMIFS('Committments Dump'!$S:$S,'Committments Dump'!$C:$C,'Category Table'!AA$2,'Committments Dump'!$B:$B,'Category Table'!$A78)</f>
        <v/>
      </c>
      <c r="AB78" s="114">
        <f>SUMIFS('Committments Dump'!$S:$S,'Committments Dump'!$C:$C,'Category Table'!AB$2,'Committments Dump'!$B:$B,'Category Table'!$A78)</f>
        <v/>
      </c>
      <c r="AC78" s="114">
        <f>SUMIFS('Committments Dump'!$S:$S,'Committments Dump'!$C:$C,'Category Table'!AC$2,'Committments Dump'!$B:$B,'Category Table'!$A78)</f>
        <v/>
      </c>
      <c r="AD78" s="113">
        <f>U78+X78+AA78</f>
        <v/>
      </c>
      <c r="AE78" s="114">
        <f>V78+Y78+AB78</f>
        <v/>
      </c>
      <c r="AF78" s="114">
        <f>W78+Z78+AC78</f>
        <v/>
      </c>
      <c r="AG78" s="113">
        <f>R78+AD78</f>
        <v/>
      </c>
      <c r="AH78" s="114">
        <f>S78+AE78</f>
        <v/>
      </c>
      <c r="AI78" s="114">
        <f>T78+AF78</f>
        <v/>
      </c>
      <c r="AJ78" s="113" t="n"/>
      <c r="AK78" s="114" t="n"/>
      <c r="AL78" s="114" t="n"/>
      <c r="AM78" s="113">
        <f>(O78-AG78)+AJ78</f>
        <v/>
      </c>
      <c r="AN78" s="114">
        <f>(P78-AH78)+AK78</f>
        <v/>
      </c>
      <c r="AO78" s="114">
        <f>(Q78-AI78)+AL78</f>
        <v/>
      </c>
      <c r="AP78" s="2">
        <f>IF(AM78&gt;0, "Under",IF(AM78&lt;0,"Over",""))</f>
        <v/>
      </c>
      <c r="AQ78" s="1">
        <f>IF(AN78&gt;0, "Under",IF(AN78&lt;0,"Over",""))</f>
        <v/>
      </c>
      <c r="AR78" s="1">
        <f>IF(AO78&gt;0, "Under",IF(AO78&lt;0,"Over",""))</f>
        <v/>
      </c>
      <c r="AS78" s="3" t="n"/>
    </row>
    <row r="79">
      <c r="A79" s="90" t="inlineStr">
        <is>
          <t>0-4101</t>
        </is>
      </c>
      <c r="B79" s="90" t="inlineStr">
        <is>
          <t>0-4101-Clearing &amp; Grubbing</t>
        </is>
      </c>
      <c r="C79" s="115" t="n">
        <v>0</v>
      </c>
      <c r="D79" s="116" t="n">
        <v>0</v>
      </c>
      <c r="E79" s="116" t="n">
        <v>0</v>
      </c>
      <c r="F79" s="115" t="n">
        <v>0</v>
      </c>
      <c r="G79" s="116" t="n">
        <v>0</v>
      </c>
      <c r="H79" s="116" t="n">
        <v>0</v>
      </c>
      <c r="I79" s="115" t="n">
        <v>0</v>
      </c>
      <c r="J79" s="116" t="n">
        <v>0</v>
      </c>
      <c r="K79" s="116" t="n">
        <v>0</v>
      </c>
      <c r="L79" s="115" t="n">
        <v>0</v>
      </c>
      <c r="M79" s="116" t="n">
        <v>0</v>
      </c>
      <c r="N79" s="116" t="n">
        <v>0</v>
      </c>
      <c r="O79" s="115">
        <f>L79+I79+F79+C79</f>
        <v/>
      </c>
      <c r="P79" s="116">
        <f>M79+J79+G79+D79</f>
        <v/>
      </c>
      <c r="Q79" s="116">
        <f>N79+K79+H79+E79</f>
        <v/>
      </c>
      <c r="R79" s="115">
        <f>SUMIFS('PO Log'!$E:$E,'PO Log'!$D:$D,'Category Table'!R$2,'PO Log'!$C:$C,'Category Table'!$A79)</f>
        <v/>
      </c>
      <c r="S79" s="116">
        <f>SUMIFS('PO Log'!$E:$E,'PO Log'!$D:$D,'Category Table'!S$2,'PO Log'!$C:$C,'Category Table'!$A79)</f>
        <v/>
      </c>
      <c r="T79" s="116">
        <f>SUMIFS('PO Log'!$E:$E,'PO Log'!$D:$D,'Category Table'!T$2,'PO Log'!$C:$C,'Category Table'!$A79)</f>
        <v/>
      </c>
      <c r="U79" s="115">
        <f>SUMIFS('Committments Dump'!$Q:$Q,'Committments Dump'!$C:$C,'Category Table'!U$2,'Committments Dump'!$B:$B,'Category Table'!$A79)</f>
        <v/>
      </c>
      <c r="V79" s="116">
        <f>SUMIFS('Committments Dump'!$Q:$Q,'Committments Dump'!$C:$C,'Category Table'!V$2,'Committments Dump'!$B:$B,'Category Table'!$A79)</f>
        <v/>
      </c>
      <c r="W79" s="116">
        <f>SUMIFS('Committments Dump'!$Q:$Q,'Committments Dump'!$C:$C,'Category Table'!W$2,'Committments Dump'!$B:$B,'Category Table'!$A79)</f>
        <v/>
      </c>
      <c r="X79" s="115">
        <f>SUMIFS('Committments Dump'!$R:$R,'Committments Dump'!$C:$C,'Category Table'!X$2,'Committments Dump'!$B:$B,'Category Table'!$A79)</f>
        <v/>
      </c>
      <c r="Y79" s="116">
        <f>SUMIFS('Committments Dump'!$R:$R,'Committments Dump'!$C:$C,'Category Table'!Y$2,'Committments Dump'!$B:$B,'Category Table'!$A79)</f>
        <v/>
      </c>
      <c r="Z79" s="116">
        <f>SUMIFS('Committments Dump'!$R:$R,'Committments Dump'!$C:$C,'Category Table'!Z$2,'Committments Dump'!$B:$B,'Category Table'!$A79)</f>
        <v/>
      </c>
      <c r="AA79" s="115">
        <f>SUMIFS('Committments Dump'!$S:$S,'Committments Dump'!$C:$C,'Category Table'!AA$2,'Committments Dump'!$B:$B,'Category Table'!$A79)</f>
        <v/>
      </c>
      <c r="AB79" s="116">
        <f>SUMIFS('Committments Dump'!$S:$S,'Committments Dump'!$C:$C,'Category Table'!AB$2,'Committments Dump'!$B:$B,'Category Table'!$A79)</f>
        <v/>
      </c>
      <c r="AC79" s="116">
        <f>SUMIFS('Committments Dump'!$S:$S,'Committments Dump'!$C:$C,'Category Table'!AC$2,'Committments Dump'!$B:$B,'Category Table'!$A79)</f>
        <v/>
      </c>
      <c r="AD79" s="115">
        <f>U79+X79+AA79</f>
        <v/>
      </c>
      <c r="AE79" s="116">
        <f>V79+Y79+AB79</f>
        <v/>
      </c>
      <c r="AF79" s="116">
        <f>W79+Z79+AC79</f>
        <v/>
      </c>
      <c r="AG79" s="115">
        <f>R79+AD79</f>
        <v/>
      </c>
      <c r="AH79" s="116">
        <f>S79+AE79</f>
        <v/>
      </c>
      <c r="AI79" s="116">
        <f>T79+AF79</f>
        <v/>
      </c>
      <c r="AJ79" s="115" t="n"/>
      <c r="AK79" s="116" t="n"/>
      <c r="AL79" s="116" t="n"/>
      <c r="AM79" s="115">
        <f>(O79-AG79)+AJ79</f>
        <v/>
      </c>
      <c r="AN79" s="116">
        <f>(P79-AH79)+AK79</f>
        <v/>
      </c>
      <c r="AO79" s="116">
        <f>(Q79-AI79)+AL79</f>
        <v/>
      </c>
      <c r="AP79" s="93">
        <f>IF(AM79&gt;0, "Under",IF(AM79&lt;0,"Over",""))</f>
        <v/>
      </c>
      <c r="AQ79" s="94">
        <f>IF(AN79&gt;0, "Under",IF(AN79&lt;0,"Over",""))</f>
        <v/>
      </c>
      <c r="AR79" s="94">
        <f>IF(AO79&gt;0, "Under",IF(AO79&lt;0,"Over",""))</f>
        <v/>
      </c>
      <c r="AS79" s="3" t="n"/>
    </row>
    <row r="80">
      <c r="A80" t="inlineStr">
        <is>
          <t>0-4102</t>
        </is>
      </c>
      <c r="B80" t="inlineStr">
        <is>
          <t>0-4102-Cut&amp;Fill</t>
        </is>
      </c>
      <c r="C80" s="113" t="n">
        <v>0</v>
      </c>
      <c r="D80" s="114" t="n">
        <v>0</v>
      </c>
      <c r="E80" s="114" t="n">
        <v>0</v>
      </c>
      <c r="F80" s="113" t="n">
        <v>0</v>
      </c>
      <c r="G80" s="114" t="n">
        <v>0</v>
      </c>
      <c r="H80" s="114" t="n">
        <v>7477.79</v>
      </c>
      <c r="I80" s="113" t="n">
        <v>0</v>
      </c>
      <c r="J80" s="114" t="n">
        <v>0</v>
      </c>
      <c r="K80" s="114" t="n">
        <v>0</v>
      </c>
      <c r="L80" s="113" t="n">
        <v>0</v>
      </c>
      <c r="M80" s="114" t="n">
        <v>0</v>
      </c>
      <c r="N80" s="114" t="n">
        <v>0</v>
      </c>
      <c r="O80" s="113">
        <f>L80+I80+F80+C80</f>
        <v/>
      </c>
      <c r="P80" s="114">
        <f>M80+J80+G80+D80</f>
        <v/>
      </c>
      <c r="Q80" s="114">
        <f>N80+K80+H80+E80</f>
        <v/>
      </c>
      <c r="R80" s="113">
        <f>SUMIFS('PO Log'!$E:$E,'PO Log'!$D:$D,'Category Table'!R$2,'PO Log'!$C:$C,'Category Table'!$A80)</f>
        <v/>
      </c>
      <c r="S80" s="114">
        <f>SUMIFS('PO Log'!$E:$E,'PO Log'!$D:$D,'Category Table'!S$2,'PO Log'!$C:$C,'Category Table'!$A80)</f>
        <v/>
      </c>
      <c r="T80" s="114">
        <f>SUMIFS('PO Log'!$E:$E,'PO Log'!$D:$D,'Category Table'!T$2,'PO Log'!$C:$C,'Category Table'!$A80)</f>
        <v/>
      </c>
      <c r="U80" s="113">
        <f>SUMIFS('Committments Dump'!$Q:$Q,'Committments Dump'!$C:$C,'Category Table'!U$2,'Committments Dump'!$B:$B,'Category Table'!$A80)</f>
        <v/>
      </c>
      <c r="V80" s="114">
        <f>SUMIFS('Committments Dump'!$Q:$Q,'Committments Dump'!$C:$C,'Category Table'!V$2,'Committments Dump'!$B:$B,'Category Table'!$A80)</f>
        <v/>
      </c>
      <c r="W80" s="114">
        <f>SUMIFS('Committments Dump'!$Q:$Q,'Committments Dump'!$C:$C,'Category Table'!W$2,'Committments Dump'!$B:$B,'Category Table'!$A80)</f>
        <v/>
      </c>
      <c r="X80" s="113">
        <f>SUMIFS('Committments Dump'!$R:$R,'Committments Dump'!$C:$C,'Category Table'!X$2,'Committments Dump'!$B:$B,'Category Table'!$A80)</f>
        <v/>
      </c>
      <c r="Y80" s="114">
        <f>SUMIFS('Committments Dump'!$R:$R,'Committments Dump'!$C:$C,'Category Table'!Y$2,'Committments Dump'!$B:$B,'Category Table'!$A80)</f>
        <v/>
      </c>
      <c r="Z80" s="114">
        <f>SUMIFS('Committments Dump'!$R:$R,'Committments Dump'!$C:$C,'Category Table'!Z$2,'Committments Dump'!$B:$B,'Category Table'!$A80)</f>
        <v/>
      </c>
      <c r="AA80" s="113">
        <f>SUMIFS('Committments Dump'!$S:$S,'Committments Dump'!$C:$C,'Category Table'!AA$2,'Committments Dump'!$B:$B,'Category Table'!$A80)</f>
        <v/>
      </c>
      <c r="AB80" s="114">
        <f>SUMIFS('Committments Dump'!$S:$S,'Committments Dump'!$C:$C,'Category Table'!AB$2,'Committments Dump'!$B:$B,'Category Table'!$A80)</f>
        <v/>
      </c>
      <c r="AC80" s="114">
        <f>SUMIFS('Committments Dump'!$S:$S,'Committments Dump'!$C:$C,'Category Table'!AC$2,'Committments Dump'!$B:$B,'Category Table'!$A80)</f>
        <v/>
      </c>
      <c r="AD80" s="113">
        <f>U80+X80+AA80</f>
        <v/>
      </c>
      <c r="AE80" s="114">
        <f>V80+Y80+AB80</f>
        <v/>
      </c>
      <c r="AF80" s="114">
        <f>W80+Z80+AC80</f>
        <v/>
      </c>
      <c r="AG80" s="113">
        <f>R80+AD80</f>
        <v/>
      </c>
      <c r="AH80" s="114">
        <f>S80+AE80</f>
        <v/>
      </c>
      <c r="AI80" s="114">
        <f>T80+AF80</f>
        <v/>
      </c>
      <c r="AJ80" s="113" t="n"/>
      <c r="AK80" s="114" t="n"/>
      <c r="AL80" s="114" t="n"/>
      <c r="AM80" s="113">
        <f>(O80-AG80)+AJ80</f>
        <v/>
      </c>
      <c r="AN80" s="114">
        <f>(P80-AH80)+AK80</f>
        <v/>
      </c>
      <c r="AO80" s="114">
        <f>(Q80-AI80)+AL80</f>
        <v/>
      </c>
      <c r="AP80" s="2">
        <f>IF(AM80&gt;0, "Under",IF(AM80&lt;0,"Over",""))</f>
        <v/>
      </c>
      <c r="AQ80" s="1">
        <f>IF(AN80&gt;0, "Under",IF(AN80&lt;0,"Over",""))</f>
        <v/>
      </c>
      <c r="AR80" s="1">
        <f>IF(AO80&gt;0, "Under",IF(AO80&lt;0,"Over",""))</f>
        <v/>
      </c>
      <c r="AS80" s="3" t="n"/>
    </row>
    <row r="81">
      <c r="A81" s="90" t="inlineStr">
        <is>
          <t>0-4103</t>
        </is>
      </c>
      <c r="B81" s="90" t="inlineStr">
        <is>
          <t>0-4103-Drainage</t>
        </is>
      </c>
      <c r="C81" s="115" t="n">
        <v>0</v>
      </c>
      <c r="D81" s="116" t="n">
        <v>0</v>
      </c>
      <c r="E81" s="116" t="n">
        <v>0</v>
      </c>
      <c r="F81" s="115" t="n">
        <v>0</v>
      </c>
      <c r="G81" s="116" t="n">
        <v>0</v>
      </c>
      <c r="H81" s="116" t="n">
        <v>233266.3</v>
      </c>
      <c r="I81" s="115" t="n">
        <v>0</v>
      </c>
      <c r="J81" s="116" t="n">
        <v>0</v>
      </c>
      <c r="K81" s="116" t="n">
        <v>0</v>
      </c>
      <c r="L81" s="115" t="n">
        <v>0</v>
      </c>
      <c r="M81" s="116" t="n">
        <v>0</v>
      </c>
      <c r="N81" s="116" t="n">
        <v>0</v>
      </c>
      <c r="O81" s="115">
        <f>L81+I81+F81+C81</f>
        <v/>
      </c>
      <c r="P81" s="116">
        <f>M81+J81+G81+D81</f>
        <v/>
      </c>
      <c r="Q81" s="116">
        <f>N81+K81+H81+E81</f>
        <v/>
      </c>
      <c r="R81" s="115">
        <f>SUMIFS('PO Log'!$E:$E,'PO Log'!$D:$D,'Category Table'!R$2,'PO Log'!$C:$C,'Category Table'!$A81)</f>
        <v/>
      </c>
      <c r="S81" s="116">
        <f>SUMIFS('PO Log'!$E:$E,'PO Log'!$D:$D,'Category Table'!S$2,'PO Log'!$C:$C,'Category Table'!$A81)</f>
        <v/>
      </c>
      <c r="T81" s="116">
        <f>SUMIFS('PO Log'!$E:$E,'PO Log'!$D:$D,'Category Table'!T$2,'PO Log'!$C:$C,'Category Table'!$A81)</f>
        <v/>
      </c>
      <c r="U81" s="115">
        <f>SUMIFS('Committments Dump'!$Q:$Q,'Committments Dump'!$C:$C,'Category Table'!U$2,'Committments Dump'!$B:$B,'Category Table'!$A81)</f>
        <v/>
      </c>
      <c r="V81" s="116">
        <f>SUMIFS('Committments Dump'!$Q:$Q,'Committments Dump'!$C:$C,'Category Table'!V$2,'Committments Dump'!$B:$B,'Category Table'!$A81)</f>
        <v/>
      </c>
      <c r="W81" s="116">
        <f>SUMIFS('Committments Dump'!$Q:$Q,'Committments Dump'!$C:$C,'Category Table'!W$2,'Committments Dump'!$B:$B,'Category Table'!$A81)</f>
        <v/>
      </c>
      <c r="X81" s="115">
        <f>SUMIFS('Committments Dump'!$R:$R,'Committments Dump'!$C:$C,'Category Table'!X$2,'Committments Dump'!$B:$B,'Category Table'!$A81)</f>
        <v/>
      </c>
      <c r="Y81" s="116">
        <f>SUMIFS('Committments Dump'!$R:$R,'Committments Dump'!$C:$C,'Category Table'!Y$2,'Committments Dump'!$B:$B,'Category Table'!$A81)</f>
        <v/>
      </c>
      <c r="Z81" s="116">
        <f>SUMIFS('Committments Dump'!$R:$R,'Committments Dump'!$C:$C,'Category Table'!Z$2,'Committments Dump'!$B:$B,'Category Table'!$A81)</f>
        <v/>
      </c>
      <c r="AA81" s="115">
        <f>SUMIFS('Committments Dump'!$S:$S,'Committments Dump'!$C:$C,'Category Table'!AA$2,'Committments Dump'!$B:$B,'Category Table'!$A81)</f>
        <v/>
      </c>
      <c r="AB81" s="116">
        <f>SUMIFS('Committments Dump'!$S:$S,'Committments Dump'!$C:$C,'Category Table'!AB$2,'Committments Dump'!$B:$B,'Category Table'!$A81)</f>
        <v/>
      </c>
      <c r="AC81" s="116">
        <f>SUMIFS('Committments Dump'!$S:$S,'Committments Dump'!$C:$C,'Category Table'!AC$2,'Committments Dump'!$B:$B,'Category Table'!$A81)</f>
        <v/>
      </c>
      <c r="AD81" s="115">
        <f>U81+X81+AA81</f>
        <v/>
      </c>
      <c r="AE81" s="116">
        <f>V81+Y81+AB81</f>
        <v/>
      </c>
      <c r="AF81" s="116">
        <f>W81+Z81+AC81</f>
        <v/>
      </c>
      <c r="AG81" s="115">
        <f>R81+AD81</f>
        <v/>
      </c>
      <c r="AH81" s="116">
        <f>S81+AE81</f>
        <v/>
      </c>
      <c r="AI81" s="116">
        <f>T81+AF81</f>
        <v/>
      </c>
      <c r="AJ81" s="115" t="n"/>
      <c r="AK81" s="116" t="n"/>
      <c r="AL81" s="116" t="n"/>
      <c r="AM81" s="115">
        <f>(O81-AG81)+AJ81</f>
        <v/>
      </c>
      <c r="AN81" s="116">
        <f>(P81-AH81)+AK81</f>
        <v/>
      </c>
      <c r="AO81" s="116">
        <f>(Q81-AI81)+AL81</f>
        <v/>
      </c>
      <c r="AP81" s="93">
        <f>IF(AM81&gt;0, "Under",IF(AM81&lt;0,"Over",""))</f>
        <v/>
      </c>
      <c r="AQ81" s="94">
        <f>IF(AN81&gt;0, "Under",IF(AN81&lt;0,"Over",""))</f>
        <v/>
      </c>
      <c r="AR81" s="94">
        <f>IF(AO81&gt;0, "Under",IF(AO81&lt;0,"Over",""))</f>
        <v/>
      </c>
      <c r="AS81" s="3" t="n"/>
    </row>
    <row r="82">
      <c r="A82" t="inlineStr">
        <is>
          <t>0-4104</t>
        </is>
      </c>
      <c r="B82" t="inlineStr">
        <is>
          <t>0-4104-Grading</t>
        </is>
      </c>
      <c r="C82" s="113" t="n">
        <v>0</v>
      </c>
      <c r="D82" s="114" t="n">
        <v>0</v>
      </c>
      <c r="E82" s="114" t="n">
        <v>0</v>
      </c>
      <c r="F82" s="113" t="n">
        <v>0</v>
      </c>
      <c r="G82" s="114" t="n">
        <v>0</v>
      </c>
      <c r="H82" s="114" t="n">
        <v>2165</v>
      </c>
      <c r="I82" s="113" t="n">
        <v>0</v>
      </c>
      <c r="J82" s="114" t="n">
        <v>0</v>
      </c>
      <c r="K82" s="114" t="n">
        <v>0</v>
      </c>
      <c r="L82" s="113" t="n">
        <v>0</v>
      </c>
      <c r="M82" s="114" t="n">
        <v>0</v>
      </c>
      <c r="N82" s="114" t="n">
        <v>0</v>
      </c>
      <c r="O82" s="113">
        <f>L82+I82+F82+C82</f>
        <v/>
      </c>
      <c r="P82" s="114">
        <f>M82+J82+G82+D82</f>
        <v/>
      </c>
      <c r="Q82" s="114">
        <f>N82+K82+H82+E82</f>
        <v/>
      </c>
      <c r="R82" s="113">
        <f>SUMIFS('PO Log'!$E:$E,'PO Log'!$D:$D,'Category Table'!R$2,'PO Log'!$C:$C,'Category Table'!$A82)</f>
        <v/>
      </c>
      <c r="S82" s="114">
        <f>SUMIFS('PO Log'!$E:$E,'PO Log'!$D:$D,'Category Table'!S$2,'PO Log'!$C:$C,'Category Table'!$A82)</f>
        <v/>
      </c>
      <c r="T82" s="114">
        <f>SUMIFS('PO Log'!$E:$E,'PO Log'!$D:$D,'Category Table'!T$2,'PO Log'!$C:$C,'Category Table'!$A82)</f>
        <v/>
      </c>
      <c r="U82" s="113">
        <f>SUMIFS('Committments Dump'!$Q:$Q,'Committments Dump'!$C:$C,'Category Table'!U$2,'Committments Dump'!$B:$B,'Category Table'!$A82)</f>
        <v/>
      </c>
      <c r="V82" s="114">
        <f>SUMIFS('Committments Dump'!$Q:$Q,'Committments Dump'!$C:$C,'Category Table'!V$2,'Committments Dump'!$B:$B,'Category Table'!$A82)</f>
        <v/>
      </c>
      <c r="W82" s="114">
        <f>SUMIFS('Committments Dump'!$Q:$Q,'Committments Dump'!$C:$C,'Category Table'!W$2,'Committments Dump'!$B:$B,'Category Table'!$A82)</f>
        <v/>
      </c>
      <c r="X82" s="113">
        <f>SUMIFS('Committments Dump'!$R:$R,'Committments Dump'!$C:$C,'Category Table'!X$2,'Committments Dump'!$B:$B,'Category Table'!$A82)</f>
        <v/>
      </c>
      <c r="Y82" s="114">
        <f>SUMIFS('Committments Dump'!$R:$R,'Committments Dump'!$C:$C,'Category Table'!Y$2,'Committments Dump'!$B:$B,'Category Table'!$A82)</f>
        <v/>
      </c>
      <c r="Z82" s="114">
        <f>SUMIFS('Committments Dump'!$R:$R,'Committments Dump'!$C:$C,'Category Table'!Z$2,'Committments Dump'!$B:$B,'Category Table'!$A82)</f>
        <v/>
      </c>
      <c r="AA82" s="113">
        <f>SUMIFS('Committments Dump'!$S:$S,'Committments Dump'!$C:$C,'Category Table'!AA$2,'Committments Dump'!$B:$B,'Category Table'!$A82)</f>
        <v/>
      </c>
      <c r="AB82" s="114">
        <f>SUMIFS('Committments Dump'!$S:$S,'Committments Dump'!$C:$C,'Category Table'!AB$2,'Committments Dump'!$B:$B,'Category Table'!$A82)</f>
        <v/>
      </c>
      <c r="AC82" s="114">
        <f>SUMIFS('Committments Dump'!$S:$S,'Committments Dump'!$C:$C,'Category Table'!AC$2,'Committments Dump'!$B:$B,'Category Table'!$A82)</f>
        <v/>
      </c>
      <c r="AD82" s="113">
        <f>U82+X82+AA82</f>
        <v/>
      </c>
      <c r="AE82" s="114">
        <f>V82+Y82+AB82</f>
        <v/>
      </c>
      <c r="AF82" s="114">
        <f>W82+Z82+AC82</f>
        <v/>
      </c>
      <c r="AG82" s="113">
        <f>R82+AD82</f>
        <v/>
      </c>
      <c r="AH82" s="114">
        <f>S82+AE82</f>
        <v/>
      </c>
      <c r="AI82" s="114">
        <f>T82+AF82</f>
        <v/>
      </c>
      <c r="AJ82" s="113" t="n"/>
      <c r="AK82" s="114" t="n"/>
      <c r="AL82" s="114" t="n"/>
      <c r="AM82" s="113">
        <f>(O82-AG82)+AJ82</f>
        <v/>
      </c>
      <c r="AN82" s="114">
        <f>(P82-AH82)+AK82</f>
        <v/>
      </c>
      <c r="AO82" s="114">
        <f>(Q82-AI82)+AL82</f>
        <v/>
      </c>
      <c r="AP82" s="2">
        <f>IF(AM82&gt;0, "Under",IF(AM82&lt;0,"Over",""))</f>
        <v/>
      </c>
      <c r="AQ82" s="1">
        <f>IF(AN82&gt;0, "Under",IF(AN82&lt;0,"Over",""))</f>
        <v/>
      </c>
      <c r="AR82" s="1">
        <f>IF(AO82&gt;0, "Under",IF(AO82&lt;0,"Over",""))</f>
        <v/>
      </c>
      <c r="AS82" s="3" t="n"/>
    </row>
    <row r="83">
      <c r="A83" s="90" t="inlineStr">
        <is>
          <t>0-4105</t>
        </is>
      </c>
      <c r="B83" s="90" t="inlineStr">
        <is>
          <t>0-4105-Top Soil Stripping</t>
        </is>
      </c>
      <c r="C83" s="115" t="n">
        <v>0</v>
      </c>
      <c r="D83" s="116" t="n">
        <v>0</v>
      </c>
      <c r="E83" s="116" t="n">
        <v>0</v>
      </c>
      <c r="F83" s="115" t="n">
        <v>0</v>
      </c>
      <c r="G83" s="116" t="n">
        <v>0</v>
      </c>
      <c r="H83" s="116" t="n">
        <v>0</v>
      </c>
      <c r="I83" s="115" t="n">
        <v>0</v>
      </c>
      <c r="J83" s="116" t="n">
        <v>0</v>
      </c>
      <c r="K83" s="116" t="n">
        <v>0</v>
      </c>
      <c r="L83" s="115" t="n">
        <v>0</v>
      </c>
      <c r="M83" s="116" t="n">
        <v>0</v>
      </c>
      <c r="N83" s="116" t="n">
        <v>0</v>
      </c>
      <c r="O83" s="115">
        <f>L83+I83+F83+C83</f>
        <v/>
      </c>
      <c r="P83" s="116">
        <f>M83+J83+G83+D83</f>
        <v/>
      </c>
      <c r="Q83" s="116">
        <f>N83+K83+H83+E83</f>
        <v/>
      </c>
      <c r="R83" s="115">
        <f>SUMIFS('PO Log'!$E:$E,'PO Log'!$D:$D,'Category Table'!R$2,'PO Log'!$C:$C,'Category Table'!$A83)</f>
        <v/>
      </c>
      <c r="S83" s="116">
        <f>SUMIFS('PO Log'!$E:$E,'PO Log'!$D:$D,'Category Table'!S$2,'PO Log'!$C:$C,'Category Table'!$A83)</f>
        <v/>
      </c>
      <c r="T83" s="116">
        <f>SUMIFS('PO Log'!$E:$E,'PO Log'!$D:$D,'Category Table'!T$2,'PO Log'!$C:$C,'Category Table'!$A83)</f>
        <v/>
      </c>
      <c r="U83" s="115">
        <f>SUMIFS('Committments Dump'!$Q:$Q,'Committments Dump'!$C:$C,'Category Table'!U$2,'Committments Dump'!$B:$B,'Category Table'!$A83)</f>
        <v/>
      </c>
      <c r="V83" s="116">
        <f>SUMIFS('Committments Dump'!$Q:$Q,'Committments Dump'!$C:$C,'Category Table'!V$2,'Committments Dump'!$B:$B,'Category Table'!$A83)</f>
        <v/>
      </c>
      <c r="W83" s="116">
        <f>SUMIFS('Committments Dump'!$Q:$Q,'Committments Dump'!$C:$C,'Category Table'!W$2,'Committments Dump'!$B:$B,'Category Table'!$A83)</f>
        <v/>
      </c>
      <c r="X83" s="115">
        <f>SUMIFS('Committments Dump'!$R:$R,'Committments Dump'!$C:$C,'Category Table'!X$2,'Committments Dump'!$B:$B,'Category Table'!$A83)</f>
        <v/>
      </c>
      <c r="Y83" s="116">
        <f>SUMIFS('Committments Dump'!$R:$R,'Committments Dump'!$C:$C,'Category Table'!Y$2,'Committments Dump'!$B:$B,'Category Table'!$A83)</f>
        <v/>
      </c>
      <c r="Z83" s="116">
        <f>SUMIFS('Committments Dump'!$R:$R,'Committments Dump'!$C:$C,'Category Table'!Z$2,'Committments Dump'!$B:$B,'Category Table'!$A83)</f>
        <v/>
      </c>
      <c r="AA83" s="115">
        <f>SUMIFS('Committments Dump'!$S:$S,'Committments Dump'!$C:$C,'Category Table'!AA$2,'Committments Dump'!$B:$B,'Category Table'!$A83)</f>
        <v/>
      </c>
      <c r="AB83" s="116">
        <f>SUMIFS('Committments Dump'!$S:$S,'Committments Dump'!$C:$C,'Category Table'!AB$2,'Committments Dump'!$B:$B,'Category Table'!$A83)</f>
        <v/>
      </c>
      <c r="AC83" s="116">
        <f>SUMIFS('Committments Dump'!$S:$S,'Committments Dump'!$C:$C,'Category Table'!AC$2,'Committments Dump'!$B:$B,'Category Table'!$A83)</f>
        <v/>
      </c>
      <c r="AD83" s="115">
        <f>U83+X83+AA83</f>
        <v/>
      </c>
      <c r="AE83" s="116">
        <f>V83+Y83+AB83</f>
        <v/>
      </c>
      <c r="AF83" s="116">
        <f>W83+Z83+AC83</f>
        <v/>
      </c>
      <c r="AG83" s="115">
        <f>R83+AD83</f>
        <v/>
      </c>
      <c r="AH83" s="116">
        <f>S83+AE83</f>
        <v/>
      </c>
      <c r="AI83" s="116">
        <f>T83+AF83</f>
        <v/>
      </c>
      <c r="AJ83" s="115" t="n"/>
      <c r="AK83" s="116" t="n"/>
      <c r="AL83" s="116" t="n"/>
      <c r="AM83" s="115">
        <f>(O83-AG83)+AJ83</f>
        <v/>
      </c>
      <c r="AN83" s="116">
        <f>(P83-AH83)+AK83</f>
        <v/>
      </c>
      <c r="AO83" s="116">
        <f>(Q83-AI83)+AL83</f>
        <v/>
      </c>
      <c r="AP83" s="93">
        <f>IF(AM83&gt;0, "Under",IF(AM83&lt;0,"Over",""))</f>
        <v/>
      </c>
      <c r="AQ83" s="94">
        <f>IF(AN83&gt;0, "Under",IF(AN83&lt;0,"Over",""))</f>
        <v/>
      </c>
      <c r="AR83" s="94">
        <f>IF(AO83&gt;0, "Under",IF(AO83&lt;0,"Over",""))</f>
        <v/>
      </c>
      <c r="AS83" s="3" t="n"/>
    </row>
    <row r="84">
      <c r="A84" t="inlineStr">
        <is>
          <t>0-4106</t>
        </is>
      </c>
      <c r="B84" t="inlineStr">
        <is>
          <t>0-4106-Top Soil Respread</t>
        </is>
      </c>
      <c r="C84" s="113" t="n">
        <v>0</v>
      </c>
      <c r="D84" s="114" t="n">
        <v>0</v>
      </c>
      <c r="E84" s="114" t="n">
        <v>0</v>
      </c>
      <c r="F84" s="113" t="n">
        <v>0</v>
      </c>
      <c r="G84" s="114" t="n">
        <v>0</v>
      </c>
      <c r="H84" s="114" t="n">
        <v>0</v>
      </c>
      <c r="I84" s="113" t="n">
        <v>0</v>
      </c>
      <c r="J84" s="114" t="n">
        <v>0</v>
      </c>
      <c r="K84" s="114" t="n">
        <v>0</v>
      </c>
      <c r="L84" s="113" t="n">
        <v>0</v>
      </c>
      <c r="M84" s="114" t="n">
        <v>0</v>
      </c>
      <c r="N84" s="114" t="n">
        <v>0</v>
      </c>
      <c r="O84" s="113">
        <f>L84+I84+F84+C84</f>
        <v/>
      </c>
      <c r="P84" s="114">
        <f>M84+J84+G84+D84</f>
        <v/>
      </c>
      <c r="Q84" s="114">
        <f>N84+K84+H84+E84</f>
        <v/>
      </c>
      <c r="R84" s="113">
        <f>SUMIFS('PO Log'!$E:$E,'PO Log'!$D:$D,'Category Table'!R$2,'PO Log'!$C:$C,'Category Table'!$A84)</f>
        <v/>
      </c>
      <c r="S84" s="114">
        <f>SUMIFS('PO Log'!$E:$E,'PO Log'!$D:$D,'Category Table'!S$2,'PO Log'!$C:$C,'Category Table'!$A84)</f>
        <v/>
      </c>
      <c r="T84" s="114">
        <f>SUMIFS('PO Log'!$E:$E,'PO Log'!$D:$D,'Category Table'!T$2,'PO Log'!$C:$C,'Category Table'!$A84)</f>
        <v/>
      </c>
      <c r="U84" s="113">
        <f>SUMIFS('Committments Dump'!$Q:$Q,'Committments Dump'!$C:$C,'Category Table'!U$2,'Committments Dump'!$B:$B,'Category Table'!$A84)</f>
        <v/>
      </c>
      <c r="V84" s="114">
        <f>SUMIFS('Committments Dump'!$Q:$Q,'Committments Dump'!$C:$C,'Category Table'!V$2,'Committments Dump'!$B:$B,'Category Table'!$A84)</f>
        <v/>
      </c>
      <c r="W84" s="114">
        <f>SUMIFS('Committments Dump'!$Q:$Q,'Committments Dump'!$C:$C,'Category Table'!W$2,'Committments Dump'!$B:$B,'Category Table'!$A84)</f>
        <v/>
      </c>
      <c r="X84" s="113">
        <f>SUMIFS('Committments Dump'!$R:$R,'Committments Dump'!$C:$C,'Category Table'!X$2,'Committments Dump'!$B:$B,'Category Table'!$A84)</f>
        <v/>
      </c>
      <c r="Y84" s="114">
        <f>SUMIFS('Committments Dump'!$R:$R,'Committments Dump'!$C:$C,'Category Table'!Y$2,'Committments Dump'!$B:$B,'Category Table'!$A84)</f>
        <v/>
      </c>
      <c r="Z84" s="114">
        <f>SUMIFS('Committments Dump'!$R:$R,'Committments Dump'!$C:$C,'Category Table'!Z$2,'Committments Dump'!$B:$B,'Category Table'!$A84)</f>
        <v/>
      </c>
      <c r="AA84" s="113">
        <f>SUMIFS('Committments Dump'!$S:$S,'Committments Dump'!$C:$C,'Category Table'!AA$2,'Committments Dump'!$B:$B,'Category Table'!$A84)</f>
        <v/>
      </c>
      <c r="AB84" s="114">
        <f>SUMIFS('Committments Dump'!$S:$S,'Committments Dump'!$C:$C,'Category Table'!AB$2,'Committments Dump'!$B:$B,'Category Table'!$A84)</f>
        <v/>
      </c>
      <c r="AC84" s="114">
        <f>SUMIFS('Committments Dump'!$S:$S,'Committments Dump'!$C:$C,'Category Table'!AC$2,'Committments Dump'!$B:$B,'Category Table'!$A84)</f>
        <v/>
      </c>
      <c r="AD84" s="113">
        <f>U84+X84+AA84</f>
        <v/>
      </c>
      <c r="AE84" s="114">
        <f>V84+Y84+AB84</f>
        <v/>
      </c>
      <c r="AF84" s="114">
        <f>W84+Z84+AC84</f>
        <v/>
      </c>
      <c r="AG84" s="113">
        <f>R84+AD84</f>
        <v/>
      </c>
      <c r="AH84" s="114">
        <f>S84+AE84</f>
        <v/>
      </c>
      <c r="AI84" s="114">
        <f>T84+AF84</f>
        <v/>
      </c>
      <c r="AJ84" s="113" t="n"/>
      <c r="AK84" s="114" t="n"/>
      <c r="AL84" s="114" t="n"/>
      <c r="AM84" s="113">
        <f>(O84-AG84)+AJ84</f>
        <v/>
      </c>
      <c r="AN84" s="114">
        <f>(P84-AH84)+AK84</f>
        <v/>
      </c>
      <c r="AO84" s="114">
        <f>(Q84-AI84)+AL84</f>
        <v/>
      </c>
      <c r="AP84" s="2">
        <f>IF(AM84&gt;0, "Under",IF(AM84&lt;0,"Over",""))</f>
        <v/>
      </c>
      <c r="AQ84" s="1">
        <f>IF(AN84&gt;0, "Under",IF(AN84&lt;0,"Over",""))</f>
        <v/>
      </c>
      <c r="AR84" s="1">
        <f>IF(AO84&gt;0, "Under",IF(AO84&lt;0,"Over",""))</f>
        <v/>
      </c>
      <c r="AS84" s="3" t="n"/>
    </row>
    <row r="85">
      <c r="A85" s="90" t="inlineStr">
        <is>
          <t>0-4107</t>
        </is>
      </c>
      <c r="B85" s="90" t="inlineStr">
        <is>
          <t>0-4107-Seeding &amp; Revegetation</t>
        </is>
      </c>
      <c r="C85" s="115" t="n">
        <v>0</v>
      </c>
      <c r="D85" s="116" t="n">
        <v>0</v>
      </c>
      <c r="E85" s="116" t="n">
        <v>0</v>
      </c>
      <c r="F85" s="115" t="n">
        <v>536369.283165</v>
      </c>
      <c r="G85" s="116" t="n">
        <v>0</v>
      </c>
      <c r="H85" s="116" t="n">
        <v>0</v>
      </c>
      <c r="I85" s="115" t="n">
        <v>0</v>
      </c>
      <c r="J85" s="116" t="n">
        <v>0</v>
      </c>
      <c r="K85" s="116" t="n">
        <v>0</v>
      </c>
      <c r="L85" s="115" t="n">
        <v>0</v>
      </c>
      <c r="M85" s="116" t="n">
        <v>0</v>
      </c>
      <c r="N85" s="116" t="n">
        <v>795093</v>
      </c>
      <c r="O85" s="115">
        <f>L85+I85+F85+C85</f>
        <v/>
      </c>
      <c r="P85" s="116">
        <f>M85+J85+G85+D85</f>
        <v/>
      </c>
      <c r="Q85" s="116">
        <f>N85+K85+H85+E85</f>
        <v/>
      </c>
      <c r="R85" s="115">
        <f>SUMIFS('PO Log'!$E:$E,'PO Log'!$D:$D,'Category Table'!R$2,'PO Log'!$C:$C,'Category Table'!$A85)</f>
        <v/>
      </c>
      <c r="S85" s="116">
        <f>SUMIFS('PO Log'!$E:$E,'PO Log'!$D:$D,'Category Table'!S$2,'PO Log'!$C:$C,'Category Table'!$A85)</f>
        <v/>
      </c>
      <c r="T85" s="116">
        <f>SUMIFS('PO Log'!$E:$E,'PO Log'!$D:$D,'Category Table'!T$2,'PO Log'!$C:$C,'Category Table'!$A85)</f>
        <v/>
      </c>
      <c r="U85" s="115">
        <f>SUMIFS('Committments Dump'!$Q:$Q,'Committments Dump'!$C:$C,'Category Table'!U$2,'Committments Dump'!$B:$B,'Category Table'!$A85)</f>
        <v/>
      </c>
      <c r="V85" s="116">
        <f>SUMIFS('Committments Dump'!$Q:$Q,'Committments Dump'!$C:$C,'Category Table'!V$2,'Committments Dump'!$B:$B,'Category Table'!$A85)</f>
        <v/>
      </c>
      <c r="W85" s="116">
        <f>SUMIFS('Committments Dump'!$Q:$Q,'Committments Dump'!$C:$C,'Category Table'!W$2,'Committments Dump'!$B:$B,'Category Table'!$A85)</f>
        <v/>
      </c>
      <c r="X85" s="115">
        <f>SUMIFS('Committments Dump'!$R:$R,'Committments Dump'!$C:$C,'Category Table'!X$2,'Committments Dump'!$B:$B,'Category Table'!$A85)</f>
        <v/>
      </c>
      <c r="Y85" s="116">
        <f>SUMIFS('Committments Dump'!$R:$R,'Committments Dump'!$C:$C,'Category Table'!Y$2,'Committments Dump'!$B:$B,'Category Table'!$A85)</f>
        <v/>
      </c>
      <c r="Z85" s="116">
        <f>SUMIFS('Committments Dump'!$R:$R,'Committments Dump'!$C:$C,'Category Table'!Z$2,'Committments Dump'!$B:$B,'Category Table'!$A85)</f>
        <v/>
      </c>
      <c r="AA85" s="115">
        <f>SUMIFS('Committments Dump'!$S:$S,'Committments Dump'!$C:$C,'Category Table'!AA$2,'Committments Dump'!$B:$B,'Category Table'!$A85)</f>
        <v/>
      </c>
      <c r="AB85" s="116">
        <f>SUMIFS('Committments Dump'!$S:$S,'Committments Dump'!$C:$C,'Category Table'!AB$2,'Committments Dump'!$B:$B,'Category Table'!$A85)</f>
        <v/>
      </c>
      <c r="AC85" s="116">
        <f>SUMIFS('Committments Dump'!$S:$S,'Committments Dump'!$C:$C,'Category Table'!AC$2,'Committments Dump'!$B:$B,'Category Table'!$A85)</f>
        <v/>
      </c>
      <c r="AD85" s="115">
        <f>U85+X85+AA85</f>
        <v/>
      </c>
      <c r="AE85" s="116">
        <f>V85+Y85+AB85</f>
        <v/>
      </c>
      <c r="AF85" s="116">
        <f>W85+Z85+AC85</f>
        <v/>
      </c>
      <c r="AG85" s="115">
        <f>R85+AD85</f>
        <v/>
      </c>
      <c r="AH85" s="116">
        <f>S85+AE85</f>
        <v/>
      </c>
      <c r="AI85" s="116">
        <f>T85+AF85</f>
        <v/>
      </c>
      <c r="AJ85" s="115" t="n"/>
      <c r="AK85" s="116" t="n"/>
      <c r="AL85" s="116" t="n"/>
      <c r="AM85" s="115">
        <f>(O85-AG85)+AJ85</f>
        <v/>
      </c>
      <c r="AN85" s="116">
        <f>(P85-AH85)+AK85</f>
        <v/>
      </c>
      <c r="AO85" s="116">
        <f>(Q85-AI85)+AL85</f>
        <v/>
      </c>
      <c r="AP85" s="93">
        <f>IF(AM85&gt;0, "Under",IF(AM85&lt;0,"Over",""))</f>
        <v/>
      </c>
      <c r="AQ85" s="94">
        <f>IF(AN85&gt;0, "Under",IF(AN85&lt;0,"Over",""))</f>
        <v/>
      </c>
      <c r="AR85" s="94">
        <f>IF(AO85&gt;0, "Under",IF(AO85&lt;0,"Over",""))</f>
        <v/>
      </c>
      <c r="AS85" s="3" t="n"/>
    </row>
    <row r="86">
      <c r="A86" t="inlineStr">
        <is>
          <t>0-4108</t>
        </is>
      </c>
      <c r="B86" t="inlineStr">
        <is>
          <t>0-4108-Fences &amp; Gates</t>
        </is>
      </c>
      <c r="C86" s="113" t="n">
        <v>0</v>
      </c>
      <c r="D86" s="114" t="n">
        <v>0</v>
      </c>
      <c r="E86" s="114" t="n">
        <v>0</v>
      </c>
      <c r="F86" s="113" t="n">
        <v>1066260</v>
      </c>
      <c r="G86" s="114" t="n">
        <v>0</v>
      </c>
      <c r="H86" s="114" t="n">
        <v>0</v>
      </c>
      <c r="I86" s="113" t="n">
        <v>0</v>
      </c>
      <c r="J86" s="114" t="n">
        <v>0</v>
      </c>
      <c r="K86" s="114" t="n">
        <v>0</v>
      </c>
      <c r="L86" s="113" t="n">
        <v>0</v>
      </c>
      <c r="M86" s="114" t="n">
        <v>0</v>
      </c>
      <c r="N86" s="114" t="n">
        <v>0</v>
      </c>
      <c r="O86" s="113">
        <f>L86+I86+F86+C86</f>
        <v/>
      </c>
      <c r="P86" s="114">
        <f>M86+J86+G86+D86</f>
        <v/>
      </c>
      <c r="Q86" s="114">
        <f>N86+K86+H86+E86</f>
        <v/>
      </c>
      <c r="R86" s="113">
        <f>SUMIFS('PO Log'!$E:$E,'PO Log'!$D:$D,'Category Table'!R$2,'PO Log'!$C:$C,'Category Table'!$A86)</f>
        <v/>
      </c>
      <c r="S86" s="114">
        <f>SUMIFS('PO Log'!$E:$E,'PO Log'!$D:$D,'Category Table'!S$2,'PO Log'!$C:$C,'Category Table'!$A86)</f>
        <v/>
      </c>
      <c r="T86" s="114">
        <f>SUMIFS('PO Log'!$E:$E,'PO Log'!$D:$D,'Category Table'!T$2,'PO Log'!$C:$C,'Category Table'!$A86)</f>
        <v/>
      </c>
      <c r="U86" s="113">
        <f>SUMIFS('Committments Dump'!$Q:$Q,'Committments Dump'!$C:$C,'Category Table'!U$2,'Committments Dump'!$B:$B,'Category Table'!$A86)</f>
        <v/>
      </c>
      <c r="V86" s="114">
        <f>SUMIFS('Committments Dump'!$Q:$Q,'Committments Dump'!$C:$C,'Category Table'!V$2,'Committments Dump'!$B:$B,'Category Table'!$A86)</f>
        <v/>
      </c>
      <c r="W86" s="114">
        <f>SUMIFS('Committments Dump'!$Q:$Q,'Committments Dump'!$C:$C,'Category Table'!W$2,'Committments Dump'!$B:$B,'Category Table'!$A86)</f>
        <v/>
      </c>
      <c r="X86" s="113">
        <f>SUMIFS('Committments Dump'!$R:$R,'Committments Dump'!$C:$C,'Category Table'!X$2,'Committments Dump'!$B:$B,'Category Table'!$A86)</f>
        <v/>
      </c>
      <c r="Y86" s="114">
        <f>SUMIFS('Committments Dump'!$R:$R,'Committments Dump'!$C:$C,'Category Table'!Y$2,'Committments Dump'!$B:$B,'Category Table'!$A86)</f>
        <v/>
      </c>
      <c r="Z86" s="114">
        <f>SUMIFS('Committments Dump'!$R:$R,'Committments Dump'!$C:$C,'Category Table'!Z$2,'Committments Dump'!$B:$B,'Category Table'!$A86)</f>
        <v/>
      </c>
      <c r="AA86" s="113">
        <f>SUMIFS('Committments Dump'!$S:$S,'Committments Dump'!$C:$C,'Category Table'!AA$2,'Committments Dump'!$B:$B,'Category Table'!$A86)</f>
        <v/>
      </c>
      <c r="AB86" s="114">
        <f>SUMIFS('Committments Dump'!$S:$S,'Committments Dump'!$C:$C,'Category Table'!AB$2,'Committments Dump'!$B:$B,'Category Table'!$A86)</f>
        <v/>
      </c>
      <c r="AC86" s="114">
        <f>SUMIFS('Committments Dump'!$S:$S,'Committments Dump'!$C:$C,'Category Table'!AC$2,'Committments Dump'!$B:$B,'Category Table'!$A86)</f>
        <v/>
      </c>
      <c r="AD86" s="113">
        <f>U86+X86+AA86</f>
        <v/>
      </c>
      <c r="AE86" s="114">
        <f>V86+Y86+AB86</f>
        <v/>
      </c>
      <c r="AF86" s="114">
        <f>W86+Z86+AC86</f>
        <v/>
      </c>
      <c r="AG86" s="113">
        <f>R86+AD86</f>
        <v/>
      </c>
      <c r="AH86" s="114">
        <f>S86+AE86</f>
        <v/>
      </c>
      <c r="AI86" s="114">
        <f>T86+AF86</f>
        <v/>
      </c>
      <c r="AJ86" s="113" t="n"/>
      <c r="AK86" s="114" t="n"/>
      <c r="AL86" s="114" t="n"/>
      <c r="AM86" s="113">
        <f>(O86-AG86)+AJ86</f>
        <v/>
      </c>
      <c r="AN86" s="114">
        <f>(P86-AH86)+AK86</f>
        <v/>
      </c>
      <c r="AO86" s="114">
        <f>(Q86-AI86)+AL86</f>
        <v/>
      </c>
      <c r="AP86" s="2">
        <f>IF(AM86&gt;0, "Under",IF(AM86&lt;0,"Over",""))</f>
        <v/>
      </c>
      <c r="AQ86" s="1">
        <f>IF(AN86&gt;0, "Under",IF(AN86&lt;0,"Over",""))</f>
        <v/>
      </c>
      <c r="AR86" s="1">
        <f>IF(AO86&gt;0, "Under",IF(AO86&lt;0,"Over",""))</f>
        <v/>
      </c>
      <c r="AS86" s="3" t="n"/>
    </row>
    <row r="87">
      <c r="A87" s="90" t="inlineStr">
        <is>
          <t>0-4109</t>
        </is>
      </c>
      <c r="B87" s="90" t="inlineStr">
        <is>
          <t>0-4109-Site Roadways</t>
        </is>
      </c>
      <c r="C87" s="115" t="n">
        <v>0</v>
      </c>
      <c r="D87" s="116" t="n">
        <v>0</v>
      </c>
      <c r="E87" s="116" t="n">
        <v>0</v>
      </c>
      <c r="F87" s="115" t="n">
        <v>0</v>
      </c>
      <c r="G87" s="116" t="n">
        <v>0</v>
      </c>
      <c r="H87" s="116" t="n">
        <v>1256921.05</v>
      </c>
      <c r="I87" s="115" t="n">
        <v>0</v>
      </c>
      <c r="J87" s="116" t="n">
        <v>0</v>
      </c>
      <c r="K87" s="116" t="n">
        <v>0</v>
      </c>
      <c r="L87" s="115" t="n">
        <v>0</v>
      </c>
      <c r="M87" s="116" t="n">
        <v>0</v>
      </c>
      <c r="N87" s="116" t="n">
        <v>1993005</v>
      </c>
      <c r="O87" s="115">
        <f>L87+I87+F87+C87</f>
        <v/>
      </c>
      <c r="P87" s="116">
        <f>M87+J87+G87+D87</f>
        <v/>
      </c>
      <c r="Q87" s="116">
        <f>N87+K87+H87+E87</f>
        <v/>
      </c>
      <c r="R87" s="115">
        <f>SUMIFS('PO Log'!$E:$E,'PO Log'!$D:$D,'Category Table'!R$2,'PO Log'!$C:$C,'Category Table'!$A87)</f>
        <v/>
      </c>
      <c r="S87" s="116">
        <f>SUMIFS('PO Log'!$E:$E,'PO Log'!$D:$D,'Category Table'!S$2,'PO Log'!$C:$C,'Category Table'!$A87)</f>
        <v/>
      </c>
      <c r="T87" s="116">
        <f>SUMIFS('PO Log'!$E:$E,'PO Log'!$D:$D,'Category Table'!T$2,'PO Log'!$C:$C,'Category Table'!$A87)</f>
        <v/>
      </c>
      <c r="U87" s="115">
        <f>SUMIFS('Committments Dump'!$Q:$Q,'Committments Dump'!$C:$C,'Category Table'!U$2,'Committments Dump'!$B:$B,'Category Table'!$A87)</f>
        <v/>
      </c>
      <c r="V87" s="116">
        <f>SUMIFS('Committments Dump'!$Q:$Q,'Committments Dump'!$C:$C,'Category Table'!V$2,'Committments Dump'!$B:$B,'Category Table'!$A87)</f>
        <v/>
      </c>
      <c r="W87" s="116">
        <f>SUMIFS('Committments Dump'!$Q:$Q,'Committments Dump'!$C:$C,'Category Table'!W$2,'Committments Dump'!$B:$B,'Category Table'!$A87)</f>
        <v/>
      </c>
      <c r="X87" s="115">
        <f>SUMIFS('Committments Dump'!$R:$R,'Committments Dump'!$C:$C,'Category Table'!X$2,'Committments Dump'!$B:$B,'Category Table'!$A87)</f>
        <v/>
      </c>
      <c r="Y87" s="116">
        <f>SUMIFS('Committments Dump'!$R:$R,'Committments Dump'!$C:$C,'Category Table'!Y$2,'Committments Dump'!$B:$B,'Category Table'!$A87)</f>
        <v/>
      </c>
      <c r="Z87" s="116">
        <f>SUMIFS('Committments Dump'!$R:$R,'Committments Dump'!$C:$C,'Category Table'!Z$2,'Committments Dump'!$B:$B,'Category Table'!$A87)</f>
        <v/>
      </c>
      <c r="AA87" s="115">
        <f>SUMIFS('Committments Dump'!$S:$S,'Committments Dump'!$C:$C,'Category Table'!AA$2,'Committments Dump'!$B:$B,'Category Table'!$A87)</f>
        <v/>
      </c>
      <c r="AB87" s="116">
        <f>SUMIFS('Committments Dump'!$S:$S,'Committments Dump'!$C:$C,'Category Table'!AB$2,'Committments Dump'!$B:$B,'Category Table'!$A87)</f>
        <v/>
      </c>
      <c r="AC87" s="116">
        <f>SUMIFS('Committments Dump'!$S:$S,'Committments Dump'!$C:$C,'Category Table'!AC$2,'Committments Dump'!$B:$B,'Category Table'!$A87)</f>
        <v/>
      </c>
      <c r="AD87" s="115">
        <f>U87+X87+AA87</f>
        <v/>
      </c>
      <c r="AE87" s="116">
        <f>V87+Y87+AB87</f>
        <v/>
      </c>
      <c r="AF87" s="116">
        <f>W87+Z87+AC87</f>
        <v/>
      </c>
      <c r="AG87" s="115">
        <f>R87+AD87</f>
        <v/>
      </c>
      <c r="AH87" s="116">
        <f>S87+AE87</f>
        <v/>
      </c>
      <c r="AI87" s="116">
        <f>T87+AF87</f>
        <v/>
      </c>
      <c r="AJ87" s="115" t="n"/>
      <c r="AK87" s="116" t="n"/>
      <c r="AL87" s="116" t="n"/>
      <c r="AM87" s="115">
        <f>(O87-AG87)+AJ87</f>
        <v/>
      </c>
      <c r="AN87" s="116">
        <f>(P87-AH87)+AK87</f>
        <v/>
      </c>
      <c r="AO87" s="116">
        <f>(Q87-AI87)+AL87</f>
        <v/>
      </c>
      <c r="AP87" s="93">
        <f>IF(AM87&gt;0, "Under",IF(AM87&lt;0,"Over",""))</f>
        <v/>
      </c>
      <c r="AQ87" s="94">
        <f>IF(AN87&gt;0, "Under",IF(AN87&lt;0,"Over",""))</f>
        <v/>
      </c>
      <c r="AR87" s="94">
        <f>IF(AO87&gt;0, "Under",IF(AO87&lt;0,"Over",""))</f>
        <v/>
      </c>
      <c r="AS87" s="3" t="n"/>
    </row>
    <row r="88">
      <c r="A88" t="inlineStr">
        <is>
          <t>0-4015-01</t>
        </is>
      </c>
      <c r="B88" t="inlineStr">
        <is>
          <t>0-4015-01-Survey</t>
        </is>
      </c>
      <c r="C88" s="113" t="n">
        <v>0</v>
      </c>
      <c r="D88" s="114" t="n">
        <v>1196.88</v>
      </c>
      <c r="E88" s="114" t="n">
        <v>0</v>
      </c>
      <c r="F88" s="113" t="n"/>
      <c r="G88" s="114" t="n">
        <v>9755.806500000006</v>
      </c>
      <c r="H88" s="114" t="n">
        <v>5412.5</v>
      </c>
      <c r="I88" s="113" t="n">
        <v>0</v>
      </c>
      <c r="J88" s="114" t="n">
        <v>0</v>
      </c>
      <c r="K88" s="114" t="n">
        <v>0</v>
      </c>
      <c r="L88" s="113" t="n">
        <v>0</v>
      </c>
      <c r="M88" s="114" t="n">
        <v>-8.526512829121202e-14</v>
      </c>
      <c r="N88" s="114" t="n">
        <v>0</v>
      </c>
      <c r="O88" s="113">
        <f>L88+I88+F88+C88</f>
        <v/>
      </c>
      <c r="P88" s="114">
        <f>M88+J88+G88+D88</f>
        <v/>
      </c>
      <c r="Q88" s="114">
        <f>N88+K88+H88+E88</f>
        <v/>
      </c>
      <c r="R88" s="113">
        <f>SUMIFS('PO Log'!$E:$E,'PO Log'!$D:$D,'Category Table'!R$2,'PO Log'!$C:$C,'Category Table'!$A88)</f>
        <v/>
      </c>
      <c r="S88" s="114">
        <f>SUMIFS('PO Log'!$E:$E,'PO Log'!$D:$D,'Category Table'!S$2,'PO Log'!$C:$C,'Category Table'!$A88)</f>
        <v/>
      </c>
      <c r="T88" s="114">
        <f>SUMIFS('PO Log'!$E:$E,'PO Log'!$D:$D,'Category Table'!T$2,'PO Log'!$C:$C,'Category Table'!$A88)</f>
        <v/>
      </c>
      <c r="U88" s="113">
        <f>SUMIFS('Committments Dump'!$Q:$Q,'Committments Dump'!$C:$C,'Category Table'!U$2,'Committments Dump'!$B:$B,'Category Table'!$A88)</f>
        <v/>
      </c>
      <c r="V88" s="114">
        <f>SUMIFS('Committments Dump'!$Q:$Q,'Committments Dump'!$C:$C,'Category Table'!V$2,'Committments Dump'!$B:$B,'Category Table'!$A88)</f>
        <v/>
      </c>
      <c r="W88" s="114">
        <f>SUMIFS('Committments Dump'!$Q:$Q,'Committments Dump'!$C:$C,'Category Table'!W$2,'Committments Dump'!$B:$B,'Category Table'!$A88)</f>
        <v/>
      </c>
      <c r="X88" s="113">
        <f>SUMIFS('Committments Dump'!$R:$R,'Committments Dump'!$C:$C,'Category Table'!X$2,'Committments Dump'!$B:$B,'Category Table'!$A88)</f>
        <v/>
      </c>
      <c r="Y88" s="114">
        <f>SUMIFS('Committments Dump'!$R:$R,'Committments Dump'!$C:$C,'Category Table'!Y$2,'Committments Dump'!$B:$B,'Category Table'!$A88)</f>
        <v/>
      </c>
      <c r="Z88" s="114">
        <f>SUMIFS('Committments Dump'!$R:$R,'Committments Dump'!$C:$C,'Category Table'!Z$2,'Committments Dump'!$B:$B,'Category Table'!$A88)</f>
        <v/>
      </c>
      <c r="AA88" s="113">
        <f>SUMIFS('Committments Dump'!$S:$S,'Committments Dump'!$C:$C,'Category Table'!AA$2,'Committments Dump'!$B:$B,'Category Table'!$A88)</f>
        <v/>
      </c>
      <c r="AB88" s="114">
        <f>SUMIFS('Committments Dump'!$S:$S,'Committments Dump'!$C:$C,'Category Table'!AB$2,'Committments Dump'!$B:$B,'Category Table'!$A88)</f>
        <v/>
      </c>
      <c r="AC88" s="114">
        <f>SUMIFS('Committments Dump'!$S:$S,'Committments Dump'!$C:$C,'Category Table'!AC$2,'Committments Dump'!$B:$B,'Category Table'!$A88)</f>
        <v/>
      </c>
      <c r="AD88" s="113">
        <f>U88+X88+AA88</f>
        <v/>
      </c>
      <c r="AE88" s="114">
        <f>V88+Y88+AB88</f>
        <v/>
      </c>
      <c r="AF88" s="114">
        <f>W88+Z88+AC88</f>
        <v/>
      </c>
      <c r="AG88" s="113">
        <f>R88+AD88</f>
        <v/>
      </c>
      <c r="AH88" s="114">
        <f>S88+AE88</f>
        <v/>
      </c>
      <c r="AI88" s="114">
        <f>T88+AF88</f>
        <v/>
      </c>
      <c r="AJ88" s="113" t="n"/>
      <c r="AK88" s="114" t="n"/>
      <c r="AL88" s="114" t="n"/>
      <c r="AM88" s="113">
        <f>(O88-AG88)+AJ88</f>
        <v/>
      </c>
      <c r="AN88" s="114">
        <f>(P88-AH88)+AK88</f>
        <v/>
      </c>
      <c r="AO88" s="114">
        <f>(Q88-AI88)+AL88</f>
        <v/>
      </c>
      <c r="AP88" s="2">
        <f>IF(AM88&gt;0, "Under",IF(AM88&lt;0,"Over",""))</f>
        <v/>
      </c>
      <c r="AQ88" s="1">
        <f>IF(AN88&gt;0, "Under",IF(AN88&lt;0,"Over",""))</f>
        <v/>
      </c>
      <c r="AR88" s="1">
        <f>IF(AO88&gt;0, "Under",IF(AO88&lt;0,"Over",""))</f>
        <v/>
      </c>
      <c r="AS88" s="3" t="n"/>
    </row>
    <row r="89">
      <c r="A89" s="90" t="inlineStr">
        <is>
          <t>0-4110</t>
        </is>
      </c>
      <c r="B89" s="90" t="inlineStr">
        <is>
          <t>0-4110-Ditches</t>
        </is>
      </c>
      <c r="C89" s="115" t="n">
        <v>0</v>
      </c>
      <c r="D89" s="116" t="n">
        <v>0</v>
      </c>
      <c r="E89" s="116" t="n">
        <v>0</v>
      </c>
      <c r="F89" s="115" t="n">
        <v>0</v>
      </c>
      <c r="G89" s="116" t="n">
        <v>361.6880197044229</v>
      </c>
      <c r="H89" s="116" t="n">
        <v>86810.00999999999</v>
      </c>
      <c r="I89" s="115" t="n">
        <v>0</v>
      </c>
      <c r="J89" s="116" t="n">
        <v>0</v>
      </c>
      <c r="K89" s="116" t="n">
        <v>0</v>
      </c>
      <c r="L89" s="115" t="n">
        <v>0</v>
      </c>
      <c r="M89" s="116" t="n">
        <v>0</v>
      </c>
      <c r="N89" s="116" t="n">
        <v>0</v>
      </c>
      <c r="O89" s="115">
        <f>L89+I89+F89+C89</f>
        <v/>
      </c>
      <c r="P89" s="116">
        <f>M89+J89+G89+D89</f>
        <v/>
      </c>
      <c r="Q89" s="116">
        <f>N89+K89+H89+E89</f>
        <v/>
      </c>
      <c r="R89" s="115">
        <f>SUMIFS('PO Log'!$E:$E,'PO Log'!$D:$D,'Category Table'!R$2,'PO Log'!$C:$C,'Category Table'!$A89)</f>
        <v/>
      </c>
      <c r="S89" s="116">
        <f>SUMIFS('PO Log'!$E:$E,'PO Log'!$D:$D,'Category Table'!S$2,'PO Log'!$C:$C,'Category Table'!$A89)</f>
        <v/>
      </c>
      <c r="T89" s="116">
        <f>SUMIFS('PO Log'!$E:$E,'PO Log'!$D:$D,'Category Table'!T$2,'PO Log'!$C:$C,'Category Table'!$A89)</f>
        <v/>
      </c>
      <c r="U89" s="115">
        <f>SUMIFS('Committments Dump'!$Q:$Q,'Committments Dump'!$C:$C,'Category Table'!U$2,'Committments Dump'!$B:$B,'Category Table'!$A89)</f>
        <v/>
      </c>
      <c r="V89" s="116">
        <f>SUMIFS('Committments Dump'!$Q:$Q,'Committments Dump'!$C:$C,'Category Table'!V$2,'Committments Dump'!$B:$B,'Category Table'!$A89)</f>
        <v/>
      </c>
      <c r="W89" s="116">
        <f>SUMIFS('Committments Dump'!$Q:$Q,'Committments Dump'!$C:$C,'Category Table'!W$2,'Committments Dump'!$B:$B,'Category Table'!$A89)</f>
        <v/>
      </c>
      <c r="X89" s="115">
        <f>SUMIFS('Committments Dump'!$R:$R,'Committments Dump'!$C:$C,'Category Table'!X$2,'Committments Dump'!$B:$B,'Category Table'!$A89)</f>
        <v/>
      </c>
      <c r="Y89" s="116">
        <f>SUMIFS('Committments Dump'!$R:$R,'Committments Dump'!$C:$C,'Category Table'!Y$2,'Committments Dump'!$B:$B,'Category Table'!$A89)</f>
        <v/>
      </c>
      <c r="Z89" s="116">
        <f>SUMIFS('Committments Dump'!$R:$R,'Committments Dump'!$C:$C,'Category Table'!Z$2,'Committments Dump'!$B:$B,'Category Table'!$A89)</f>
        <v/>
      </c>
      <c r="AA89" s="115">
        <f>SUMIFS('Committments Dump'!$S:$S,'Committments Dump'!$C:$C,'Category Table'!AA$2,'Committments Dump'!$B:$B,'Category Table'!$A89)</f>
        <v/>
      </c>
      <c r="AB89" s="116">
        <f>SUMIFS('Committments Dump'!$S:$S,'Committments Dump'!$C:$C,'Category Table'!AB$2,'Committments Dump'!$B:$B,'Category Table'!$A89)</f>
        <v/>
      </c>
      <c r="AC89" s="116">
        <f>SUMIFS('Committments Dump'!$S:$S,'Committments Dump'!$C:$C,'Category Table'!AC$2,'Committments Dump'!$B:$B,'Category Table'!$A89)</f>
        <v/>
      </c>
      <c r="AD89" s="115">
        <f>U89+X89+AA89</f>
        <v/>
      </c>
      <c r="AE89" s="116">
        <f>V89+Y89+AB89</f>
        <v/>
      </c>
      <c r="AF89" s="116">
        <f>W89+Z89+AC89</f>
        <v/>
      </c>
      <c r="AG89" s="115">
        <f>R89+AD89</f>
        <v/>
      </c>
      <c r="AH89" s="116">
        <f>S89+AE89</f>
        <v/>
      </c>
      <c r="AI89" s="116">
        <f>T89+AF89</f>
        <v/>
      </c>
      <c r="AJ89" s="115" t="n"/>
      <c r="AK89" s="116" t="n"/>
      <c r="AL89" s="116" t="n"/>
      <c r="AM89" s="115">
        <f>(O89-AG89)+AJ89</f>
        <v/>
      </c>
      <c r="AN89" s="116">
        <f>(P89-AH89)+AK89</f>
        <v/>
      </c>
      <c r="AO89" s="116">
        <f>(Q89-AI89)+AL89</f>
        <v/>
      </c>
      <c r="AP89" s="93">
        <f>IF(AM89&gt;0, "Under",IF(AM89&lt;0,"Over",""))</f>
        <v/>
      </c>
      <c r="AQ89" s="94">
        <f>IF(AN89&gt;0, "Under",IF(AN89&lt;0,"Over",""))</f>
        <v/>
      </c>
      <c r="AR89" s="94">
        <f>IF(AO89&gt;0, "Under",IF(AO89&lt;0,"Over",""))</f>
        <v/>
      </c>
      <c r="AS89" s="3" t="n"/>
    </row>
    <row r="90">
      <c r="A90" t="inlineStr">
        <is>
          <t>0-4110-01</t>
        </is>
      </c>
      <c r="B90" t="inlineStr">
        <is>
          <t>0-4110-01-Canal Bridge Repair</t>
        </is>
      </c>
      <c r="C90" s="113" t="n">
        <v>0</v>
      </c>
      <c r="D90" s="114" t="n">
        <v>0</v>
      </c>
      <c r="E90" s="114" t="n">
        <v>0</v>
      </c>
      <c r="F90" s="113" t="n">
        <v>70000</v>
      </c>
      <c r="G90" s="114" t="n">
        <v>0</v>
      </c>
      <c r="H90" s="114" t="n">
        <v>0</v>
      </c>
      <c r="I90" s="113" t="n">
        <v>0</v>
      </c>
      <c r="J90" s="114" t="n">
        <v>0</v>
      </c>
      <c r="K90" s="114" t="n">
        <v>0</v>
      </c>
      <c r="L90" s="113" t="n">
        <v>0</v>
      </c>
      <c r="M90" s="114" t="n">
        <v>0</v>
      </c>
      <c r="N90" s="114" t="n">
        <v>0</v>
      </c>
      <c r="O90" s="113">
        <f>L90+I90+F90+C90</f>
        <v/>
      </c>
      <c r="P90" s="114">
        <f>M90+J90+G90+D90</f>
        <v/>
      </c>
      <c r="Q90" s="114">
        <f>N90+K90+H90+E90</f>
        <v/>
      </c>
      <c r="R90" s="113">
        <f>SUMIFS('PO Log'!$E:$E,'PO Log'!$D:$D,'Category Table'!R$2,'PO Log'!$C:$C,'Category Table'!$A90)</f>
        <v/>
      </c>
      <c r="S90" s="114">
        <f>SUMIFS('PO Log'!$E:$E,'PO Log'!$D:$D,'Category Table'!S$2,'PO Log'!$C:$C,'Category Table'!$A90)</f>
        <v/>
      </c>
      <c r="T90" s="114">
        <f>SUMIFS('PO Log'!$E:$E,'PO Log'!$D:$D,'Category Table'!T$2,'PO Log'!$C:$C,'Category Table'!$A90)</f>
        <v/>
      </c>
      <c r="U90" s="113">
        <f>SUMIFS('Committments Dump'!$Q:$Q,'Committments Dump'!$C:$C,'Category Table'!U$2,'Committments Dump'!$B:$B,'Category Table'!$A90)</f>
        <v/>
      </c>
      <c r="V90" s="114">
        <f>SUMIFS('Committments Dump'!$Q:$Q,'Committments Dump'!$C:$C,'Category Table'!V$2,'Committments Dump'!$B:$B,'Category Table'!$A90)</f>
        <v/>
      </c>
      <c r="W90" s="114">
        <f>SUMIFS('Committments Dump'!$Q:$Q,'Committments Dump'!$C:$C,'Category Table'!W$2,'Committments Dump'!$B:$B,'Category Table'!$A90)</f>
        <v/>
      </c>
      <c r="X90" s="113">
        <f>SUMIFS('Committments Dump'!$R:$R,'Committments Dump'!$C:$C,'Category Table'!X$2,'Committments Dump'!$B:$B,'Category Table'!$A90)</f>
        <v/>
      </c>
      <c r="Y90" s="114">
        <f>SUMIFS('Committments Dump'!$R:$R,'Committments Dump'!$C:$C,'Category Table'!Y$2,'Committments Dump'!$B:$B,'Category Table'!$A90)</f>
        <v/>
      </c>
      <c r="Z90" s="114">
        <f>SUMIFS('Committments Dump'!$R:$R,'Committments Dump'!$C:$C,'Category Table'!Z$2,'Committments Dump'!$B:$B,'Category Table'!$A90)</f>
        <v/>
      </c>
      <c r="AA90" s="113">
        <f>SUMIFS('Committments Dump'!$S:$S,'Committments Dump'!$C:$C,'Category Table'!AA$2,'Committments Dump'!$B:$B,'Category Table'!$A90)</f>
        <v/>
      </c>
      <c r="AB90" s="114">
        <f>SUMIFS('Committments Dump'!$S:$S,'Committments Dump'!$C:$C,'Category Table'!AB$2,'Committments Dump'!$B:$B,'Category Table'!$A90)</f>
        <v/>
      </c>
      <c r="AC90" s="114">
        <f>SUMIFS('Committments Dump'!$S:$S,'Committments Dump'!$C:$C,'Category Table'!AC$2,'Committments Dump'!$B:$B,'Category Table'!$A90)</f>
        <v/>
      </c>
      <c r="AD90" s="113">
        <f>U90+X90+AA90</f>
        <v/>
      </c>
      <c r="AE90" s="114">
        <f>V90+Y90+AB90</f>
        <v/>
      </c>
      <c r="AF90" s="114">
        <f>W90+Z90+AC90</f>
        <v/>
      </c>
      <c r="AG90" s="113">
        <f>R90+AD90</f>
        <v/>
      </c>
      <c r="AH90" s="114">
        <f>S90+AE90</f>
        <v/>
      </c>
      <c r="AI90" s="114">
        <f>T90+AF90</f>
        <v/>
      </c>
      <c r="AJ90" s="113" t="n"/>
      <c r="AK90" s="114" t="n"/>
      <c r="AL90" s="114" t="n"/>
      <c r="AM90" s="113">
        <f>(O90-AG90)+AJ90</f>
        <v/>
      </c>
      <c r="AN90" s="114">
        <f>(P90-AH90)+AK90</f>
        <v/>
      </c>
      <c r="AO90" s="114">
        <f>(Q90-AI90)+AL90</f>
        <v/>
      </c>
      <c r="AP90" s="2">
        <f>IF(AM90&gt;0, "Under",IF(AM90&lt;0,"Over",""))</f>
        <v/>
      </c>
      <c r="AQ90" s="1">
        <f>IF(AN90&gt;0, "Under",IF(AN90&lt;0,"Over",""))</f>
        <v/>
      </c>
      <c r="AR90" s="1">
        <f>IF(AO90&gt;0, "Under",IF(AO90&lt;0,"Over",""))</f>
        <v/>
      </c>
      <c r="AS90" s="3" t="n"/>
    </row>
    <row r="91">
      <c r="A91" s="90" t="inlineStr">
        <is>
          <t>0-4111</t>
        </is>
      </c>
      <c r="B91" s="90" t="inlineStr">
        <is>
          <t>0-4111-Compaction Testing</t>
        </is>
      </c>
      <c r="C91" s="115" t="n">
        <v>0</v>
      </c>
      <c r="D91" s="116" t="n">
        <v>0</v>
      </c>
      <c r="E91" s="116" t="n">
        <v>0</v>
      </c>
      <c r="F91" s="115" t="n">
        <v>166283.9968907563</v>
      </c>
      <c r="G91" s="116" t="n">
        <v>0</v>
      </c>
      <c r="H91" s="116" t="n">
        <v>0</v>
      </c>
      <c r="I91" s="115" t="n">
        <v>0</v>
      </c>
      <c r="J91" s="116" t="n">
        <v>0</v>
      </c>
      <c r="K91" s="116" t="n">
        <v>0</v>
      </c>
      <c r="L91" s="115" t="n">
        <v>0</v>
      </c>
      <c r="M91" s="116" t="n">
        <v>55500</v>
      </c>
      <c r="N91" s="116" t="n">
        <v>0</v>
      </c>
      <c r="O91" s="115">
        <f>L91+I91+F91+C91</f>
        <v/>
      </c>
      <c r="P91" s="116">
        <f>M91+J91+G91+D91</f>
        <v/>
      </c>
      <c r="Q91" s="116">
        <f>N91+K91+H91+E91</f>
        <v/>
      </c>
      <c r="R91" s="115">
        <f>SUMIFS('PO Log'!$E:$E,'PO Log'!$D:$D,'Category Table'!R$2,'PO Log'!$C:$C,'Category Table'!$A91)</f>
        <v/>
      </c>
      <c r="S91" s="116">
        <f>SUMIFS('PO Log'!$E:$E,'PO Log'!$D:$D,'Category Table'!S$2,'PO Log'!$C:$C,'Category Table'!$A91)</f>
        <v/>
      </c>
      <c r="T91" s="116">
        <f>SUMIFS('PO Log'!$E:$E,'PO Log'!$D:$D,'Category Table'!T$2,'PO Log'!$C:$C,'Category Table'!$A91)</f>
        <v/>
      </c>
      <c r="U91" s="115">
        <f>SUMIFS('Committments Dump'!$Q:$Q,'Committments Dump'!$C:$C,'Category Table'!U$2,'Committments Dump'!$B:$B,'Category Table'!$A91)</f>
        <v/>
      </c>
      <c r="V91" s="116">
        <f>SUMIFS('Committments Dump'!$Q:$Q,'Committments Dump'!$C:$C,'Category Table'!V$2,'Committments Dump'!$B:$B,'Category Table'!$A91)</f>
        <v/>
      </c>
      <c r="W91" s="116">
        <f>SUMIFS('Committments Dump'!$Q:$Q,'Committments Dump'!$C:$C,'Category Table'!W$2,'Committments Dump'!$B:$B,'Category Table'!$A91)</f>
        <v/>
      </c>
      <c r="X91" s="115">
        <f>SUMIFS('Committments Dump'!$R:$R,'Committments Dump'!$C:$C,'Category Table'!X$2,'Committments Dump'!$B:$B,'Category Table'!$A91)</f>
        <v/>
      </c>
      <c r="Y91" s="116">
        <f>SUMIFS('Committments Dump'!$R:$R,'Committments Dump'!$C:$C,'Category Table'!Y$2,'Committments Dump'!$B:$B,'Category Table'!$A91)</f>
        <v/>
      </c>
      <c r="Z91" s="116">
        <f>SUMIFS('Committments Dump'!$R:$R,'Committments Dump'!$C:$C,'Category Table'!Z$2,'Committments Dump'!$B:$B,'Category Table'!$A91)</f>
        <v/>
      </c>
      <c r="AA91" s="115">
        <f>SUMIFS('Committments Dump'!$S:$S,'Committments Dump'!$C:$C,'Category Table'!AA$2,'Committments Dump'!$B:$B,'Category Table'!$A91)</f>
        <v/>
      </c>
      <c r="AB91" s="116">
        <f>SUMIFS('Committments Dump'!$S:$S,'Committments Dump'!$C:$C,'Category Table'!AB$2,'Committments Dump'!$B:$B,'Category Table'!$A91)</f>
        <v/>
      </c>
      <c r="AC91" s="116">
        <f>SUMIFS('Committments Dump'!$S:$S,'Committments Dump'!$C:$C,'Category Table'!AC$2,'Committments Dump'!$B:$B,'Category Table'!$A91)</f>
        <v/>
      </c>
      <c r="AD91" s="115">
        <f>U91+X91+AA91</f>
        <v/>
      </c>
      <c r="AE91" s="116">
        <f>V91+Y91+AB91</f>
        <v/>
      </c>
      <c r="AF91" s="116">
        <f>W91+Z91+AC91</f>
        <v/>
      </c>
      <c r="AG91" s="115">
        <f>R91+AD91</f>
        <v/>
      </c>
      <c r="AH91" s="116">
        <f>S91+AE91</f>
        <v/>
      </c>
      <c r="AI91" s="116">
        <f>T91+AF91</f>
        <v/>
      </c>
      <c r="AJ91" s="115" t="n"/>
      <c r="AK91" s="116" t="n"/>
      <c r="AL91" s="116" t="n"/>
      <c r="AM91" s="115">
        <f>(O91-AG91)+AJ91</f>
        <v/>
      </c>
      <c r="AN91" s="116">
        <f>(P91-AH91)+AK91</f>
        <v/>
      </c>
      <c r="AO91" s="116">
        <f>(Q91-AI91)+AL91</f>
        <v/>
      </c>
      <c r="AP91" s="93">
        <f>IF(AM91&gt;0, "Under",IF(AM91&lt;0,"Over",""))</f>
        <v/>
      </c>
      <c r="AQ91" s="94">
        <f>IF(AN91&gt;0, "Under",IF(AN91&lt;0,"Over",""))</f>
        <v/>
      </c>
      <c r="AR91" s="94">
        <f>IF(AO91&gt;0, "Under",IF(AO91&lt;0,"Over",""))</f>
        <v/>
      </c>
      <c r="AS91" s="3" t="n"/>
    </row>
    <row r="92">
      <c r="A92" t="inlineStr">
        <is>
          <t>0-4113</t>
        </is>
      </c>
      <c r="B92" t="inlineStr">
        <is>
          <t>0-4113-Construction Entrance</t>
        </is>
      </c>
      <c r="C92" s="113" t="n">
        <v>0</v>
      </c>
      <c r="D92" s="114" t="n">
        <v>0</v>
      </c>
      <c r="E92" s="114" t="n">
        <v>0</v>
      </c>
      <c r="F92" s="113" t="n">
        <v>0</v>
      </c>
      <c r="G92" s="114" t="n">
        <v>0</v>
      </c>
      <c r="H92" s="114" t="n">
        <v>114993.9728571429</v>
      </c>
      <c r="I92" s="113" t="n">
        <v>0</v>
      </c>
      <c r="J92" s="114" t="n">
        <v>0</v>
      </c>
      <c r="K92" s="114" t="n">
        <v>0</v>
      </c>
      <c r="L92" s="113" t="n">
        <v>0</v>
      </c>
      <c r="M92" s="114" t="n">
        <v>0</v>
      </c>
      <c r="N92" s="114" t="n">
        <v>0</v>
      </c>
      <c r="O92" s="113">
        <f>L92+I92+F92+C92</f>
        <v/>
      </c>
      <c r="P92" s="114">
        <f>M92+J92+G92+D92</f>
        <v/>
      </c>
      <c r="Q92" s="114">
        <f>N92+K92+H92+E92</f>
        <v/>
      </c>
      <c r="R92" s="113">
        <f>SUMIFS('PO Log'!$E:$E,'PO Log'!$D:$D,'Category Table'!R$2,'PO Log'!$C:$C,'Category Table'!$A92)</f>
        <v/>
      </c>
      <c r="S92" s="114">
        <f>SUMIFS('PO Log'!$E:$E,'PO Log'!$D:$D,'Category Table'!S$2,'PO Log'!$C:$C,'Category Table'!$A92)</f>
        <v/>
      </c>
      <c r="T92" s="114">
        <f>SUMIFS('PO Log'!$E:$E,'PO Log'!$D:$D,'Category Table'!T$2,'PO Log'!$C:$C,'Category Table'!$A92)</f>
        <v/>
      </c>
      <c r="U92" s="113">
        <f>SUMIFS('Committments Dump'!$Q:$Q,'Committments Dump'!$C:$C,'Category Table'!U$2,'Committments Dump'!$B:$B,'Category Table'!$A92)</f>
        <v/>
      </c>
      <c r="V92" s="114">
        <f>SUMIFS('Committments Dump'!$Q:$Q,'Committments Dump'!$C:$C,'Category Table'!V$2,'Committments Dump'!$B:$B,'Category Table'!$A92)</f>
        <v/>
      </c>
      <c r="W92" s="114">
        <f>SUMIFS('Committments Dump'!$Q:$Q,'Committments Dump'!$C:$C,'Category Table'!W$2,'Committments Dump'!$B:$B,'Category Table'!$A92)</f>
        <v/>
      </c>
      <c r="X92" s="113">
        <f>SUMIFS('Committments Dump'!$R:$R,'Committments Dump'!$C:$C,'Category Table'!X$2,'Committments Dump'!$B:$B,'Category Table'!$A92)</f>
        <v/>
      </c>
      <c r="Y92" s="114">
        <f>SUMIFS('Committments Dump'!$R:$R,'Committments Dump'!$C:$C,'Category Table'!Y$2,'Committments Dump'!$B:$B,'Category Table'!$A92)</f>
        <v/>
      </c>
      <c r="Z92" s="114">
        <f>SUMIFS('Committments Dump'!$R:$R,'Committments Dump'!$C:$C,'Category Table'!Z$2,'Committments Dump'!$B:$B,'Category Table'!$A92)</f>
        <v/>
      </c>
      <c r="AA92" s="113">
        <f>SUMIFS('Committments Dump'!$S:$S,'Committments Dump'!$C:$C,'Category Table'!AA$2,'Committments Dump'!$B:$B,'Category Table'!$A92)</f>
        <v/>
      </c>
      <c r="AB92" s="114">
        <f>SUMIFS('Committments Dump'!$S:$S,'Committments Dump'!$C:$C,'Category Table'!AB$2,'Committments Dump'!$B:$B,'Category Table'!$A92)</f>
        <v/>
      </c>
      <c r="AC92" s="114">
        <f>SUMIFS('Committments Dump'!$S:$S,'Committments Dump'!$C:$C,'Category Table'!AC$2,'Committments Dump'!$B:$B,'Category Table'!$A92)</f>
        <v/>
      </c>
      <c r="AD92" s="113">
        <f>U92+X92+AA92</f>
        <v/>
      </c>
      <c r="AE92" s="114">
        <f>V92+Y92+AB92</f>
        <v/>
      </c>
      <c r="AF92" s="114">
        <f>W92+Z92+AC92</f>
        <v/>
      </c>
      <c r="AG92" s="113">
        <f>R92+AD92</f>
        <v/>
      </c>
      <c r="AH92" s="114">
        <f>S92+AE92</f>
        <v/>
      </c>
      <c r="AI92" s="114">
        <f>T92+AF92</f>
        <v/>
      </c>
      <c r="AJ92" s="113" t="n"/>
      <c r="AK92" s="114" t="n"/>
      <c r="AL92" s="114" t="n"/>
      <c r="AM92" s="113">
        <f>(O92-AG92)+AJ92</f>
        <v/>
      </c>
      <c r="AN92" s="114">
        <f>(P92-AH92)+AK92</f>
        <v/>
      </c>
      <c r="AO92" s="114">
        <f>(Q92-AI92)+AL92</f>
        <v/>
      </c>
      <c r="AP92" s="2">
        <f>IF(AM92&gt;0, "Under",IF(AM92&lt;0,"Over",""))</f>
        <v/>
      </c>
      <c r="AQ92" s="1">
        <f>IF(AN92&gt;0, "Under",IF(AN92&lt;0,"Over",""))</f>
        <v/>
      </c>
      <c r="AR92" s="1">
        <f>IF(AO92&gt;0, "Under",IF(AO92&lt;0,"Over",""))</f>
        <v/>
      </c>
      <c r="AS92" s="3" t="n"/>
    </row>
    <row r="93">
      <c r="A93" s="90" t="inlineStr">
        <is>
          <t>0-4115-01</t>
        </is>
      </c>
      <c r="B93" s="90" t="inlineStr">
        <is>
          <t>0-4115-01-Clean Up</t>
        </is>
      </c>
      <c r="C93" s="115" t="n">
        <v>0</v>
      </c>
      <c r="D93" s="116" t="n">
        <v>0</v>
      </c>
      <c r="E93" s="116" t="n">
        <v>0</v>
      </c>
      <c r="F93" s="115" t="n">
        <v>1200</v>
      </c>
      <c r="G93" s="116" t="n">
        <v>0</v>
      </c>
      <c r="H93" s="116" t="n">
        <v>0</v>
      </c>
      <c r="I93" s="115" t="n">
        <v>0</v>
      </c>
      <c r="J93" s="116" t="n">
        <v>0</v>
      </c>
      <c r="K93" s="116" t="n">
        <v>0</v>
      </c>
      <c r="L93" s="115" t="n">
        <v>0</v>
      </c>
      <c r="M93" s="116" t="n">
        <v>0</v>
      </c>
      <c r="N93" s="116" t="n">
        <v>0</v>
      </c>
      <c r="O93" s="115">
        <f>L93+I93+F93+C93</f>
        <v/>
      </c>
      <c r="P93" s="116">
        <f>M93+J93+G93+D93</f>
        <v/>
      </c>
      <c r="Q93" s="116">
        <f>N93+K93+H93+E93</f>
        <v/>
      </c>
      <c r="R93" s="115">
        <f>SUMIFS('PO Log'!$E:$E,'PO Log'!$D:$D,'Category Table'!R$2,'PO Log'!$C:$C,'Category Table'!$A93)</f>
        <v/>
      </c>
      <c r="S93" s="116">
        <f>SUMIFS('PO Log'!$E:$E,'PO Log'!$D:$D,'Category Table'!S$2,'PO Log'!$C:$C,'Category Table'!$A93)</f>
        <v/>
      </c>
      <c r="T93" s="116">
        <f>SUMIFS('PO Log'!$E:$E,'PO Log'!$D:$D,'Category Table'!T$2,'PO Log'!$C:$C,'Category Table'!$A93)</f>
        <v/>
      </c>
      <c r="U93" s="115">
        <f>SUMIFS('Committments Dump'!$Q:$Q,'Committments Dump'!$C:$C,'Category Table'!U$2,'Committments Dump'!$B:$B,'Category Table'!$A93)</f>
        <v/>
      </c>
      <c r="V93" s="116">
        <f>SUMIFS('Committments Dump'!$Q:$Q,'Committments Dump'!$C:$C,'Category Table'!V$2,'Committments Dump'!$B:$B,'Category Table'!$A93)</f>
        <v/>
      </c>
      <c r="W93" s="116">
        <f>SUMIFS('Committments Dump'!$Q:$Q,'Committments Dump'!$C:$C,'Category Table'!W$2,'Committments Dump'!$B:$B,'Category Table'!$A93)</f>
        <v/>
      </c>
      <c r="X93" s="115">
        <f>SUMIFS('Committments Dump'!$R:$R,'Committments Dump'!$C:$C,'Category Table'!X$2,'Committments Dump'!$B:$B,'Category Table'!$A93)</f>
        <v/>
      </c>
      <c r="Y93" s="116">
        <f>SUMIFS('Committments Dump'!$R:$R,'Committments Dump'!$C:$C,'Category Table'!Y$2,'Committments Dump'!$B:$B,'Category Table'!$A93)</f>
        <v/>
      </c>
      <c r="Z93" s="116">
        <f>SUMIFS('Committments Dump'!$R:$R,'Committments Dump'!$C:$C,'Category Table'!Z$2,'Committments Dump'!$B:$B,'Category Table'!$A93)</f>
        <v/>
      </c>
      <c r="AA93" s="115">
        <f>SUMIFS('Committments Dump'!$S:$S,'Committments Dump'!$C:$C,'Category Table'!AA$2,'Committments Dump'!$B:$B,'Category Table'!$A93)</f>
        <v/>
      </c>
      <c r="AB93" s="116">
        <f>SUMIFS('Committments Dump'!$S:$S,'Committments Dump'!$C:$C,'Category Table'!AB$2,'Committments Dump'!$B:$B,'Category Table'!$A93)</f>
        <v/>
      </c>
      <c r="AC93" s="116">
        <f>SUMIFS('Committments Dump'!$S:$S,'Committments Dump'!$C:$C,'Category Table'!AC$2,'Committments Dump'!$B:$B,'Category Table'!$A93)</f>
        <v/>
      </c>
      <c r="AD93" s="115">
        <f>U93+X93+AA93</f>
        <v/>
      </c>
      <c r="AE93" s="116">
        <f>V93+Y93+AB93</f>
        <v/>
      </c>
      <c r="AF93" s="116">
        <f>W93+Z93+AC93</f>
        <v/>
      </c>
      <c r="AG93" s="115">
        <f>R93+AD93</f>
        <v/>
      </c>
      <c r="AH93" s="116">
        <f>S93+AE93</f>
        <v/>
      </c>
      <c r="AI93" s="116">
        <f>T93+AF93</f>
        <v/>
      </c>
      <c r="AJ93" s="115" t="n"/>
      <c r="AK93" s="116" t="n"/>
      <c r="AL93" s="116" t="n"/>
      <c r="AM93" s="115">
        <f>(O93-AG93)+AJ93</f>
        <v/>
      </c>
      <c r="AN93" s="116">
        <f>(P93-AH93)+AK93</f>
        <v/>
      </c>
      <c r="AO93" s="116">
        <f>(Q93-AI93)+AL93</f>
        <v/>
      </c>
      <c r="AP93" s="93">
        <f>IF(AM93&gt;0, "Under",IF(AM93&lt;0,"Over",""))</f>
        <v/>
      </c>
      <c r="AQ93" s="94">
        <f>IF(AN93&gt;0, "Under",IF(AN93&lt;0,"Over",""))</f>
        <v/>
      </c>
      <c r="AR93" s="94">
        <f>IF(AO93&gt;0, "Under",IF(AO93&lt;0,"Over",""))</f>
        <v/>
      </c>
      <c r="AS93" s="3" t="n"/>
    </row>
    <row r="94">
      <c r="A94" t="inlineStr">
        <is>
          <t>0-4116</t>
        </is>
      </c>
      <c r="B94" t="inlineStr">
        <is>
          <t>0-4116-Bush Hog</t>
        </is>
      </c>
      <c r="C94" s="113" t="n">
        <v>0</v>
      </c>
      <c r="D94" s="114" t="n">
        <v>0</v>
      </c>
      <c r="E94" s="114" t="n">
        <v>0</v>
      </c>
      <c r="F94" s="113" t="n">
        <v>0</v>
      </c>
      <c r="G94" s="114" t="n">
        <v>0</v>
      </c>
      <c r="H94" s="114" t="n">
        <v>53177.50018264842</v>
      </c>
      <c r="I94" s="113" t="n">
        <v>0</v>
      </c>
      <c r="J94" s="114" t="n">
        <v>0</v>
      </c>
      <c r="K94" s="114" t="n">
        <v>0</v>
      </c>
      <c r="L94" s="113" t="n">
        <v>0</v>
      </c>
      <c r="M94" s="114" t="n">
        <v>0</v>
      </c>
      <c r="N94" s="114" t="n">
        <v>0</v>
      </c>
      <c r="O94" s="113">
        <f>L94+I94+F94+C94</f>
        <v/>
      </c>
      <c r="P94" s="114">
        <f>M94+J94+G94+D94</f>
        <v/>
      </c>
      <c r="Q94" s="114">
        <f>N94+K94+H94+E94</f>
        <v/>
      </c>
      <c r="R94" s="113">
        <f>SUMIFS('PO Log'!$E:$E,'PO Log'!$D:$D,'Category Table'!R$2,'PO Log'!$C:$C,'Category Table'!$A94)</f>
        <v/>
      </c>
      <c r="S94" s="114">
        <f>SUMIFS('PO Log'!$E:$E,'PO Log'!$D:$D,'Category Table'!S$2,'PO Log'!$C:$C,'Category Table'!$A94)</f>
        <v/>
      </c>
      <c r="T94" s="114">
        <f>SUMIFS('PO Log'!$E:$E,'PO Log'!$D:$D,'Category Table'!T$2,'PO Log'!$C:$C,'Category Table'!$A94)</f>
        <v/>
      </c>
      <c r="U94" s="113">
        <f>SUMIFS('Committments Dump'!$Q:$Q,'Committments Dump'!$C:$C,'Category Table'!U$2,'Committments Dump'!$B:$B,'Category Table'!$A94)</f>
        <v/>
      </c>
      <c r="V94" s="114">
        <f>SUMIFS('Committments Dump'!$Q:$Q,'Committments Dump'!$C:$C,'Category Table'!V$2,'Committments Dump'!$B:$B,'Category Table'!$A94)</f>
        <v/>
      </c>
      <c r="W94" s="114">
        <f>SUMIFS('Committments Dump'!$Q:$Q,'Committments Dump'!$C:$C,'Category Table'!W$2,'Committments Dump'!$B:$B,'Category Table'!$A94)</f>
        <v/>
      </c>
      <c r="X94" s="113">
        <f>SUMIFS('Committments Dump'!$R:$R,'Committments Dump'!$C:$C,'Category Table'!X$2,'Committments Dump'!$B:$B,'Category Table'!$A94)</f>
        <v/>
      </c>
      <c r="Y94" s="114">
        <f>SUMIFS('Committments Dump'!$R:$R,'Committments Dump'!$C:$C,'Category Table'!Y$2,'Committments Dump'!$B:$B,'Category Table'!$A94)</f>
        <v/>
      </c>
      <c r="Z94" s="114">
        <f>SUMIFS('Committments Dump'!$R:$R,'Committments Dump'!$C:$C,'Category Table'!Z$2,'Committments Dump'!$B:$B,'Category Table'!$A94)</f>
        <v/>
      </c>
      <c r="AA94" s="113">
        <f>SUMIFS('Committments Dump'!$S:$S,'Committments Dump'!$C:$C,'Category Table'!AA$2,'Committments Dump'!$B:$B,'Category Table'!$A94)</f>
        <v/>
      </c>
      <c r="AB94" s="114">
        <f>SUMIFS('Committments Dump'!$S:$S,'Committments Dump'!$C:$C,'Category Table'!AB$2,'Committments Dump'!$B:$B,'Category Table'!$A94)</f>
        <v/>
      </c>
      <c r="AC94" s="114">
        <f>SUMIFS('Committments Dump'!$S:$S,'Committments Dump'!$C:$C,'Category Table'!AC$2,'Committments Dump'!$B:$B,'Category Table'!$A94)</f>
        <v/>
      </c>
      <c r="AD94" s="113">
        <f>U94+X94+AA94</f>
        <v/>
      </c>
      <c r="AE94" s="114">
        <f>V94+Y94+AB94</f>
        <v/>
      </c>
      <c r="AF94" s="114">
        <f>W94+Z94+AC94</f>
        <v/>
      </c>
      <c r="AG94" s="113">
        <f>R94+AD94</f>
        <v/>
      </c>
      <c r="AH94" s="114">
        <f>S94+AE94</f>
        <v/>
      </c>
      <c r="AI94" s="114">
        <f>T94+AF94</f>
        <v/>
      </c>
      <c r="AJ94" s="113" t="n"/>
      <c r="AK94" s="114" t="n"/>
      <c r="AL94" s="114" t="n"/>
      <c r="AM94" s="113">
        <f>(O94-AG94)+AJ94</f>
        <v/>
      </c>
      <c r="AN94" s="114">
        <f>(P94-AH94)+AK94</f>
        <v/>
      </c>
      <c r="AO94" s="114">
        <f>(Q94-AI94)+AL94</f>
        <v/>
      </c>
      <c r="AP94" s="2">
        <f>IF(AM94&gt;0, "Under",IF(AM94&lt;0,"Over",""))</f>
        <v/>
      </c>
      <c r="AQ94" s="1">
        <f>IF(AN94&gt;0, "Under",IF(AN94&lt;0,"Over",""))</f>
        <v/>
      </c>
      <c r="AR94" s="1">
        <f>IF(AO94&gt;0, "Under",IF(AO94&lt;0,"Over",""))</f>
        <v/>
      </c>
      <c r="AS94" s="3" t="n"/>
    </row>
    <row r="95">
      <c r="A95" s="90" t="inlineStr">
        <is>
          <t>0-4121</t>
        </is>
      </c>
      <c r="B95" s="90" t="inlineStr">
        <is>
          <t>0-4121-Laydown Areas</t>
        </is>
      </c>
      <c r="C95" s="115" t="n">
        <v>0</v>
      </c>
      <c r="D95" s="116" t="n">
        <v>0</v>
      </c>
      <c r="E95" s="116" t="n">
        <v>156147.77</v>
      </c>
      <c r="F95" s="115" t="n">
        <v>29000</v>
      </c>
      <c r="G95" s="116" t="n">
        <v>0</v>
      </c>
      <c r="H95" s="116" t="n">
        <v>153564.5769105691</v>
      </c>
      <c r="I95" s="115" t="n">
        <v>0</v>
      </c>
      <c r="J95" s="116" t="n">
        <v>832.5</v>
      </c>
      <c r="K95" s="116" t="n">
        <v>1057.94</v>
      </c>
      <c r="L95" s="115" t="n">
        <v>0</v>
      </c>
      <c r="M95" s="116" t="n">
        <v>0</v>
      </c>
      <c r="N95" s="116" t="n">
        <v>596875.5700000001</v>
      </c>
      <c r="O95" s="115">
        <f>L95+I95+F95+C95</f>
        <v/>
      </c>
      <c r="P95" s="116">
        <f>M95+J95+G95+D95</f>
        <v/>
      </c>
      <c r="Q95" s="116">
        <f>N95+K95+H95+E95</f>
        <v/>
      </c>
      <c r="R95" s="115">
        <f>SUMIFS('PO Log'!$E:$E,'PO Log'!$D:$D,'Category Table'!R$2,'PO Log'!$C:$C,'Category Table'!$A95)</f>
        <v/>
      </c>
      <c r="S95" s="116">
        <f>SUMIFS('PO Log'!$E:$E,'PO Log'!$D:$D,'Category Table'!S$2,'PO Log'!$C:$C,'Category Table'!$A95)</f>
        <v/>
      </c>
      <c r="T95" s="116">
        <f>SUMIFS('PO Log'!$E:$E,'PO Log'!$D:$D,'Category Table'!T$2,'PO Log'!$C:$C,'Category Table'!$A95)</f>
        <v/>
      </c>
      <c r="U95" s="115">
        <f>SUMIFS('Committments Dump'!$Q:$Q,'Committments Dump'!$C:$C,'Category Table'!U$2,'Committments Dump'!$B:$B,'Category Table'!$A95)</f>
        <v/>
      </c>
      <c r="V95" s="116">
        <f>SUMIFS('Committments Dump'!$Q:$Q,'Committments Dump'!$C:$C,'Category Table'!V$2,'Committments Dump'!$B:$B,'Category Table'!$A95)</f>
        <v/>
      </c>
      <c r="W95" s="116">
        <f>SUMIFS('Committments Dump'!$Q:$Q,'Committments Dump'!$C:$C,'Category Table'!W$2,'Committments Dump'!$B:$B,'Category Table'!$A95)</f>
        <v/>
      </c>
      <c r="X95" s="115">
        <f>SUMIFS('Committments Dump'!$R:$R,'Committments Dump'!$C:$C,'Category Table'!X$2,'Committments Dump'!$B:$B,'Category Table'!$A95)</f>
        <v/>
      </c>
      <c r="Y95" s="116">
        <f>SUMIFS('Committments Dump'!$R:$R,'Committments Dump'!$C:$C,'Category Table'!Y$2,'Committments Dump'!$B:$B,'Category Table'!$A95)</f>
        <v/>
      </c>
      <c r="Z95" s="116">
        <f>SUMIFS('Committments Dump'!$R:$R,'Committments Dump'!$C:$C,'Category Table'!Z$2,'Committments Dump'!$B:$B,'Category Table'!$A95)</f>
        <v/>
      </c>
      <c r="AA95" s="115">
        <f>SUMIFS('Committments Dump'!$S:$S,'Committments Dump'!$C:$C,'Category Table'!AA$2,'Committments Dump'!$B:$B,'Category Table'!$A95)</f>
        <v/>
      </c>
      <c r="AB95" s="116">
        <f>SUMIFS('Committments Dump'!$S:$S,'Committments Dump'!$C:$C,'Category Table'!AB$2,'Committments Dump'!$B:$B,'Category Table'!$A95)</f>
        <v/>
      </c>
      <c r="AC95" s="116">
        <f>SUMIFS('Committments Dump'!$S:$S,'Committments Dump'!$C:$C,'Category Table'!AC$2,'Committments Dump'!$B:$B,'Category Table'!$A95)</f>
        <v/>
      </c>
      <c r="AD95" s="115">
        <f>U95+X95+AA95</f>
        <v/>
      </c>
      <c r="AE95" s="116">
        <f>V95+Y95+AB95</f>
        <v/>
      </c>
      <c r="AF95" s="116">
        <f>W95+Z95+AC95</f>
        <v/>
      </c>
      <c r="AG95" s="115">
        <f>R95+AD95</f>
        <v/>
      </c>
      <c r="AH95" s="116">
        <f>S95+AE95</f>
        <v/>
      </c>
      <c r="AI95" s="116">
        <f>T95+AF95</f>
        <v/>
      </c>
      <c r="AJ95" s="115" t="n"/>
      <c r="AK95" s="116" t="n"/>
      <c r="AL95" s="116" t="n"/>
      <c r="AM95" s="115">
        <f>(O95-AG95)+AJ95</f>
        <v/>
      </c>
      <c r="AN95" s="116">
        <f>(P95-AH95)+AK95</f>
        <v/>
      </c>
      <c r="AO95" s="116">
        <f>(Q95-AI95)+AL95</f>
        <v/>
      </c>
      <c r="AP95" s="93">
        <f>IF(AM95&gt;0, "Under",IF(AM95&lt;0,"Over",""))</f>
        <v/>
      </c>
      <c r="AQ95" s="94">
        <f>IF(AN95&gt;0, "Under",IF(AN95&lt;0,"Over",""))</f>
        <v/>
      </c>
      <c r="AR95" s="94">
        <f>IF(AO95&gt;0, "Under",IF(AO95&lt;0,"Over",""))</f>
        <v/>
      </c>
      <c r="AS95" s="3" t="n"/>
    </row>
    <row r="96">
      <c r="A96" t="inlineStr">
        <is>
          <t>0-4122</t>
        </is>
      </c>
      <c r="B96" t="inlineStr">
        <is>
          <t>0-4122-Road Maintenance</t>
        </is>
      </c>
      <c r="C96" s="113" t="n">
        <v>0</v>
      </c>
      <c r="D96" s="114" t="n">
        <v>0</v>
      </c>
      <c r="E96" s="114" t="n">
        <v>0</v>
      </c>
      <c r="F96" s="113" t="n">
        <v>0</v>
      </c>
      <c r="G96" s="114" t="n">
        <v>0</v>
      </c>
      <c r="H96" s="114" t="n">
        <v>0</v>
      </c>
      <c r="I96" s="113" t="n">
        <v>0</v>
      </c>
      <c r="J96" s="114" t="n">
        <v>0</v>
      </c>
      <c r="K96" s="114" t="n">
        <v>0</v>
      </c>
      <c r="L96" s="113" t="n">
        <v>0</v>
      </c>
      <c r="M96" s="114" t="n">
        <v>0</v>
      </c>
      <c r="N96" s="114" t="n">
        <v>0</v>
      </c>
      <c r="O96" s="113">
        <f>L96+I96+F96+C96</f>
        <v/>
      </c>
      <c r="P96" s="114">
        <f>M96+J96+G96+D96</f>
        <v/>
      </c>
      <c r="Q96" s="114">
        <f>N96+K96+H96+E96</f>
        <v/>
      </c>
      <c r="R96" s="113">
        <f>SUMIFS('PO Log'!$E:$E,'PO Log'!$D:$D,'Category Table'!R$2,'PO Log'!$C:$C,'Category Table'!$A96)</f>
        <v/>
      </c>
      <c r="S96" s="114">
        <f>SUMIFS('PO Log'!$E:$E,'PO Log'!$D:$D,'Category Table'!S$2,'PO Log'!$C:$C,'Category Table'!$A96)</f>
        <v/>
      </c>
      <c r="T96" s="114">
        <f>SUMIFS('PO Log'!$E:$E,'PO Log'!$D:$D,'Category Table'!T$2,'PO Log'!$C:$C,'Category Table'!$A96)</f>
        <v/>
      </c>
      <c r="U96" s="113">
        <f>SUMIFS('Committments Dump'!$Q:$Q,'Committments Dump'!$C:$C,'Category Table'!U$2,'Committments Dump'!$B:$B,'Category Table'!$A96)</f>
        <v/>
      </c>
      <c r="V96" s="114">
        <f>SUMIFS('Committments Dump'!$Q:$Q,'Committments Dump'!$C:$C,'Category Table'!V$2,'Committments Dump'!$B:$B,'Category Table'!$A96)</f>
        <v/>
      </c>
      <c r="W96" s="114">
        <f>SUMIFS('Committments Dump'!$Q:$Q,'Committments Dump'!$C:$C,'Category Table'!W$2,'Committments Dump'!$B:$B,'Category Table'!$A96)</f>
        <v/>
      </c>
      <c r="X96" s="113">
        <f>SUMIFS('Committments Dump'!$R:$R,'Committments Dump'!$C:$C,'Category Table'!X$2,'Committments Dump'!$B:$B,'Category Table'!$A96)</f>
        <v/>
      </c>
      <c r="Y96" s="114">
        <f>SUMIFS('Committments Dump'!$R:$R,'Committments Dump'!$C:$C,'Category Table'!Y$2,'Committments Dump'!$B:$B,'Category Table'!$A96)</f>
        <v/>
      </c>
      <c r="Z96" s="114">
        <f>SUMIFS('Committments Dump'!$R:$R,'Committments Dump'!$C:$C,'Category Table'!Z$2,'Committments Dump'!$B:$B,'Category Table'!$A96)</f>
        <v/>
      </c>
      <c r="AA96" s="113">
        <f>SUMIFS('Committments Dump'!$S:$S,'Committments Dump'!$C:$C,'Category Table'!AA$2,'Committments Dump'!$B:$B,'Category Table'!$A96)</f>
        <v/>
      </c>
      <c r="AB96" s="114">
        <f>SUMIFS('Committments Dump'!$S:$S,'Committments Dump'!$C:$C,'Category Table'!AB$2,'Committments Dump'!$B:$B,'Category Table'!$A96)</f>
        <v/>
      </c>
      <c r="AC96" s="114">
        <f>SUMIFS('Committments Dump'!$S:$S,'Committments Dump'!$C:$C,'Category Table'!AC$2,'Committments Dump'!$B:$B,'Category Table'!$A96)</f>
        <v/>
      </c>
      <c r="AD96" s="113">
        <f>U96+X96+AA96</f>
        <v/>
      </c>
      <c r="AE96" s="114">
        <f>V96+Y96+AB96</f>
        <v/>
      </c>
      <c r="AF96" s="114">
        <f>W96+Z96+AC96</f>
        <v/>
      </c>
      <c r="AG96" s="113">
        <f>R96+AD96</f>
        <v/>
      </c>
      <c r="AH96" s="114">
        <f>S96+AE96</f>
        <v/>
      </c>
      <c r="AI96" s="114">
        <f>T96+AF96</f>
        <v/>
      </c>
      <c r="AJ96" s="113" t="n"/>
      <c r="AK96" s="114" t="n"/>
      <c r="AL96" s="114" t="n"/>
      <c r="AM96" s="113">
        <f>(O96-AG96)+AJ96</f>
        <v/>
      </c>
      <c r="AN96" s="114">
        <f>(P96-AH96)+AK96</f>
        <v/>
      </c>
      <c r="AO96" s="114">
        <f>(Q96-AI96)+AL96</f>
        <v/>
      </c>
      <c r="AP96" s="2">
        <f>IF(AM96&gt;0, "Under",IF(AM96&lt;0,"Over",""))</f>
        <v/>
      </c>
      <c r="AQ96" s="1">
        <f>IF(AN96&gt;0, "Under",IF(AN96&lt;0,"Over",""))</f>
        <v/>
      </c>
      <c r="AR96" s="1">
        <f>IF(AO96&gt;0, "Under",IF(AO96&lt;0,"Over",""))</f>
        <v/>
      </c>
      <c r="AS96" s="3" t="n"/>
    </row>
    <row r="97">
      <c r="A97" s="90" t="inlineStr">
        <is>
          <t>0-4123</t>
        </is>
      </c>
      <c r="B97" s="90" t="inlineStr">
        <is>
          <t>0-4123-Dust Control</t>
        </is>
      </c>
      <c r="C97" s="115" t="n">
        <v>0</v>
      </c>
      <c r="D97" s="116" t="n">
        <v>0</v>
      </c>
      <c r="E97" s="116" t="n">
        <v>0</v>
      </c>
      <c r="F97" s="115" t="n">
        <v>0</v>
      </c>
      <c r="G97" s="116" t="n">
        <v>0</v>
      </c>
      <c r="H97" s="116" t="n">
        <v>95877.25351562502</v>
      </c>
      <c r="I97" s="115" t="n">
        <v>0</v>
      </c>
      <c r="J97" s="116" t="n">
        <v>0</v>
      </c>
      <c r="K97" s="116" t="n">
        <v>0</v>
      </c>
      <c r="L97" s="115" t="n">
        <v>0</v>
      </c>
      <c r="M97" s="116" t="n">
        <v>0</v>
      </c>
      <c r="N97" s="116" t="n">
        <v>0</v>
      </c>
      <c r="O97" s="115">
        <f>L97+I97+F97+C97</f>
        <v/>
      </c>
      <c r="P97" s="116">
        <f>M97+J97+G97+D97</f>
        <v/>
      </c>
      <c r="Q97" s="116">
        <f>N97+K97+H97+E97</f>
        <v/>
      </c>
      <c r="R97" s="115">
        <f>SUMIFS('PO Log'!$E:$E,'PO Log'!$D:$D,'Category Table'!R$2,'PO Log'!$C:$C,'Category Table'!$A97)</f>
        <v/>
      </c>
      <c r="S97" s="116">
        <f>SUMIFS('PO Log'!$E:$E,'PO Log'!$D:$D,'Category Table'!S$2,'PO Log'!$C:$C,'Category Table'!$A97)</f>
        <v/>
      </c>
      <c r="T97" s="116">
        <f>SUMIFS('PO Log'!$E:$E,'PO Log'!$D:$D,'Category Table'!T$2,'PO Log'!$C:$C,'Category Table'!$A97)</f>
        <v/>
      </c>
      <c r="U97" s="115">
        <f>SUMIFS('Committments Dump'!$Q:$Q,'Committments Dump'!$C:$C,'Category Table'!U$2,'Committments Dump'!$B:$B,'Category Table'!$A97)</f>
        <v/>
      </c>
      <c r="V97" s="116">
        <f>SUMIFS('Committments Dump'!$Q:$Q,'Committments Dump'!$C:$C,'Category Table'!V$2,'Committments Dump'!$B:$B,'Category Table'!$A97)</f>
        <v/>
      </c>
      <c r="W97" s="116">
        <f>SUMIFS('Committments Dump'!$Q:$Q,'Committments Dump'!$C:$C,'Category Table'!W$2,'Committments Dump'!$B:$B,'Category Table'!$A97)</f>
        <v/>
      </c>
      <c r="X97" s="115">
        <f>SUMIFS('Committments Dump'!$R:$R,'Committments Dump'!$C:$C,'Category Table'!X$2,'Committments Dump'!$B:$B,'Category Table'!$A97)</f>
        <v/>
      </c>
      <c r="Y97" s="116">
        <f>SUMIFS('Committments Dump'!$R:$R,'Committments Dump'!$C:$C,'Category Table'!Y$2,'Committments Dump'!$B:$B,'Category Table'!$A97)</f>
        <v/>
      </c>
      <c r="Z97" s="116">
        <f>SUMIFS('Committments Dump'!$R:$R,'Committments Dump'!$C:$C,'Category Table'!Z$2,'Committments Dump'!$B:$B,'Category Table'!$A97)</f>
        <v/>
      </c>
      <c r="AA97" s="115">
        <f>SUMIFS('Committments Dump'!$S:$S,'Committments Dump'!$C:$C,'Category Table'!AA$2,'Committments Dump'!$B:$B,'Category Table'!$A97)</f>
        <v/>
      </c>
      <c r="AB97" s="116">
        <f>SUMIFS('Committments Dump'!$S:$S,'Committments Dump'!$C:$C,'Category Table'!AB$2,'Committments Dump'!$B:$B,'Category Table'!$A97)</f>
        <v/>
      </c>
      <c r="AC97" s="116">
        <f>SUMIFS('Committments Dump'!$S:$S,'Committments Dump'!$C:$C,'Category Table'!AC$2,'Committments Dump'!$B:$B,'Category Table'!$A97)</f>
        <v/>
      </c>
      <c r="AD97" s="115">
        <f>U97+X97+AA97</f>
        <v/>
      </c>
      <c r="AE97" s="116">
        <f>V97+Y97+AB97</f>
        <v/>
      </c>
      <c r="AF97" s="116">
        <f>W97+Z97+AC97</f>
        <v/>
      </c>
      <c r="AG97" s="115">
        <f>R97+AD97</f>
        <v/>
      </c>
      <c r="AH97" s="116">
        <f>S97+AE97</f>
        <v/>
      </c>
      <c r="AI97" s="116">
        <f>T97+AF97</f>
        <v/>
      </c>
      <c r="AJ97" s="115" t="n"/>
      <c r="AK97" s="116" t="n"/>
      <c r="AL97" s="116" t="n"/>
      <c r="AM97" s="115">
        <f>(O97-AG97)+AJ97</f>
        <v/>
      </c>
      <c r="AN97" s="116">
        <f>(P97-AH97)+AK97</f>
        <v/>
      </c>
      <c r="AO97" s="116">
        <f>(Q97-AI97)+AL97</f>
        <v/>
      </c>
      <c r="AP97" s="93">
        <f>IF(AM97&gt;0, "Under",IF(AM97&lt;0,"Over",""))</f>
        <v/>
      </c>
      <c r="AQ97" s="94">
        <f>IF(AN97&gt;0, "Under",IF(AN97&lt;0,"Over",""))</f>
        <v/>
      </c>
      <c r="AR97" s="94">
        <f>IF(AO97&gt;0, "Under",IF(AO97&lt;0,"Over",""))</f>
        <v/>
      </c>
      <c r="AS97" s="3" t="n"/>
    </row>
    <row r="98">
      <c r="A98" t="inlineStr">
        <is>
          <t>0-4124</t>
        </is>
      </c>
      <c r="B98" t="inlineStr">
        <is>
          <t>0-4124-Dewatering</t>
        </is>
      </c>
      <c r="C98" s="113" t="n">
        <v>0</v>
      </c>
      <c r="D98" s="114" t="n">
        <v>0</v>
      </c>
      <c r="E98" s="114" t="n">
        <v>0</v>
      </c>
      <c r="F98" s="113" t="n">
        <v>0</v>
      </c>
      <c r="G98" s="114" t="n">
        <v>0</v>
      </c>
      <c r="H98" s="114" t="n">
        <v>0</v>
      </c>
      <c r="I98" s="113" t="n">
        <v>0</v>
      </c>
      <c r="J98" s="114" t="n">
        <v>0</v>
      </c>
      <c r="K98" s="114" t="n">
        <v>0</v>
      </c>
      <c r="L98" s="113" t="n">
        <v>0</v>
      </c>
      <c r="M98" s="114" t="n">
        <v>0</v>
      </c>
      <c r="N98" s="114" t="n">
        <v>0</v>
      </c>
      <c r="O98" s="113">
        <f>L98+I98+F98+C98</f>
        <v/>
      </c>
      <c r="P98" s="114">
        <f>M98+J98+G98+D98</f>
        <v/>
      </c>
      <c r="Q98" s="114">
        <f>N98+K98+H98+E98</f>
        <v/>
      </c>
      <c r="R98" s="113">
        <f>SUMIFS('PO Log'!$E:$E,'PO Log'!$D:$D,'Category Table'!R$2,'PO Log'!$C:$C,'Category Table'!$A98)</f>
        <v/>
      </c>
      <c r="S98" s="114">
        <f>SUMIFS('PO Log'!$E:$E,'PO Log'!$D:$D,'Category Table'!S$2,'PO Log'!$C:$C,'Category Table'!$A98)</f>
        <v/>
      </c>
      <c r="T98" s="114">
        <f>SUMIFS('PO Log'!$E:$E,'PO Log'!$D:$D,'Category Table'!T$2,'PO Log'!$C:$C,'Category Table'!$A98)</f>
        <v/>
      </c>
      <c r="U98" s="113">
        <f>SUMIFS('Committments Dump'!$Q:$Q,'Committments Dump'!$C:$C,'Category Table'!U$2,'Committments Dump'!$B:$B,'Category Table'!$A98)</f>
        <v/>
      </c>
      <c r="V98" s="114">
        <f>SUMIFS('Committments Dump'!$Q:$Q,'Committments Dump'!$C:$C,'Category Table'!V$2,'Committments Dump'!$B:$B,'Category Table'!$A98)</f>
        <v/>
      </c>
      <c r="W98" s="114">
        <f>SUMIFS('Committments Dump'!$Q:$Q,'Committments Dump'!$C:$C,'Category Table'!W$2,'Committments Dump'!$B:$B,'Category Table'!$A98)</f>
        <v/>
      </c>
      <c r="X98" s="113">
        <f>SUMIFS('Committments Dump'!$R:$R,'Committments Dump'!$C:$C,'Category Table'!X$2,'Committments Dump'!$B:$B,'Category Table'!$A98)</f>
        <v/>
      </c>
      <c r="Y98" s="114">
        <f>SUMIFS('Committments Dump'!$R:$R,'Committments Dump'!$C:$C,'Category Table'!Y$2,'Committments Dump'!$B:$B,'Category Table'!$A98)</f>
        <v/>
      </c>
      <c r="Z98" s="114">
        <f>SUMIFS('Committments Dump'!$R:$R,'Committments Dump'!$C:$C,'Category Table'!Z$2,'Committments Dump'!$B:$B,'Category Table'!$A98)</f>
        <v/>
      </c>
      <c r="AA98" s="113">
        <f>SUMIFS('Committments Dump'!$S:$S,'Committments Dump'!$C:$C,'Category Table'!AA$2,'Committments Dump'!$B:$B,'Category Table'!$A98)</f>
        <v/>
      </c>
      <c r="AB98" s="114">
        <f>SUMIFS('Committments Dump'!$S:$S,'Committments Dump'!$C:$C,'Category Table'!AB$2,'Committments Dump'!$B:$B,'Category Table'!$A98)</f>
        <v/>
      </c>
      <c r="AC98" s="114">
        <f>SUMIFS('Committments Dump'!$S:$S,'Committments Dump'!$C:$C,'Category Table'!AC$2,'Committments Dump'!$B:$B,'Category Table'!$A98)</f>
        <v/>
      </c>
      <c r="AD98" s="113">
        <f>U98+X98+AA98</f>
        <v/>
      </c>
      <c r="AE98" s="114">
        <f>V98+Y98+AB98</f>
        <v/>
      </c>
      <c r="AF98" s="114">
        <f>W98+Z98+AC98</f>
        <v/>
      </c>
      <c r="AG98" s="113">
        <f>R98+AD98</f>
        <v/>
      </c>
      <c r="AH98" s="114">
        <f>S98+AE98</f>
        <v/>
      </c>
      <c r="AI98" s="114">
        <f>T98+AF98</f>
        <v/>
      </c>
      <c r="AJ98" s="113" t="n"/>
      <c r="AK98" s="114" t="n"/>
      <c r="AL98" s="114" t="n"/>
      <c r="AM98" s="113">
        <f>(O98-AG98)+AJ98</f>
        <v/>
      </c>
      <c r="AN98" s="114">
        <f>(P98-AH98)+AK98</f>
        <v/>
      </c>
      <c r="AO98" s="114">
        <f>(Q98-AI98)+AL98</f>
        <v/>
      </c>
      <c r="AP98" s="2">
        <f>IF(AM98&gt;0, "Under",IF(AM98&lt;0,"Over",""))</f>
        <v/>
      </c>
      <c r="AQ98" s="1">
        <f>IF(AN98&gt;0, "Under",IF(AN98&lt;0,"Over",""))</f>
        <v/>
      </c>
      <c r="AR98" s="1">
        <f>IF(AO98&gt;0, "Under",IF(AO98&lt;0,"Over",""))</f>
        <v/>
      </c>
      <c r="AS98" s="3" t="n"/>
    </row>
    <row r="99">
      <c r="A99" s="90" t="inlineStr">
        <is>
          <t>0-4125</t>
        </is>
      </c>
      <c r="B99" s="90" t="inlineStr">
        <is>
          <t>0-4125-SWPPP Maintenance</t>
        </is>
      </c>
      <c r="C99" s="115" t="n">
        <v>0</v>
      </c>
      <c r="D99" s="116" t="n">
        <v>0</v>
      </c>
      <c r="E99" s="116" t="n">
        <v>0</v>
      </c>
      <c r="F99" s="115" t="n">
        <v>0</v>
      </c>
      <c r="G99" s="116" t="n">
        <v>0</v>
      </c>
      <c r="H99" s="116" t="n">
        <v>13345.35052083333</v>
      </c>
      <c r="I99" s="115" t="n">
        <v>0</v>
      </c>
      <c r="J99" s="116" t="n">
        <v>0</v>
      </c>
      <c r="K99" s="116" t="n">
        <v>0</v>
      </c>
      <c r="L99" s="115" t="n">
        <v>0</v>
      </c>
      <c r="M99" s="116" t="n">
        <v>0</v>
      </c>
      <c r="N99" s="116" t="n">
        <v>0</v>
      </c>
      <c r="O99" s="115">
        <f>L99+I99+F99+C99</f>
        <v/>
      </c>
      <c r="P99" s="116">
        <f>M99+J99+G99+D99</f>
        <v/>
      </c>
      <c r="Q99" s="116">
        <f>N99+K99+H99+E99</f>
        <v/>
      </c>
      <c r="R99" s="115">
        <f>SUMIFS('PO Log'!$E:$E,'PO Log'!$D:$D,'Category Table'!R$2,'PO Log'!$C:$C,'Category Table'!$A99)</f>
        <v/>
      </c>
      <c r="S99" s="116">
        <f>SUMIFS('PO Log'!$E:$E,'PO Log'!$D:$D,'Category Table'!S$2,'PO Log'!$C:$C,'Category Table'!$A99)</f>
        <v/>
      </c>
      <c r="T99" s="116">
        <f>SUMIFS('PO Log'!$E:$E,'PO Log'!$D:$D,'Category Table'!T$2,'PO Log'!$C:$C,'Category Table'!$A99)</f>
        <v/>
      </c>
      <c r="U99" s="115">
        <f>SUMIFS('Committments Dump'!$Q:$Q,'Committments Dump'!$C:$C,'Category Table'!U$2,'Committments Dump'!$B:$B,'Category Table'!$A99)</f>
        <v/>
      </c>
      <c r="V99" s="116">
        <f>SUMIFS('Committments Dump'!$Q:$Q,'Committments Dump'!$C:$C,'Category Table'!V$2,'Committments Dump'!$B:$B,'Category Table'!$A99)</f>
        <v/>
      </c>
      <c r="W99" s="116">
        <f>SUMIFS('Committments Dump'!$Q:$Q,'Committments Dump'!$C:$C,'Category Table'!W$2,'Committments Dump'!$B:$B,'Category Table'!$A99)</f>
        <v/>
      </c>
      <c r="X99" s="115">
        <f>SUMIFS('Committments Dump'!$R:$R,'Committments Dump'!$C:$C,'Category Table'!X$2,'Committments Dump'!$B:$B,'Category Table'!$A99)</f>
        <v/>
      </c>
      <c r="Y99" s="116">
        <f>SUMIFS('Committments Dump'!$R:$R,'Committments Dump'!$C:$C,'Category Table'!Y$2,'Committments Dump'!$B:$B,'Category Table'!$A99)</f>
        <v/>
      </c>
      <c r="Z99" s="116">
        <f>SUMIFS('Committments Dump'!$R:$R,'Committments Dump'!$C:$C,'Category Table'!Z$2,'Committments Dump'!$B:$B,'Category Table'!$A99)</f>
        <v/>
      </c>
      <c r="AA99" s="115">
        <f>SUMIFS('Committments Dump'!$S:$S,'Committments Dump'!$C:$C,'Category Table'!AA$2,'Committments Dump'!$B:$B,'Category Table'!$A99)</f>
        <v/>
      </c>
      <c r="AB99" s="116">
        <f>SUMIFS('Committments Dump'!$S:$S,'Committments Dump'!$C:$C,'Category Table'!AB$2,'Committments Dump'!$B:$B,'Category Table'!$A99)</f>
        <v/>
      </c>
      <c r="AC99" s="116">
        <f>SUMIFS('Committments Dump'!$S:$S,'Committments Dump'!$C:$C,'Category Table'!AC$2,'Committments Dump'!$B:$B,'Category Table'!$A99)</f>
        <v/>
      </c>
      <c r="AD99" s="115">
        <f>U99+X99+AA99</f>
        <v/>
      </c>
      <c r="AE99" s="116">
        <f>V99+Y99+AB99</f>
        <v/>
      </c>
      <c r="AF99" s="116">
        <f>W99+Z99+AC99</f>
        <v/>
      </c>
      <c r="AG99" s="115">
        <f>R99+AD99</f>
        <v/>
      </c>
      <c r="AH99" s="116">
        <f>S99+AE99</f>
        <v/>
      </c>
      <c r="AI99" s="116">
        <f>T99+AF99</f>
        <v/>
      </c>
      <c r="AJ99" s="115" t="n"/>
      <c r="AK99" s="116" t="n"/>
      <c r="AL99" s="116" t="n"/>
      <c r="AM99" s="115">
        <f>(O99-AG99)+AJ99</f>
        <v/>
      </c>
      <c r="AN99" s="116">
        <f>(P99-AH99)+AK99</f>
        <v/>
      </c>
      <c r="AO99" s="116">
        <f>(Q99-AI99)+AL99</f>
        <v/>
      </c>
      <c r="AP99" s="93">
        <f>IF(AM99&gt;0, "Under",IF(AM99&lt;0,"Over",""))</f>
        <v/>
      </c>
      <c r="AQ99" s="94">
        <f>IF(AN99&gt;0, "Under",IF(AN99&lt;0,"Over",""))</f>
        <v/>
      </c>
      <c r="AR99" s="94">
        <f>IF(AO99&gt;0, "Under",IF(AO99&lt;0,"Over",""))</f>
        <v/>
      </c>
      <c r="AS99" s="3" t="n"/>
    </row>
    <row r="100">
      <c r="A100" t="inlineStr">
        <is>
          <t>0-4128</t>
        </is>
      </c>
      <c r="B100" t="inlineStr">
        <is>
          <t>0-4128-Basin Installation</t>
        </is>
      </c>
      <c r="C100" s="113" t="n">
        <v>0</v>
      </c>
      <c r="D100" s="114" t="n">
        <v>0</v>
      </c>
      <c r="E100" s="114" t="n">
        <v>0</v>
      </c>
      <c r="F100" s="113" t="n">
        <v>0</v>
      </c>
      <c r="G100" s="114" t="n">
        <v>0</v>
      </c>
      <c r="H100" s="114" t="n">
        <v>154560.43</v>
      </c>
      <c r="I100" s="113" t="n">
        <v>0</v>
      </c>
      <c r="J100" s="114" t="n">
        <v>0</v>
      </c>
      <c r="K100" s="114" t="n">
        <v>0</v>
      </c>
      <c r="L100" s="113" t="n">
        <v>0</v>
      </c>
      <c r="M100" s="114" t="n">
        <v>0</v>
      </c>
      <c r="N100" s="114" t="n">
        <v>0</v>
      </c>
      <c r="O100" s="113">
        <f>L100+I100+F100+C100</f>
        <v/>
      </c>
      <c r="P100" s="114">
        <f>M100+J100+G100+D100</f>
        <v/>
      </c>
      <c r="Q100" s="114">
        <f>N100+K100+H100+E100</f>
        <v/>
      </c>
      <c r="R100" s="113">
        <f>SUMIFS('PO Log'!$E:$E,'PO Log'!$D:$D,'Category Table'!R$2,'PO Log'!$C:$C,'Category Table'!$A100)</f>
        <v/>
      </c>
      <c r="S100" s="114">
        <f>SUMIFS('PO Log'!$E:$E,'PO Log'!$D:$D,'Category Table'!S$2,'PO Log'!$C:$C,'Category Table'!$A100)</f>
        <v/>
      </c>
      <c r="T100" s="114">
        <f>SUMIFS('PO Log'!$E:$E,'PO Log'!$D:$D,'Category Table'!T$2,'PO Log'!$C:$C,'Category Table'!$A100)</f>
        <v/>
      </c>
      <c r="U100" s="113">
        <f>SUMIFS('Committments Dump'!$Q:$Q,'Committments Dump'!$C:$C,'Category Table'!U$2,'Committments Dump'!$B:$B,'Category Table'!$A100)</f>
        <v/>
      </c>
      <c r="V100" s="114">
        <f>SUMIFS('Committments Dump'!$Q:$Q,'Committments Dump'!$C:$C,'Category Table'!V$2,'Committments Dump'!$B:$B,'Category Table'!$A100)</f>
        <v/>
      </c>
      <c r="W100" s="114">
        <f>SUMIFS('Committments Dump'!$Q:$Q,'Committments Dump'!$C:$C,'Category Table'!W$2,'Committments Dump'!$B:$B,'Category Table'!$A100)</f>
        <v/>
      </c>
      <c r="X100" s="113">
        <f>SUMIFS('Committments Dump'!$R:$R,'Committments Dump'!$C:$C,'Category Table'!X$2,'Committments Dump'!$B:$B,'Category Table'!$A100)</f>
        <v/>
      </c>
      <c r="Y100" s="114">
        <f>SUMIFS('Committments Dump'!$R:$R,'Committments Dump'!$C:$C,'Category Table'!Y$2,'Committments Dump'!$B:$B,'Category Table'!$A100)</f>
        <v/>
      </c>
      <c r="Z100" s="114">
        <f>SUMIFS('Committments Dump'!$R:$R,'Committments Dump'!$C:$C,'Category Table'!Z$2,'Committments Dump'!$B:$B,'Category Table'!$A100)</f>
        <v/>
      </c>
      <c r="AA100" s="113">
        <f>SUMIFS('Committments Dump'!$S:$S,'Committments Dump'!$C:$C,'Category Table'!AA$2,'Committments Dump'!$B:$B,'Category Table'!$A100)</f>
        <v/>
      </c>
      <c r="AB100" s="114">
        <f>SUMIFS('Committments Dump'!$S:$S,'Committments Dump'!$C:$C,'Category Table'!AB$2,'Committments Dump'!$B:$B,'Category Table'!$A100)</f>
        <v/>
      </c>
      <c r="AC100" s="114">
        <f>SUMIFS('Committments Dump'!$S:$S,'Committments Dump'!$C:$C,'Category Table'!AC$2,'Committments Dump'!$B:$B,'Category Table'!$A100)</f>
        <v/>
      </c>
      <c r="AD100" s="113">
        <f>U100+X100+AA100</f>
        <v/>
      </c>
      <c r="AE100" s="114">
        <f>V100+Y100+AB100</f>
        <v/>
      </c>
      <c r="AF100" s="114">
        <f>W100+Z100+AC100</f>
        <v/>
      </c>
      <c r="AG100" s="113">
        <f>R100+AD100</f>
        <v/>
      </c>
      <c r="AH100" s="114">
        <f>S100+AE100</f>
        <v/>
      </c>
      <c r="AI100" s="114">
        <f>T100+AF100</f>
        <v/>
      </c>
      <c r="AJ100" s="113" t="n"/>
      <c r="AK100" s="114" t="n"/>
      <c r="AL100" s="114" t="n"/>
      <c r="AM100" s="113">
        <f>(O100-AG100)+AJ100</f>
        <v/>
      </c>
      <c r="AN100" s="114">
        <f>(P100-AH100)+AK100</f>
        <v/>
      </c>
      <c r="AO100" s="114">
        <f>(Q100-AI100)+AL100</f>
        <v/>
      </c>
      <c r="AP100" s="2">
        <f>IF(AM100&gt;0, "Under",IF(AM100&lt;0,"Over",""))</f>
        <v/>
      </c>
      <c r="AQ100" s="1">
        <f>IF(AN100&gt;0, "Under",IF(AN100&lt;0,"Over",""))</f>
        <v/>
      </c>
      <c r="AR100" s="1">
        <f>IF(AO100&gt;0, "Under",IF(AO100&lt;0,"Over",""))</f>
        <v/>
      </c>
      <c r="AS100" s="3" t="n"/>
    </row>
    <row r="101">
      <c r="A101" s="90" t="inlineStr">
        <is>
          <t>0-4705</t>
        </is>
      </c>
      <c r="B101" s="90" t="inlineStr">
        <is>
          <t>0-4705-Inverter Pads</t>
        </is>
      </c>
      <c r="C101" s="115" t="n">
        <v>0</v>
      </c>
      <c r="D101" s="116" t="n">
        <v>0</v>
      </c>
      <c r="E101" s="116" t="n">
        <v>0</v>
      </c>
      <c r="F101" s="115" t="n">
        <v>0</v>
      </c>
      <c r="G101" s="116" t="n">
        <v>0</v>
      </c>
      <c r="H101" s="116" t="n">
        <v>186821.46</v>
      </c>
      <c r="I101" s="115" t="n">
        <v>0</v>
      </c>
      <c r="J101" s="116" t="n">
        <v>0</v>
      </c>
      <c r="K101" s="116" t="n">
        <v>0</v>
      </c>
      <c r="L101" s="115" t="n">
        <v>0</v>
      </c>
      <c r="M101" s="116" t="n">
        <v>0</v>
      </c>
      <c r="N101" s="116" t="n">
        <v>0</v>
      </c>
      <c r="O101" s="115">
        <f>L101+I101+F101+C101</f>
        <v/>
      </c>
      <c r="P101" s="116">
        <f>M101+J101+G101+D101</f>
        <v/>
      </c>
      <c r="Q101" s="116">
        <f>N101+K101+H101+E101</f>
        <v/>
      </c>
      <c r="R101" s="115">
        <f>SUMIFS('PO Log'!$E:$E,'PO Log'!$D:$D,'Category Table'!R$2,'PO Log'!$C:$C,'Category Table'!$A101)</f>
        <v/>
      </c>
      <c r="S101" s="116">
        <f>SUMIFS('PO Log'!$E:$E,'PO Log'!$D:$D,'Category Table'!S$2,'PO Log'!$C:$C,'Category Table'!$A101)</f>
        <v/>
      </c>
      <c r="T101" s="116">
        <f>SUMIFS('PO Log'!$E:$E,'PO Log'!$D:$D,'Category Table'!T$2,'PO Log'!$C:$C,'Category Table'!$A101)</f>
        <v/>
      </c>
      <c r="U101" s="115">
        <f>SUMIFS('Committments Dump'!$Q:$Q,'Committments Dump'!$C:$C,'Category Table'!U$2,'Committments Dump'!$B:$B,'Category Table'!$A101)</f>
        <v/>
      </c>
      <c r="V101" s="116">
        <f>SUMIFS('Committments Dump'!$Q:$Q,'Committments Dump'!$C:$C,'Category Table'!V$2,'Committments Dump'!$B:$B,'Category Table'!$A101)</f>
        <v/>
      </c>
      <c r="W101" s="116">
        <f>SUMIFS('Committments Dump'!$Q:$Q,'Committments Dump'!$C:$C,'Category Table'!W$2,'Committments Dump'!$B:$B,'Category Table'!$A101)</f>
        <v/>
      </c>
      <c r="X101" s="115">
        <f>SUMIFS('Committments Dump'!$R:$R,'Committments Dump'!$C:$C,'Category Table'!X$2,'Committments Dump'!$B:$B,'Category Table'!$A101)</f>
        <v/>
      </c>
      <c r="Y101" s="116">
        <f>SUMIFS('Committments Dump'!$R:$R,'Committments Dump'!$C:$C,'Category Table'!Y$2,'Committments Dump'!$B:$B,'Category Table'!$A101)</f>
        <v/>
      </c>
      <c r="Z101" s="116">
        <f>SUMIFS('Committments Dump'!$R:$R,'Committments Dump'!$C:$C,'Category Table'!Z$2,'Committments Dump'!$B:$B,'Category Table'!$A101)</f>
        <v/>
      </c>
      <c r="AA101" s="115">
        <f>SUMIFS('Committments Dump'!$S:$S,'Committments Dump'!$C:$C,'Category Table'!AA$2,'Committments Dump'!$B:$B,'Category Table'!$A101)</f>
        <v/>
      </c>
      <c r="AB101" s="116">
        <f>SUMIFS('Committments Dump'!$S:$S,'Committments Dump'!$C:$C,'Category Table'!AB$2,'Committments Dump'!$B:$B,'Category Table'!$A101)</f>
        <v/>
      </c>
      <c r="AC101" s="116">
        <f>SUMIFS('Committments Dump'!$S:$S,'Committments Dump'!$C:$C,'Category Table'!AC$2,'Committments Dump'!$B:$B,'Category Table'!$A101)</f>
        <v/>
      </c>
      <c r="AD101" s="115">
        <f>U101+X101+AA101</f>
        <v/>
      </c>
      <c r="AE101" s="116">
        <f>V101+Y101+AB101</f>
        <v/>
      </c>
      <c r="AF101" s="116">
        <f>W101+Z101+AC101</f>
        <v/>
      </c>
      <c r="AG101" s="115">
        <f>R101+AD101</f>
        <v/>
      </c>
      <c r="AH101" s="116">
        <f>S101+AE101</f>
        <v/>
      </c>
      <c r="AI101" s="116">
        <f>T101+AF101</f>
        <v/>
      </c>
      <c r="AJ101" s="115" t="n"/>
      <c r="AK101" s="116" t="n"/>
      <c r="AL101" s="116" t="n"/>
      <c r="AM101" s="115">
        <f>(O101-AG101)+AJ101</f>
        <v/>
      </c>
      <c r="AN101" s="116">
        <f>(P101-AH101)+AK101</f>
        <v/>
      </c>
      <c r="AO101" s="116">
        <f>(Q101-AI101)+AL101</f>
        <v/>
      </c>
      <c r="AP101" s="93">
        <f>IF(AM101&gt;0, "Under",IF(AM101&lt;0,"Over",""))</f>
        <v/>
      </c>
      <c r="AQ101" s="94">
        <f>IF(AN101&gt;0, "Under",IF(AN101&lt;0,"Over",""))</f>
        <v/>
      </c>
      <c r="AR101" s="94">
        <f>IF(AO101&gt;0, "Under",IF(AO101&lt;0,"Over",""))</f>
        <v/>
      </c>
      <c r="AS101" s="3" t="n"/>
    </row>
    <row r="102">
      <c r="A102" t="inlineStr">
        <is>
          <t>2-4004</t>
        </is>
      </c>
      <c r="B102" t="inlineStr">
        <is>
          <t>2-4004 Substation and T-Line</t>
        </is>
      </c>
      <c r="C102" s="113" t="n">
        <v>867327</v>
      </c>
      <c r="D102" s="114" t="n">
        <v>0</v>
      </c>
      <c r="E102" s="114" t="n">
        <v>0</v>
      </c>
      <c r="F102" s="113" t="n">
        <v>668815.75</v>
      </c>
      <c r="G102" s="114" t="n">
        <v>0</v>
      </c>
      <c r="H102" s="114" t="n">
        <v>1114000</v>
      </c>
      <c r="I102" s="113" t="n">
        <v>0</v>
      </c>
      <c r="J102" s="114" t="n">
        <v>0</v>
      </c>
      <c r="K102" s="114" t="n">
        <v>0</v>
      </c>
      <c r="L102" s="113" t="n">
        <v>9612857.25</v>
      </c>
      <c r="M102" s="114" t="n">
        <v>0</v>
      </c>
      <c r="N102" s="114" t="n">
        <v>0</v>
      </c>
      <c r="O102" s="113">
        <f>L102+I102+F102+C102</f>
        <v/>
      </c>
      <c r="P102" s="114">
        <f>M102+J102+G102+D102</f>
        <v/>
      </c>
      <c r="Q102" s="114">
        <f>N102+K102+H102+E102</f>
        <v/>
      </c>
      <c r="R102" s="113">
        <f>SUMIFS('PO Log'!$E:$E,'PO Log'!$D:$D,'Category Table'!R$2,'PO Log'!$C:$C,'Category Table'!$A102)</f>
        <v/>
      </c>
      <c r="S102" s="114">
        <f>SUMIFS('PO Log'!$E:$E,'PO Log'!$D:$D,'Category Table'!S$2,'PO Log'!$C:$C,'Category Table'!$A102)</f>
        <v/>
      </c>
      <c r="T102" s="114">
        <f>SUMIFS('PO Log'!$E:$E,'PO Log'!$D:$D,'Category Table'!T$2,'PO Log'!$C:$C,'Category Table'!$A102)</f>
        <v/>
      </c>
      <c r="U102" s="113">
        <f>SUMIFS('Committments Dump'!$Q:$Q,'Committments Dump'!$C:$C,'Category Table'!U$2,'Committments Dump'!$B:$B,'Category Table'!$A102)</f>
        <v/>
      </c>
      <c r="V102" s="114">
        <f>SUMIFS('Committments Dump'!$Q:$Q,'Committments Dump'!$C:$C,'Category Table'!V$2,'Committments Dump'!$B:$B,'Category Table'!$A102)</f>
        <v/>
      </c>
      <c r="W102" s="114">
        <f>SUMIFS('Committments Dump'!$Q:$Q,'Committments Dump'!$C:$C,'Category Table'!W$2,'Committments Dump'!$B:$B,'Category Table'!$A102)</f>
        <v/>
      </c>
      <c r="X102" s="113">
        <f>SUMIFS('Committments Dump'!$R:$R,'Committments Dump'!$C:$C,'Category Table'!X$2,'Committments Dump'!$B:$B,'Category Table'!$A102)</f>
        <v/>
      </c>
      <c r="Y102" s="114">
        <f>SUMIFS('Committments Dump'!$R:$R,'Committments Dump'!$C:$C,'Category Table'!Y$2,'Committments Dump'!$B:$B,'Category Table'!$A102)</f>
        <v/>
      </c>
      <c r="Z102" s="114">
        <f>SUMIFS('Committments Dump'!$R:$R,'Committments Dump'!$C:$C,'Category Table'!Z$2,'Committments Dump'!$B:$B,'Category Table'!$A102)</f>
        <v/>
      </c>
      <c r="AA102" s="113">
        <f>SUMIFS('Committments Dump'!$S:$S,'Committments Dump'!$C:$C,'Category Table'!AA$2,'Committments Dump'!$B:$B,'Category Table'!$A102)</f>
        <v/>
      </c>
      <c r="AB102" s="114">
        <f>SUMIFS('Committments Dump'!$S:$S,'Committments Dump'!$C:$C,'Category Table'!AB$2,'Committments Dump'!$B:$B,'Category Table'!$A102)</f>
        <v/>
      </c>
      <c r="AC102" s="114">
        <f>SUMIFS('Committments Dump'!$S:$S,'Committments Dump'!$C:$C,'Category Table'!AC$2,'Committments Dump'!$B:$B,'Category Table'!$A102)</f>
        <v/>
      </c>
      <c r="AD102" s="113">
        <f>U102+X102+AA102</f>
        <v/>
      </c>
      <c r="AE102" s="114">
        <f>V102+Y102+AB102</f>
        <v/>
      </c>
      <c r="AF102" s="114">
        <f>W102+Z102+AC102</f>
        <v/>
      </c>
      <c r="AG102" s="113">
        <f>R102+AD102</f>
        <v/>
      </c>
      <c r="AH102" s="114">
        <f>S102+AE102</f>
        <v/>
      </c>
      <c r="AI102" s="114">
        <f>T102+AF102</f>
        <v/>
      </c>
      <c r="AJ102" s="113" t="n"/>
      <c r="AK102" s="114" t="n"/>
      <c r="AL102" s="114" t="n"/>
      <c r="AM102" s="113">
        <f>(O102-AG102)+AJ102</f>
        <v/>
      </c>
      <c r="AN102" s="114">
        <f>(P102-AH102)+AK102</f>
        <v/>
      </c>
      <c r="AO102" s="114">
        <f>(Q102-AI102)+AL102</f>
        <v/>
      </c>
      <c r="AP102" s="2">
        <f>IF(AM102&gt;0, "Under",IF(AM102&lt;0,"Over",""))</f>
        <v/>
      </c>
      <c r="AQ102" s="1">
        <f>IF(AN102&gt;0, "Under",IF(AN102&lt;0,"Over",""))</f>
        <v/>
      </c>
      <c r="AR102" s="1">
        <f>IF(AO102&gt;0, "Under",IF(AO102&lt;0,"Over",""))</f>
        <v/>
      </c>
      <c r="AS102" s="3" t="n"/>
    </row>
    <row r="103">
      <c r="A103" s="90" t="inlineStr">
        <is>
          <t>2-4005</t>
        </is>
      </c>
      <c r="B103" s="90" t="inlineStr">
        <is>
          <t>2-4005-SS FOE</t>
        </is>
      </c>
      <c r="C103" s="115" t="n">
        <v>0</v>
      </c>
      <c r="D103" s="116" t="n">
        <v>0</v>
      </c>
      <c r="E103" s="116" t="n">
        <v>0</v>
      </c>
      <c r="F103" s="115" t="n">
        <v>0</v>
      </c>
      <c r="G103" s="116" t="n">
        <v>0</v>
      </c>
      <c r="H103" s="116" t="n">
        <v>0</v>
      </c>
      <c r="I103" s="115" t="n">
        <v>0</v>
      </c>
      <c r="J103" s="116" t="n">
        <v>0</v>
      </c>
      <c r="K103" s="116" t="n">
        <v>0</v>
      </c>
      <c r="L103" s="115" t="n">
        <v>0</v>
      </c>
      <c r="M103" s="116" t="n">
        <v>0</v>
      </c>
      <c r="N103" s="116" t="n">
        <v>0</v>
      </c>
      <c r="O103" s="115">
        <f>L103+I103+F103+C103</f>
        <v/>
      </c>
      <c r="P103" s="116">
        <f>M103+J103+G103+D103</f>
        <v/>
      </c>
      <c r="Q103" s="116">
        <f>N103+K103+H103+E103</f>
        <v/>
      </c>
      <c r="R103" s="115">
        <f>SUMIFS('PO Log'!$E:$E,'PO Log'!$D:$D,'Category Table'!R$2,'PO Log'!$C:$C,'Category Table'!$A103)</f>
        <v/>
      </c>
      <c r="S103" s="116">
        <f>SUMIFS('PO Log'!$E:$E,'PO Log'!$D:$D,'Category Table'!S$2,'PO Log'!$C:$C,'Category Table'!$A103)</f>
        <v/>
      </c>
      <c r="T103" s="116">
        <f>SUMIFS('PO Log'!$E:$E,'PO Log'!$D:$D,'Category Table'!T$2,'PO Log'!$C:$C,'Category Table'!$A103)</f>
        <v/>
      </c>
      <c r="U103" s="115">
        <f>SUMIFS('Committments Dump'!$Q:$Q,'Committments Dump'!$C:$C,'Category Table'!U$2,'Committments Dump'!$B:$B,'Category Table'!$A103)</f>
        <v/>
      </c>
      <c r="V103" s="116">
        <f>SUMIFS('Committments Dump'!$Q:$Q,'Committments Dump'!$C:$C,'Category Table'!V$2,'Committments Dump'!$B:$B,'Category Table'!$A103)</f>
        <v/>
      </c>
      <c r="W103" s="116">
        <f>SUMIFS('Committments Dump'!$Q:$Q,'Committments Dump'!$C:$C,'Category Table'!W$2,'Committments Dump'!$B:$B,'Category Table'!$A103)</f>
        <v/>
      </c>
      <c r="X103" s="115">
        <f>SUMIFS('Committments Dump'!$R:$R,'Committments Dump'!$C:$C,'Category Table'!X$2,'Committments Dump'!$B:$B,'Category Table'!$A103)</f>
        <v/>
      </c>
      <c r="Y103" s="116">
        <f>SUMIFS('Committments Dump'!$R:$R,'Committments Dump'!$C:$C,'Category Table'!Y$2,'Committments Dump'!$B:$B,'Category Table'!$A103)</f>
        <v/>
      </c>
      <c r="Z103" s="116">
        <f>SUMIFS('Committments Dump'!$R:$R,'Committments Dump'!$C:$C,'Category Table'!Z$2,'Committments Dump'!$B:$B,'Category Table'!$A103)</f>
        <v/>
      </c>
      <c r="AA103" s="115">
        <f>SUMIFS('Committments Dump'!$S:$S,'Committments Dump'!$C:$C,'Category Table'!AA$2,'Committments Dump'!$B:$B,'Category Table'!$A103)</f>
        <v/>
      </c>
      <c r="AB103" s="116">
        <f>SUMIFS('Committments Dump'!$S:$S,'Committments Dump'!$C:$C,'Category Table'!AB$2,'Committments Dump'!$B:$B,'Category Table'!$A103)</f>
        <v/>
      </c>
      <c r="AC103" s="116">
        <f>SUMIFS('Committments Dump'!$S:$S,'Committments Dump'!$C:$C,'Category Table'!AC$2,'Committments Dump'!$B:$B,'Category Table'!$A103)</f>
        <v/>
      </c>
      <c r="AD103" s="115">
        <f>U103+X103+AA103</f>
        <v/>
      </c>
      <c r="AE103" s="116">
        <f>V103+Y103+AB103</f>
        <v/>
      </c>
      <c r="AF103" s="116">
        <f>W103+Z103+AC103</f>
        <v/>
      </c>
      <c r="AG103" s="115">
        <f>R103+AD103</f>
        <v/>
      </c>
      <c r="AH103" s="116">
        <f>S103+AE103</f>
        <v/>
      </c>
      <c r="AI103" s="116">
        <f>T103+AF103</f>
        <v/>
      </c>
      <c r="AJ103" s="115" t="n"/>
      <c r="AK103" s="116" t="n"/>
      <c r="AL103" s="116" t="n"/>
      <c r="AM103" s="115">
        <f>(O103-AG103)+AJ103</f>
        <v/>
      </c>
      <c r="AN103" s="116">
        <f>(P103-AH103)+AK103</f>
        <v/>
      </c>
      <c r="AO103" s="116">
        <f>(Q103-AI103)+AL103</f>
        <v/>
      </c>
      <c r="AP103" s="93">
        <f>IF(AM103&gt;0, "Under",IF(AM103&lt;0,"Over",""))</f>
        <v/>
      </c>
      <c r="AQ103" s="94">
        <f>IF(AN103&gt;0, "Under",IF(AN103&lt;0,"Over",""))</f>
        <v/>
      </c>
      <c r="AR103" s="94">
        <f>IF(AO103&gt;0, "Under",IF(AO103&lt;0,"Over",""))</f>
        <v/>
      </c>
      <c r="AS103" s="3" t="n"/>
    </row>
    <row r="104">
      <c r="A104" t="inlineStr">
        <is>
          <t>2-4205</t>
        </is>
      </c>
      <c r="B104" t="inlineStr">
        <is>
          <t>2-4205-SS Pad</t>
        </is>
      </c>
      <c r="C104" s="113" t="n">
        <v>0</v>
      </c>
      <c r="D104" s="114" t="n">
        <v>0</v>
      </c>
      <c r="E104" s="114" t="n">
        <v>0</v>
      </c>
      <c r="F104" s="113" t="n">
        <v>0</v>
      </c>
      <c r="G104" s="114" t="n">
        <v>19492.48810498219</v>
      </c>
      <c r="H104" s="114" t="n">
        <v>75000</v>
      </c>
      <c r="I104" s="113" t="n">
        <v>0</v>
      </c>
      <c r="J104" s="114" t="n">
        <v>0</v>
      </c>
      <c r="K104" s="114" t="n">
        <v>0</v>
      </c>
      <c r="L104" s="113" t="n">
        <v>0</v>
      </c>
      <c r="M104" s="114" t="n">
        <v>0</v>
      </c>
      <c r="N104" s="114" t="n">
        <v>477300</v>
      </c>
      <c r="O104" s="113">
        <f>L104+I104+F104+C104</f>
        <v/>
      </c>
      <c r="P104" s="114">
        <f>M104+J104+G104+D104</f>
        <v/>
      </c>
      <c r="Q104" s="114">
        <f>N104+K104+H104+E104</f>
        <v/>
      </c>
      <c r="R104" s="113">
        <f>SUMIFS('PO Log'!$E:$E,'PO Log'!$D:$D,'Category Table'!R$2,'PO Log'!$C:$C,'Category Table'!$A104)</f>
        <v/>
      </c>
      <c r="S104" s="114">
        <f>SUMIFS('PO Log'!$E:$E,'PO Log'!$D:$D,'Category Table'!S$2,'PO Log'!$C:$C,'Category Table'!$A104)</f>
        <v/>
      </c>
      <c r="T104" s="114">
        <f>SUMIFS('PO Log'!$E:$E,'PO Log'!$D:$D,'Category Table'!T$2,'PO Log'!$C:$C,'Category Table'!$A104)</f>
        <v/>
      </c>
      <c r="U104" s="113">
        <f>SUMIFS('Committments Dump'!$Q:$Q,'Committments Dump'!$C:$C,'Category Table'!U$2,'Committments Dump'!$B:$B,'Category Table'!$A104)</f>
        <v/>
      </c>
      <c r="V104" s="114">
        <f>SUMIFS('Committments Dump'!$Q:$Q,'Committments Dump'!$C:$C,'Category Table'!V$2,'Committments Dump'!$B:$B,'Category Table'!$A104)</f>
        <v/>
      </c>
      <c r="W104" s="114">
        <f>SUMIFS('Committments Dump'!$Q:$Q,'Committments Dump'!$C:$C,'Category Table'!W$2,'Committments Dump'!$B:$B,'Category Table'!$A104)</f>
        <v/>
      </c>
      <c r="X104" s="113">
        <f>SUMIFS('Committments Dump'!$R:$R,'Committments Dump'!$C:$C,'Category Table'!X$2,'Committments Dump'!$B:$B,'Category Table'!$A104)</f>
        <v/>
      </c>
      <c r="Y104" s="114">
        <f>SUMIFS('Committments Dump'!$R:$R,'Committments Dump'!$C:$C,'Category Table'!Y$2,'Committments Dump'!$B:$B,'Category Table'!$A104)</f>
        <v/>
      </c>
      <c r="Z104" s="114">
        <f>SUMIFS('Committments Dump'!$R:$R,'Committments Dump'!$C:$C,'Category Table'!Z$2,'Committments Dump'!$B:$B,'Category Table'!$A104)</f>
        <v/>
      </c>
      <c r="AA104" s="113">
        <f>SUMIFS('Committments Dump'!$S:$S,'Committments Dump'!$C:$C,'Category Table'!AA$2,'Committments Dump'!$B:$B,'Category Table'!$A104)</f>
        <v/>
      </c>
      <c r="AB104" s="114">
        <f>SUMIFS('Committments Dump'!$S:$S,'Committments Dump'!$C:$C,'Category Table'!AB$2,'Committments Dump'!$B:$B,'Category Table'!$A104)</f>
        <v/>
      </c>
      <c r="AC104" s="114">
        <f>SUMIFS('Committments Dump'!$S:$S,'Committments Dump'!$C:$C,'Category Table'!AC$2,'Committments Dump'!$B:$B,'Category Table'!$A104)</f>
        <v/>
      </c>
      <c r="AD104" s="113">
        <f>U104+X104+AA104</f>
        <v/>
      </c>
      <c r="AE104" s="114">
        <f>V104+Y104+AB104</f>
        <v/>
      </c>
      <c r="AF104" s="114">
        <f>W104+Z104+AC104</f>
        <v/>
      </c>
      <c r="AG104" s="113">
        <f>R104+AD104</f>
        <v/>
      </c>
      <c r="AH104" s="114">
        <f>S104+AE104</f>
        <v/>
      </c>
      <c r="AI104" s="114">
        <f>T104+AF104</f>
        <v/>
      </c>
      <c r="AJ104" s="113" t="n"/>
      <c r="AK104" s="114" t="n"/>
      <c r="AL104" s="114" t="n"/>
      <c r="AM104" s="113">
        <f>(O104-AG104)+AJ104</f>
        <v/>
      </c>
      <c r="AN104" s="114">
        <f>(P104-AH104)+AK104</f>
        <v/>
      </c>
      <c r="AO104" s="114">
        <f>(Q104-AI104)+AL104</f>
        <v/>
      </c>
      <c r="AP104" s="2">
        <f>IF(AM104&gt;0, "Under",IF(AM104&lt;0,"Over",""))</f>
        <v/>
      </c>
      <c r="AQ104" s="1">
        <f>IF(AN104&gt;0, "Under",IF(AN104&lt;0,"Over",""))</f>
        <v/>
      </c>
      <c r="AR104" s="1">
        <f>IF(AO104&gt;0, "Under",IF(AO104&lt;0,"Over",""))</f>
        <v/>
      </c>
      <c r="AS104" s="3" t="n"/>
    </row>
    <row r="105">
      <c r="A105" s="90" t="inlineStr">
        <is>
          <t>2-4209</t>
        </is>
      </c>
      <c r="B105" s="90" t="inlineStr">
        <is>
          <t>2-4209-SS Road</t>
        </is>
      </c>
      <c r="C105" s="115" t="n">
        <v>0</v>
      </c>
      <c r="D105" s="116" t="n">
        <v>500</v>
      </c>
      <c r="E105" s="116" t="n">
        <v>0</v>
      </c>
      <c r="F105" s="115" t="n"/>
      <c r="G105" s="116" t="n">
        <v>9613.739999999991</v>
      </c>
      <c r="H105" s="116" t="n">
        <v>370889.22</v>
      </c>
      <c r="I105" s="115" t="n">
        <v>0</v>
      </c>
      <c r="J105" s="116" t="n">
        <v>0</v>
      </c>
      <c r="K105" s="116" t="n">
        <v>0</v>
      </c>
      <c r="L105" s="115" t="n">
        <v>0</v>
      </c>
      <c r="M105" s="116" t="n">
        <v>666</v>
      </c>
      <c r="N105" s="116" t="n">
        <v>243373.05</v>
      </c>
      <c r="O105" s="115">
        <f>L105+I105+F105+C105</f>
        <v/>
      </c>
      <c r="P105" s="116">
        <f>M105+J105+G105+D105</f>
        <v/>
      </c>
      <c r="Q105" s="116">
        <f>N105+K105+H105+E105</f>
        <v/>
      </c>
      <c r="R105" s="115">
        <f>SUMIFS('PO Log'!$E:$E,'PO Log'!$D:$D,'Category Table'!R$2,'PO Log'!$C:$C,'Category Table'!$A105)</f>
        <v/>
      </c>
      <c r="S105" s="116">
        <f>SUMIFS('PO Log'!$E:$E,'PO Log'!$D:$D,'Category Table'!S$2,'PO Log'!$C:$C,'Category Table'!$A105)</f>
        <v/>
      </c>
      <c r="T105" s="116">
        <f>SUMIFS('PO Log'!$E:$E,'PO Log'!$D:$D,'Category Table'!T$2,'PO Log'!$C:$C,'Category Table'!$A105)</f>
        <v/>
      </c>
      <c r="U105" s="115">
        <f>SUMIFS('Committments Dump'!$Q:$Q,'Committments Dump'!$C:$C,'Category Table'!U$2,'Committments Dump'!$B:$B,'Category Table'!$A105)</f>
        <v/>
      </c>
      <c r="V105" s="116">
        <f>SUMIFS('Committments Dump'!$Q:$Q,'Committments Dump'!$C:$C,'Category Table'!V$2,'Committments Dump'!$B:$B,'Category Table'!$A105)</f>
        <v/>
      </c>
      <c r="W105" s="116">
        <f>SUMIFS('Committments Dump'!$Q:$Q,'Committments Dump'!$C:$C,'Category Table'!W$2,'Committments Dump'!$B:$B,'Category Table'!$A105)</f>
        <v/>
      </c>
      <c r="X105" s="115">
        <f>SUMIFS('Committments Dump'!$R:$R,'Committments Dump'!$C:$C,'Category Table'!X$2,'Committments Dump'!$B:$B,'Category Table'!$A105)</f>
        <v/>
      </c>
      <c r="Y105" s="116">
        <f>SUMIFS('Committments Dump'!$R:$R,'Committments Dump'!$C:$C,'Category Table'!Y$2,'Committments Dump'!$B:$B,'Category Table'!$A105)</f>
        <v/>
      </c>
      <c r="Z105" s="116">
        <f>SUMIFS('Committments Dump'!$R:$R,'Committments Dump'!$C:$C,'Category Table'!Z$2,'Committments Dump'!$B:$B,'Category Table'!$A105)</f>
        <v/>
      </c>
      <c r="AA105" s="115">
        <f>SUMIFS('Committments Dump'!$S:$S,'Committments Dump'!$C:$C,'Category Table'!AA$2,'Committments Dump'!$B:$B,'Category Table'!$A105)</f>
        <v/>
      </c>
      <c r="AB105" s="116">
        <f>SUMIFS('Committments Dump'!$S:$S,'Committments Dump'!$C:$C,'Category Table'!AB$2,'Committments Dump'!$B:$B,'Category Table'!$A105)</f>
        <v/>
      </c>
      <c r="AC105" s="116">
        <f>SUMIFS('Committments Dump'!$S:$S,'Committments Dump'!$C:$C,'Category Table'!AC$2,'Committments Dump'!$B:$B,'Category Table'!$A105)</f>
        <v/>
      </c>
      <c r="AD105" s="115">
        <f>U105+X105+AA105</f>
        <v/>
      </c>
      <c r="AE105" s="116">
        <f>V105+Y105+AB105</f>
        <v/>
      </c>
      <c r="AF105" s="116">
        <f>W105+Z105+AC105</f>
        <v/>
      </c>
      <c r="AG105" s="115">
        <f>R105+AD105</f>
        <v/>
      </c>
      <c r="AH105" s="116">
        <f>S105+AE105</f>
        <v/>
      </c>
      <c r="AI105" s="116">
        <f>T105+AF105</f>
        <v/>
      </c>
      <c r="AJ105" s="115" t="n"/>
      <c r="AK105" s="116" t="n"/>
      <c r="AL105" s="116" t="n"/>
      <c r="AM105" s="115">
        <f>(O105-AG105)+AJ105</f>
        <v/>
      </c>
      <c r="AN105" s="116">
        <f>(P105-AH105)+AK105</f>
        <v/>
      </c>
      <c r="AO105" s="116">
        <f>(Q105-AI105)+AL105</f>
        <v/>
      </c>
      <c r="AP105" s="93">
        <f>IF(AM105&gt;0, "Under",IF(AM105&lt;0,"Over",""))</f>
        <v/>
      </c>
      <c r="AQ105" s="94">
        <f>IF(AN105&gt;0, "Under",IF(AN105&lt;0,"Over",""))</f>
        <v/>
      </c>
      <c r="AR105" s="94">
        <f>IF(AO105&gt;0, "Under",IF(AO105&lt;0,"Over",""))</f>
        <v/>
      </c>
      <c r="AS105" s="3" t="n"/>
    </row>
    <row r="106">
      <c r="A106" t="inlineStr">
        <is>
          <t>0-4011</t>
        </is>
      </c>
      <c r="B106" t="inlineStr">
        <is>
          <t>0-4011 Taxas Conptroller Taxes</t>
        </is>
      </c>
      <c r="C106" s="113" t="n">
        <v>0</v>
      </c>
      <c r="D106" s="114" t="n">
        <v>0</v>
      </c>
      <c r="E106" s="114" t="n">
        <v>0</v>
      </c>
      <c r="F106" s="113" t="n">
        <v>0</v>
      </c>
      <c r="G106" s="114" t="n"/>
      <c r="H106" s="114" t="n">
        <v>0</v>
      </c>
      <c r="I106" s="113" t="n">
        <v>0</v>
      </c>
      <c r="J106" s="114" t="n">
        <v>0</v>
      </c>
      <c r="K106" s="114" t="n">
        <v>0</v>
      </c>
      <c r="L106" s="113" t="n">
        <v>0</v>
      </c>
      <c r="M106" s="114" t="n">
        <v>0</v>
      </c>
      <c r="N106" s="114" t="n">
        <v>0</v>
      </c>
      <c r="O106" s="113">
        <f>L106+I106+F106+C106</f>
        <v/>
      </c>
      <c r="P106" s="114">
        <f>M106+J106+G106+D106</f>
        <v/>
      </c>
      <c r="Q106" s="114">
        <f>N106+K106+H106+E106</f>
        <v/>
      </c>
      <c r="R106" s="113">
        <f>SUMIFS('PO Log'!$E:$E,'PO Log'!$D:$D,'Category Table'!R$2,'PO Log'!$C:$C,'Category Table'!$A106)</f>
        <v/>
      </c>
      <c r="S106" s="114">
        <f>SUMIFS('PO Log'!$E:$E,'PO Log'!$D:$D,'Category Table'!S$2,'PO Log'!$C:$C,'Category Table'!$A106)</f>
        <v/>
      </c>
      <c r="T106" s="114">
        <f>SUMIFS('PO Log'!$E:$E,'PO Log'!$D:$D,'Category Table'!T$2,'PO Log'!$C:$C,'Category Table'!$A106)</f>
        <v/>
      </c>
      <c r="U106" s="113">
        <f>SUMIFS('Committments Dump'!$Q:$Q,'Committments Dump'!$C:$C,'Category Table'!U$2,'Committments Dump'!$B:$B,'Category Table'!$A106)</f>
        <v/>
      </c>
      <c r="V106" s="114">
        <f>SUMIFS('Committments Dump'!$Q:$Q,'Committments Dump'!$C:$C,'Category Table'!V$2,'Committments Dump'!$B:$B,'Category Table'!$A106)</f>
        <v/>
      </c>
      <c r="W106" s="114">
        <f>SUMIFS('Committments Dump'!$Q:$Q,'Committments Dump'!$C:$C,'Category Table'!W$2,'Committments Dump'!$B:$B,'Category Table'!$A106)</f>
        <v/>
      </c>
      <c r="X106" s="113">
        <f>SUMIFS('Committments Dump'!$R:$R,'Committments Dump'!$C:$C,'Category Table'!X$2,'Committments Dump'!$B:$B,'Category Table'!$A106)</f>
        <v/>
      </c>
      <c r="Y106" s="114">
        <f>SUMIFS('Committments Dump'!$R:$R,'Committments Dump'!$C:$C,'Category Table'!Y$2,'Committments Dump'!$B:$B,'Category Table'!$A106)</f>
        <v/>
      </c>
      <c r="Z106" s="114">
        <f>SUMIFS('Committments Dump'!$R:$R,'Committments Dump'!$C:$C,'Category Table'!Z$2,'Committments Dump'!$B:$B,'Category Table'!$A106)</f>
        <v/>
      </c>
      <c r="AA106" s="113">
        <f>SUMIFS('Committments Dump'!$S:$S,'Committments Dump'!$C:$C,'Category Table'!AA$2,'Committments Dump'!$B:$B,'Category Table'!$A106)</f>
        <v/>
      </c>
      <c r="AB106" s="114">
        <f>SUMIFS('Committments Dump'!$S:$S,'Committments Dump'!$C:$C,'Category Table'!AB$2,'Committments Dump'!$B:$B,'Category Table'!$A106)</f>
        <v/>
      </c>
      <c r="AC106" s="114">
        <f>SUMIFS('Committments Dump'!$S:$S,'Committments Dump'!$C:$C,'Category Table'!AC$2,'Committments Dump'!$B:$B,'Category Table'!$A106)</f>
        <v/>
      </c>
      <c r="AD106" s="113">
        <f>U106+X106+AA106</f>
        <v/>
      </c>
      <c r="AE106" s="114">
        <f>V106+Y106+AB106</f>
        <v/>
      </c>
      <c r="AF106" s="114">
        <f>W106+Z106+AC106</f>
        <v/>
      </c>
      <c r="AG106" s="113">
        <f>R106+AD106</f>
        <v/>
      </c>
      <c r="AH106" s="114">
        <f>S106+AE106</f>
        <v/>
      </c>
      <c r="AI106" s="114">
        <f>T106+AF106</f>
        <v/>
      </c>
      <c r="AJ106" s="113" t="n"/>
      <c r="AK106" s="114" t="n"/>
      <c r="AL106" s="114" t="n"/>
      <c r="AM106" s="113">
        <f>(O106-AG106)+AJ106</f>
        <v/>
      </c>
      <c r="AN106" s="114">
        <f>(P106-AH106)+AK106</f>
        <v/>
      </c>
      <c r="AO106" s="114">
        <f>(Q106-AI106)+AL106</f>
        <v/>
      </c>
      <c r="AP106" s="2">
        <f>IF(AM106&gt;0, "Under",IF(AM106&lt;0,"Over",""))</f>
        <v/>
      </c>
      <c r="AQ106" s="1">
        <f>IF(AN106&gt;0, "Under",IF(AN106&lt;0,"Over",""))</f>
        <v/>
      </c>
      <c r="AR106" s="1">
        <f>IF(AO106&gt;0, "Under",IF(AO106&lt;0,"Over",""))</f>
        <v/>
      </c>
      <c r="AS106" s="3" t="n"/>
    </row>
    <row r="107">
      <c r="A107" s="90" t="inlineStr">
        <is>
          <t>0-4999</t>
        </is>
      </c>
      <c r="B107" s="90" t="inlineStr">
        <is>
          <t>0-4999 Job Abuse</t>
        </is>
      </c>
      <c r="C107" s="115" t="n">
        <v>0</v>
      </c>
      <c r="D107" s="116" t="n">
        <v>1035.85</v>
      </c>
      <c r="E107" s="116" t="n">
        <v>0</v>
      </c>
      <c r="F107" s="115" t="n">
        <v>3278.64</v>
      </c>
      <c r="G107" s="116" t="n">
        <v>0</v>
      </c>
      <c r="H107" s="116" t="n">
        <v>0</v>
      </c>
      <c r="I107" s="115" t="n">
        <v>0</v>
      </c>
      <c r="J107" s="116" t="n">
        <v>0</v>
      </c>
      <c r="K107" s="116" t="n">
        <v>0</v>
      </c>
      <c r="L107" s="115" t="n">
        <v>0</v>
      </c>
      <c r="M107" s="116" t="n">
        <v>0</v>
      </c>
      <c r="N107" s="116" t="n">
        <v>0</v>
      </c>
      <c r="O107" s="115">
        <f>L107+I107+F107+C107</f>
        <v/>
      </c>
      <c r="P107" s="116">
        <f>M107+J107+G107+D107</f>
        <v/>
      </c>
      <c r="Q107" s="116">
        <f>N107+K107+H107+E107</f>
        <v/>
      </c>
      <c r="R107" s="115">
        <f>SUMIFS('PO Log'!$E:$E,'PO Log'!$D:$D,'Category Table'!R$2,'PO Log'!$C:$C,'Category Table'!$A107)</f>
        <v/>
      </c>
      <c r="S107" s="116">
        <f>SUMIFS('PO Log'!$E:$E,'PO Log'!$D:$D,'Category Table'!S$2,'PO Log'!$C:$C,'Category Table'!$A107)</f>
        <v/>
      </c>
      <c r="T107" s="116">
        <f>SUMIFS('PO Log'!$E:$E,'PO Log'!$D:$D,'Category Table'!T$2,'PO Log'!$C:$C,'Category Table'!$A107)</f>
        <v/>
      </c>
      <c r="U107" s="115">
        <f>SUMIFS('Committments Dump'!$Q:$Q,'Committments Dump'!$C:$C,'Category Table'!U$2,'Committments Dump'!$B:$B,'Category Table'!$A107)</f>
        <v/>
      </c>
      <c r="V107" s="116">
        <f>SUMIFS('Committments Dump'!$Q:$Q,'Committments Dump'!$C:$C,'Category Table'!V$2,'Committments Dump'!$B:$B,'Category Table'!$A107)</f>
        <v/>
      </c>
      <c r="W107" s="116">
        <f>SUMIFS('Committments Dump'!$Q:$Q,'Committments Dump'!$C:$C,'Category Table'!W$2,'Committments Dump'!$B:$B,'Category Table'!$A107)</f>
        <v/>
      </c>
      <c r="X107" s="115">
        <f>SUMIFS('Committments Dump'!$R:$R,'Committments Dump'!$C:$C,'Category Table'!X$2,'Committments Dump'!$B:$B,'Category Table'!$A107)</f>
        <v/>
      </c>
      <c r="Y107" s="116">
        <f>SUMIFS('Committments Dump'!$R:$R,'Committments Dump'!$C:$C,'Category Table'!Y$2,'Committments Dump'!$B:$B,'Category Table'!$A107)</f>
        <v/>
      </c>
      <c r="Z107" s="116">
        <f>SUMIFS('Committments Dump'!$R:$R,'Committments Dump'!$C:$C,'Category Table'!Z$2,'Committments Dump'!$B:$B,'Category Table'!$A107)</f>
        <v/>
      </c>
      <c r="AA107" s="115">
        <f>SUMIFS('Committments Dump'!$S:$S,'Committments Dump'!$C:$C,'Category Table'!AA$2,'Committments Dump'!$B:$B,'Category Table'!$A107)</f>
        <v/>
      </c>
      <c r="AB107" s="116">
        <f>SUMIFS('Committments Dump'!$S:$S,'Committments Dump'!$C:$C,'Category Table'!AB$2,'Committments Dump'!$B:$B,'Category Table'!$A107)</f>
        <v/>
      </c>
      <c r="AC107" s="116">
        <f>SUMIFS('Committments Dump'!$S:$S,'Committments Dump'!$C:$C,'Category Table'!AC$2,'Committments Dump'!$B:$B,'Category Table'!$A107)</f>
        <v/>
      </c>
      <c r="AD107" s="115">
        <f>U107+X107+AA107</f>
        <v/>
      </c>
      <c r="AE107" s="116">
        <f>V107+Y107+AB107</f>
        <v/>
      </c>
      <c r="AF107" s="116">
        <f>W107+Z107+AC107</f>
        <v/>
      </c>
      <c r="AG107" s="115">
        <f>R107+AD107</f>
        <v/>
      </c>
      <c r="AH107" s="116">
        <f>S107+AE107</f>
        <v/>
      </c>
      <c r="AI107" s="116">
        <f>T107+AF107</f>
        <v/>
      </c>
      <c r="AJ107" s="115" t="n"/>
      <c r="AK107" s="116" t="n"/>
      <c r="AL107" s="116" t="n"/>
      <c r="AM107" s="115">
        <f>(O107-AG107)+AJ107</f>
        <v/>
      </c>
      <c r="AN107" s="116">
        <f>(P107-AH107)+AK107</f>
        <v/>
      </c>
      <c r="AO107" s="116">
        <f>(Q107-AI107)+AL107</f>
        <v/>
      </c>
      <c r="AP107" s="93">
        <f>IF(AM107&gt;0, "Under",IF(AM107&lt;0,"Over",""))</f>
        <v/>
      </c>
      <c r="AQ107" s="94">
        <f>IF(AN107&gt;0, "Under",IF(AN107&lt;0,"Over",""))</f>
        <v/>
      </c>
      <c r="AR107" s="94">
        <f>IF(AO107&gt;0, "Under",IF(AO107&lt;0,"Over",""))</f>
        <v/>
      </c>
      <c r="AS107" s="3" t="n"/>
    </row>
    <row r="108">
      <c r="A108" t="inlineStr">
        <is>
          <t>0-4018</t>
        </is>
      </c>
      <c r="B108" t="inlineStr">
        <is>
          <t>0-4018 Travel</t>
        </is>
      </c>
      <c r="C108" s="113" t="n">
        <v>0</v>
      </c>
      <c r="D108" s="114" t="n">
        <v>36745.17999999999</v>
      </c>
      <c r="E108" s="114" t="n">
        <v>0</v>
      </c>
      <c r="F108" s="113" t="n">
        <v>13254.82</v>
      </c>
      <c r="G108" s="114" t="n">
        <v>0</v>
      </c>
      <c r="H108" s="114" t="n">
        <v>0</v>
      </c>
      <c r="I108" s="113" t="n">
        <v>0</v>
      </c>
      <c r="J108" s="114" t="n">
        <v>0</v>
      </c>
      <c r="K108" s="114" t="n">
        <v>0</v>
      </c>
      <c r="L108" s="113" t="n">
        <v>0</v>
      </c>
      <c r="M108" s="114" t="n">
        <v>0</v>
      </c>
      <c r="N108" s="114" t="n">
        <v>0</v>
      </c>
      <c r="O108" s="113">
        <f>L108+I108+F108+C108</f>
        <v/>
      </c>
      <c r="P108" s="114">
        <f>M108+J108+G108+D108</f>
        <v/>
      </c>
      <c r="Q108" s="114">
        <f>N108+K108+H108+E108</f>
        <v/>
      </c>
      <c r="R108" s="113">
        <f>SUMIFS('PO Log'!$E:$E,'PO Log'!$D:$D,'Category Table'!R$2,'PO Log'!$C:$C,'Category Table'!$A108)</f>
        <v/>
      </c>
      <c r="S108" s="114">
        <f>SUMIFS('PO Log'!$E:$E,'PO Log'!$D:$D,'Category Table'!S$2,'PO Log'!$C:$C,'Category Table'!$A108)</f>
        <v/>
      </c>
      <c r="T108" s="114">
        <f>SUMIFS('PO Log'!$E:$E,'PO Log'!$D:$D,'Category Table'!T$2,'PO Log'!$C:$C,'Category Table'!$A108)</f>
        <v/>
      </c>
      <c r="U108" s="113">
        <f>SUMIFS('Committments Dump'!$Q:$Q,'Committments Dump'!$C:$C,'Category Table'!U$2,'Committments Dump'!$B:$B,'Category Table'!$A108)</f>
        <v/>
      </c>
      <c r="V108" s="114">
        <f>SUMIFS('Committments Dump'!$Q:$Q,'Committments Dump'!$C:$C,'Category Table'!V$2,'Committments Dump'!$B:$B,'Category Table'!$A108)</f>
        <v/>
      </c>
      <c r="W108" s="114">
        <f>SUMIFS('Committments Dump'!$Q:$Q,'Committments Dump'!$C:$C,'Category Table'!W$2,'Committments Dump'!$B:$B,'Category Table'!$A108)</f>
        <v/>
      </c>
      <c r="X108" s="113">
        <f>SUMIFS('Committments Dump'!$R:$R,'Committments Dump'!$C:$C,'Category Table'!X$2,'Committments Dump'!$B:$B,'Category Table'!$A108)</f>
        <v/>
      </c>
      <c r="Y108" s="114">
        <f>SUMIFS('Committments Dump'!$R:$R,'Committments Dump'!$C:$C,'Category Table'!Y$2,'Committments Dump'!$B:$B,'Category Table'!$A108)</f>
        <v/>
      </c>
      <c r="Z108" s="114">
        <f>SUMIFS('Committments Dump'!$R:$R,'Committments Dump'!$C:$C,'Category Table'!Z$2,'Committments Dump'!$B:$B,'Category Table'!$A108)</f>
        <v/>
      </c>
      <c r="AA108" s="113">
        <f>SUMIFS('Committments Dump'!$S:$S,'Committments Dump'!$C:$C,'Category Table'!AA$2,'Committments Dump'!$B:$B,'Category Table'!$A108)</f>
        <v/>
      </c>
      <c r="AB108" s="114">
        <f>SUMIFS('Committments Dump'!$S:$S,'Committments Dump'!$C:$C,'Category Table'!AB$2,'Committments Dump'!$B:$B,'Category Table'!$A108)</f>
        <v/>
      </c>
      <c r="AC108" s="114">
        <f>SUMIFS('Committments Dump'!$S:$S,'Committments Dump'!$C:$C,'Category Table'!AC$2,'Committments Dump'!$B:$B,'Category Table'!$A108)</f>
        <v/>
      </c>
      <c r="AD108" s="113">
        <f>U108+X108+AA108</f>
        <v/>
      </c>
      <c r="AE108" s="114">
        <f>V108+Y108+AB108</f>
        <v/>
      </c>
      <c r="AF108" s="114">
        <f>W108+Z108+AC108</f>
        <v/>
      </c>
      <c r="AG108" s="113">
        <f>R108+AD108</f>
        <v/>
      </c>
      <c r="AH108" s="114">
        <f>S108+AE108</f>
        <v/>
      </c>
      <c r="AI108" s="114">
        <f>T108+AF108</f>
        <v/>
      </c>
      <c r="AJ108" s="113" t="n"/>
      <c r="AK108" s="114" t="n"/>
      <c r="AL108" s="114" t="n"/>
      <c r="AM108" s="113">
        <f>(O108-AG108)+AJ108</f>
        <v/>
      </c>
      <c r="AN108" s="114">
        <f>(P108-AH108)+AK108</f>
        <v/>
      </c>
      <c r="AO108" s="114">
        <f>(Q108-AI108)+AL108</f>
        <v/>
      </c>
      <c r="AP108" s="2">
        <f>IF(AM108&gt;0, "Under",IF(AM108&lt;0,"Over",""))</f>
        <v/>
      </c>
      <c r="AQ108" s="1">
        <f>IF(AN108&gt;0, "Under",IF(AN108&lt;0,"Over",""))</f>
        <v/>
      </c>
      <c r="AR108" s="1">
        <f>IF(AO108&gt;0, "Under",IF(AO108&lt;0,"Over",""))</f>
        <v/>
      </c>
      <c r="AS108" s="3" t="n"/>
    </row>
    <row r="109">
      <c r="A109" s="90" t="inlineStr">
        <is>
          <t>0-4027</t>
        </is>
      </c>
      <c r="B109" s="90" t="inlineStr">
        <is>
          <t>0-4027 Early Work</t>
        </is>
      </c>
      <c r="C109" s="115" t="n">
        <v>0</v>
      </c>
      <c r="D109" s="116" t="n">
        <v>2274.82</v>
      </c>
      <c r="E109" s="116" t="n">
        <v>5745.539999999999</v>
      </c>
      <c r="F109" s="115" t="n">
        <v>0</v>
      </c>
      <c r="G109" s="116" t="n">
        <v>0</v>
      </c>
      <c r="H109" s="116" t="n">
        <v>0</v>
      </c>
      <c r="I109" s="115" t="n">
        <v>0</v>
      </c>
      <c r="J109" s="116" t="n">
        <v>0</v>
      </c>
      <c r="K109" s="116" t="n">
        <v>0</v>
      </c>
      <c r="L109" s="115" t="n">
        <v>0</v>
      </c>
      <c r="M109" s="116" t="n">
        <v>0</v>
      </c>
      <c r="N109" s="116" t="n">
        <v>1190.51</v>
      </c>
      <c r="O109" s="115">
        <f>L109+I109+F109+C109</f>
        <v/>
      </c>
      <c r="P109" s="116">
        <f>M109+J109+G109+D109</f>
        <v/>
      </c>
      <c r="Q109" s="116">
        <f>N109+K109+H109+E109</f>
        <v/>
      </c>
      <c r="R109" s="115">
        <f>SUMIFS('PO Log'!$E:$E,'PO Log'!$D:$D,'Category Table'!R$2,'PO Log'!$C:$C,'Category Table'!$A109)</f>
        <v/>
      </c>
      <c r="S109" s="116">
        <f>SUMIFS('PO Log'!$E:$E,'PO Log'!$D:$D,'Category Table'!S$2,'PO Log'!$C:$C,'Category Table'!$A109)</f>
        <v/>
      </c>
      <c r="T109" s="116">
        <f>SUMIFS('PO Log'!$E:$E,'PO Log'!$D:$D,'Category Table'!T$2,'PO Log'!$C:$C,'Category Table'!$A109)</f>
        <v/>
      </c>
      <c r="U109" s="115">
        <f>SUMIFS('Committments Dump'!$Q:$Q,'Committments Dump'!$C:$C,'Category Table'!U$2,'Committments Dump'!$B:$B,'Category Table'!$A109)</f>
        <v/>
      </c>
      <c r="V109" s="116">
        <f>SUMIFS('Committments Dump'!$Q:$Q,'Committments Dump'!$C:$C,'Category Table'!V$2,'Committments Dump'!$B:$B,'Category Table'!$A109)</f>
        <v/>
      </c>
      <c r="W109" s="116">
        <f>SUMIFS('Committments Dump'!$Q:$Q,'Committments Dump'!$C:$C,'Category Table'!W$2,'Committments Dump'!$B:$B,'Category Table'!$A109)</f>
        <v/>
      </c>
      <c r="X109" s="115">
        <f>SUMIFS('Committments Dump'!$R:$R,'Committments Dump'!$C:$C,'Category Table'!X$2,'Committments Dump'!$B:$B,'Category Table'!$A109)</f>
        <v/>
      </c>
      <c r="Y109" s="116">
        <f>SUMIFS('Committments Dump'!$R:$R,'Committments Dump'!$C:$C,'Category Table'!Y$2,'Committments Dump'!$B:$B,'Category Table'!$A109)</f>
        <v/>
      </c>
      <c r="Z109" s="116">
        <f>SUMIFS('Committments Dump'!$R:$R,'Committments Dump'!$C:$C,'Category Table'!Z$2,'Committments Dump'!$B:$B,'Category Table'!$A109)</f>
        <v/>
      </c>
      <c r="AA109" s="115">
        <f>SUMIFS('Committments Dump'!$S:$S,'Committments Dump'!$C:$C,'Category Table'!AA$2,'Committments Dump'!$B:$B,'Category Table'!$A109)</f>
        <v/>
      </c>
      <c r="AB109" s="116">
        <f>SUMIFS('Committments Dump'!$S:$S,'Committments Dump'!$C:$C,'Category Table'!AB$2,'Committments Dump'!$B:$B,'Category Table'!$A109)</f>
        <v/>
      </c>
      <c r="AC109" s="116">
        <f>SUMIFS('Committments Dump'!$S:$S,'Committments Dump'!$C:$C,'Category Table'!AC$2,'Committments Dump'!$B:$B,'Category Table'!$A109)</f>
        <v/>
      </c>
      <c r="AD109" s="115">
        <f>U109+X109+AA109</f>
        <v/>
      </c>
      <c r="AE109" s="116">
        <f>V109+Y109+AB109</f>
        <v/>
      </c>
      <c r="AF109" s="116">
        <f>W109+Z109+AC109</f>
        <v/>
      </c>
      <c r="AG109" s="115">
        <f>R109+AD109</f>
        <v/>
      </c>
      <c r="AH109" s="116">
        <f>S109+AE109</f>
        <v/>
      </c>
      <c r="AI109" s="116">
        <f>T109+AF109</f>
        <v/>
      </c>
      <c r="AJ109" s="115" t="n"/>
      <c r="AK109" s="116" t="n"/>
      <c r="AL109" s="116" t="n"/>
      <c r="AM109" s="115">
        <f>(O109-AG109)+AJ109</f>
        <v/>
      </c>
      <c r="AN109" s="116">
        <f>(P109-AH109)+AK109</f>
        <v/>
      </c>
      <c r="AO109" s="116">
        <f>(Q109-AI109)+AL109</f>
        <v/>
      </c>
      <c r="AP109" s="93">
        <f>IF(AM109&gt;0, "Under",IF(AM109&lt;0,"Over",""))</f>
        <v/>
      </c>
      <c r="AQ109" s="94">
        <f>IF(AN109&gt;0, "Under",IF(AN109&lt;0,"Over",""))</f>
        <v/>
      </c>
      <c r="AR109" s="94">
        <f>IF(AO109&gt;0, "Under",IF(AO109&lt;0,"Over",""))</f>
        <v/>
      </c>
      <c r="AS109" s="3" t="n"/>
    </row>
    <row r="110">
      <c r="A110" t="inlineStr">
        <is>
          <t>0-4614</t>
        </is>
      </c>
      <c r="B110" t="inlineStr">
        <is>
          <t>0-4614 SCADA MET Install</t>
        </is>
      </c>
      <c r="C110" s="113" t="n">
        <v>0</v>
      </c>
      <c r="D110" s="114" t="n">
        <v>0</v>
      </c>
      <c r="E110" s="114" t="n">
        <v>0</v>
      </c>
      <c r="F110" s="113" t="n">
        <v>0</v>
      </c>
      <c r="G110" s="114" t="n">
        <v>6000</v>
      </c>
      <c r="H110" s="114" t="n">
        <v>36860.7</v>
      </c>
      <c r="I110" s="113" t="n">
        <v>0</v>
      </c>
      <c r="J110" s="114" t="n">
        <v>0</v>
      </c>
      <c r="K110" s="114" t="n">
        <v>0</v>
      </c>
      <c r="L110" s="113" t="n">
        <v>0</v>
      </c>
      <c r="M110" s="114" t="n">
        <v>0</v>
      </c>
      <c r="N110" s="114" t="n">
        <v>0</v>
      </c>
      <c r="O110" s="113">
        <f>L110+I110+F110+C110</f>
        <v/>
      </c>
      <c r="P110" s="114">
        <f>M110+J110+G110+D110</f>
        <v/>
      </c>
      <c r="Q110" s="114">
        <f>N110+K110+H110+E110</f>
        <v/>
      </c>
      <c r="R110" s="113">
        <f>SUMIFS('PO Log'!$E:$E,'PO Log'!$D:$D,'Category Table'!R$2,'PO Log'!$C:$C,'Category Table'!$A110)</f>
        <v/>
      </c>
      <c r="S110" s="114">
        <f>SUMIFS('PO Log'!$E:$E,'PO Log'!$D:$D,'Category Table'!S$2,'PO Log'!$C:$C,'Category Table'!$A110)</f>
        <v/>
      </c>
      <c r="T110" s="114">
        <f>SUMIFS('PO Log'!$E:$E,'PO Log'!$D:$D,'Category Table'!T$2,'PO Log'!$C:$C,'Category Table'!$A110)</f>
        <v/>
      </c>
      <c r="U110" s="113">
        <f>SUMIFS('Committments Dump'!$Q:$Q,'Committments Dump'!$C:$C,'Category Table'!U$2,'Committments Dump'!$B:$B,'Category Table'!$A110)</f>
        <v/>
      </c>
      <c r="V110" s="114">
        <f>SUMIFS('Committments Dump'!$Q:$Q,'Committments Dump'!$C:$C,'Category Table'!V$2,'Committments Dump'!$B:$B,'Category Table'!$A110)</f>
        <v/>
      </c>
      <c r="W110" s="114">
        <f>SUMIFS('Committments Dump'!$Q:$Q,'Committments Dump'!$C:$C,'Category Table'!W$2,'Committments Dump'!$B:$B,'Category Table'!$A110)</f>
        <v/>
      </c>
      <c r="X110" s="113">
        <f>SUMIFS('Committments Dump'!$R:$R,'Committments Dump'!$C:$C,'Category Table'!X$2,'Committments Dump'!$B:$B,'Category Table'!$A110)</f>
        <v/>
      </c>
      <c r="Y110" s="114">
        <f>SUMIFS('Committments Dump'!$R:$R,'Committments Dump'!$C:$C,'Category Table'!Y$2,'Committments Dump'!$B:$B,'Category Table'!$A110)</f>
        <v/>
      </c>
      <c r="Z110" s="114">
        <f>SUMIFS('Committments Dump'!$R:$R,'Committments Dump'!$C:$C,'Category Table'!Z$2,'Committments Dump'!$B:$B,'Category Table'!$A110)</f>
        <v/>
      </c>
      <c r="AA110" s="113">
        <f>SUMIFS('Committments Dump'!$S:$S,'Committments Dump'!$C:$C,'Category Table'!AA$2,'Committments Dump'!$B:$B,'Category Table'!$A110)</f>
        <v/>
      </c>
      <c r="AB110" s="114">
        <f>SUMIFS('Committments Dump'!$S:$S,'Committments Dump'!$C:$C,'Category Table'!AB$2,'Committments Dump'!$B:$B,'Category Table'!$A110)</f>
        <v/>
      </c>
      <c r="AC110" s="114">
        <f>SUMIFS('Committments Dump'!$S:$S,'Committments Dump'!$C:$C,'Category Table'!AC$2,'Committments Dump'!$B:$B,'Category Table'!$A110)</f>
        <v/>
      </c>
      <c r="AD110" s="113">
        <f>U110+X110+AA110</f>
        <v/>
      </c>
      <c r="AE110" s="114">
        <f>V110+Y110+AB110</f>
        <v/>
      </c>
      <c r="AF110" s="114">
        <f>W110+Z110+AC110</f>
        <v/>
      </c>
      <c r="AG110" s="113">
        <f>R110+AD110</f>
        <v/>
      </c>
      <c r="AH110" s="114">
        <f>S110+AE110</f>
        <v/>
      </c>
      <c r="AI110" s="114">
        <f>T110+AF110</f>
        <v/>
      </c>
      <c r="AJ110" s="113" t="n"/>
      <c r="AK110" s="114" t="n"/>
      <c r="AL110" s="114" t="n"/>
      <c r="AM110" s="113">
        <f>(O110-AG110)+AJ110</f>
        <v/>
      </c>
      <c r="AN110" s="114">
        <f>(P110-AH110)+AK110</f>
        <v/>
      </c>
      <c r="AO110" s="114">
        <f>(Q110-AI110)+AL110</f>
        <v/>
      </c>
      <c r="AP110" s="2">
        <f>IF(AM110&gt;0, "Under",IF(AM110&lt;0,"Over",""))</f>
        <v/>
      </c>
      <c r="AQ110" s="1">
        <f>IF(AN110&gt;0, "Under",IF(AN110&lt;0,"Over",""))</f>
        <v/>
      </c>
      <c r="AR110" s="1">
        <f>IF(AO110&gt;0, "Under",IF(AO110&lt;0,"Over",""))</f>
        <v/>
      </c>
      <c r="AS110" s="3" t="n"/>
    </row>
    <row r="111">
      <c r="A111" s="90" t="inlineStr">
        <is>
          <t>0-4602</t>
        </is>
      </c>
      <c r="B111" s="90" t="inlineStr">
        <is>
          <t>Fiber Terms</t>
        </is>
      </c>
      <c r="C111" s="115" t="n">
        <v>0</v>
      </c>
      <c r="D111" s="116" t="n">
        <v>0</v>
      </c>
      <c r="E111" s="116" t="n">
        <v>0</v>
      </c>
      <c r="F111" s="115" t="n">
        <v>0</v>
      </c>
      <c r="G111" s="116" t="n">
        <v>0</v>
      </c>
      <c r="H111" s="116" t="n">
        <v>0</v>
      </c>
      <c r="I111" s="115" t="n">
        <v>0</v>
      </c>
      <c r="J111" s="116" t="n">
        <v>0</v>
      </c>
      <c r="K111" s="116" t="n">
        <v>0</v>
      </c>
      <c r="L111" s="115" t="n">
        <v>0</v>
      </c>
      <c r="M111" s="116" t="n">
        <v>0</v>
      </c>
      <c r="N111" s="116" t="n">
        <v>0</v>
      </c>
      <c r="O111" s="115">
        <f>L111+I111+F111+C111</f>
        <v/>
      </c>
      <c r="P111" s="116">
        <f>M111+J111+G111+D111</f>
        <v/>
      </c>
      <c r="Q111" s="116">
        <f>N111+K111+H111+E111</f>
        <v/>
      </c>
      <c r="R111" s="115">
        <f>SUMIFS('PO Log'!$E:$E,'PO Log'!$D:$D,'Category Table'!R$2,'PO Log'!$C:$C,'Category Table'!$A111)</f>
        <v/>
      </c>
      <c r="S111" s="116">
        <f>SUMIFS('PO Log'!$E:$E,'PO Log'!$D:$D,'Category Table'!S$2,'PO Log'!$C:$C,'Category Table'!$A111)</f>
        <v/>
      </c>
      <c r="T111" s="116">
        <f>SUMIFS('PO Log'!$E:$E,'PO Log'!$D:$D,'Category Table'!T$2,'PO Log'!$C:$C,'Category Table'!$A111)</f>
        <v/>
      </c>
      <c r="U111" s="115">
        <f>SUMIFS('Committments Dump'!$Q:$Q,'Committments Dump'!$C:$C,'Category Table'!U$2,'Committments Dump'!$B:$B,'Category Table'!$A111)</f>
        <v/>
      </c>
      <c r="V111" s="116">
        <f>SUMIFS('Committments Dump'!$Q:$Q,'Committments Dump'!$C:$C,'Category Table'!V$2,'Committments Dump'!$B:$B,'Category Table'!$A111)</f>
        <v/>
      </c>
      <c r="W111" s="116">
        <f>SUMIFS('Committments Dump'!$Q:$Q,'Committments Dump'!$C:$C,'Category Table'!W$2,'Committments Dump'!$B:$B,'Category Table'!$A111)</f>
        <v/>
      </c>
      <c r="X111" s="115">
        <f>SUMIFS('Committments Dump'!$R:$R,'Committments Dump'!$C:$C,'Category Table'!X$2,'Committments Dump'!$B:$B,'Category Table'!$A111)</f>
        <v/>
      </c>
      <c r="Y111" s="116">
        <f>SUMIFS('Committments Dump'!$R:$R,'Committments Dump'!$C:$C,'Category Table'!Y$2,'Committments Dump'!$B:$B,'Category Table'!$A111)</f>
        <v/>
      </c>
      <c r="Z111" s="116">
        <f>SUMIFS('Committments Dump'!$R:$R,'Committments Dump'!$C:$C,'Category Table'!Z$2,'Committments Dump'!$B:$B,'Category Table'!$A111)</f>
        <v/>
      </c>
      <c r="AA111" s="115">
        <f>SUMIFS('Committments Dump'!$S:$S,'Committments Dump'!$C:$C,'Category Table'!AA$2,'Committments Dump'!$B:$B,'Category Table'!$A111)</f>
        <v/>
      </c>
      <c r="AB111" s="116">
        <f>SUMIFS('Committments Dump'!$S:$S,'Committments Dump'!$C:$C,'Category Table'!AB$2,'Committments Dump'!$B:$B,'Category Table'!$A111)</f>
        <v/>
      </c>
      <c r="AC111" s="116">
        <f>SUMIFS('Committments Dump'!$S:$S,'Committments Dump'!$C:$C,'Category Table'!AC$2,'Committments Dump'!$B:$B,'Category Table'!$A111)</f>
        <v/>
      </c>
      <c r="AD111" s="115">
        <f>U111+X111+AA111</f>
        <v/>
      </c>
      <c r="AE111" s="116">
        <f>V111+Y111+AB111</f>
        <v/>
      </c>
      <c r="AF111" s="116">
        <f>W111+Z111+AC111</f>
        <v/>
      </c>
      <c r="AG111" s="115">
        <f>R111+AD111</f>
        <v/>
      </c>
      <c r="AH111" s="116">
        <f>S111+AE111</f>
        <v/>
      </c>
      <c r="AI111" s="116">
        <f>T111+AF111</f>
        <v/>
      </c>
      <c r="AJ111" s="115" t="n"/>
      <c r="AK111" s="116" t="n"/>
      <c r="AL111" s="116" t="n"/>
      <c r="AM111" s="115">
        <f>(O111-AG111)+AJ111</f>
        <v/>
      </c>
      <c r="AN111" s="116">
        <f>(P111-AH111)+AK111</f>
        <v/>
      </c>
      <c r="AO111" s="116">
        <f>(Q111-AI111)+AL111</f>
        <v/>
      </c>
      <c r="AP111" s="93">
        <f>IF(AM111&gt;0, "Under",IF(AM111&lt;0,"Over",""))</f>
        <v/>
      </c>
      <c r="AQ111" s="94">
        <f>IF(AN111&gt;0, "Under",IF(AN111&lt;0,"Over",""))</f>
        <v/>
      </c>
      <c r="AR111" s="94">
        <f>IF(AO111&gt;0, "Under",IF(AO111&lt;0,"Over",""))</f>
        <v/>
      </c>
      <c r="AS111" s="3" t="n"/>
    </row>
    <row r="112">
      <c r="A112" t="inlineStr">
        <is>
          <t>0-4xyy</t>
        </is>
      </c>
      <c r="B112" t="inlineStr">
        <is>
          <t>Risk</t>
        </is>
      </c>
      <c r="C112" s="113" t="n">
        <v>0</v>
      </c>
      <c r="D112" s="114" t="n">
        <v>0</v>
      </c>
      <c r="E112" s="114" t="n">
        <v>0</v>
      </c>
      <c r="F112" s="113" t="n">
        <v>-2390722.774245101</v>
      </c>
      <c r="G112" s="114" t="n">
        <v>0</v>
      </c>
      <c r="H112" s="114" t="n">
        <v>0</v>
      </c>
      <c r="I112" s="113" t="n">
        <v>0</v>
      </c>
      <c r="J112" s="114" t="n">
        <v>0</v>
      </c>
      <c r="K112" s="114" t="n">
        <v>0</v>
      </c>
      <c r="L112" s="113" t="n">
        <v>0</v>
      </c>
      <c r="M112" s="114" t="n">
        <v>0</v>
      </c>
      <c r="N112" s="114" t="n">
        <v>0</v>
      </c>
      <c r="O112" s="113">
        <f>L112+I112+F112+C112</f>
        <v/>
      </c>
      <c r="P112" s="114">
        <f>M112+J112+G112+D112</f>
        <v/>
      </c>
      <c r="Q112" s="114">
        <f>N112+K112+H112+E112</f>
        <v/>
      </c>
      <c r="R112" s="113">
        <f>SUMIFS('PO Log'!$E:$E,'PO Log'!$D:$D,'Category Table'!R$2,'PO Log'!$C:$C,'Category Table'!$A112)</f>
        <v/>
      </c>
      <c r="S112" s="114">
        <f>SUMIFS('PO Log'!$E:$E,'PO Log'!$D:$D,'Category Table'!S$2,'PO Log'!$C:$C,'Category Table'!$A112)</f>
        <v/>
      </c>
      <c r="T112" s="114">
        <f>SUMIFS('PO Log'!$E:$E,'PO Log'!$D:$D,'Category Table'!T$2,'PO Log'!$C:$C,'Category Table'!$A112)</f>
        <v/>
      </c>
      <c r="U112" s="113">
        <f>SUMIFS('Committments Dump'!$Q:$Q,'Committments Dump'!$C:$C,'Category Table'!U$2,'Committments Dump'!$B:$B,'Category Table'!$A112)</f>
        <v/>
      </c>
      <c r="V112" s="114">
        <f>SUMIFS('Committments Dump'!$Q:$Q,'Committments Dump'!$C:$C,'Category Table'!V$2,'Committments Dump'!$B:$B,'Category Table'!$A112)</f>
        <v/>
      </c>
      <c r="W112" s="114">
        <f>SUMIFS('Committments Dump'!$Q:$Q,'Committments Dump'!$C:$C,'Category Table'!W$2,'Committments Dump'!$B:$B,'Category Table'!$A112)</f>
        <v/>
      </c>
      <c r="X112" s="113">
        <f>SUMIFS('Committments Dump'!$R:$R,'Committments Dump'!$C:$C,'Category Table'!X$2,'Committments Dump'!$B:$B,'Category Table'!$A112)</f>
        <v/>
      </c>
      <c r="Y112" s="114">
        <f>SUMIFS('Committments Dump'!$R:$R,'Committments Dump'!$C:$C,'Category Table'!Y$2,'Committments Dump'!$B:$B,'Category Table'!$A112)</f>
        <v/>
      </c>
      <c r="Z112" s="114">
        <f>SUMIFS('Committments Dump'!$R:$R,'Committments Dump'!$C:$C,'Category Table'!Z$2,'Committments Dump'!$B:$B,'Category Table'!$A112)</f>
        <v/>
      </c>
      <c r="AA112" s="113">
        <f>SUMIFS('Committments Dump'!$S:$S,'Committments Dump'!$C:$C,'Category Table'!AA$2,'Committments Dump'!$B:$B,'Category Table'!$A112)</f>
        <v/>
      </c>
      <c r="AB112" s="114">
        <f>SUMIFS('Committments Dump'!$S:$S,'Committments Dump'!$C:$C,'Category Table'!AB$2,'Committments Dump'!$B:$B,'Category Table'!$A112)</f>
        <v/>
      </c>
      <c r="AC112" s="114">
        <f>SUMIFS('Committments Dump'!$S:$S,'Committments Dump'!$C:$C,'Category Table'!AC$2,'Committments Dump'!$B:$B,'Category Table'!$A112)</f>
        <v/>
      </c>
      <c r="AD112" s="113">
        <f>U112+X112+AA112</f>
        <v/>
      </c>
      <c r="AE112" s="114">
        <f>V112+Y112+AB112</f>
        <v/>
      </c>
      <c r="AF112" s="114">
        <f>W112+Z112+AC112</f>
        <v/>
      </c>
      <c r="AG112" s="113">
        <f>R112+AD112</f>
        <v/>
      </c>
      <c r="AH112" s="114">
        <f>S112+AE112</f>
        <v/>
      </c>
      <c r="AI112" s="114">
        <f>T112+AF112</f>
        <v/>
      </c>
      <c r="AJ112" s="113" t="n"/>
      <c r="AK112" s="114" t="n"/>
      <c r="AL112" s="114" t="n"/>
      <c r="AM112" s="113">
        <f>(O112-AG112)+AJ112</f>
        <v/>
      </c>
      <c r="AN112" s="114">
        <f>(P112-AH112)+AK112</f>
        <v/>
      </c>
      <c r="AO112" s="114">
        <f>(Q112-AI112)+AL112</f>
        <v/>
      </c>
      <c r="AP112" s="2">
        <f>IF(AM112&gt;0, "Under",IF(AM112&lt;0,"Over",""))</f>
        <v/>
      </c>
      <c r="AQ112" s="1">
        <f>IF(AN112&gt;0, "Under",IF(AN112&lt;0,"Over",""))</f>
        <v/>
      </c>
      <c r="AR112" s="1">
        <f>IF(AO112&gt;0, "Under",IF(AO112&lt;0,"Over",""))</f>
        <v/>
      </c>
      <c r="AS112" s="3" t="n"/>
    </row>
    <row r="113">
      <c r="A113" s="90" t="inlineStr">
        <is>
          <t>0-4xxy</t>
        </is>
      </c>
      <c r="B113" s="90" t="inlineStr">
        <is>
          <t>Opps</t>
        </is>
      </c>
      <c r="C113" s="115" t="n"/>
      <c r="D113" s="116" t="n"/>
      <c r="E113" s="116" t="n"/>
      <c r="F113" s="115" t="n"/>
      <c r="G113" s="116" t="n">
        <v>-1220810.62781625</v>
      </c>
      <c r="H113" s="116" t="n">
        <v>-1200000</v>
      </c>
      <c r="I113" s="115" t="n">
        <v>0</v>
      </c>
      <c r="J113" s="116" t="n">
        <v>0</v>
      </c>
      <c r="K113" s="116" t="n">
        <v>0</v>
      </c>
      <c r="L113" s="115" t="n">
        <v>0</v>
      </c>
      <c r="M113" s="116" t="n">
        <v>0</v>
      </c>
      <c r="N113" s="116" t="n">
        <v>0</v>
      </c>
      <c r="O113" s="115">
        <f>L113+I113+F113+C113</f>
        <v/>
      </c>
      <c r="P113" s="116">
        <f>M113+J113+G113+D113</f>
        <v/>
      </c>
      <c r="Q113" s="116">
        <f>N113+K113+H113+E113</f>
        <v/>
      </c>
      <c r="R113" s="115">
        <f>SUMIFS('PO Log'!$E:$E,'PO Log'!$D:$D,'Category Table'!R$2,'PO Log'!$C:$C,'Category Table'!$A113)</f>
        <v/>
      </c>
      <c r="S113" s="116">
        <f>SUMIFS('PO Log'!$E:$E,'PO Log'!$D:$D,'Category Table'!S$2,'PO Log'!$C:$C,'Category Table'!$A113)</f>
        <v/>
      </c>
      <c r="T113" s="116">
        <f>SUMIFS('PO Log'!$E:$E,'PO Log'!$D:$D,'Category Table'!T$2,'PO Log'!$C:$C,'Category Table'!$A113)</f>
        <v/>
      </c>
      <c r="U113" s="115">
        <f>SUMIFS('Committments Dump'!$Q:$Q,'Committments Dump'!$C:$C,'Category Table'!U$2,'Committments Dump'!$B:$B,'Category Table'!$A113)</f>
        <v/>
      </c>
      <c r="V113" s="116">
        <f>SUMIFS('Committments Dump'!$Q:$Q,'Committments Dump'!$C:$C,'Category Table'!V$2,'Committments Dump'!$B:$B,'Category Table'!$A113)</f>
        <v/>
      </c>
      <c r="W113" s="116">
        <f>SUMIFS('Committments Dump'!$Q:$Q,'Committments Dump'!$C:$C,'Category Table'!W$2,'Committments Dump'!$B:$B,'Category Table'!$A113)</f>
        <v/>
      </c>
      <c r="X113" s="115">
        <f>SUMIFS('Committments Dump'!$R:$R,'Committments Dump'!$C:$C,'Category Table'!X$2,'Committments Dump'!$B:$B,'Category Table'!$A113)</f>
        <v/>
      </c>
      <c r="Y113" s="116">
        <f>SUMIFS('Committments Dump'!$R:$R,'Committments Dump'!$C:$C,'Category Table'!Y$2,'Committments Dump'!$B:$B,'Category Table'!$A113)</f>
        <v/>
      </c>
      <c r="Z113" s="116">
        <f>SUMIFS('Committments Dump'!$R:$R,'Committments Dump'!$C:$C,'Category Table'!Z$2,'Committments Dump'!$B:$B,'Category Table'!$A113)</f>
        <v/>
      </c>
      <c r="AA113" s="115">
        <f>SUMIFS('Committments Dump'!$S:$S,'Committments Dump'!$C:$C,'Category Table'!AA$2,'Committments Dump'!$B:$B,'Category Table'!$A113)</f>
        <v/>
      </c>
      <c r="AB113" s="116">
        <f>SUMIFS('Committments Dump'!$S:$S,'Committments Dump'!$C:$C,'Category Table'!AB$2,'Committments Dump'!$B:$B,'Category Table'!$A113)</f>
        <v/>
      </c>
      <c r="AC113" s="116">
        <f>SUMIFS('Committments Dump'!$S:$S,'Committments Dump'!$C:$C,'Category Table'!AC$2,'Committments Dump'!$B:$B,'Category Table'!$A113)</f>
        <v/>
      </c>
      <c r="AD113" s="115">
        <f>U113+X113+AA113</f>
        <v/>
      </c>
      <c r="AE113" s="116">
        <f>V113+Y113+AB113</f>
        <v/>
      </c>
      <c r="AF113" s="116">
        <f>W113+Z113+AC113</f>
        <v/>
      </c>
      <c r="AG113" s="115">
        <f>R113+AD113</f>
        <v/>
      </c>
      <c r="AH113" s="116">
        <f>S113+AE113</f>
        <v/>
      </c>
      <c r="AI113" s="116">
        <f>T113+AF113</f>
        <v/>
      </c>
      <c r="AJ113" s="115" t="n"/>
      <c r="AK113" s="116" t="n"/>
      <c r="AL113" s="116" t="n"/>
      <c r="AM113" s="115">
        <f>(O113-AG113)+AJ113</f>
        <v/>
      </c>
      <c r="AN113" s="116">
        <f>(P113-AH113)+AK113</f>
        <v/>
      </c>
      <c r="AO113" s="116">
        <f>(Q113-AI113)+AL113</f>
        <v/>
      </c>
      <c r="AP113" s="93">
        <f>IF(AM113&gt;0, "Under",IF(AM113&lt;0,"Over",""))</f>
        <v/>
      </c>
      <c r="AQ113" s="94">
        <f>IF(AN113&gt;0, "Under",IF(AN113&lt;0,"Over",""))</f>
        <v/>
      </c>
      <c r="AR113" s="94">
        <f>IF(AO113&gt;0, "Under",IF(AO113&lt;0,"Over",""))</f>
        <v/>
      </c>
      <c r="AS113" s="3" t="n"/>
    </row>
    <row r="114">
      <c r="C114" s="113" t="n"/>
      <c r="D114" s="114" t="n"/>
      <c r="E114" s="114" t="n"/>
      <c r="F114" s="113" t="n"/>
      <c r="G114" s="114" t="n"/>
      <c r="H114" s="114" t="n"/>
      <c r="I114" s="113" t="n"/>
      <c r="J114" s="114" t="n"/>
      <c r="K114" s="114" t="n"/>
      <c r="L114" s="113" t="n"/>
      <c r="M114" s="114" t="n"/>
      <c r="N114" s="114" t="n"/>
      <c r="O114" s="113">
        <f>L114+I114+F114+C114</f>
        <v/>
      </c>
      <c r="P114" s="114">
        <f>M114+J114+G114+D114</f>
        <v/>
      </c>
      <c r="Q114" s="114">
        <f>N114+K114+H114+E114</f>
        <v/>
      </c>
      <c r="R114" s="113">
        <f>SUMIFS('PO Log'!$E:$E,'PO Log'!$D:$D,'Category Table'!R$2,'PO Log'!$C:$C,'Category Table'!$A114)</f>
        <v/>
      </c>
      <c r="S114" s="114">
        <f>SUMIFS('PO Log'!$E:$E,'PO Log'!$D:$D,'Category Table'!S$2,'PO Log'!$C:$C,'Category Table'!$A114)</f>
        <v/>
      </c>
      <c r="T114" s="114">
        <f>SUMIFS('PO Log'!$E:$E,'PO Log'!$D:$D,'Category Table'!T$2,'PO Log'!$C:$C,'Category Table'!$A114)</f>
        <v/>
      </c>
      <c r="U114" s="113">
        <f>SUMIFS('Committments Dump'!$Q:$Q,'Committments Dump'!$C:$C,'Category Table'!U$2,'Committments Dump'!$B:$B,'Category Table'!$A114)</f>
        <v/>
      </c>
      <c r="V114" s="114">
        <f>SUMIFS('Committments Dump'!$Q:$Q,'Committments Dump'!$C:$C,'Category Table'!V$2,'Committments Dump'!$B:$B,'Category Table'!$A114)</f>
        <v/>
      </c>
      <c r="W114" s="114">
        <f>SUMIFS('Committments Dump'!$Q:$Q,'Committments Dump'!$C:$C,'Category Table'!W$2,'Committments Dump'!$B:$B,'Category Table'!$A114)</f>
        <v/>
      </c>
      <c r="X114" s="113">
        <f>SUMIFS('Committments Dump'!$R:$R,'Committments Dump'!$C:$C,'Category Table'!X$2,'Committments Dump'!$B:$B,'Category Table'!$A114)</f>
        <v/>
      </c>
      <c r="Y114" s="114">
        <f>SUMIFS('Committments Dump'!$R:$R,'Committments Dump'!$C:$C,'Category Table'!Y$2,'Committments Dump'!$B:$B,'Category Table'!$A114)</f>
        <v/>
      </c>
      <c r="Z114" s="114">
        <f>SUMIFS('Committments Dump'!$R:$R,'Committments Dump'!$C:$C,'Category Table'!Z$2,'Committments Dump'!$B:$B,'Category Table'!$A114)</f>
        <v/>
      </c>
      <c r="AA114" s="113">
        <f>SUMIFS('Committments Dump'!$S:$S,'Committments Dump'!$C:$C,'Category Table'!AA$2,'Committments Dump'!$B:$B,'Category Table'!$A114)</f>
        <v/>
      </c>
      <c r="AB114" s="114">
        <f>SUMIFS('Committments Dump'!$S:$S,'Committments Dump'!$C:$C,'Category Table'!AB$2,'Committments Dump'!$B:$B,'Category Table'!$A114)</f>
        <v/>
      </c>
      <c r="AC114" s="114">
        <f>SUMIFS('Committments Dump'!$S:$S,'Committments Dump'!$C:$C,'Category Table'!AC$2,'Committments Dump'!$B:$B,'Category Table'!$A114)</f>
        <v/>
      </c>
      <c r="AD114" s="113">
        <f>U114+X114+AA114</f>
        <v/>
      </c>
      <c r="AE114" s="114">
        <f>V114+Y114+AB114</f>
        <v/>
      </c>
      <c r="AF114" s="114">
        <f>W114+Z114+AC114</f>
        <v/>
      </c>
      <c r="AG114" s="113">
        <f>R114+AD114</f>
        <v/>
      </c>
      <c r="AH114" s="114">
        <f>S114+AE114</f>
        <v/>
      </c>
      <c r="AI114" s="114">
        <f>T114+AF114</f>
        <v/>
      </c>
      <c r="AJ114" s="113" t="n"/>
      <c r="AK114" s="114" t="n"/>
      <c r="AL114" s="114" t="n"/>
      <c r="AM114" s="113">
        <f>(O114-AG114)+AJ114</f>
        <v/>
      </c>
      <c r="AN114" s="114">
        <f>(P114-AH114)+AK114</f>
        <v/>
      </c>
      <c r="AO114" s="114">
        <f>(Q114-AI114)+AL114</f>
        <v/>
      </c>
      <c r="AP114" s="2">
        <f>IF(AM114&gt;0, "Under",IF(AM114&lt;0,"Over",""))</f>
        <v/>
      </c>
      <c r="AQ114" s="1">
        <f>IF(AN114&gt;0, "Under",IF(AN114&lt;0,"Over",""))</f>
        <v/>
      </c>
      <c r="AR114" s="1">
        <f>IF(AO114&gt;0, "Under",IF(AO114&lt;0,"Over",""))</f>
        <v/>
      </c>
      <c r="AS114" s="3" t="n"/>
    </row>
    <row r="115">
      <c r="A115" s="90" t="n"/>
      <c r="B115" s="90" t="n"/>
      <c r="C115" s="115" t="n"/>
      <c r="D115" s="116" t="n"/>
      <c r="E115" s="116" t="n"/>
      <c r="F115" s="115" t="n"/>
      <c r="G115" s="116" t="n"/>
      <c r="H115" s="116" t="n"/>
      <c r="I115" s="115" t="n"/>
      <c r="J115" s="116" t="n"/>
      <c r="K115" s="116" t="n"/>
      <c r="L115" s="115" t="n"/>
      <c r="M115" s="116" t="n"/>
      <c r="N115" s="116" t="n"/>
      <c r="O115" s="115">
        <f>L115+I115+F115+C115</f>
        <v/>
      </c>
      <c r="P115" s="116">
        <f>M115+J115+G115+D115</f>
        <v/>
      </c>
      <c r="Q115" s="116">
        <f>N115+K115+H115+E115</f>
        <v/>
      </c>
      <c r="R115" s="115">
        <f>SUMIFS('PO Log'!$E:$E,'PO Log'!$D:$D,'Category Table'!R$2,'PO Log'!$C:$C,'Category Table'!$A115)</f>
        <v/>
      </c>
      <c r="S115" s="116">
        <f>SUMIFS('PO Log'!$E:$E,'PO Log'!$D:$D,'Category Table'!S$2,'PO Log'!$C:$C,'Category Table'!$A115)</f>
        <v/>
      </c>
      <c r="T115" s="116">
        <f>SUMIFS('PO Log'!$E:$E,'PO Log'!$D:$D,'Category Table'!T$2,'PO Log'!$C:$C,'Category Table'!$A115)</f>
        <v/>
      </c>
      <c r="U115" s="115">
        <f>SUMIFS('Committments Dump'!$Q:$Q,'Committments Dump'!$C:$C,'Category Table'!U$2,'Committments Dump'!$B:$B,'Category Table'!$A115)</f>
        <v/>
      </c>
      <c r="V115" s="116">
        <f>SUMIFS('Committments Dump'!$Q:$Q,'Committments Dump'!$C:$C,'Category Table'!V$2,'Committments Dump'!$B:$B,'Category Table'!$A115)</f>
        <v/>
      </c>
      <c r="W115" s="116">
        <f>SUMIFS('Committments Dump'!$Q:$Q,'Committments Dump'!$C:$C,'Category Table'!W$2,'Committments Dump'!$B:$B,'Category Table'!$A115)</f>
        <v/>
      </c>
      <c r="X115" s="115">
        <f>SUMIFS('Committments Dump'!$R:$R,'Committments Dump'!$C:$C,'Category Table'!X$2,'Committments Dump'!$B:$B,'Category Table'!$A115)</f>
        <v/>
      </c>
      <c r="Y115" s="116">
        <f>SUMIFS('Committments Dump'!$R:$R,'Committments Dump'!$C:$C,'Category Table'!Y$2,'Committments Dump'!$B:$B,'Category Table'!$A115)</f>
        <v/>
      </c>
      <c r="Z115" s="116">
        <f>SUMIFS('Committments Dump'!$R:$R,'Committments Dump'!$C:$C,'Category Table'!Z$2,'Committments Dump'!$B:$B,'Category Table'!$A115)</f>
        <v/>
      </c>
      <c r="AA115" s="115">
        <f>SUMIFS('Committments Dump'!$S:$S,'Committments Dump'!$C:$C,'Category Table'!AA$2,'Committments Dump'!$B:$B,'Category Table'!$A115)</f>
        <v/>
      </c>
      <c r="AB115" s="116">
        <f>SUMIFS('Committments Dump'!$S:$S,'Committments Dump'!$C:$C,'Category Table'!AB$2,'Committments Dump'!$B:$B,'Category Table'!$A115)</f>
        <v/>
      </c>
      <c r="AC115" s="116">
        <f>SUMIFS('Committments Dump'!$S:$S,'Committments Dump'!$C:$C,'Category Table'!AC$2,'Committments Dump'!$B:$B,'Category Table'!$A115)</f>
        <v/>
      </c>
      <c r="AD115" s="115">
        <f>U115+X115+AA115</f>
        <v/>
      </c>
      <c r="AE115" s="116">
        <f>V115+Y115+AB115</f>
        <v/>
      </c>
      <c r="AF115" s="116">
        <f>W115+Z115+AC115</f>
        <v/>
      </c>
      <c r="AG115" s="115">
        <f>R115+AD115</f>
        <v/>
      </c>
      <c r="AH115" s="116">
        <f>S115+AE115</f>
        <v/>
      </c>
      <c r="AI115" s="116">
        <f>T115+AF115</f>
        <v/>
      </c>
      <c r="AJ115" s="115" t="n"/>
      <c r="AK115" s="116" t="n"/>
      <c r="AL115" s="116" t="n"/>
      <c r="AM115" s="115">
        <f>(O115-AG115)+AJ115</f>
        <v/>
      </c>
      <c r="AN115" s="116">
        <f>(P115-AH115)+AK115</f>
        <v/>
      </c>
      <c r="AO115" s="116">
        <f>(Q115-AI115)+AL115</f>
        <v/>
      </c>
      <c r="AP115" s="93">
        <f>IF(AM115&gt;0, "Under",IF(AM115&lt;0,"Over",""))</f>
        <v/>
      </c>
      <c r="AQ115" s="94">
        <f>IF(AN115&gt;0, "Under",IF(AN115&lt;0,"Over",""))</f>
        <v/>
      </c>
      <c r="AR115" s="94">
        <f>IF(AO115&gt;0, "Under",IF(AO115&lt;0,"Over",""))</f>
        <v/>
      </c>
      <c r="AS115" s="3" t="n"/>
    </row>
    <row r="116">
      <c r="C116" s="113" t="n"/>
      <c r="D116" s="114" t="n"/>
      <c r="E116" s="114" t="n"/>
      <c r="F116" s="113" t="n"/>
      <c r="G116" s="114" t="n"/>
      <c r="H116" s="114" t="n"/>
      <c r="I116" s="113" t="n"/>
      <c r="J116" s="114" t="n"/>
      <c r="K116" s="114" t="n"/>
      <c r="L116" s="113" t="n"/>
      <c r="M116" s="114" t="n"/>
      <c r="N116" s="114" t="n"/>
      <c r="O116" s="113">
        <f>L116+I116+F116+C116</f>
        <v/>
      </c>
      <c r="P116" s="114">
        <f>M116+J116+G116+D116</f>
        <v/>
      </c>
      <c r="Q116" s="114">
        <f>N116+K116+H116+E116</f>
        <v/>
      </c>
      <c r="R116" s="113">
        <f>SUMIFS('PO Log'!$E:$E,'PO Log'!$D:$D,'Category Table'!R$2,'PO Log'!$C:$C,'Category Table'!$A116)</f>
        <v/>
      </c>
      <c r="S116" s="114">
        <f>SUMIFS('PO Log'!$E:$E,'PO Log'!$D:$D,'Category Table'!S$2,'PO Log'!$C:$C,'Category Table'!$A116)</f>
        <v/>
      </c>
      <c r="T116" s="114">
        <f>SUMIFS('PO Log'!$E:$E,'PO Log'!$D:$D,'Category Table'!T$2,'PO Log'!$C:$C,'Category Table'!$A116)</f>
        <v/>
      </c>
      <c r="U116" s="113">
        <f>SUMIFS('Committments Dump'!$Q:$Q,'Committments Dump'!$C:$C,'Category Table'!U$2,'Committments Dump'!$B:$B,'Category Table'!$A116)</f>
        <v/>
      </c>
      <c r="V116" s="114">
        <f>SUMIFS('Committments Dump'!$Q:$Q,'Committments Dump'!$C:$C,'Category Table'!V$2,'Committments Dump'!$B:$B,'Category Table'!$A116)</f>
        <v/>
      </c>
      <c r="W116" s="114">
        <f>SUMIFS('Committments Dump'!$Q:$Q,'Committments Dump'!$C:$C,'Category Table'!W$2,'Committments Dump'!$B:$B,'Category Table'!$A116)</f>
        <v/>
      </c>
      <c r="X116" s="113">
        <f>SUMIFS('Committments Dump'!$R:$R,'Committments Dump'!$C:$C,'Category Table'!X$2,'Committments Dump'!$B:$B,'Category Table'!$A116)</f>
        <v/>
      </c>
      <c r="Y116" s="114">
        <f>SUMIFS('Committments Dump'!$R:$R,'Committments Dump'!$C:$C,'Category Table'!Y$2,'Committments Dump'!$B:$B,'Category Table'!$A116)</f>
        <v/>
      </c>
      <c r="Z116" s="114">
        <f>SUMIFS('Committments Dump'!$R:$R,'Committments Dump'!$C:$C,'Category Table'!Z$2,'Committments Dump'!$B:$B,'Category Table'!$A116)</f>
        <v/>
      </c>
      <c r="AA116" s="113">
        <f>SUMIFS('Committments Dump'!$S:$S,'Committments Dump'!$C:$C,'Category Table'!AA$2,'Committments Dump'!$B:$B,'Category Table'!$A116)</f>
        <v/>
      </c>
      <c r="AB116" s="114">
        <f>SUMIFS('Committments Dump'!$S:$S,'Committments Dump'!$C:$C,'Category Table'!AB$2,'Committments Dump'!$B:$B,'Category Table'!$A116)</f>
        <v/>
      </c>
      <c r="AC116" s="114">
        <f>SUMIFS('Committments Dump'!$S:$S,'Committments Dump'!$C:$C,'Category Table'!AC$2,'Committments Dump'!$B:$B,'Category Table'!$A116)</f>
        <v/>
      </c>
      <c r="AD116" s="113">
        <f>U116+X116+AA116</f>
        <v/>
      </c>
      <c r="AE116" s="114">
        <f>V116+Y116+AB116</f>
        <v/>
      </c>
      <c r="AF116" s="114">
        <f>W116+Z116+AC116</f>
        <v/>
      </c>
      <c r="AG116" s="113">
        <f>R116+AD116</f>
        <v/>
      </c>
      <c r="AH116" s="114">
        <f>S116+AE116</f>
        <v/>
      </c>
      <c r="AI116" s="114">
        <f>T116+AF116</f>
        <v/>
      </c>
      <c r="AJ116" s="113" t="n"/>
      <c r="AK116" s="114" t="n"/>
      <c r="AL116" s="114" t="n"/>
      <c r="AM116" s="113">
        <f>(O116-AG116)+AJ116</f>
        <v/>
      </c>
      <c r="AN116" s="114">
        <f>(P116-AH116)+AK116</f>
        <v/>
      </c>
      <c r="AO116" s="114">
        <f>(Q116-AI116)+AL116</f>
        <v/>
      </c>
      <c r="AP116" s="2">
        <f>IF(AM116&gt;0, "Under",IF(AM116&lt;0,"Over",""))</f>
        <v/>
      </c>
      <c r="AQ116" s="1">
        <f>IF(AN116&gt;0, "Under",IF(AN116&lt;0,"Over",""))</f>
        <v/>
      </c>
      <c r="AR116" s="1">
        <f>IF(AO116&gt;0, "Under",IF(AO116&lt;0,"Over",""))</f>
        <v/>
      </c>
      <c r="AS116" s="3" t="n"/>
    </row>
    <row r="117">
      <c r="A117" s="90" t="n"/>
      <c r="B117" s="90" t="n"/>
      <c r="C117" s="115" t="n"/>
      <c r="D117" s="116" t="n"/>
      <c r="E117" s="116" t="n"/>
      <c r="F117" s="115" t="n"/>
      <c r="G117" s="116" t="n"/>
      <c r="H117" s="116" t="n"/>
      <c r="I117" s="115" t="n"/>
      <c r="J117" s="116" t="n"/>
      <c r="K117" s="116" t="n"/>
      <c r="L117" s="115" t="n"/>
      <c r="M117" s="116" t="n"/>
      <c r="N117" s="116" t="n"/>
      <c r="O117" s="115">
        <f>L117+I117+F117+C117</f>
        <v/>
      </c>
      <c r="P117" s="116">
        <f>M117+J117+G117+D117</f>
        <v/>
      </c>
      <c r="Q117" s="116">
        <f>N117+K117+H117+E117</f>
        <v/>
      </c>
      <c r="R117" s="115">
        <f>SUMIFS('PO Log'!$E:$E,'PO Log'!$D:$D,'Category Table'!R$2,'PO Log'!$C:$C,'Category Table'!$A117)</f>
        <v/>
      </c>
      <c r="S117" s="116">
        <f>SUMIFS('PO Log'!$E:$E,'PO Log'!$D:$D,'Category Table'!S$2,'PO Log'!$C:$C,'Category Table'!$A117)</f>
        <v/>
      </c>
      <c r="T117" s="116">
        <f>SUMIFS('PO Log'!$E:$E,'PO Log'!$D:$D,'Category Table'!T$2,'PO Log'!$C:$C,'Category Table'!$A117)</f>
        <v/>
      </c>
      <c r="U117" s="115">
        <f>SUMIFS('Committments Dump'!$Q:$Q,'Committments Dump'!$C:$C,'Category Table'!U$2,'Committments Dump'!$B:$B,'Category Table'!$A117)</f>
        <v/>
      </c>
      <c r="V117" s="116">
        <f>SUMIFS('Committments Dump'!$Q:$Q,'Committments Dump'!$C:$C,'Category Table'!V$2,'Committments Dump'!$B:$B,'Category Table'!$A117)</f>
        <v/>
      </c>
      <c r="W117" s="116">
        <f>SUMIFS('Committments Dump'!$Q:$Q,'Committments Dump'!$C:$C,'Category Table'!W$2,'Committments Dump'!$B:$B,'Category Table'!$A117)</f>
        <v/>
      </c>
      <c r="X117" s="115">
        <f>SUMIFS('Committments Dump'!$R:$R,'Committments Dump'!$C:$C,'Category Table'!X$2,'Committments Dump'!$B:$B,'Category Table'!$A117)</f>
        <v/>
      </c>
      <c r="Y117" s="116">
        <f>SUMIFS('Committments Dump'!$R:$R,'Committments Dump'!$C:$C,'Category Table'!Y$2,'Committments Dump'!$B:$B,'Category Table'!$A117)</f>
        <v/>
      </c>
      <c r="Z117" s="116">
        <f>SUMIFS('Committments Dump'!$R:$R,'Committments Dump'!$C:$C,'Category Table'!Z$2,'Committments Dump'!$B:$B,'Category Table'!$A117)</f>
        <v/>
      </c>
      <c r="AA117" s="115">
        <f>SUMIFS('Committments Dump'!$S:$S,'Committments Dump'!$C:$C,'Category Table'!AA$2,'Committments Dump'!$B:$B,'Category Table'!$A117)</f>
        <v/>
      </c>
      <c r="AB117" s="116">
        <f>SUMIFS('Committments Dump'!$S:$S,'Committments Dump'!$C:$C,'Category Table'!AB$2,'Committments Dump'!$B:$B,'Category Table'!$A117)</f>
        <v/>
      </c>
      <c r="AC117" s="116">
        <f>SUMIFS('Committments Dump'!$S:$S,'Committments Dump'!$C:$C,'Category Table'!AC$2,'Committments Dump'!$B:$B,'Category Table'!$A117)</f>
        <v/>
      </c>
      <c r="AD117" s="115">
        <f>U117+X117+AA117</f>
        <v/>
      </c>
      <c r="AE117" s="116">
        <f>V117+Y117+AB117</f>
        <v/>
      </c>
      <c r="AF117" s="116">
        <f>W117+Z117+AC117</f>
        <v/>
      </c>
      <c r="AG117" s="115">
        <f>R117+AD117</f>
        <v/>
      </c>
      <c r="AH117" s="116">
        <f>S117+AE117</f>
        <v/>
      </c>
      <c r="AI117" s="116">
        <f>T117+AF117</f>
        <v/>
      </c>
      <c r="AJ117" s="115" t="n"/>
      <c r="AK117" s="116" t="n"/>
      <c r="AL117" s="116" t="n"/>
      <c r="AM117" s="115">
        <f>(O117-AG117)+AJ117</f>
        <v/>
      </c>
      <c r="AN117" s="116">
        <f>(P117-AH117)+AK117</f>
        <v/>
      </c>
      <c r="AO117" s="116">
        <f>(Q117-AI117)+AL117</f>
        <v/>
      </c>
      <c r="AP117" s="93">
        <f>IF(AM117&gt;0, "Under",IF(AM117&lt;0,"Over",""))</f>
        <v/>
      </c>
      <c r="AQ117" s="94">
        <f>IF(AN117&gt;0, "Under",IF(AN117&lt;0,"Over",""))</f>
        <v/>
      </c>
      <c r="AR117" s="94">
        <f>IF(AO117&gt;0, "Under",IF(AO117&lt;0,"Over",""))</f>
        <v/>
      </c>
      <c r="AS117" s="3" t="n"/>
    </row>
    <row r="118">
      <c r="C118" s="113" t="n"/>
      <c r="D118" s="114" t="n"/>
      <c r="E118" s="114" t="n"/>
      <c r="F118" s="113" t="n"/>
      <c r="G118" s="114" t="n"/>
      <c r="H118" s="114" t="n"/>
      <c r="I118" s="113" t="n"/>
      <c r="J118" s="114" t="n"/>
      <c r="K118" s="114" t="n"/>
      <c r="L118" s="113" t="n"/>
      <c r="M118" s="114" t="n"/>
      <c r="N118" s="114" t="n"/>
      <c r="O118" s="113">
        <f>L118+I118+F118+C118</f>
        <v/>
      </c>
      <c r="P118" s="114">
        <f>M118+J118+G118+D118</f>
        <v/>
      </c>
      <c r="Q118" s="114">
        <f>N118+K118+H118+E118</f>
        <v/>
      </c>
      <c r="R118" s="113">
        <f>SUMIFS('PO Log'!$E:$E,'PO Log'!$D:$D,'Category Table'!R$2,'PO Log'!$C:$C,'Category Table'!$A118)</f>
        <v/>
      </c>
      <c r="S118" s="114">
        <f>SUMIFS('PO Log'!$E:$E,'PO Log'!$D:$D,'Category Table'!S$2,'PO Log'!$C:$C,'Category Table'!$A118)</f>
        <v/>
      </c>
      <c r="T118" s="114">
        <f>SUMIFS('PO Log'!$E:$E,'PO Log'!$D:$D,'Category Table'!T$2,'PO Log'!$C:$C,'Category Table'!$A118)</f>
        <v/>
      </c>
      <c r="U118" s="113">
        <f>SUMIFS('Committments Dump'!$Q:$Q,'Committments Dump'!$C:$C,'Category Table'!U$2,'Committments Dump'!$B:$B,'Category Table'!$A118)</f>
        <v/>
      </c>
      <c r="V118" s="114">
        <f>SUMIFS('Committments Dump'!$Q:$Q,'Committments Dump'!$C:$C,'Category Table'!V$2,'Committments Dump'!$B:$B,'Category Table'!$A118)</f>
        <v/>
      </c>
      <c r="W118" s="114">
        <f>SUMIFS('Committments Dump'!$Q:$Q,'Committments Dump'!$C:$C,'Category Table'!W$2,'Committments Dump'!$B:$B,'Category Table'!$A118)</f>
        <v/>
      </c>
      <c r="X118" s="113">
        <f>SUMIFS('Committments Dump'!$R:$R,'Committments Dump'!$C:$C,'Category Table'!X$2,'Committments Dump'!$B:$B,'Category Table'!$A118)</f>
        <v/>
      </c>
      <c r="Y118" s="114">
        <f>SUMIFS('Committments Dump'!$R:$R,'Committments Dump'!$C:$C,'Category Table'!Y$2,'Committments Dump'!$B:$B,'Category Table'!$A118)</f>
        <v/>
      </c>
      <c r="Z118" s="114">
        <f>SUMIFS('Committments Dump'!$R:$R,'Committments Dump'!$C:$C,'Category Table'!Z$2,'Committments Dump'!$B:$B,'Category Table'!$A118)</f>
        <v/>
      </c>
      <c r="AA118" s="113">
        <f>SUMIFS('Committments Dump'!$S:$S,'Committments Dump'!$C:$C,'Category Table'!AA$2,'Committments Dump'!$B:$B,'Category Table'!$A118)</f>
        <v/>
      </c>
      <c r="AB118" s="114">
        <f>SUMIFS('Committments Dump'!$S:$S,'Committments Dump'!$C:$C,'Category Table'!AB$2,'Committments Dump'!$B:$B,'Category Table'!$A118)</f>
        <v/>
      </c>
      <c r="AC118" s="114">
        <f>SUMIFS('Committments Dump'!$S:$S,'Committments Dump'!$C:$C,'Category Table'!AC$2,'Committments Dump'!$B:$B,'Category Table'!$A118)</f>
        <v/>
      </c>
      <c r="AD118" s="113">
        <f>U118+X118+AA118</f>
        <v/>
      </c>
      <c r="AE118" s="114">
        <f>V118+Y118+AB118</f>
        <v/>
      </c>
      <c r="AF118" s="114">
        <f>W118+Z118+AC118</f>
        <v/>
      </c>
      <c r="AG118" s="113">
        <f>R118+AD118</f>
        <v/>
      </c>
      <c r="AH118" s="114">
        <f>S118+AE118</f>
        <v/>
      </c>
      <c r="AI118" s="114">
        <f>T118+AF118</f>
        <v/>
      </c>
      <c r="AJ118" s="113" t="n"/>
      <c r="AK118" s="114" t="n"/>
      <c r="AL118" s="114" t="n"/>
      <c r="AM118" s="113">
        <f>(O118-AG118)+AJ118</f>
        <v/>
      </c>
      <c r="AN118" s="114">
        <f>(P118-AH118)+AK118</f>
        <v/>
      </c>
      <c r="AO118" s="114">
        <f>(Q118-AI118)+AL118</f>
        <v/>
      </c>
      <c r="AP118" s="2">
        <f>IF(AM118&gt;0, "Under",IF(AM118&lt;0,"Over",""))</f>
        <v/>
      </c>
      <c r="AQ118" s="1">
        <f>IF(AN118&gt;0, "Under",IF(AN118&lt;0,"Over",""))</f>
        <v/>
      </c>
      <c r="AR118" s="1">
        <f>IF(AO118&gt;0, "Under",IF(AO118&lt;0,"Over",""))</f>
        <v/>
      </c>
      <c r="AS118" s="3" t="n"/>
    </row>
    <row r="119">
      <c r="A119" s="90" t="n"/>
      <c r="B119" s="90" t="n"/>
      <c r="C119" s="115" t="n"/>
      <c r="D119" s="116" t="n"/>
      <c r="E119" s="116" t="n"/>
      <c r="F119" s="115" t="n"/>
      <c r="G119" s="116" t="n"/>
      <c r="H119" s="116" t="n"/>
      <c r="I119" s="115" t="n"/>
      <c r="J119" s="116" t="n"/>
      <c r="K119" s="116" t="n"/>
      <c r="L119" s="115" t="n"/>
      <c r="M119" s="116" t="n"/>
      <c r="N119" s="116" t="n"/>
      <c r="O119" s="115">
        <f>L119+I119+F119+C119</f>
        <v/>
      </c>
      <c r="P119" s="116">
        <f>M119+J119+G119+D119</f>
        <v/>
      </c>
      <c r="Q119" s="116">
        <f>N119+K119+H119+E119</f>
        <v/>
      </c>
      <c r="R119" s="115">
        <f>SUMIFS('PO Log'!$E:$E,'PO Log'!$D:$D,'Category Table'!R$2,'PO Log'!$C:$C,'Category Table'!$A119)</f>
        <v/>
      </c>
      <c r="S119" s="116">
        <f>SUMIFS('PO Log'!$E:$E,'PO Log'!$D:$D,'Category Table'!S$2,'PO Log'!$C:$C,'Category Table'!$A119)</f>
        <v/>
      </c>
      <c r="T119" s="116">
        <f>SUMIFS('PO Log'!$E:$E,'PO Log'!$D:$D,'Category Table'!T$2,'PO Log'!$C:$C,'Category Table'!$A119)</f>
        <v/>
      </c>
      <c r="U119" s="115">
        <f>SUMIFS('Committments Dump'!$Q:$Q,'Committments Dump'!$C:$C,'Category Table'!U$2,'Committments Dump'!$B:$B,'Category Table'!$A119)</f>
        <v/>
      </c>
      <c r="V119" s="116">
        <f>SUMIFS('Committments Dump'!$Q:$Q,'Committments Dump'!$C:$C,'Category Table'!V$2,'Committments Dump'!$B:$B,'Category Table'!$A119)</f>
        <v/>
      </c>
      <c r="W119" s="116">
        <f>SUMIFS('Committments Dump'!$Q:$Q,'Committments Dump'!$C:$C,'Category Table'!W$2,'Committments Dump'!$B:$B,'Category Table'!$A119)</f>
        <v/>
      </c>
      <c r="X119" s="115">
        <f>SUMIFS('Committments Dump'!$R:$R,'Committments Dump'!$C:$C,'Category Table'!X$2,'Committments Dump'!$B:$B,'Category Table'!$A119)</f>
        <v/>
      </c>
      <c r="Y119" s="116">
        <f>SUMIFS('Committments Dump'!$R:$R,'Committments Dump'!$C:$C,'Category Table'!Y$2,'Committments Dump'!$B:$B,'Category Table'!$A119)</f>
        <v/>
      </c>
      <c r="Z119" s="116">
        <f>SUMIFS('Committments Dump'!$R:$R,'Committments Dump'!$C:$C,'Category Table'!Z$2,'Committments Dump'!$B:$B,'Category Table'!$A119)</f>
        <v/>
      </c>
      <c r="AA119" s="115">
        <f>SUMIFS('Committments Dump'!$S:$S,'Committments Dump'!$C:$C,'Category Table'!AA$2,'Committments Dump'!$B:$B,'Category Table'!$A119)</f>
        <v/>
      </c>
      <c r="AB119" s="116">
        <f>SUMIFS('Committments Dump'!$S:$S,'Committments Dump'!$C:$C,'Category Table'!AB$2,'Committments Dump'!$B:$B,'Category Table'!$A119)</f>
        <v/>
      </c>
      <c r="AC119" s="116">
        <f>SUMIFS('Committments Dump'!$S:$S,'Committments Dump'!$C:$C,'Category Table'!AC$2,'Committments Dump'!$B:$B,'Category Table'!$A119)</f>
        <v/>
      </c>
      <c r="AD119" s="115">
        <f>U119+X119+AA119</f>
        <v/>
      </c>
      <c r="AE119" s="116">
        <f>V119+Y119+AB119</f>
        <v/>
      </c>
      <c r="AF119" s="116">
        <f>W119+Z119+AC119</f>
        <v/>
      </c>
      <c r="AG119" s="115">
        <f>R119+AD119</f>
        <v/>
      </c>
      <c r="AH119" s="116">
        <f>S119+AE119</f>
        <v/>
      </c>
      <c r="AI119" s="116">
        <f>T119+AF119</f>
        <v/>
      </c>
      <c r="AJ119" s="115" t="n"/>
      <c r="AK119" s="116" t="n"/>
      <c r="AL119" s="116" t="n"/>
      <c r="AM119" s="115">
        <f>(O119-AG119)+AJ119</f>
        <v/>
      </c>
      <c r="AN119" s="116">
        <f>(P119-AH119)+AK119</f>
        <v/>
      </c>
      <c r="AO119" s="116">
        <f>(Q119-AI119)+AL119</f>
        <v/>
      </c>
      <c r="AP119" s="93">
        <f>IF(AM119&gt;0, "Under",IF(AM119&lt;0,"Over",""))</f>
        <v/>
      </c>
      <c r="AQ119" s="94">
        <f>IF(AN119&gt;0, "Under",IF(AN119&lt;0,"Over",""))</f>
        <v/>
      </c>
      <c r="AR119" s="94">
        <f>IF(AO119&gt;0, "Under",IF(AO119&lt;0,"Over",""))</f>
        <v/>
      </c>
      <c r="AS119" s="3" t="n"/>
    </row>
    <row r="120">
      <c r="C120" s="113" t="n"/>
      <c r="D120" s="114" t="n"/>
      <c r="E120" s="114" t="n"/>
      <c r="F120" s="113" t="n"/>
      <c r="G120" s="114" t="n"/>
      <c r="H120" s="114" t="n"/>
      <c r="I120" s="113" t="n"/>
      <c r="J120" s="114" t="n"/>
      <c r="K120" s="114" t="n"/>
      <c r="L120" s="113" t="n"/>
      <c r="M120" s="114" t="n"/>
      <c r="N120" s="114" t="n"/>
      <c r="O120" s="113">
        <f>L120+I120+F120+C120</f>
        <v/>
      </c>
      <c r="P120" s="114">
        <f>M120+J120+G120+D120</f>
        <v/>
      </c>
      <c r="Q120" s="114">
        <f>N120+K120+H120+E120</f>
        <v/>
      </c>
      <c r="R120" s="113">
        <f>SUMIFS('PO Log'!$E:$E,'PO Log'!$D:$D,'Category Table'!R$2,'PO Log'!$C:$C,'Category Table'!$A120)</f>
        <v/>
      </c>
      <c r="S120" s="114">
        <f>SUMIFS('PO Log'!$E:$E,'PO Log'!$D:$D,'Category Table'!S$2,'PO Log'!$C:$C,'Category Table'!$A120)</f>
        <v/>
      </c>
      <c r="T120" s="114">
        <f>SUMIFS('PO Log'!$E:$E,'PO Log'!$D:$D,'Category Table'!T$2,'PO Log'!$C:$C,'Category Table'!$A120)</f>
        <v/>
      </c>
      <c r="U120" s="113">
        <f>SUMIFS('Committments Dump'!$Q:$Q,'Committments Dump'!$C:$C,'Category Table'!U$2,'Committments Dump'!$B:$B,'Category Table'!$A120)</f>
        <v/>
      </c>
      <c r="V120" s="114">
        <f>SUMIFS('Committments Dump'!$Q:$Q,'Committments Dump'!$C:$C,'Category Table'!V$2,'Committments Dump'!$B:$B,'Category Table'!$A120)</f>
        <v/>
      </c>
      <c r="W120" s="114">
        <f>SUMIFS('Committments Dump'!$Q:$Q,'Committments Dump'!$C:$C,'Category Table'!W$2,'Committments Dump'!$B:$B,'Category Table'!$A120)</f>
        <v/>
      </c>
      <c r="X120" s="113">
        <f>SUMIFS('Committments Dump'!$R:$R,'Committments Dump'!$C:$C,'Category Table'!X$2,'Committments Dump'!$B:$B,'Category Table'!$A120)</f>
        <v/>
      </c>
      <c r="Y120" s="114">
        <f>SUMIFS('Committments Dump'!$R:$R,'Committments Dump'!$C:$C,'Category Table'!Y$2,'Committments Dump'!$B:$B,'Category Table'!$A120)</f>
        <v/>
      </c>
      <c r="Z120" s="114">
        <f>SUMIFS('Committments Dump'!$R:$R,'Committments Dump'!$C:$C,'Category Table'!Z$2,'Committments Dump'!$B:$B,'Category Table'!$A120)</f>
        <v/>
      </c>
      <c r="AA120" s="113">
        <f>SUMIFS('Committments Dump'!$S:$S,'Committments Dump'!$C:$C,'Category Table'!AA$2,'Committments Dump'!$B:$B,'Category Table'!$A120)</f>
        <v/>
      </c>
      <c r="AB120" s="114">
        <f>SUMIFS('Committments Dump'!$S:$S,'Committments Dump'!$C:$C,'Category Table'!AB$2,'Committments Dump'!$B:$B,'Category Table'!$A120)</f>
        <v/>
      </c>
      <c r="AC120" s="114">
        <f>SUMIFS('Committments Dump'!$S:$S,'Committments Dump'!$C:$C,'Category Table'!AC$2,'Committments Dump'!$B:$B,'Category Table'!$A120)</f>
        <v/>
      </c>
      <c r="AD120" s="113">
        <f>U120+X120+AA120</f>
        <v/>
      </c>
      <c r="AE120" s="114">
        <f>V120+Y120+AB120</f>
        <v/>
      </c>
      <c r="AF120" s="114">
        <f>W120+Z120+AC120</f>
        <v/>
      </c>
      <c r="AG120" s="113">
        <f>R120+AD120</f>
        <v/>
      </c>
      <c r="AH120" s="114">
        <f>S120+AE120</f>
        <v/>
      </c>
      <c r="AI120" s="114">
        <f>T120+AF120</f>
        <v/>
      </c>
      <c r="AJ120" s="113" t="n"/>
      <c r="AK120" s="114" t="n"/>
      <c r="AL120" s="114" t="n"/>
      <c r="AM120" s="113">
        <f>(O120-AG120)+AJ120</f>
        <v/>
      </c>
      <c r="AN120" s="114">
        <f>(P120-AH120)+AK120</f>
        <v/>
      </c>
      <c r="AO120" s="114">
        <f>(Q120-AI120)+AL120</f>
        <v/>
      </c>
      <c r="AP120" s="2">
        <f>IF(AM120&gt;0, "Under",IF(AM120&lt;0,"Over",""))</f>
        <v/>
      </c>
      <c r="AQ120" s="1">
        <f>IF(AN120&gt;0, "Under",IF(AN120&lt;0,"Over",""))</f>
        <v/>
      </c>
      <c r="AR120" s="1">
        <f>IF(AO120&gt;0, "Under",IF(AO120&lt;0,"Over",""))</f>
        <v/>
      </c>
      <c r="AS120" s="3" t="n"/>
    </row>
    <row r="121">
      <c r="A121" s="90" t="n"/>
      <c r="B121" s="90" t="n"/>
      <c r="C121" s="115" t="n"/>
      <c r="D121" s="116" t="n"/>
      <c r="E121" s="116" t="n"/>
      <c r="F121" s="115" t="n"/>
      <c r="G121" s="116" t="n"/>
      <c r="H121" s="116" t="n"/>
      <c r="I121" s="115" t="n"/>
      <c r="J121" s="116" t="n"/>
      <c r="K121" s="116" t="n"/>
      <c r="L121" s="115" t="n"/>
      <c r="M121" s="116" t="n"/>
      <c r="N121" s="116" t="n"/>
      <c r="O121" s="115">
        <f>L121+I121+F121+C121</f>
        <v/>
      </c>
      <c r="P121" s="116">
        <f>M121+J121+G121+D121</f>
        <v/>
      </c>
      <c r="Q121" s="116">
        <f>N121+K121+H121+E121</f>
        <v/>
      </c>
      <c r="R121" s="115">
        <f>SUMIFS('PO Log'!$E:$E,'PO Log'!$D:$D,'Category Table'!R$2,'PO Log'!$C:$C,'Category Table'!$A121)</f>
        <v/>
      </c>
      <c r="S121" s="116">
        <f>SUMIFS('PO Log'!$E:$E,'PO Log'!$D:$D,'Category Table'!S$2,'PO Log'!$C:$C,'Category Table'!$A121)</f>
        <v/>
      </c>
      <c r="T121" s="116">
        <f>SUMIFS('PO Log'!$E:$E,'PO Log'!$D:$D,'Category Table'!T$2,'PO Log'!$C:$C,'Category Table'!$A121)</f>
        <v/>
      </c>
      <c r="U121" s="115">
        <f>SUMIFS('Committments Dump'!$Q:$Q,'Committments Dump'!$C:$C,'Category Table'!U$2,'Committments Dump'!$B:$B,'Category Table'!$A121)</f>
        <v/>
      </c>
      <c r="V121" s="116">
        <f>SUMIFS('Committments Dump'!$Q:$Q,'Committments Dump'!$C:$C,'Category Table'!V$2,'Committments Dump'!$B:$B,'Category Table'!$A121)</f>
        <v/>
      </c>
      <c r="W121" s="116">
        <f>SUMIFS('Committments Dump'!$Q:$Q,'Committments Dump'!$C:$C,'Category Table'!W$2,'Committments Dump'!$B:$B,'Category Table'!$A121)</f>
        <v/>
      </c>
      <c r="X121" s="115">
        <f>SUMIFS('Committments Dump'!$R:$R,'Committments Dump'!$C:$C,'Category Table'!X$2,'Committments Dump'!$B:$B,'Category Table'!$A121)</f>
        <v/>
      </c>
      <c r="Y121" s="116">
        <f>SUMIFS('Committments Dump'!$R:$R,'Committments Dump'!$C:$C,'Category Table'!Y$2,'Committments Dump'!$B:$B,'Category Table'!$A121)</f>
        <v/>
      </c>
      <c r="Z121" s="116">
        <f>SUMIFS('Committments Dump'!$R:$R,'Committments Dump'!$C:$C,'Category Table'!Z$2,'Committments Dump'!$B:$B,'Category Table'!$A121)</f>
        <v/>
      </c>
      <c r="AA121" s="115">
        <f>SUMIFS('Committments Dump'!$S:$S,'Committments Dump'!$C:$C,'Category Table'!AA$2,'Committments Dump'!$B:$B,'Category Table'!$A121)</f>
        <v/>
      </c>
      <c r="AB121" s="116">
        <f>SUMIFS('Committments Dump'!$S:$S,'Committments Dump'!$C:$C,'Category Table'!AB$2,'Committments Dump'!$B:$B,'Category Table'!$A121)</f>
        <v/>
      </c>
      <c r="AC121" s="116">
        <f>SUMIFS('Committments Dump'!$S:$S,'Committments Dump'!$C:$C,'Category Table'!AC$2,'Committments Dump'!$B:$B,'Category Table'!$A121)</f>
        <v/>
      </c>
      <c r="AD121" s="115">
        <f>U121+X121+AA121</f>
        <v/>
      </c>
      <c r="AE121" s="116">
        <f>V121+Y121+AB121</f>
        <v/>
      </c>
      <c r="AF121" s="116">
        <f>W121+Z121+AC121</f>
        <v/>
      </c>
      <c r="AG121" s="115">
        <f>R121+AD121</f>
        <v/>
      </c>
      <c r="AH121" s="116">
        <f>S121+AE121</f>
        <v/>
      </c>
      <c r="AI121" s="116">
        <f>T121+AF121</f>
        <v/>
      </c>
      <c r="AJ121" s="115" t="n"/>
      <c r="AK121" s="116" t="n"/>
      <c r="AL121" s="116" t="n"/>
      <c r="AM121" s="115">
        <f>(O121-AG121)+AJ121</f>
        <v/>
      </c>
      <c r="AN121" s="116">
        <f>(P121-AH121)+AK121</f>
        <v/>
      </c>
      <c r="AO121" s="116">
        <f>(Q121-AI121)+AL121</f>
        <v/>
      </c>
      <c r="AP121" s="93">
        <f>IF(AM121&gt;0, "Under",IF(AM121&lt;0,"Over",""))</f>
        <v/>
      </c>
      <c r="AQ121" s="94">
        <f>IF(AN121&gt;0, "Under",IF(AN121&lt;0,"Over",""))</f>
        <v/>
      </c>
      <c r="AR121" s="94">
        <f>IF(AO121&gt;0, "Under",IF(AO121&lt;0,"Over",""))</f>
        <v/>
      </c>
      <c r="AS121" s="3" t="n"/>
    </row>
    <row r="122">
      <c r="C122" s="113" t="n"/>
      <c r="D122" s="114" t="n"/>
      <c r="E122" s="114" t="n"/>
      <c r="F122" s="113" t="n"/>
      <c r="G122" s="114" t="n"/>
      <c r="H122" s="114" t="n"/>
      <c r="I122" s="113" t="n"/>
      <c r="J122" s="114" t="n"/>
      <c r="K122" s="114" t="n"/>
      <c r="L122" s="113" t="n"/>
      <c r="M122" s="114" t="n"/>
      <c r="N122" s="114" t="n"/>
      <c r="O122" s="113">
        <f>L122+I122+F122+C122</f>
        <v/>
      </c>
      <c r="P122" s="114">
        <f>M122+J122+G122+D122</f>
        <v/>
      </c>
      <c r="Q122" s="114">
        <f>N122+K122+H122+E122</f>
        <v/>
      </c>
      <c r="R122" s="113">
        <f>SUMIFS('PO Log'!$E:$E,'PO Log'!$D:$D,'Category Table'!R$2,'PO Log'!$C:$C,'Category Table'!$A122)</f>
        <v/>
      </c>
      <c r="S122" s="114">
        <f>SUMIFS('PO Log'!$E:$E,'PO Log'!$D:$D,'Category Table'!S$2,'PO Log'!$C:$C,'Category Table'!$A122)</f>
        <v/>
      </c>
      <c r="T122" s="114">
        <f>SUMIFS('PO Log'!$E:$E,'PO Log'!$D:$D,'Category Table'!T$2,'PO Log'!$C:$C,'Category Table'!$A122)</f>
        <v/>
      </c>
      <c r="U122" s="113">
        <f>SUMIFS('Committments Dump'!$Q:$Q,'Committments Dump'!$C:$C,'Category Table'!U$2,'Committments Dump'!$B:$B,'Category Table'!$A122)</f>
        <v/>
      </c>
      <c r="V122" s="114">
        <f>SUMIFS('Committments Dump'!$Q:$Q,'Committments Dump'!$C:$C,'Category Table'!V$2,'Committments Dump'!$B:$B,'Category Table'!$A122)</f>
        <v/>
      </c>
      <c r="W122" s="114">
        <f>SUMIFS('Committments Dump'!$Q:$Q,'Committments Dump'!$C:$C,'Category Table'!W$2,'Committments Dump'!$B:$B,'Category Table'!$A122)</f>
        <v/>
      </c>
      <c r="X122" s="113">
        <f>SUMIFS('Committments Dump'!$R:$R,'Committments Dump'!$C:$C,'Category Table'!X$2,'Committments Dump'!$B:$B,'Category Table'!$A122)</f>
        <v/>
      </c>
      <c r="Y122" s="114">
        <f>SUMIFS('Committments Dump'!$R:$R,'Committments Dump'!$C:$C,'Category Table'!Y$2,'Committments Dump'!$B:$B,'Category Table'!$A122)</f>
        <v/>
      </c>
      <c r="Z122" s="114">
        <f>SUMIFS('Committments Dump'!$R:$R,'Committments Dump'!$C:$C,'Category Table'!Z$2,'Committments Dump'!$B:$B,'Category Table'!$A122)</f>
        <v/>
      </c>
      <c r="AA122" s="113">
        <f>SUMIFS('Committments Dump'!$S:$S,'Committments Dump'!$C:$C,'Category Table'!AA$2,'Committments Dump'!$B:$B,'Category Table'!$A122)</f>
        <v/>
      </c>
      <c r="AB122" s="114">
        <f>SUMIFS('Committments Dump'!$S:$S,'Committments Dump'!$C:$C,'Category Table'!AB$2,'Committments Dump'!$B:$B,'Category Table'!$A122)</f>
        <v/>
      </c>
      <c r="AC122" s="114">
        <f>SUMIFS('Committments Dump'!$S:$S,'Committments Dump'!$C:$C,'Category Table'!AC$2,'Committments Dump'!$B:$B,'Category Table'!$A122)</f>
        <v/>
      </c>
      <c r="AD122" s="113">
        <f>U122+X122+AA122</f>
        <v/>
      </c>
      <c r="AE122" s="114">
        <f>V122+Y122+AB122</f>
        <v/>
      </c>
      <c r="AF122" s="114">
        <f>W122+Z122+AC122</f>
        <v/>
      </c>
      <c r="AG122" s="113">
        <f>R122+AD122</f>
        <v/>
      </c>
      <c r="AH122" s="114">
        <f>S122+AE122</f>
        <v/>
      </c>
      <c r="AI122" s="114">
        <f>T122+AF122</f>
        <v/>
      </c>
      <c r="AJ122" s="113" t="n"/>
      <c r="AK122" s="114" t="n"/>
      <c r="AL122" s="114" t="n"/>
      <c r="AM122" s="113">
        <f>(O122-AG122)+AJ122</f>
        <v/>
      </c>
      <c r="AN122" s="114">
        <f>(P122-AH122)+AK122</f>
        <v/>
      </c>
      <c r="AO122" s="114">
        <f>(Q122-AI122)+AL122</f>
        <v/>
      </c>
      <c r="AP122" s="2">
        <f>IF(AM122&gt;0, "Under",IF(AM122&lt;0,"Over",""))</f>
        <v/>
      </c>
      <c r="AQ122" s="1">
        <f>IF(AN122&gt;0, "Under",IF(AN122&lt;0,"Over",""))</f>
        <v/>
      </c>
      <c r="AR122" s="1">
        <f>IF(AO122&gt;0, "Under",IF(AO122&lt;0,"Over",""))</f>
        <v/>
      </c>
      <c r="AS122" s="3" t="n"/>
    </row>
    <row r="123">
      <c r="A123" s="90" t="n"/>
      <c r="B123" s="90" t="n"/>
      <c r="C123" s="115" t="n"/>
      <c r="D123" s="116" t="n"/>
      <c r="E123" s="116" t="n"/>
      <c r="F123" s="115" t="n"/>
      <c r="G123" s="116" t="n"/>
      <c r="H123" s="116" t="n"/>
      <c r="I123" s="115" t="n"/>
      <c r="J123" s="116" t="n"/>
      <c r="K123" s="116" t="n"/>
      <c r="L123" s="115" t="n"/>
      <c r="M123" s="116" t="n"/>
      <c r="N123" s="116" t="n"/>
      <c r="O123" s="115">
        <f>L123+I123+F123+C123</f>
        <v/>
      </c>
      <c r="P123" s="116">
        <f>M123+J123+G123+D123</f>
        <v/>
      </c>
      <c r="Q123" s="116">
        <f>N123+K123+H123+E123</f>
        <v/>
      </c>
      <c r="R123" s="115">
        <f>SUMIFS('PO Log'!$E:$E,'PO Log'!$D:$D,'Category Table'!R$2,'PO Log'!$C:$C,'Category Table'!$A123)</f>
        <v/>
      </c>
      <c r="S123" s="116">
        <f>SUMIFS('PO Log'!$E:$E,'PO Log'!$D:$D,'Category Table'!S$2,'PO Log'!$C:$C,'Category Table'!$A123)</f>
        <v/>
      </c>
      <c r="T123" s="116">
        <f>SUMIFS('PO Log'!$E:$E,'PO Log'!$D:$D,'Category Table'!T$2,'PO Log'!$C:$C,'Category Table'!$A123)</f>
        <v/>
      </c>
      <c r="U123" s="115">
        <f>SUMIFS('Committments Dump'!$Q:$Q,'Committments Dump'!$C:$C,'Category Table'!U$2,'Committments Dump'!$B:$B,'Category Table'!$A123)</f>
        <v/>
      </c>
      <c r="V123" s="116">
        <f>SUMIFS('Committments Dump'!$Q:$Q,'Committments Dump'!$C:$C,'Category Table'!V$2,'Committments Dump'!$B:$B,'Category Table'!$A123)</f>
        <v/>
      </c>
      <c r="W123" s="116">
        <f>SUMIFS('Committments Dump'!$Q:$Q,'Committments Dump'!$C:$C,'Category Table'!W$2,'Committments Dump'!$B:$B,'Category Table'!$A123)</f>
        <v/>
      </c>
      <c r="X123" s="115">
        <f>SUMIFS('Committments Dump'!$R:$R,'Committments Dump'!$C:$C,'Category Table'!X$2,'Committments Dump'!$B:$B,'Category Table'!$A123)</f>
        <v/>
      </c>
      <c r="Y123" s="116">
        <f>SUMIFS('Committments Dump'!$R:$R,'Committments Dump'!$C:$C,'Category Table'!Y$2,'Committments Dump'!$B:$B,'Category Table'!$A123)</f>
        <v/>
      </c>
      <c r="Z123" s="116">
        <f>SUMIFS('Committments Dump'!$R:$R,'Committments Dump'!$C:$C,'Category Table'!Z$2,'Committments Dump'!$B:$B,'Category Table'!$A123)</f>
        <v/>
      </c>
      <c r="AA123" s="115">
        <f>SUMIFS('Committments Dump'!$S:$S,'Committments Dump'!$C:$C,'Category Table'!AA$2,'Committments Dump'!$B:$B,'Category Table'!$A123)</f>
        <v/>
      </c>
      <c r="AB123" s="116">
        <f>SUMIFS('Committments Dump'!$S:$S,'Committments Dump'!$C:$C,'Category Table'!AB$2,'Committments Dump'!$B:$B,'Category Table'!$A123)</f>
        <v/>
      </c>
      <c r="AC123" s="116">
        <f>SUMIFS('Committments Dump'!$S:$S,'Committments Dump'!$C:$C,'Category Table'!AC$2,'Committments Dump'!$B:$B,'Category Table'!$A123)</f>
        <v/>
      </c>
      <c r="AD123" s="115">
        <f>U123+X123+AA123</f>
        <v/>
      </c>
      <c r="AE123" s="116">
        <f>V123+Y123+AB123</f>
        <v/>
      </c>
      <c r="AF123" s="116">
        <f>W123+Z123+AC123</f>
        <v/>
      </c>
      <c r="AG123" s="115">
        <f>R123+AD123</f>
        <v/>
      </c>
      <c r="AH123" s="116">
        <f>S123+AE123</f>
        <v/>
      </c>
      <c r="AI123" s="116">
        <f>T123+AF123</f>
        <v/>
      </c>
      <c r="AJ123" s="115" t="n"/>
      <c r="AK123" s="116" t="n"/>
      <c r="AL123" s="116" t="n"/>
      <c r="AM123" s="115">
        <f>(O123-AG123)+AJ123</f>
        <v/>
      </c>
      <c r="AN123" s="116">
        <f>(P123-AH123)+AK123</f>
        <v/>
      </c>
      <c r="AO123" s="116">
        <f>(Q123-AI123)+AL123</f>
        <v/>
      </c>
      <c r="AP123" s="93">
        <f>IF(AM123&gt;0, "Under",IF(AM123&lt;0,"Over",""))</f>
        <v/>
      </c>
      <c r="AQ123" s="94">
        <f>IF(AN123&gt;0, "Under",IF(AN123&lt;0,"Over",""))</f>
        <v/>
      </c>
      <c r="AR123" s="94">
        <f>IF(AO123&gt;0, "Under",IF(AO123&lt;0,"Over",""))</f>
        <v/>
      </c>
      <c r="AS123" s="3" t="n"/>
    </row>
    <row r="124">
      <c r="C124" s="113" t="n"/>
      <c r="D124" s="114" t="n"/>
      <c r="E124" s="114" t="n"/>
      <c r="F124" s="113" t="n"/>
      <c r="G124" s="114" t="n"/>
      <c r="H124" s="114" t="n"/>
      <c r="I124" s="113" t="n"/>
      <c r="J124" s="114" t="n"/>
      <c r="K124" s="114" t="n"/>
      <c r="L124" s="113" t="n"/>
      <c r="M124" s="114" t="n"/>
      <c r="N124" s="114" t="n"/>
      <c r="O124" s="113">
        <f>L124+I124+F124+C124</f>
        <v/>
      </c>
      <c r="P124" s="114">
        <f>M124+J124+G124+D124</f>
        <v/>
      </c>
      <c r="Q124" s="114">
        <f>N124+K124+H124+E124</f>
        <v/>
      </c>
      <c r="R124" s="113">
        <f>SUMIFS('PO Log'!$E:$E,'PO Log'!$D:$D,'Category Table'!R$2,'PO Log'!$C:$C,'Category Table'!$A124)</f>
        <v/>
      </c>
      <c r="S124" s="114">
        <f>SUMIFS('PO Log'!$E:$E,'PO Log'!$D:$D,'Category Table'!S$2,'PO Log'!$C:$C,'Category Table'!$A124)</f>
        <v/>
      </c>
      <c r="T124" s="114">
        <f>SUMIFS('PO Log'!$E:$E,'PO Log'!$D:$D,'Category Table'!T$2,'PO Log'!$C:$C,'Category Table'!$A124)</f>
        <v/>
      </c>
      <c r="U124" s="113">
        <f>SUMIFS('Committments Dump'!$Q:$Q,'Committments Dump'!$C:$C,'Category Table'!U$2,'Committments Dump'!$B:$B,'Category Table'!$A124)</f>
        <v/>
      </c>
      <c r="V124" s="114">
        <f>SUMIFS('Committments Dump'!$Q:$Q,'Committments Dump'!$C:$C,'Category Table'!V$2,'Committments Dump'!$B:$B,'Category Table'!$A124)</f>
        <v/>
      </c>
      <c r="W124" s="114">
        <f>SUMIFS('Committments Dump'!$Q:$Q,'Committments Dump'!$C:$C,'Category Table'!W$2,'Committments Dump'!$B:$B,'Category Table'!$A124)</f>
        <v/>
      </c>
      <c r="X124" s="113">
        <f>SUMIFS('Committments Dump'!$R:$R,'Committments Dump'!$C:$C,'Category Table'!X$2,'Committments Dump'!$B:$B,'Category Table'!$A124)</f>
        <v/>
      </c>
      <c r="Y124" s="114">
        <f>SUMIFS('Committments Dump'!$R:$R,'Committments Dump'!$C:$C,'Category Table'!Y$2,'Committments Dump'!$B:$B,'Category Table'!$A124)</f>
        <v/>
      </c>
      <c r="Z124" s="114">
        <f>SUMIFS('Committments Dump'!$R:$R,'Committments Dump'!$C:$C,'Category Table'!Z$2,'Committments Dump'!$B:$B,'Category Table'!$A124)</f>
        <v/>
      </c>
      <c r="AA124" s="113">
        <f>SUMIFS('Committments Dump'!$S:$S,'Committments Dump'!$C:$C,'Category Table'!AA$2,'Committments Dump'!$B:$B,'Category Table'!$A124)</f>
        <v/>
      </c>
      <c r="AB124" s="114">
        <f>SUMIFS('Committments Dump'!$S:$S,'Committments Dump'!$C:$C,'Category Table'!AB$2,'Committments Dump'!$B:$B,'Category Table'!$A124)</f>
        <v/>
      </c>
      <c r="AC124" s="114">
        <f>SUMIFS('Committments Dump'!$S:$S,'Committments Dump'!$C:$C,'Category Table'!AC$2,'Committments Dump'!$B:$B,'Category Table'!$A124)</f>
        <v/>
      </c>
      <c r="AD124" s="113">
        <f>U124+X124+AA124</f>
        <v/>
      </c>
      <c r="AE124" s="114">
        <f>V124+Y124+AB124</f>
        <v/>
      </c>
      <c r="AF124" s="114">
        <f>W124+Z124+AC124</f>
        <v/>
      </c>
      <c r="AG124" s="113">
        <f>R124+AD124</f>
        <v/>
      </c>
      <c r="AH124" s="114">
        <f>S124+AE124</f>
        <v/>
      </c>
      <c r="AI124" s="114">
        <f>T124+AF124</f>
        <v/>
      </c>
      <c r="AJ124" s="113" t="n"/>
      <c r="AK124" s="114" t="n"/>
      <c r="AL124" s="114" t="n"/>
      <c r="AM124" s="113">
        <f>(O124-AG124)+AJ124</f>
        <v/>
      </c>
      <c r="AN124" s="114">
        <f>(P124-AH124)+AK124</f>
        <v/>
      </c>
      <c r="AO124" s="114">
        <f>(Q124-AI124)+AL124</f>
        <v/>
      </c>
      <c r="AP124" s="2">
        <f>IF(AM124&gt;0, "Under",IF(AM124&lt;0,"Over",""))</f>
        <v/>
      </c>
      <c r="AQ124" s="1">
        <f>IF(AN124&gt;0, "Under",IF(AN124&lt;0,"Over",""))</f>
        <v/>
      </c>
      <c r="AR124" s="1">
        <f>IF(AO124&gt;0, "Under",IF(AO124&lt;0,"Over",""))</f>
        <v/>
      </c>
      <c r="AS124" s="3" t="n"/>
    </row>
    <row r="125">
      <c r="A125" s="90" t="n"/>
      <c r="B125" s="90" t="n"/>
      <c r="C125" s="115" t="n"/>
      <c r="D125" s="116" t="n"/>
      <c r="E125" s="116" t="n"/>
      <c r="F125" s="115" t="n"/>
      <c r="G125" s="116" t="n"/>
      <c r="H125" s="116" t="n"/>
      <c r="I125" s="115" t="n"/>
      <c r="J125" s="116" t="n"/>
      <c r="K125" s="116" t="n"/>
      <c r="L125" s="115" t="n"/>
      <c r="M125" s="116" t="n"/>
      <c r="N125" s="116" t="n"/>
      <c r="O125" s="115">
        <f>L125+I125+F125+C125</f>
        <v/>
      </c>
      <c r="P125" s="116">
        <f>M125+J125+G125+D125</f>
        <v/>
      </c>
      <c r="Q125" s="116">
        <f>N125+K125+H125+E125</f>
        <v/>
      </c>
      <c r="R125" s="115">
        <f>SUMIFS('PO Log'!$E:$E,'PO Log'!$D:$D,'Category Table'!R$2,'PO Log'!$C:$C,'Category Table'!$A125)</f>
        <v/>
      </c>
      <c r="S125" s="116">
        <f>SUMIFS('PO Log'!$E:$E,'PO Log'!$D:$D,'Category Table'!S$2,'PO Log'!$C:$C,'Category Table'!$A125)</f>
        <v/>
      </c>
      <c r="T125" s="116">
        <f>SUMIFS('PO Log'!$E:$E,'PO Log'!$D:$D,'Category Table'!T$2,'PO Log'!$C:$C,'Category Table'!$A125)</f>
        <v/>
      </c>
      <c r="U125" s="115">
        <f>SUMIFS('Committments Dump'!$Q:$Q,'Committments Dump'!$C:$C,'Category Table'!U$2,'Committments Dump'!$B:$B,'Category Table'!$A125)</f>
        <v/>
      </c>
      <c r="V125" s="116">
        <f>SUMIFS('Committments Dump'!$Q:$Q,'Committments Dump'!$C:$C,'Category Table'!V$2,'Committments Dump'!$B:$B,'Category Table'!$A125)</f>
        <v/>
      </c>
      <c r="W125" s="116">
        <f>SUMIFS('Committments Dump'!$Q:$Q,'Committments Dump'!$C:$C,'Category Table'!W$2,'Committments Dump'!$B:$B,'Category Table'!$A125)</f>
        <v/>
      </c>
      <c r="X125" s="115">
        <f>SUMIFS('Committments Dump'!$R:$R,'Committments Dump'!$C:$C,'Category Table'!X$2,'Committments Dump'!$B:$B,'Category Table'!$A125)</f>
        <v/>
      </c>
      <c r="Y125" s="116">
        <f>SUMIFS('Committments Dump'!$R:$R,'Committments Dump'!$C:$C,'Category Table'!Y$2,'Committments Dump'!$B:$B,'Category Table'!$A125)</f>
        <v/>
      </c>
      <c r="Z125" s="116">
        <f>SUMIFS('Committments Dump'!$R:$R,'Committments Dump'!$C:$C,'Category Table'!Z$2,'Committments Dump'!$B:$B,'Category Table'!$A125)</f>
        <v/>
      </c>
      <c r="AA125" s="115">
        <f>SUMIFS('Committments Dump'!$S:$S,'Committments Dump'!$C:$C,'Category Table'!AA$2,'Committments Dump'!$B:$B,'Category Table'!$A125)</f>
        <v/>
      </c>
      <c r="AB125" s="116">
        <f>SUMIFS('Committments Dump'!$S:$S,'Committments Dump'!$C:$C,'Category Table'!AB$2,'Committments Dump'!$B:$B,'Category Table'!$A125)</f>
        <v/>
      </c>
      <c r="AC125" s="116">
        <f>SUMIFS('Committments Dump'!$S:$S,'Committments Dump'!$C:$C,'Category Table'!AC$2,'Committments Dump'!$B:$B,'Category Table'!$A125)</f>
        <v/>
      </c>
      <c r="AD125" s="115">
        <f>U125+X125+AA125</f>
        <v/>
      </c>
      <c r="AE125" s="116">
        <f>V125+Y125+AB125</f>
        <v/>
      </c>
      <c r="AF125" s="116">
        <f>W125+Z125+AC125</f>
        <v/>
      </c>
      <c r="AG125" s="115">
        <f>R125+AD125</f>
        <v/>
      </c>
      <c r="AH125" s="116">
        <f>S125+AE125</f>
        <v/>
      </c>
      <c r="AI125" s="116">
        <f>T125+AF125</f>
        <v/>
      </c>
      <c r="AJ125" s="115" t="n"/>
      <c r="AK125" s="116" t="n"/>
      <c r="AL125" s="116" t="n"/>
      <c r="AM125" s="115">
        <f>(O125-AG125)+AJ125</f>
        <v/>
      </c>
      <c r="AN125" s="116">
        <f>(P125-AH125)+AK125</f>
        <v/>
      </c>
      <c r="AO125" s="116">
        <f>(Q125-AI125)+AL125</f>
        <v/>
      </c>
      <c r="AP125" s="93">
        <f>IF(AM125&gt;0, "Under",IF(AM125&lt;0,"Over",""))</f>
        <v/>
      </c>
      <c r="AQ125" s="94">
        <f>IF(AN125&gt;0, "Under",IF(AN125&lt;0,"Over",""))</f>
        <v/>
      </c>
      <c r="AR125" s="94">
        <f>IF(AO125&gt;0, "Under",IF(AO125&lt;0,"Over",""))</f>
        <v/>
      </c>
      <c r="AS125" s="3" t="n"/>
    </row>
    <row r="126">
      <c r="C126" s="113" t="n"/>
      <c r="D126" s="114" t="n"/>
      <c r="E126" s="114" t="n"/>
      <c r="F126" s="113" t="n"/>
      <c r="G126" s="114" t="n"/>
      <c r="H126" s="114" t="n"/>
      <c r="I126" s="113" t="n"/>
      <c r="J126" s="114" t="n"/>
      <c r="K126" s="114" t="n"/>
      <c r="L126" s="113" t="n"/>
      <c r="M126" s="114" t="n"/>
      <c r="N126" s="114" t="n"/>
      <c r="O126" s="113">
        <f>L126+I126+F126+C126</f>
        <v/>
      </c>
      <c r="P126" s="114">
        <f>M126+J126+G126+D126</f>
        <v/>
      </c>
      <c r="Q126" s="114">
        <f>N126+K126+H126+E126</f>
        <v/>
      </c>
      <c r="R126" s="113">
        <f>SUMIFS('PO Log'!$E:$E,'PO Log'!$D:$D,'Category Table'!R$2,'PO Log'!$C:$C,'Category Table'!$A126)</f>
        <v/>
      </c>
      <c r="S126" s="114">
        <f>SUMIFS('PO Log'!$E:$E,'PO Log'!$D:$D,'Category Table'!S$2,'PO Log'!$C:$C,'Category Table'!$A126)</f>
        <v/>
      </c>
      <c r="T126" s="114">
        <f>SUMIFS('PO Log'!$E:$E,'PO Log'!$D:$D,'Category Table'!T$2,'PO Log'!$C:$C,'Category Table'!$A126)</f>
        <v/>
      </c>
      <c r="U126" s="113">
        <f>SUMIFS('Committments Dump'!$Q:$Q,'Committments Dump'!$C:$C,'Category Table'!U$2,'Committments Dump'!$B:$B,'Category Table'!$A126)</f>
        <v/>
      </c>
      <c r="V126" s="114">
        <f>SUMIFS('Committments Dump'!$Q:$Q,'Committments Dump'!$C:$C,'Category Table'!V$2,'Committments Dump'!$B:$B,'Category Table'!$A126)</f>
        <v/>
      </c>
      <c r="W126" s="114">
        <f>SUMIFS('Committments Dump'!$Q:$Q,'Committments Dump'!$C:$C,'Category Table'!W$2,'Committments Dump'!$B:$B,'Category Table'!$A126)</f>
        <v/>
      </c>
      <c r="X126" s="113">
        <f>SUMIFS('Committments Dump'!$R:$R,'Committments Dump'!$C:$C,'Category Table'!X$2,'Committments Dump'!$B:$B,'Category Table'!$A126)</f>
        <v/>
      </c>
      <c r="Y126" s="114">
        <f>SUMIFS('Committments Dump'!$R:$R,'Committments Dump'!$C:$C,'Category Table'!Y$2,'Committments Dump'!$B:$B,'Category Table'!$A126)</f>
        <v/>
      </c>
      <c r="Z126" s="114">
        <f>SUMIFS('Committments Dump'!$R:$R,'Committments Dump'!$C:$C,'Category Table'!Z$2,'Committments Dump'!$B:$B,'Category Table'!$A126)</f>
        <v/>
      </c>
      <c r="AA126" s="113">
        <f>SUMIFS('Committments Dump'!$S:$S,'Committments Dump'!$C:$C,'Category Table'!AA$2,'Committments Dump'!$B:$B,'Category Table'!$A126)</f>
        <v/>
      </c>
      <c r="AB126" s="114">
        <f>SUMIFS('Committments Dump'!$S:$S,'Committments Dump'!$C:$C,'Category Table'!AB$2,'Committments Dump'!$B:$B,'Category Table'!$A126)</f>
        <v/>
      </c>
      <c r="AC126" s="114">
        <f>SUMIFS('Committments Dump'!$S:$S,'Committments Dump'!$C:$C,'Category Table'!AC$2,'Committments Dump'!$B:$B,'Category Table'!$A126)</f>
        <v/>
      </c>
      <c r="AD126" s="113">
        <f>U126+X126+AA126</f>
        <v/>
      </c>
      <c r="AE126" s="114">
        <f>V126+Y126+AB126</f>
        <v/>
      </c>
      <c r="AF126" s="114">
        <f>W126+Z126+AC126</f>
        <v/>
      </c>
      <c r="AG126" s="113">
        <f>R126+AD126</f>
        <v/>
      </c>
      <c r="AH126" s="114">
        <f>S126+AE126</f>
        <v/>
      </c>
      <c r="AI126" s="114">
        <f>T126+AF126</f>
        <v/>
      </c>
      <c r="AJ126" s="113" t="n"/>
      <c r="AK126" s="114" t="n"/>
      <c r="AL126" s="114" t="n"/>
      <c r="AM126" s="113">
        <f>(O126-AG126)+AJ126</f>
        <v/>
      </c>
      <c r="AN126" s="114">
        <f>(P126-AH126)+AK126</f>
        <v/>
      </c>
      <c r="AO126" s="114">
        <f>(Q126-AI126)+AL126</f>
        <v/>
      </c>
      <c r="AP126" s="2">
        <f>IF(AM126&gt;0, "Under",IF(AM126&lt;0,"Over",""))</f>
        <v/>
      </c>
      <c r="AQ126" s="1">
        <f>IF(AN126&gt;0, "Under",IF(AN126&lt;0,"Over",""))</f>
        <v/>
      </c>
      <c r="AR126" s="1">
        <f>IF(AO126&gt;0, "Under",IF(AO126&lt;0,"Over",""))</f>
        <v/>
      </c>
      <c r="AS126" s="3" t="n"/>
    </row>
    <row r="127">
      <c r="A127" s="90" t="n"/>
      <c r="B127" s="90" t="n"/>
      <c r="C127" s="115" t="n"/>
      <c r="D127" s="116" t="n"/>
      <c r="E127" s="116" t="n"/>
      <c r="F127" s="115" t="n"/>
      <c r="G127" s="116" t="n"/>
      <c r="H127" s="116" t="n"/>
      <c r="I127" s="115" t="n"/>
      <c r="J127" s="116" t="n"/>
      <c r="K127" s="116" t="n"/>
      <c r="L127" s="115" t="n"/>
      <c r="M127" s="116" t="n"/>
      <c r="N127" s="116" t="n"/>
      <c r="O127" s="115">
        <f>L127+I127+F127+C127</f>
        <v/>
      </c>
      <c r="P127" s="116">
        <f>M127+J127+G127+D127</f>
        <v/>
      </c>
      <c r="Q127" s="116">
        <f>N127+K127+H127+E127</f>
        <v/>
      </c>
      <c r="R127" s="115">
        <f>SUMIFS('PO Log'!$E:$E,'PO Log'!$D:$D,'Category Table'!R$2,'PO Log'!$C:$C,'Category Table'!$A127)</f>
        <v/>
      </c>
      <c r="S127" s="116">
        <f>SUMIFS('PO Log'!$E:$E,'PO Log'!$D:$D,'Category Table'!S$2,'PO Log'!$C:$C,'Category Table'!$A127)</f>
        <v/>
      </c>
      <c r="T127" s="116">
        <f>SUMIFS('PO Log'!$E:$E,'PO Log'!$D:$D,'Category Table'!T$2,'PO Log'!$C:$C,'Category Table'!$A127)</f>
        <v/>
      </c>
      <c r="U127" s="115">
        <f>SUMIFS('Committments Dump'!$Q:$Q,'Committments Dump'!$C:$C,'Category Table'!U$2,'Committments Dump'!$B:$B,'Category Table'!$A127)</f>
        <v/>
      </c>
      <c r="V127" s="116">
        <f>SUMIFS('Committments Dump'!$Q:$Q,'Committments Dump'!$C:$C,'Category Table'!V$2,'Committments Dump'!$B:$B,'Category Table'!$A127)</f>
        <v/>
      </c>
      <c r="W127" s="116">
        <f>SUMIFS('Committments Dump'!$Q:$Q,'Committments Dump'!$C:$C,'Category Table'!W$2,'Committments Dump'!$B:$B,'Category Table'!$A127)</f>
        <v/>
      </c>
      <c r="X127" s="115">
        <f>SUMIFS('Committments Dump'!$R:$R,'Committments Dump'!$C:$C,'Category Table'!X$2,'Committments Dump'!$B:$B,'Category Table'!$A127)</f>
        <v/>
      </c>
      <c r="Y127" s="116">
        <f>SUMIFS('Committments Dump'!$R:$R,'Committments Dump'!$C:$C,'Category Table'!Y$2,'Committments Dump'!$B:$B,'Category Table'!$A127)</f>
        <v/>
      </c>
      <c r="Z127" s="116">
        <f>SUMIFS('Committments Dump'!$R:$R,'Committments Dump'!$C:$C,'Category Table'!Z$2,'Committments Dump'!$B:$B,'Category Table'!$A127)</f>
        <v/>
      </c>
      <c r="AA127" s="115">
        <f>SUMIFS('Committments Dump'!$S:$S,'Committments Dump'!$C:$C,'Category Table'!AA$2,'Committments Dump'!$B:$B,'Category Table'!$A127)</f>
        <v/>
      </c>
      <c r="AB127" s="116">
        <f>SUMIFS('Committments Dump'!$S:$S,'Committments Dump'!$C:$C,'Category Table'!AB$2,'Committments Dump'!$B:$B,'Category Table'!$A127)</f>
        <v/>
      </c>
      <c r="AC127" s="116">
        <f>SUMIFS('Committments Dump'!$S:$S,'Committments Dump'!$C:$C,'Category Table'!AC$2,'Committments Dump'!$B:$B,'Category Table'!$A127)</f>
        <v/>
      </c>
      <c r="AD127" s="115">
        <f>U127+X127+AA127</f>
        <v/>
      </c>
      <c r="AE127" s="116">
        <f>V127+Y127+AB127</f>
        <v/>
      </c>
      <c r="AF127" s="116">
        <f>W127+Z127+AC127</f>
        <v/>
      </c>
      <c r="AG127" s="115">
        <f>R127+AD127</f>
        <v/>
      </c>
      <c r="AH127" s="116">
        <f>S127+AE127</f>
        <v/>
      </c>
      <c r="AI127" s="116">
        <f>T127+AF127</f>
        <v/>
      </c>
      <c r="AJ127" s="115" t="n"/>
      <c r="AK127" s="116" t="n"/>
      <c r="AL127" s="116" t="n"/>
      <c r="AM127" s="115">
        <f>(O127-AG127)+AJ127</f>
        <v/>
      </c>
      <c r="AN127" s="116">
        <f>(P127-AH127)+AK127</f>
        <v/>
      </c>
      <c r="AO127" s="116">
        <f>(Q127-AI127)+AL127</f>
        <v/>
      </c>
      <c r="AP127" s="93">
        <f>IF(AM127&gt;0, "Under",IF(AM127&lt;0,"Over",""))</f>
        <v/>
      </c>
      <c r="AQ127" s="94">
        <f>IF(AN127&gt;0, "Under",IF(AN127&lt;0,"Over",""))</f>
        <v/>
      </c>
      <c r="AR127" s="94">
        <f>IF(AO127&gt;0, "Under",IF(AO127&lt;0,"Over",""))</f>
        <v/>
      </c>
      <c r="AS127" s="3" t="n"/>
    </row>
    <row r="128">
      <c r="C128" s="113" t="n"/>
      <c r="D128" s="114" t="n"/>
      <c r="E128" s="114" t="n"/>
      <c r="F128" s="113" t="n"/>
      <c r="G128" s="114" t="n"/>
      <c r="H128" s="114" t="n"/>
      <c r="I128" s="113" t="n"/>
      <c r="J128" s="114" t="n"/>
      <c r="K128" s="114" t="n"/>
      <c r="L128" s="113" t="n"/>
      <c r="M128" s="114" t="n"/>
      <c r="N128" s="114" t="n"/>
      <c r="O128" s="113">
        <f>L128+I128+F128+C128</f>
        <v/>
      </c>
      <c r="P128" s="114">
        <f>M128+J128+G128+D128</f>
        <v/>
      </c>
      <c r="Q128" s="114">
        <f>N128+K128+H128+E128</f>
        <v/>
      </c>
      <c r="R128" s="113">
        <f>SUMIFS('PO Log'!$E:$E,'PO Log'!$D:$D,'Category Table'!R$2,'PO Log'!$C:$C,'Category Table'!$A128)</f>
        <v/>
      </c>
      <c r="S128" s="114">
        <f>SUMIFS('PO Log'!$E:$E,'PO Log'!$D:$D,'Category Table'!S$2,'PO Log'!$C:$C,'Category Table'!$A128)</f>
        <v/>
      </c>
      <c r="T128" s="114">
        <f>SUMIFS('PO Log'!$E:$E,'PO Log'!$D:$D,'Category Table'!T$2,'PO Log'!$C:$C,'Category Table'!$A128)</f>
        <v/>
      </c>
      <c r="U128" s="113">
        <f>SUMIFS('Committments Dump'!$Q:$Q,'Committments Dump'!$C:$C,'Category Table'!U$2,'Committments Dump'!$B:$B,'Category Table'!$A128)</f>
        <v/>
      </c>
      <c r="V128" s="114">
        <f>SUMIFS('Committments Dump'!$Q:$Q,'Committments Dump'!$C:$C,'Category Table'!V$2,'Committments Dump'!$B:$B,'Category Table'!$A128)</f>
        <v/>
      </c>
      <c r="W128" s="114">
        <f>SUMIFS('Committments Dump'!$Q:$Q,'Committments Dump'!$C:$C,'Category Table'!W$2,'Committments Dump'!$B:$B,'Category Table'!$A128)</f>
        <v/>
      </c>
      <c r="X128" s="113">
        <f>SUMIFS('Committments Dump'!$R:$R,'Committments Dump'!$C:$C,'Category Table'!X$2,'Committments Dump'!$B:$B,'Category Table'!$A128)</f>
        <v/>
      </c>
      <c r="Y128" s="114">
        <f>SUMIFS('Committments Dump'!$R:$R,'Committments Dump'!$C:$C,'Category Table'!Y$2,'Committments Dump'!$B:$B,'Category Table'!$A128)</f>
        <v/>
      </c>
      <c r="Z128" s="114">
        <f>SUMIFS('Committments Dump'!$R:$R,'Committments Dump'!$C:$C,'Category Table'!Z$2,'Committments Dump'!$B:$B,'Category Table'!$A128)</f>
        <v/>
      </c>
      <c r="AA128" s="113">
        <f>SUMIFS('Committments Dump'!$S:$S,'Committments Dump'!$C:$C,'Category Table'!AA$2,'Committments Dump'!$B:$B,'Category Table'!$A128)</f>
        <v/>
      </c>
      <c r="AB128" s="114">
        <f>SUMIFS('Committments Dump'!$S:$S,'Committments Dump'!$C:$C,'Category Table'!AB$2,'Committments Dump'!$B:$B,'Category Table'!$A128)</f>
        <v/>
      </c>
      <c r="AC128" s="114">
        <f>SUMIFS('Committments Dump'!$S:$S,'Committments Dump'!$C:$C,'Category Table'!AC$2,'Committments Dump'!$B:$B,'Category Table'!$A128)</f>
        <v/>
      </c>
      <c r="AD128" s="113">
        <f>U128+X128+AA128</f>
        <v/>
      </c>
      <c r="AE128" s="114">
        <f>V128+Y128+AB128</f>
        <v/>
      </c>
      <c r="AF128" s="114">
        <f>W128+Z128+AC128</f>
        <v/>
      </c>
      <c r="AG128" s="113">
        <f>R128+AD128</f>
        <v/>
      </c>
      <c r="AH128" s="114">
        <f>S128+AE128</f>
        <v/>
      </c>
      <c r="AI128" s="114">
        <f>T128+AF128</f>
        <v/>
      </c>
      <c r="AJ128" s="113" t="n"/>
      <c r="AK128" s="114" t="n"/>
      <c r="AL128" s="114" t="n"/>
      <c r="AM128" s="113">
        <f>(O128-AG128)+AJ128</f>
        <v/>
      </c>
      <c r="AN128" s="114">
        <f>(P128-AH128)+AK128</f>
        <v/>
      </c>
      <c r="AO128" s="114">
        <f>(Q128-AI128)+AL128</f>
        <v/>
      </c>
      <c r="AP128" s="2">
        <f>IF(AM128&gt;0, "Under",IF(AM128&lt;0,"Over",""))</f>
        <v/>
      </c>
      <c r="AQ128" s="1">
        <f>IF(AN128&gt;0, "Under",IF(AN128&lt;0,"Over",""))</f>
        <v/>
      </c>
      <c r="AR128" s="1">
        <f>IF(AO128&gt;0, "Under",IF(AO128&lt;0,"Over",""))</f>
        <v/>
      </c>
      <c r="AS128" s="3" t="n"/>
    </row>
    <row r="129">
      <c r="A129" s="90" t="n"/>
      <c r="B129" s="90" t="n"/>
      <c r="C129" s="115" t="n"/>
      <c r="D129" s="116" t="n"/>
      <c r="E129" s="116" t="n"/>
      <c r="F129" s="115" t="n"/>
      <c r="G129" s="116" t="n"/>
      <c r="H129" s="116" t="n"/>
      <c r="I129" s="115" t="n"/>
      <c r="J129" s="116" t="n"/>
      <c r="K129" s="116" t="n"/>
      <c r="L129" s="115" t="n"/>
      <c r="M129" s="116" t="n"/>
      <c r="N129" s="116" t="n"/>
      <c r="O129" s="115">
        <f>L129+I129+F129+C129</f>
        <v/>
      </c>
      <c r="P129" s="116">
        <f>M129+J129+G129+D129</f>
        <v/>
      </c>
      <c r="Q129" s="116">
        <f>N129+K129+H129+E129</f>
        <v/>
      </c>
      <c r="R129" s="115">
        <f>SUMIFS('PO Log'!$E:$E,'PO Log'!$D:$D,'Category Table'!R$2,'PO Log'!$C:$C,'Category Table'!$A129)</f>
        <v/>
      </c>
      <c r="S129" s="116">
        <f>SUMIFS('PO Log'!$E:$E,'PO Log'!$D:$D,'Category Table'!S$2,'PO Log'!$C:$C,'Category Table'!$A129)</f>
        <v/>
      </c>
      <c r="T129" s="116">
        <f>SUMIFS('PO Log'!$E:$E,'PO Log'!$D:$D,'Category Table'!T$2,'PO Log'!$C:$C,'Category Table'!$A129)</f>
        <v/>
      </c>
      <c r="U129" s="115">
        <f>SUMIFS('Committments Dump'!$Q:$Q,'Committments Dump'!$C:$C,'Category Table'!U$2,'Committments Dump'!$B:$B,'Category Table'!$A129)</f>
        <v/>
      </c>
      <c r="V129" s="116">
        <f>SUMIFS('Committments Dump'!$Q:$Q,'Committments Dump'!$C:$C,'Category Table'!V$2,'Committments Dump'!$B:$B,'Category Table'!$A129)</f>
        <v/>
      </c>
      <c r="W129" s="116">
        <f>SUMIFS('Committments Dump'!$Q:$Q,'Committments Dump'!$C:$C,'Category Table'!W$2,'Committments Dump'!$B:$B,'Category Table'!$A129)</f>
        <v/>
      </c>
      <c r="X129" s="115">
        <f>SUMIFS('Committments Dump'!$R:$R,'Committments Dump'!$C:$C,'Category Table'!X$2,'Committments Dump'!$B:$B,'Category Table'!$A129)</f>
        <v/>
      </c>
      <c r="Y129" s="116">
        <f>SUMIFS('Committments Dump'!$R:$R,'Committments Dump'!$C:$C,'Category Table'!Y$2,'Committments Dump'!$B:$B,'Category Table'!$A129)</f>
        <v/>
      </c>
      <c r="Z129" s="116">
        <f>SUMIFS('Committments Dump'!$R:$R,'Committments Dump'!$C:$C,'Category Table'!Z$2,'Committments Dump'!$B:$B,'Category Table'!$A129)</f>
        <v/>
      </c>
      <c r="AA129" s="115">
        <f>SUMIFS('Committments Dump'!$S:$S,'Committments Dump'!$C:$C,'Category Table'!AA$2,'Committments Dump'!$B:$B,'Category Table'!$A129)</f>
        <v/>
      </c>
      <c r="AB129" s="116">
        <f>SUMIFS('Committments Dump'!$S:$S,'Committments Dump'!$C:$C,'Category Table'!AB$2,'Committments Dump'!$B:$B,'Category Table'!$A129)</f>
        <v/>
      </c>
      <c r="AC129" s="116">
        <f>SUMIFS('Committments Dump'!$S:$S,'Committments Dump'!$C:$C,'Category Table'!AC$2,'Committments Dump'!$B:$B,'Category Table'!$A129)</f>
        <v/>
      </c>
      <c r="AD129" s="115">
        <f>U129+X129+AA129</f>
        <v/>
      </c>
      <c r="AE129" s="116">
        <f>V129+Y129+AB129</f>
        <v/>
      </c>
      <c r="AF129" s="116">
        <f>W129+Z129+AC129</f>
        <v/>
      </c>
      <c r="AG129" s="115">
        <f>R129+AD129</f>
        <v/>
      </c>
      <c r="AH129" s="116">
        <f>S129+AE129</f>
        <v/>
      </c>
      <c r="AI129" s="116">
        <f>T129+AF129</f>
        <v/>
      </c>
      <c r="AJ129" s="115" t="n"/>
      <c r="AK129" s="116" t="n"/>
      <c r="AL129" s="116" t="n"/>
      <c r="AM129" s="115">
        <f>(O129-AG129)+AJ129</f>
        <v/>
      </c>
      <c r="AN129" s="116">
        <f>(P129-AH129)+AK129</f>
        <v/>
      </c>
      <c r="AO129" s="116">
        <f>(Q129-AI129)+AL129</f>
        <v/>
      </c>
      <c r="AP129" s="93">
        <f>IF(AM129&gt;0, "Under",IF(AM129&lt;0,"Over",""))</f>
        <v/>
      </c>
      <c r="AQ129" s="94">
        <f>IF(AN129&gt;0, "Under",IF(AN129&lt;0,"Over",""))</f>
        <v/>
      </c>
      <c r="AR129" s="94">
        <f>IF(AO129&gt;0, "Under",IF(AO129&lt;0,"Over",""))</f>
        <v/>
      </c>
      <c r="AS129" s="3" t="n"/>
    </row>
    <row r="130">
      <c r="C130" s="113" t="n"/>
      <c r="D130" s="114" t="n"/>
      <c r="E130" s="114" t="n"/>
      <c r="F130" s="113" t="n"/>
      <c r="G130" s="114" t="n"/>
      <c r="H130" s="114" t="n"/>
      <c r="I130" s="113" t="n"/>
      <c r="J130" s="114" t="n"/>
      <c r="K130" s="114" t="n"/>
      <c r="L130" s="113" t="n"/>
      <c r="M130" s="114" t="n"/>
      <c r="N130" s="114" t="n"/>
      <c r="O130" s="113">
        <f>L130+I130+F130+C130</f>
        <v/>
      </c>
      <c r="P130" s="114">
        <f>M130+J130+G130+D130</f>
        <v/>
      </c>
      <c r="Q130" s="114">
        <f>N130+K130+H130+E130</f>
        <v/>
      </c>
      <c r="R130" s="113">
        <f>SUMIFS('PO Log'!$E:$E,'PO Log'!$D:$D,'Category Table'!R$2,'PO Log'!$C:$C,'Category Table'!$A130)</f>
        <v/>
      </c>
      <c r="S130" s="114">
        <f>SUMIFS('PO Log'!$E:$E,'PO Log'!$D:$D,'Category Table'!S$2,'PO Log'!$C:$C,'Category Table'!$A130)</f>
        <v/>
      </c>
      <c r="T130" s="114">
        <f>SUMIFS('PO Log'!$E:$E,'PO Log'!$D:$D,'Category Table'!T$2,'PO Log'!$C:$C,'Category Table'!$A130)</f>
        <v/>
      </c>
      <c r="U130" s="113">
        <f>SUMIFS('Committments Dump'!$Q:$Q,'Committments Dump'!$C:$C,'Category Table'!U$2,'Committments Dump'!$B:$B,'Category Table'!$A130)</f>
        <v/>
      </c>
      <c r="V130" s="114">
        <f>SUMIFS('Committments Dump'!$Q:$Q,'Committments Dump'!$C:$C,'Category Table'!V$2,'Committments Dump'!$B:$B,'Category Table'!$A130)</f>
        <v/>
      </c>
      <c r="W130" s="114">
        <f>SUMIFS('Committments Dump'!$Q:$Q,'Committments Dump'!$C:$C,'Category Table'!W$2,'Committments Dump'!$B:$B,'Category Table'!$A130)</f>
        <v/>
      </c>
      <c r="X130" s="113">
        <f>SUMIFS('Committments Dump'!$R:$R,'Committments Dump'!$C:$C,'Category Table'!X$2,'Committments Dump'!$B:$B,'Category Table'!$A130)</f>
        <v/>
      </c>
      <c r="Y130" s="114">
        <f>SUMIFS('Committments Dump'!$R:$R,'Committments Dump'!$C:$C,'Category Table'!Y$2,'Committments Dump'!$B:$B,'Category Table'!$A130)</f>
        <v/>
      </c>
      <c r="Z130" s="114">
        <f>SUMIFS('Committments Dump'!$R:$R,'Committments Dump'!$C:$C,'Category Table'!Z$2,'Committments Dump'!$B:$B,'Category Table'!$A130)</f>
        <v/>
      </c>
      <c r="AA130" s="113">
        <f>SUMIFS('Committments Dump'!$S:$S,'Committments Dump'!$C:$C,'Category Table'!AA$2,'Committments Dump'!$B:$B,'Category Table'!$A130)</f>
        <v/>
      </c>
      <c r="AB130" s="114">
        <f>SUMIFS('Committments Dump'!$S:$S,'Committments Dump'!$C:$C,'Category Table'!AB$2,'Committments Dump'!$B:$B,'Category Table'!$A130)</f>
        <v/>
      </c>
      <c r="AC130" s="114">
        <f>SUMIFS('Committments Dump'!$S:$S,'Committments Dump'!$C:$C,'Category Table'!AC$2,'Committments Dump'!$B:$B,'Category Table'!$A130)</f>
        <v/>
      </c>
      <c r="AD130" s="113">
        <f>U130+X130+AA130</f>
        <v/>
      </c>
      <c r="AE130" s="114">
        <f>V130+Y130+AB130</f>
        <v/>
      </c>
      <c r="AF130" s="114">
        <f>W130+Z130+AC130</f>
        <v/>
      </c>
      <c r="AG130" s="113">
        <f>R130+AD130</f>
        <v/>
      </c>
      <c r="AH130" s="114">
        <f>S130+AE130</f>
        <v/>
      </c>
      <c r="AI130" s="114">
        <f>T130+AF130</f>
        <v/>
      </c>
      <c r="AJ130" s="113" t="n"/>
      <c r="AK130" s="114" t="n"/>
      <c r="AL130" s="114" t="n"/>
      <c r="AM130" s="113">
        <f>(O130-AG130)+AJ130</f>
        <v/>
      </c>
      <c r="AN130" s="114">
        <f>(P130-AH130)+AK130</f>
        <v/>
      </c>
      <c r="AO130" s="114">
        <f>(Q130-AI130)+AL130</f>
        <v/>
      </c>
      <c r="AP130" s="2">
        <f>IF(AM130&gt;0, "Under",IF(AM130&lt;0,"Over",""))</f>
        <v/>
      </c>
      <c r="AQ130" s="1">
        <f>IF(AN130&gt;0, "Under",IF(AN130&lt;0,"Over",""))</f>
        <v/>
      </c>
      <c r="AR130" s="1">
        <f>IF(AO130&gt;0, "Under",IF(AO130&lt;0,"Over",""))</f>
        <v/>
      </c>
      <c r="AS130" s="3" t="n"/>
    </row>
    <row r="131">
      <c r="A131" s="90" t="n"/>
      <c r="B131" s="90" t="n"/>
      <c r="C131" s="115" t="n"/>
      <c r="D131" s="116" t="n"/>
      <c r="E131" s="116" t="n"/>
      <c r="F131" s="115" t="n"/>
      <c r="G131" s="116" t="n"/>
      <c r="H131" s="116" t="n"/>
      <c r="I131" s="115" t="n"/>
      <c r="J131" s="116" t="n"/>
      <c r="K131" s="116" t="n"/>
      <c r="L131" s="115" t="n"/>
      <c r="M131" s="116" t="n"/>
      <c r="N131" s="116" t="n"/>
      <c r="O131" s="115">
        <f>L131+I131+F131+C131</f>
        <v/>
      </c>
      <c r="P131" s="116">
        <f>M131+J131+G131+D131</f>
        <v/>
      </c>
      <c r="Q131" s="116">
        <f>N131+K131+H131+E131</f>
        <v/>
      </c>
      <c r="R131" s="115">
        <f>SUMIFS('PO Log'!$E:$E,'PO Log'!$D:$D,'Category Table'!R$2,'PO Log'!$C:$C,'Category Table'!$A131)</f>
        <v/>
      </c>
      <c r="S131" s="116">
        <f>SUMIFS('PO Log'!$E:$E,'PO Log'!$D:$D,'Category Table'!S$2,'PO Log'!$C:$C,'Category Table'!$A131)</f>
        <v/>
      </c>
      <c r="T131" s="116">
        <f>SUMIFS('PO Log'!$E:$E,'PO Log'!$D:$D,'Category Table'!T$2,'PO Log'!$C:$C,'Category Table'!$A131)</f>
        <v/>
      </c>
      <c r="U131" s="115">
        <f>SUMIFS('Committments Dump'!$Q:$Q,'Committments Dump'!$C:$C,'Category Table'!U$2,'Committments Dump'!$B:$B,'Category Table'!$A131)</f>
        <v/>
      </c>
      <c r="V131" s="116">
        <f>SUMIFS('Committments Dump'!$Q:$Q,'Committments Dump'!$C:$C,'Category Table'!V$2,'Committments Dump'!$B:$B,'Category Table'!$A131)</f>
        <v/>
      </c>
      <c r="W131" s="116">
        <f>SUMIFS('Committments Dump'!$Q:$Q,'Committments Dump'!$C:$C,'Category Table'!W$2,'Committments Dump'!$B:$B,'Category Table'!$A131)</f>
        <v/>
      </c>
      <c r="X131" s="115">
        <f>SUMIFS('Committments Dump'!$R:$R,'Committments Dump'!$C:$C,'Category Table'!X$2,'Committments Dump'!$B:$B,'Category Table'!$A131)</f>
        <v/>
      </c>
      <c r="Y131" s="116">
        <f>SUMIFS('Committments Dump'!$R:$R,'Committments Dump'!$C:$C,'Category Table'!Y$2,'Committments Dump'!$B:$B,'Category Table'!$A131)</f>
        <v/>
      </c>
      <c r="Z131" s="116">
        <f>SUMIFS('Committments Dump'!$R:$R,'Committments Dump'!$C:$C,'Category Table'!Z$2,'Committments Dump'!$B:$B,'Category Table'!$A131)</f>
        <v/>
      </c>
      <c r="AA131" s="115">
        <f>SUMIFS('Committments Dump'!$S:$S,'Committments Dump'!$C:$C,'Category Table'!AA$2,'Committments Dump'!$B:$B,'Category Table'!$A131)</f>
        <v/>
      </c>
      <c r="AB131" s="116">
        <f>SUMIFS('Committments Dump'!$S:$S,'Committments Dump'!$C:$C,'Category Table'!AB$2,'Committments Dump'!$B:$B,'Category Table'!$A131)</f>
        <v/>
      </c>
      <c r="AC131" s="116">
        <f>SUMIFS('Committments Dump'!$S:$S,'Committments Dump'!$C:$C,'Category Table'!AC$2,'Committments Dump'!$B:$B,'Category Table'!$A131)</f>
        <v/>
      </c>
      <c r="AD131" s="115">
        <f>U131+X131+AA131</f>
        <v/>
      </c>
      <c r="AE131" s="116">
        <f>V131+Y131+AB131</f>
        <v/>
      </c>
      <c r="AF131" s="116">
        <f>W131+Z131+AC131</f>
        <v/>
      </c>
      <c r="AG131" s="115">
        <f>R131+AD131</f>
        <v/>
      </c>
      <c r="AH131" s="116">
        <f>S131+AE131</f>
        <v/>
      </c>
      <c r="AI131" s="116">
        <f>T131+AF131</f>
        <v/>
      </c>
      <c r="AJ131" s="115" t="n"/>
      <c r="AK131" s="116" t="n"/>
      <c r="AL131" s="116" t="n"/>
      <c r="AM131" s="115">
        <f>(O131-AG131)+AJ131</f>
        <v/>
      </c>
      <c r="AN131" s="116">
        <f>(P131-AH131)+AK131</f>
        <v/>
      </c>
      <c r="AO131" s="116">
        <f>(Q131-AI131)+AL131</f>
        <v/>
      </c>
      <c r="AP131" s="93">
        <f>IF(AM131&gt;0, "Under",IF(AM131&lt;0,"Over",""))</f>
        <v/>
      </c>
      <c r="AQ131" s="94">
        <f>IF(AN131&gt;0, "Under",IF(AN131&lt;0,"Over",""))</f>
        <v/>
      </c>
      <c r="AR131" s="94">
        <f>IF(AO131&gt;0, "Under",IF(AO131&lt;0,"Over",""))</f>
        <v/>
      </c>
      <c r="AS131" s="3" t="n"/>
    </row>
    <row r="132">
      <c r="C132" s="113" t="n"/>
      <c r="D132" s="114" t="n"/>
      <c r="E132" s="114" t="n"/>
      <c r="F132" s="113" t="n"/>
      <c r="G132" s="114" t="n"/>
      <c r="H132" s="114" t="n"/>
      <c r="I132" s="113" t="n"/>
      <c r="J132" s="114" t="n"/>
      <c r="K132" s="114" t="n"/>
      <c r="L132" s="113" t="n"/>
      <c r="M132" s="114" t="n"/>
      <c r="N132" s="114" t="n"/>
      <c r="O132" s="113">
        <f>L132+I132+F132+C132</f>
        <v/>
      </c>
      <c r="P132" s="114">
        <f>M132+J132+G132+D132</f>
        <v/>
      </c>
      <c r="Q132" s="114">
        <f>N132+K132+H132+E132</f>
        <v/>
      </c>
      <c r="R132" s="113">
        <f>SUMIFS('PO Log'!$E:$E,'PO Log'!$D:$D,'Category Table'!R$2,'PO Log'!$C:$C,'Category Table'!$A132)</f>
        <v/>
      </c>
      <c r="S132" s="114">
        <f>SUMIFS('PO Log'!$E:$E,'PO Log'!$D:$D,'Category Table'!S$2,'PO Log'!$C:$C,'Category Table'!$A132)</f>
        <v/>
      </c>
      <c r="T132" s="114">
        <f>SUMIFS('PO Log'!$E:$E,'PO Log'!$D:$D,'Category Table'!T$2,'PO Log'!$C:$C,'Category Table'!$A132)</f>
        <v/>
      </c>
      <c r="U132" s="113">
        <f>SUMIFS('Committments Dump'!$Q:$Q,'Committments Dump'!$C:$C,'Category Table'!U$2,'Committments Dump'!$B:$B,'Category Table'!$A132)</f>
        <v/>
      </c>
      <c r="V132" s="114">
        <f>SUMIFS('Committments Dump'!$Q:$Q,'Committments Dump'!$C:$C,'Category Table'!V$2,'Committments Dump'!$B:$B,'Category Table'!$A132)</f>
        <v/>
      </c>
      <c r="W132" s="114">
        <f>SUMIFS('Committments Dump'!$Q:$Q,'Committments Dump'!$C:$C,'Category Table'!W$2,'Committments Dump'!$B:$B,'Category Table'!$A132)</f>
        <v/>
      </c>
      <c r="X132" s="113">
        <f>SUMIFS('Committments Dump'!$R:$R,'Committments Dump'!$C:$C,'Category Table'!X$2,'Committments Dump'!$B:$B,'Category Table'!$A132)</f>
        <v/>
      </c>
      <c r="Y132" s="114">
        <f>SUMIFS('Committments Dump'!$R:$R,'Committments Dump'!$C:$C,'Category Table'!Y$2,'Committments Dump'!$B:$B,'Category Table'!$A132)</f>
        <v/>
      </c>
      <c r="Z132" s="114">
        <f>SUMIFS('Committments Dump'!$R:$R,'Committments Dump'!$C:$C,'Category Table'!Z$2,'Committments Dump'!$B:$B,'Category Table'!$A132)</f>
        <v/>
      </c>
      <c r="AA132" s="113">
        <f>SUMIFS('Committments Dump'!$S:$S,'Committments Dump'!$C:$C,'Category Table'!AA$2,'Committments Dump'!$B:$B,'Category Table'!$A132)</f>
        <v/>
      </c>
      <c r="AB132" s="114">
        <f>SUMIFS('Committments Dump'!$S:$S,'Committments Dump'!$C:$C,'Category Table'!AB$2,'Committments Dump'!$B:$B,'Category Table'!$A132)</f>
        <v/>
      </c>
      <c r="AC132" s="114">
        <f>SUMIFS('Committments Dump'!$S:$S,'Committments Dump'!$C:$C,'Category Table'!AC$2,'Committments Dump'!$B:$B,'Category Table'!$A132)</f>
        <v/>
      </c>
      <c r="AD132" s="113">
        <f>U132+X132+AA132</f>
        <v/>
      </c>
      <c r="AE132" s="114">
        <f>V132+Y132+AB132</f>
        <v/>
      </c>
      <c r="AF132" s="114">
        <f>W132+Z132+AC132</f>
        <v/>
      </c>
      <c r="AG132" s="113">
        <f>R132+AD132</f>
        <v/>
      </c>
      <c r="AH132" s="114">
        <f>S132+AE132</f>
        <v/>
      </c>
      <c r="AI132" s="114">
        <f>T132+AF132</f>
        <v/>
      </c>
      <c r="AJ132" s="113" t="n"/>
      <c r="AK132" s="114" t="n"/>
      <c r="AL132" s="114" t="n"/>
      <c r="AM132" s="113">
        <f>(O132-AG132)+AJ132</f>
        <v/>
      </c>
      <c r="AN132" s="114">
        <f>(P132-AH132)+AK132</f>
        <v/>
      </c>
      <c r="AO132" s="114">
        <f>(Q132-AI132)+AL132</f>
        <v/>
      </c>
      <c r="AP132" s="2">
        <f>IF(AM132&gt;0, "Under",IF(AM132&lt;0,"Over",""))</f>
        <v/>
      </c>
      <c r="AQ132" s="1">
        <f>IF(AN132&gt;0, "Under",IF(AN132&lt;0,"Over",""))</f>
        <v/>
      </c>
      <c r="AR132" s="1">
        <f>IF(AO132&gt;0, "Under",IF(AO132&lt;0,"Over",""))</f>
        <v/>
      </c>
      <c r="AS132" s="3" t="n"/>
    </row>
    <row r="133">
      <c r="A133" s="90" t="n"/>
      <c r="B133" s="90" t="n"/>
      <c r="C133" s="115" t="n"/>
      <c r="D133" s="116" t="n"/>
      <c r="E133" s="116" t="n"/>
      <c r="F133" s="115" t="n"/>
      <c r="G133" s="116" t="n"/>
      <c r="H133" s="116" t="n"/>
      <c r="I133" s="115" t="n"/>
      <c r="J133" s="116" t="n"/>
      <c r="K133" s="116" t="n"/>
      <c r="L133" s="115" t="n"/>
      <c r="M133" s="116" t="n"/>
      <c r="N133" s="116" t="n"/>
      <c r="O133" s="115">
        <f>L133+I133+F133+C133</f>
        <v/>
      </c>
      <c r="P133" s="116">
        <f>M133+J133+G133+D133</f>
        <v/>
      </c>
      <c r="Q133" s="116">
        <f>N133+K133+H133+E133</f>
        <v/>
      </c>
      <c r="R133" s="115">
        <f>SUMIFS('PO Log'!$E:$E,'PO Log'!$D:$D,'Category Table'!R$2,'PO Log'!$C:$C,'Category Table'!$A133)</f>
        <v/>
      </c>
      <c r="S133" s="116">
        <f>SUMIFS('PO Log'!$E:$E,'PO Log'!$D:$D,'Category Table'!S$2,'PO Log'!$C:$C,'Category Table'!$A133)</f>
        <v/>
      </c>
      <c r="T133" s="116">
        <f>SUMIFS('PO Log'!$E:$E,'PO Log'!$D:$D,'Category Table'!T$2,'PO Log'!$C:$C,'Category Table'!$A133)</f>
        <v/>
      </c>
      <c r="U133" s="115">
        <f>SUMIFS('Committments Dump'!$Q:$Q,'Committments Dump'!$C:$C,'Category Table'!U$2,'Committments Dump'!$B:$B,'Category Table'!$A133)</f>
        <v/>
      </c>
      <c r="V133" s="116">
        <f>SUMIFS('Committments Dump'!$Q:$Q,'Committments Dump'!$C:$C,'Category Table'!V$2,'Committments Dump'!$B:$B,'Category Table'!$A133)</f>
        <v/>
      </c>
      <c r="W133" s="116">
        <f>SUMIFS('Committments Dump'!$Q:$Q,'Committments Dump'!$C:$C,'Category Table'!W$2,'Committments Dump'!$B:$B,'Category Table'!$A133)</f>
        <v/>
      </c>
      <c r="X133" s="115">
        <f>SUMIFS('Committments Dump'!$R:$R,'Committments Dump'!$C:$C,'Category Table'!X$2,'Committments Dump'!$B:$B,'Category Table'!$A133)</f>
        <v/>
      </c>
      <c r="Y133" s="116">
        <f>SUMIFS('Committments Dump'!$R:$R,'Committments Dump'!$C:$C,'Category Table'!Y$2,'Committments Dump'!$B:$B,'Category Table'!$A133)</f>
        <v/>
      </c>
      <c r="Z133" s="116">
        <f>SUMIFS('Committments Dump'!$R:$R,'Committments Dump'!$C:$C,'Category Table'!Z$2,'Committments Dump'!$B:$B,'Category Table'!$A133)</f>
        <v/>
      </c>
      <c r="AA133" s="115">
        <f>SUMIFS('Committments Dump'!$S:$S,'Committments Dump'!$C:$C,'Category Table'!AA$2,'Committments Dump'!$B:$B,'Category Table'!$A133)</f>
        <v/>
      </c>
      <c r="AB133" s="116">
        <f>SUMIFS('Committments Dump'!$S:$S,'Committments Dump'!$C:$C,'Category Table'!AB$2,'Committments Dump'!$B:$B,'Category Table'!$A133)</f>
        <v/>
      </c>
      <c r="AC133" s="116">
        <f>SUMIFS('Committments Dump'!$S:$S,'Committments Dump'!$C:$C,'Category Table'!AC$2,'Committments Dump'!$B:$B,'Category Table'!$A133)</f>
        <v/>
      </c>
      <c r="AD133" s="115">
        <f>U133+X133+AA133</f>
        <v/>
      </c>
      <c r="AE133" s="116">
        <f>V133+Y133+AB133</f>
        <v/>
      </c>
      <c r="AF133" s="116">
        <f>W133+Z133+AC133</f>
        <v/>
      </c>
      <c r="AG133" s="115">
        <f>R133+AD133</f>
        <v/>
      </c>
      <c r="AH133" s="116">
        <f>S133+AE133</f>
        <v/>
      </c>
      <c r="AI133" s="116">
        <f>T133+AF133</f>
        <v/>
      </c>
      <c r="AJ133" s="115" t="n"/>
      <c r="AK133" s="116" t="n"/>
      <c r="AL133" s="116" t="n"/>
      <c r="AM133" s="115">
        <f>(O133-AG133)+AJ133</f>
        <v/>
      </c>
      <c r="AN133" s="116">
        <f>(P133-AH133)+AK133</f>
        <v/>
      </c>
      <c r="AO133" s="116">
        <f>(Q133-AI133)+AL133</f>
        <v/>
      </c>
      <c r="AP133" s="93">
        <f>IF(AM133&gt;0, "Under",IF(AM133&lt;0,"Over",""))</f>
        <v/>
      </c>
      <c r="AQ133" s="94">
        <f>IF(AN133&gt;0, "Under",IF(AN133&lt;0,"Over",""))</f>
        <v/>
      </c>
      <c r="AR133" s="94">
        <f>IF(AO133&gt;0, "Under",IF(AO133&lt;0,"Over",""))</f>
        <v/>
      </c>
      <c r="AS133" s="3" t="n"/>
    </row>
    <row r="134">
      <c r="C134" s="113" t="n"/>
      <c r="D134" s="114" t="n"/>
      <c r="E134" s="114" t="n"/>
      <c r="F134" s="113" t="n"/>
      <c r="G134" s="114" t="n"/>
      <c r="H134" s="114" t="n"/>
      <c r="I134" s="113" t="n"/>
      <c r="J134" s="114" t="n"/>
      <c r="K134" s="114" t="n"/>
      <c r="L134" s="113" t="n"/>
      <c r="M134" s="114" t="n"/>
      <c r="N134" s="114" t="n"/>
      <c r="O134" s="113">
        <f>L134+I134+F134+C134</f>
        <v/>
      </c>
      <c r="P134" s="114">
        <f>M134+J134+G134+D134</f>
        <v/>
      </c>
      <c r="Q134" s="114">
        <f>N134+K134+H134+E134</f>
        <v/>
      </c>
      <c r="R134" s="113">
        <f>SUMIFS('PO Log'!$E:$E,'PO Log'!$D:$D,'Category Table'!R$2,'PO Log'!$C:$C,'Category Table'!$A134)</f>
        <v/>
      </c>
      <c r="S134" s="114">
        <f>SUMIFS('PO Log'!$E:$E,'PO Log'!$D:$D,'Category Table'!S$2,'PO Log'!$C:$C,'Category Table'!$A134)</f>
        <v/>
      </c>
      <c r="T134" s="114">
        <f>SUMIFS('PO Log'!$E:$E,'PO Log'!$D:$D,'Category Table'!T$2,'PO Log'!$C:$C,'Category Table'!$A134)</f>
        <v/>
      </c>
      <c r="U134" s="113">
        <f>SUMIFS('Committments Dump'!$Q:$Q,'Committments Dump'!$C:$C,'Category Table'!U$2,'Committments Dump'!$B:$B,'Category Table'!$A134)</f>
        <v/>
      </c>
      <c r="V134" s="114">
        <f>SUMIFS('Committments Dump'!$Q:$Q,'Committments Dump'!$C:$C,'Category Table'!V$2,'Committments Dump'!$B:$B,'Category Table'!$A134)</f>
        <v/>
      </c>
      <c r="W134" s="114">
        <f>SUMIFS('Committments Dump'!$Q:$Q,'Committments Dump'!$C:$C,'Category Table'!W$2,'Committments Dump'!$B:$B,'Category Table'!$A134)</f>
        <v/>
      </c>
      <c r="X134" s="113">
        <f>SUMIFS('Committments Dump'!$R:$R,'Committments Dump'!$C:$C,'Category Table'!X$2,'Committments Dump'!$B:$B,'Category Table'!$A134)</f>
        <v/>
      </c>
      <c r="Y134" s="114">
        <f>SUMIFS('Committments Dump'!$R:$R,'Committments Dump'!$C:$C,'Category Table'!Y$2,'Committments Dump'!$B:$B,'Category Table'!$A134)</f>
        <v/>
      </c>
      <c r="Z134" s="114">
        <f>SUMIFS('Committments Dump'!$R:$R,'Committments Dump'!$C:$C,'Category Table'!Z$2,'Committments Dump'!$B:$B,'Category Table'!$A134)</f>
        <v/>
      </c>
      <c r="AA134" s="113">
        <f>SUMIFS('Committments Dump'!$S:$S,'Committments Dump'!$C:$C,'Category Table'!AA$2,'Committments Dump'!$B:$B,'Category Table'!$A134)</f>
        <v/>
      </c>
      <c r="AB134" s="114">
        <f>SUMIFS('Committments Dump'!$S:$S,'Committments Dump'!$C:$C,'Category Table'!AB$2,'Committments Dump'!$B:$B,'Category Table'!$A134)</f>
        <v/>
      </c>
      <c r="AC134" s="114">
        <f>SUMIFS('Committments Dump'!$S:$S,'Committments Dump'!$C:$C,'Category Table'!AC$2,'Committments Dump'!$B:$B,'Category Table'!$A134)</f>
        <v/>
      </c>
      <c r="AD134" s="113">
        <f>U134+X134+AA134</f>
        <v/>
      </c>
      <c r="AE134" s="114">
        <f>V134+Y134+AB134</f>
        <v/>
      </c>
      <c r="AF134" s="114">
        <f>W134+Z134+AC134</f>
        <v/>
      </c>
      <c r="AG134" s="113">
        <f>R134+AD134</f>
        <v/>
      </c>
      <c r="AH134" s="114">
        <f>S134+AE134</f>
        <v/>
      </c>
      <c r="AI134" s="114">
        <f>T134+AF134</f>
        <v/>
      </c>
      <c r="AJ134" s="113" t="n"/>
      <c r="AK134" s="114" t="n"/>
      <c r="AL134" s="114" t="n"/>
      <c r="AM134" s="113">
        <f>(O134-AG134)+AJ134</f>
        <v/>
      </c>
      <c r="AN134" s="114">
        <f>(P134-AH134)+AK134</f>
        <v/>
      </c>
      <c r="AO134" s="114">
        <f>(Q134-AI134)+AL134</f>
        <v/>
      </c>
      <c r="AP134" s="2">
        <f>IF(AM134&gt;0, "Under",IF(AM134&lt;0,"Over",""))</f>
        <v/>
      </c>
      <c r="AQ134" s="1">
        <f>IF(AN134&gt;0, "Under",IF(AN134&lt;0,"Over",""))</f>
        <v/>
      </c>
      <c r="AR134" s="1">
        <f>IF(AO134&gt;0, "Under",IF(AO134&lt;0,"Over",""))</f>
        <v/>
      </c>
      <c r="AS134" s="3" t="n"/>
    </row>
    <row r="135">
      <c r="A135" s="90" t="n"/>
      <c r="B135" s="90" t="n"/>
      <c r="C135" s="115" t="n"/>
      <c r="D135" s="116" t="n"/>
      <c r="E135" s="116" t="n"/>
      <c r="F135" s="115" t="n"/>
      <c r="G135" s="116" t="n"/>
      <c r="H135" s="116" t="n"/>
      <c r="I135" s="115" t="n"/>
      <c r="J135" s="116" t="n"/>
      <c r="K135" s="116" t="n"/>
      <c r="L135" s="115" t="n"/>
      <c r="M135" s="116" t="n"/>
      <c r="N135" s="116" t="n"/>
      <c r="O135" s="115">
        <f>L135+I135+F135+C135</f>
        <v/>
      </c>
      <c r="P135" s="116">
        <f>M135+J135+G135+D135</f>
        <v/>
      </c>
      <c r="Q135" s="116">
        <f>N135+K135+H135+E135</f>
        <v/>
      </c>
      <c r="R135" s="115">
        <f>SUMIFS('PO Log'!$E:$E,'PO Log'!$D:$D,'Category Table'!R$2,'PO Log'!$C:$C,'Category Table'!$A135)</f>
        <v/>
      </c>
      <c r="S135" s="116">
        <f>SUMIFS('PO Log'!$E:$E,'PO Log'!$D:$D,'Category Table'!S$2,'PO Log'!$C:$C,'Category Table'!$A135)</f>
        <v/>
      </c>
      <c r="T135" s="116">
        <f>SUMIFS('PO Log'!$E:$E,'PO Log'!$D:$D,'Category Table'!T$2,'PO Log'!$C:$C,'Category Table'!$A135)</f>
        <v/>
      </c>
      <c r="U135" s="115">
        <f>SUMIFS('Committments Dump'!$Q:$Q,'Committments Dump'!$C:$C,'Category Table'!U$2,'Committments Dump'!$B:$B,'Category Table'!$A135)</f>
        <v/>
      </c>
      <c r="V135" s="116">
        <f>SUMIFS('Committments Dump'!$Q:$Q,'Committments Dump'!$C:$C,'Category Table'!V$2,'Committments Dump'!$B:$B,'Category Table'!$A135)</f>
        <v/>
      </c>
      <c r="W135" s="116">
        <f>SUMIFS('Committments Dump'!$Q:$Q,'Committments Dump'!$C:$C,'Category Table'!W$2,'Committments Dump'!$B:$B,'Category Table'!$A135)</f>
        <v/>
      </c>
      <c r="X135" s="115">
        <f>SUMIFS('Committments Dump'!$R:$R,'Committments Dump'!$C:$C,'Category Table'!X$2,'Committments Dump'!$B:$B,'Category Table'!$A135)</f>
        <v/>
      </c>
      <c r="Y135" s="116">
        <f>SUMIFS('Committments Dump'!$R:$R,'Committments Dump'!$C:$C,'Category Table'!Y$2,'Committments Dump'!$B:$B,'Category Table'!$A135)</f>
        <v/>
      </c>
      <c r="Z135" s="116">
        <f>SUMIFS('Committments Dump'!$R:$R,'Committments Dump'!$C:$C,'Category Table'!Z$2,'Committments Dump'!$B:$B,'Category Table'!$A135)</f>
        <v/>
      </c>
      <c r="AA135" s="115">
        <f>SUMIFS('Committments Dump'!$S:$S,'Committments Dump'!$C:$C,'Category Table'!AA$2,'Committments Dump'!$B:$B,'Category Table'!$A135)</f>
        <v/>
      </c>
      <c r="AB135" s="116">
        <f>SUMIFS('Committments Dump'!$S:$S,'Committments Dump'!$C:$C,'Category Table'!AB$2,'Committments Dump'!$B:$B,'Category Table'!$A135)</f>
        <v/>
      </c>
      <c r="AC135" s="116">
        <f>SUMIFS('Committments Dump'!$S:$S,'Committments Dump'!$C:$C,'Category Table'!AC$2,'Committments Dump'!$B:$B,'Category Table'!$A135)</f>
        <v/>
      </c>
      <c r="AD135" s="115">
        <f>U135+X135+AA135</f>
        <v/>
      </c>
      <c r="AE135" s="116">
        <f>V135+Y135+AB135</f>
        <v/>
      </c>
      <c r="AF135" s="116">
        <f>W135+Z135+AC135</f>
        <v/>
      </c>
      <c r="AG135" s="115">
        <f>R135+AD135</f>
        <v/>
      </c>
      <c r="AH135" s="116">
        <f>S135+AE135</f>
        <v/>
      </c>
      <c r="AI135" s="116">
        <f>T135+AF135</f>
        <v/>
      </c>
      <c r="AJ135" s="115" t="n"/>
      <c r="AK135" s="116" t="n"/>
      <c r="AL135" s="116" t="n"/>
      <c r="AM135" s="115">
        <f>(O135-AG135)+AJ135</f>
        <v/>
      </c>
      <c r="AN135" s="116">
        <f>(P135-AH135)+AK135</f>
        <v/>
      </c>
      <c r="AO135" s="116">
        <f>(Q135-AI135)+AL135</f>
        <v/>
      </c>
      <c r="AP135" s="93">
        <f>IF(AM135&gt;0, "Under",IF(AM135&lt;0,"Over",""))</f>
        <v/>
      </c>
      <c r="AQ135" s="94">
        <f>IF(AN135&gt;0, "Under",IF(AN135&lt;0,"Over",""))</f>
        <v/>
      </c>
      <c r="AR135" s="94">
        <f>IF(AO135&gt;0, "Under",IF(AO135&lt;0,"Over",""))</f>
        <v/>
      </c>
      <c r="AS135" s="3" t="n"/>
    </row>
    <row r="136">
      <c r="C136" s="113" t="n"/>
      <c r="D136" s="114" t="n"/>
      <c r="E136" s="114" t="n"/>
      <c r="F136" s="113" t="n"/>
      <c r="G136" s="114" t="n"/>
      <c r="H136" s="114" t="n"/>
      <c r="I136" s="113" t="n"/>
      <c r="J136" s="114" t="n"/>
      <c r="K136" s="114" t="n"/>
      <c r="L136" s="113" t="n"/>
      <c r="M136" s="114" t="n"/>
      <c r="N136" s="114" t="n"/>
      <c r="O136" s="113">
        <f>L136+I136+F136+C136</f>
        <v/>
      </c>
      <c r="P136" s="114">
        <f>M136+J136+G136+D136</f>
        <v/>
      </c>
      <c r="Q136" s="114">
        <f>N136+K136+H136+E136</f>
        <v/>
      </c>
      <c r="R136" s="113">
        <f>SUMIFS('PO Log'!$E:$E,'PO Log'!$D:$D,'Category Table'!R$2,'PO Log'!$C:$C,'Category Table'!$A136)</f>
        <v/>
      </c>
      <c r="S136" s="114">
        <f>SUMIFS('PO Log'!$E:$E,'PO Log'!$D:$D,'Category Table'!S$2,'PO Log'!$C:$C,'Category Table'!$A136)</f>
        <v/>
      </c>
      <c r="T136" s="114">
        <f>SUMIFS('PO Log'!$E:$E,'PO Log'!$D:$D,'Category Table'!T$2,'PO Log'!$C:$C,'Category Table'!$A136)</f>
        <v/>
      </c>
      <c r="U136" s="113">
        <f>SUMIFS('Committments Dump'!$Q:$Q,'Committments Dump'!$C:$C,'Category Table'!U$2,'Committments Dump'!$B:$B,'Category Table'!$A136)</f>
        <v/>
      </c>
      <c r="V136" s="114">
        <f>SUMIFS('Committments Dump'!$Q:$Q,'Committments Dump'!$C:$C,'Category Table'!V$2,'Committments Dump'!$B:$B,'Category Table'!$A136)</f>
        <v/>
      </c>
      <c r="W136" s="114">
        <f>SUMIFS('Committments Dump'!$Q:$Q,'Committments Dump'!$C:$C,'Category Table'!W$2,'Committments Dump'!$B:$B,'Category Table'!$A136)</f>
        <v/>
      </c>
      <c r="X136" s="113">
        <f>SUMIFS('Committments Dump'!$R:$R,'Committments Dump'!$C:$C,'Category Table'!X$2,'Committments Dump'!$B:$B,'Category Table'!$A136)</f>
        <v/>
      </c>
      <c r="Y136" s="114">
        <f>SUMIFS('Committments Dump'!$R:$R,'Committments Dump'!$C:$C,'Category Table'!Y$2,'Committments Dump'!$B:$B,'Category Table'!$A136)</f>
        <v/>
      </c>
      <c r="Z136" s="114">
        <f>SUMIFS('Committments Dump'!$R:$R,'Committments Dump'!$C:$C,'Category Table'!Z$2,'Committments Dump'!$B:$B,'Category Table'!$A136)</f>
        <v/>
      </c>
      <c r="AA136" s="113">
        <f>SUMIFS('Committments Dump'!$S:$S,'Committments Dump'!$C:$C,'Category Table'!AA$2,'Committments Dump'!$B:$B,'Category Table'!$A136)</f>
        <v/>
      </c>
      <c r="AB136" s="114">
        <f>SUMIFS('Committments Dump'!$S:$S,'Committments Dump'!$C:$C,'Category Table'!AB$2,'Committments Dump'!$B:$B,'Category Table'!$A136)</f>
        <v/>
      </c>
      <c r="AC136" s="114">
        <f>SUMIFS('Committments Dump'!$S:$S,'Committments Dump'!$C:$C,'Category Table'!AC$2,'Committments Dump'!$B:$B,'Category Table'!$A136)</f>
        <v/>
      </c>
      <c r="AD136" s="113">
        <f>U136+X136+AA136</f>
        <v/>
      </c>
      <c r="AE136" s="114">
        <f>V136+Y136+AB136</f>
        <v/>
      </c>
      <c r="AF136" s="114">
        <f>W136+Z136+AC136</f>
        <v/>
      </c>
      <c r="AG136" s="113">
        <f>R136+AD136</f>
        <v/>
      </c>
      <c r="AH136" s="114">
        <f>S136+AE136</f>
        <v/>
      </c>
      <c r="AI136" s="114">
        <f>T136+AF136</f>
        <v/>
      </c>
      <c r="AJ136" s="113" t="n"/>
      <c r="AK136" s="114" t="n"/>
      <c r="AL136" s="114" t="n"/>
      <c r="AM136" s="113">
        <f>(O136-AG136)+AJ136</f>
        <v/>
      </c>
      <c r="AN136" s="114">
        <f>(P136-AH136)+AK136</f>
        <v/>
      </c>
      <c r="AO136" s="114">
        <f>(Q136-AI136)+AL136</f>
        <v/>
      </c>
      <c r="AP136" s="2">
        <f>IF(AM136&gt;0, "Under",IF(AM136&lt;0,"Over",""))</f>
        <v/>
      </c>
      <c r="AQ136" s="1">
        <f>IF(AN136&gt;0, "Under",IF(AN136&lt;0,"Over",""))</f>
        <v/>
      </c>
      <c r="AR136" s="1">
        <f>IF(AO136&gt;0, "Under",IF(AO136&lt;0,"Over",""))</f>
        <v/>
      </c>
      <c r="AS136" s="3" t="n"/>
    </row>
    <row r="137">
      <c r="A137" s="90" t="n"/>
      <c r="B137" s="90" t="n"/>
      <c r="C137" s="115" t="n"/>
      <c r="D137" s="116" t="n"/>
      <c r="E137" s="116" t="n"/>
      <c r="F137" s="115" t="n"/>
      <c r="G137" s="116" t="n"/>
      <c r="H137" s="116" t="n"/>
      <c r="I137" s="115" t="n"/>
      <c r="J137" s="116" t="n"/>
      <c r="K137" s="116" t="n"/>
      <c r="L137" s="115" t="n"/>
      <c r="M137" s="116" t="n"/>
      <c r="N137" s="116" t="n"/>
      <c r="O137" s="115">
        <f>L137+I137+F137+C137</f>
        <v/>
      </c>
      <c r="P137" s="116">
        <f>M137+J137+G137+D137</f>
        <v/>
      </c>
      <c r="Q137" s="116">
        <f>N137+K137+H137+E137</f>
        <v/>
      </c>
      <c r="R137" s="115">
        <f>SUMIFS('PO Log'!$E:$E,'PO Log'!$D:$D,'Category Table'!R$2,'PO Log'!$C:$C,'Category Table'!$A137)</f>
        <v/>
      </c>
      <c r="S137" s="116">
        <f>SUMIFS('PO Log'!$E:$E,'PO Log'!$D:$D,'Category Table'!S$2,'PO Log'!$C:$C,'Category Table'!$A137)</f>
        <v/>
      </c>
      <c r="T137" s="116">
        <f>SUMIFS('PO Log'!$E:$E,'PO Log'!$D:$D,'Category Table'!T$2,'PO Log'!$C:$C,'Category Table'!$A137)</f>
        <v/>
      </c>
      <c r="U137" s="115">
        <f>SUMIFS('Committments Dump'!$Q:$Q,'Committments Dump'!$C:$C,'Category Table'!U$2,'Committments Dump'!$B:$B,'Category Table'!$A137)</f>
        <v/>
      </c>
      <c r="V137" s="116">
        <f>SUMIFS('Committments Dump'!$Q:$Q,'Committments Dump'!$C:$C,'Category Table'!V$2,'Committments Dump'!$B:$B,'Category Table'!$A137)</f>
        <v/>
      </c>
      <c r="W137" s="116">
        <f>SUMIFS('Committments Dump'!$Q:$Q,'Committments Dump'!$C:$C,'Category Table'!W$2,'Committments Dump'!$B:$B,'Category Table'!$A137)</f>
        <v/>
      </c>
      <c r="X137" s="115">
        <f>SUMIFS('Committments Dump'!$R:$R,'Committments Dump'!$C:$C,'Category Table'!X$2,'Committments Dump'!$B:$B,'Category Table'!$A137)</f>
        <v/>
      </c>
      <c r="Y137" s="116">
        <f>SUMIFS('Committments Dump'!$R:$R,'Committments Dump'!$C:$C,'Category Table'!Y$2,'Committments Dump'!$B:$B,'Category Table'!$A137)</f>
        <v/>
      </c>
      <c r="Z137" s="116">
        <f>SUMIFS('Committments Dump'!$R:$R,'Committments Dump'!$C:$C,'Category Table'!Z$2,'Committments Dump'!$B:$B,'Category Table'!$A137)</f>
        <v/>
      </c>
      <c r="AA137" s="115">
        <f>SUMIFS('Committments Dump'!$S:$S,'Committments Dump'!$C:$C,'Category Table'!AA$2,'Committments Dump'!$B:$B,'Category Table'!$A137)</f>
        <v/>
      </c>
      <c r="AB137" s="116">
        <f>SUMIFS('Committments Dump'!$S:$S,'Committments Dump'!$C:$C,'Category Table'!AB$2,'Committments Dump'!$B:$B,'Category Table'!$A137)</f>
        <v/>
      </c>
      <c r="AC137" s="116">
        <f>SUMIFS('Committments Dump'!$S:$S,'Committments Dump'!$C:$C,'Category Table'!AC$2,'Committments Dump'!$B:$B,'Category Table'!$A137)</f>
        <v/>
      </c>
      <c r="AD137" s="115">
        <f>U137+X137+AA137</f>
        <v/>
      </c>
      <c r="AE137" s="116">
        <f>V137+Y137+AB137</f>
        <v/>
      </c>
      <c r="AF137" s="116">
        <f>W137+Z137+AC137</f>
        <v/>
      </c>
      <c r="AG137" s="115">
        <f>R137+AD137</f>
        <v/>
      </c>
      <c r="AH137" s="116">
        <f>S137+AE137</f>
        <v/>
      </c>
      <c r="AI137" s="116">
        <f>T137+AF137</f>
        <v/>
      </c>
      <c r="AJ137" s="115" t="n"/>
      <c r="AK137" s="116" t="n"/>
      <c r="AL137" s="116" t="n"/>
      <c r="AM137" s="115">
        <f>(O137-AG137)+AJ137</f>
        <v/>
      </c>
      <c r="AN137" s="116">
        <f>(P137-AH137)+AK137</f>
        <v/>
      </c>
      <c r="AO137" s="116">
        <f>(Q137-AI137)+AL137</f>
        <v/>
      </c>
      <c r="AP137" s="93">
        <f>IF(AM137&gt;0, "Under",IF(AM137&lt;0,"Over",""))</f>
        <v/>
      </c>
      <c r="AQ137" s="94">
        <f>IF(AN137&gt;0, "Under",IF(AN137&lt;0,"Over",""))</f>
        <v/>
      </c>
      <c r="AR137" s="94">
        <f>IF(AO137&gt;0, "Under",IF(AO137&lt;0,"Over",""))</f>
        <v/>
      </c>
      <c r="AS137" s="3" t="n"/>
    </row>
    <row r="138">
      <c r="C138" s="113" t="n"/>
      <c r="D138" s="114" t="n"/>
      <c r="E138" s="114" t="n"/>
      <c r="F138" s="113" t="n"/>
      <c r="G138" s="114" t="n"/>
      <c r="H138" s="114" t="n"/>
      <c r="I138" s="113" t="n"/>
      <c r="J138" s="114" t="n"/>
      <c r="K138" s="114" t="n"/>
      <c r="L138" s="113" t="n"/>
      <c r="M138" s="114" t="n"/>
      <c r="N138" s="114" t="n"/>
      <c r="O138" s="113">
        <f>L138+I138+F138+C138</f>
        <v/>
      </c>
      <c r="P138" s="114">
        <f>M138+J138+G138+D138</f>
        <v/>
      </c>
      <c r="Q138" s="114">
        <f>N138+K138+H138+E138</f>
        <v/>
      </c>
      <c r="R138" s="113">
        <f>SUMIFS('PO Log'!$E:$E,'PO Log'!$D:$D,'Category Table'!R$2,'PO Log'!$C:$C,'Category Table'!$A138)</f>
        <v/>
      </c>
      <c r="S138" s="114">
        <f>SUMIFS('PO Log'!$E:$E,'PO Log'!$D:$D,'Category Table'!S$2,'PO Log'!$C:$C,'Category Table'!$A138)</f>
        <v/>
      </c>
      <c r="T138" s="114">
        <f>SUMIFS('PO Log'!$E:$E,'PO Log'!$D:$D,'Category Table'!T$2,'PO Log'!$C:$C,'Category Table'!$A138)</f>
        <v/>
      </c>
      <c r="U138" s="113">
        <f>SUMIFS('Committments Dump'!$Q:$Q,'Committments Dump'!$C:$C,'Category Table'!U$2,'Committments Dump'!$B:$B,'Category Table'!$A138)</f>
        <v/>
      </c>
      <c r="V138" s="114">
        <f>SUMIFS('Committments Dump'!$Q:$Q,'Committments Dump'!$C:$C,'Category Table'!V$2,'Committments Dump'!$B:$B,'Category Table'!$A138)</f>
        <v/>
      </c>
      <c r="W138" s="114">
        <f>SUMIFS('Committments Dump'!$Q:$Q,'Committments Dump'!$C:$C,'Category Table'!W$2,'Committments Dump'!$B:$B,'Category Table'!$A138)</f>
        <v/>
      </c>
      <c r="X138" s="113">
        <f>SUMIFS('Committments Dump'!$R:$R,'Committments Dump'!$C:$C,'Category Table'!X$2,'Committments Dump'!$B:$B,'Category Table'!$A138)</f>
        <v/>
      </c>
      <c r="Y138" s="114">
        <f>SUMIFS('Committments Dump'!$R:$R,'Committments Dump'!$C:$C,'Category Table'!Y$2,'Committments Dump'!$B:$B,'Category Table'!$A138)</f>
        <v/>
      </c>
      <c r="Z138" s="114">
        <f>SUMIFS('Committments Dump'!$R:$R,'Committments Dump'!$C:$C,'Category Table'!Z$2,'Committments Dump'!$B:$B,'Category Table'!$A138)</f>
        <v/>
      </c>
      <c r="AA138" s="113">
        <f>SUMIFS('Committments Dump'!$S:$S,'Committments Dump'!$C:$C,'Category Table'!AA$2,'Committments Dump'!$B:$B,'Category Table'!$A138)</f>
        <v/>
      </c>
      <c r="AB138" s="114">
        <f>SUMIFS('Committments Dump'!$S:$S,'Committments Dump'!$C:$C,'Category Table'!AB$2,'Committments Dump'!$B:$B,'Category Table'!$A138)</f>
        <v/>
      </c>
      <c r="AC138" s="114">
        <f>SUMIFS('Committments Dump'!$S:$S,'Committments Dump'!$C:$C,'Category Table'!AC$2,'Committments Dump'!$B:$B,'Category Table'!$A138)</f>
        <v/>
      </c>
      <c r="AD138" s="113">
        <f>U138+X138+AA138</f>
        <v/>
      </c>
      <c r="AE138" s="114">
        <f>V138+Y138+AB138</f>
        <v/>
      </c>
      <c r="AF138" s="114">
        <f>W138+Z138+AC138</f>
        <v/>
      </c>
      <c r="AG138" s="113">
        <f>R138+AD138</f>
        <v/>
      </c>
      <c r="AH138" s="114">
        <f>S138+AE138</f>
        <v/>
      </c>
      <c r="AI138" s="114">
        <f>T138+AF138</f>
        <v/>
      </c>
      <c r="AJ138" s="113" t="n"/>
      <c r="AK138" s="114" t="n"/>
      <c r="AL138" s="114" t="n"/>
      <c r="AM138" s="113">
        <f>(O138-AG138)+AJ138</f>
        <v/>
      </c>
      <c r="AN138" s="114">
        <f>(P138-AH138)+AK138</f>
        <v/>
      </c>
      <c r="AO138" s="114">
        <f>(Q138-AI138)+AL138</f>
        <v/>
      </c>
      <c r="AP138" s="2">
        <f>IF(AM138&gt;0, "Under",IF(AM138&lt;0,"Over",""))</f>
        <v/>
      </c>
      <c r="AQ138" s="1">
        <f>IF(AN138&gt;0, "Under",IF(AN138&lt;0,"Over",""))</f>
        <v/>
      </c>
      <c r="AR138" s="1">
        <f>IF(AO138&gt;0, "Under",IF(AO138&lt;0,"Over",""))</f>
        <v/>
      </c>
      <c r="AS138" s="3" t="n"/>
    </row>
    <row r="139">
      <c r="A139" s="90" t="n"/>
      <c r="B139" s="90" t="n"/>
      <c r="C139" s="115" t="n"/>
      <c r="D139" s="116" t="n"/>
      <c r="E139" s="116" t="n"/>
      <c r="F139" s="115" t="n"/>
      <c r="G139" s="116" t="n"/>
      <c r="H139" s="116" t="n"/>
      <c r="I139" s="115" t="n"/>
      <c r="J139" s="116" t="n"/>
      <c r="K139" s="116" t="n"/>
      <c r="L139" s="115" t="n"/>
      <c r="M139" s="116" t="n"/>
      <c r="N139" s="116" t="n"/>
      <c r="O139" s="115">
        <f>L139+I139+F139+C139</f>
        <v/>
      </c>
      <c r="P139" s="116">
        <f>M139+J139+G139+D139</f>
        <v/>
      </c>
      <c r="Q139" s="116">
        <f>N139+K139+H139+E139</f>
        <v/>
      </c>
      <c r="R139" s="115">
        <f>SUMIFS('PO Log'!$E:$E,'PO Log'!$D:$D,'Category Table'!R$2,'PO Log'!$C:$C,'Category Table'!$A139)</f>
        <v/>
      </c>
      <c r="S139" s="116">
        <f>SUMIFS('PO Log'!$E:$E,'PO Log'!$D:$D,'Category Table'!S$2,'PO Log'!$C:$C,'Category Table'!$A139)</f>
        <v/>
      </c>
      <c r="T139" s="116">
        <f>SUMIFS('PO Log'!$E:$E,'PO Log'!$D:$D,'Category Table'!T$2,'PO Log'!$C:$C,'Category Table'!$A139)</f>
        <v/>
      </c>
      <c r="U139" s="115">
        <f>SUMIFS('Committments Dump'!$Q:$Q,'Committments Dump'!$C:$C,'Category Table'!U$2,'Committments Dump'!$B:$B,'Category Table'!$A139)</f>
        <v/>
      </c>
      <c r="V139" s="116">
        <f>SUMIFS('Committments Dump'!$Q:$Q,'Committments Dump'!$C:$C,'Category Table'!V$2,'Committments Dump'!$B:$B,'Category Table'!$A139)</f>
        <v/>
      </c>
      <c r="W139" s="116">
        <f>SUMIFS('Committments Dump'!$Q:$Q,'Committments Dump'!$C:$C,'Category Table'!W$2,'Committments Dump'!$B:$B,'Category Table'!$A139)</f>
        <v/>
      </c>
      <c r="X139" s="115">
        <f>SUMIFS('Committments Dump'!$R:$R,'Committments Dump'!$C:$C,'Category Table'!X$2,'Committments Dump'!$B:$B,'Category Table'!$A139)</f>
        <v/>
      </c>
      <c r="Y139" s="116">
        <f>SUMIFS('Committments Dump'!$R:$R,'Committments Dump'!$C:$C,'Category Table'!Y$2,'Committments Dump'!$B:$B,'Category Table'!$A139)</f>
        <v/>
      </c>
      <c r="Z139" s="116">
        <f>SUMIFS('Committments Dump'!$R:$R,'Committments Dump'!$C:$C,'Category Table'!Z$2,'Committments Dump'!$B:$B,'Category Table'!$A139)</f>
        <v/>
      </c>
      <c r="AA139" s="115">
        <f>SUMIFS('Committments Dump'!$S:$S,'Committments Dump'!$C:$C,'Category Table'!AA$2,'Committments Dump'!$B:$B,'Category Table'!$A139)</f>
        <v/>
      </c>
      <c r="AB139" s="116">
        <f>SUMIFS('Committments Dump'!$S:$S,'Committments Dump'!$C:$C,'Category Table'!AB$2,'Committments Dump'!$B:$B,'Category Table'!$A139)</f>
        <v/>
      </c>
      <c r="AC139" s="116">
        <f>SUMIFS('Committments Dump'!$S:$S,'Committments Dump'!$C:$C,'Category Table'!AC$2,'Committments Dump'!$B:$B,'Category Table'!$A139)</f>
        <v/>
      </c>
      <c r="AD139" s="115">
        <f>U139+X139+AA139</f>
        <v/>
      </c>
      <c r="AE139" s="116">
        <f>V139+Y139+AB139</f>
        <v/>
      </c>
      <c r="AF139" s="116">
        <f>W139+Z139+AC139</f>
        <v/>
      </c>
      <c r="AG139" s="115">
        <f>R139+AD139</f>
        <v/>
      </c>
      <c r="AH139" s="116">
        <f>S139+AE139</f>
        <v/>
      </c>
      <c r="AI139" s="116">
        <f>T139+AF139</f>
        <v/>
      </c>
      <c r="AJ139" s="115" t="n"/>
      <c r="AK139" s="116" t="n"/>
      <c r="AL139" s="116" t="n"/>
      <c r="AM139" s="115">
        <f>(O139-AG139)+AJ139</f>
        <v/>
      </c>
      <c r="AN139" s="116">
        <f>(P139-AH139)+AK139</f>
        <v/>
      </c>
      <c r="AO139" s="116">
        <f>(Q139-AI139)+AL139</f>
        <v/>
      </c>
      <c r="AP139" s="93">
        <f>IF(AM139&gt;0, "Under",IF(AM139&lt;0,"Over",""))</f>
        <v/>
      </c>
      <c r="AQ139" s="94">
        <f>IF(AN139&gt;0, "Under",IF(AN139&lt;0,"Over",""))</f>
        <v/>
      </c>
      <c r="AR139" s="94">
        <f>IF(AO139&gt;0, "Under",IF(AO139&lt;0,"Over",""))</f>
        <v/>
      </c>
      <c r="AS139" s="3" t="n"/>
    </row>
    <row r="140">
      <c r="C140" s="113" t="n"/>
      <c r="D140" s="114" t="n"/>
      <c r="E140" s="114" t="n"/>
      <c r="F140" s="113" t="n"/>
      <c r="G140" s="114" t="n"/>
      <c r="H140" s="114" t="n"/>
      <c r="I140" s="113" t="n"/>
      <c r="J140" s="114" t="n"/>
      <c r="K140" s="114" t="n"/>
      <c r="L140" s="113" t="n"/>
      <c r="M140" s="114" t="n"/>
      <c r="N140" s="114" t="n"/>
      <c r="O140" s="113">
        <f>L140+I140+F140+C140</f>
        <v/>
      </c>
      <c r="P140" s="114">
        <f>M140+J140+G140+D140</f>
        <v/>
      </c>
      <c r="Q140" s="114">
        <f>N140+K140+H140+E140</f>
        <v/>
      </c>
      <c r="R140" s="113">
        <f>SUMIFS('PO Log'!$E:$E,'PO Log'!$D:$D,'Category Table'!R$2,'PO Log'!$C:$C,'Category Table'!$A140)</f>
        <v/>
      </c>
      <c r="S140" s="114">
        <f>SUMIFS('PO Log'!$E:$E,'PO Log'!$D:$D,'Category Table'!S$2,'PO Log'!$C:$C,'Category Table'!$A140)</f>
        <v/>
      </c>
      <c r="T140" s="114">
        <f>SUMIFS('PO Log'!$E:$E,'PO Log'!$D:$D,'Category Table'!T$2,'PO Log'!$C:$C,'Category Table'!$A140)</f>
        <v/>
      </c>
      <c r="U140" s="113">
        <f>SUMIFS('Committments Dump'!$Q:$Q,'Committments Dump'!$C:$C,'Category Table'!U$2,'Committments Dump'!$B:$B,'Category Table'!$A140)</f>
        <v/>
      </c>
      <c r="V140" s="114">
        <f>SUMIFS('Committments Dump'!$Q:$Q,'Committments Dump'!$C:$C,'Category Table'!V$2,'Committments Dump'!$B:$B,'Category Table'!$A140)</f>
        <v/>
      </c>
      <c r="W140" s="114">
        <f>SUMIFS('Committments Dump'!$Q:$Q,'Committments Dump'!$C:$C,'Category Table'!W$2,'Committments Dump'!$B:$B,'Category Table'!$A140)</f>
        <v/>
      </c>
      <c r="X140" s="113">
        <f>SUMIFS('Committments Dump'!$R:$R,'Committments Dump'!$C:$C,'Category Table'!X$2,'Committments Dump'!$B:$B,'Category Table'!$A140)</f>
        <v/>
      </c>
      <c r="Y140" s="114">
        <f>SUMIFS('Committments Dump'!$R:$R,'Committments Dump'!$C:$C,'Category Table'!Y$2,'Committments Dump'!$B:$B,'Category Table'!$A140)</f>
        <v/>
      </c>
      <c r="Z140" s="114">
        <f>SUMIFS('Committments Dump'!$R:$R,'Committments Dump'!$C:$C,'Category Table'!Z$2,'Committments Dump'!$B:$B,'Category Table'!$A140)</f>
        <v/>
      </c>
      <c r="AA140" s="113">
        <f>SUMIFS('Committments Dump'!$S:$S,'Committments Dump'!$C:$C,'Category Table'!AA$2,'Committments Dump'!$B:$B,'Category Table'!$A140)</f>
        <v/>
      </c>
      <c r="AB140" s="114">
        <f>SUMIFS('Committments Dump'!$S:$S,'Committments Dump'!$C:$C,'Category Table'!AB$2,'Committments Dump'!$B:$B,'Category Table'!$A140)</f>
        <v/>
      </c>
      <c r="AC140" s="114">
        <f>SUMIFS('Committments Dump'!$S:$S,'Committments Dump'!$C:$C,'Category Table'!AC$2,'Committments Dump'!$B:$B,'Category Table'!$A140)</f>
        <v/>
      </c>
      <c r="AD140" s="113">
        <f>U140+X140+AA140</f>
        <v/>
      </c>
      <c r="AE140" s="114">
        <f>V140+Y140+AB140</f>
        <v/>
      </c>
      <c r="AF140" s="114">
        <f>W140+Z140+AC140</f>
        <v/>
      </c>
      <c r="AG140" s="113">
        <f>R140+AD140</f>
        <v/>
      </c>
      <c r="AH140" s="114">
        <f>S140+AE140</f>
        <v/>
      </c>
      <c r="AI140" s="114">
        <f>T140+AF140</f>
        <v/>
      </c>
      <c r="AJ140" s="113" t="n"/>
      <c r="AK140" s="114" t="n"/>
      <c r="AL140" s="114" t="n"/>
      <c r="AM140" s="113">
        <f>(O140-AG140)+AJ140</f>
        <v/>
      </c>
      <c r="AN140" s="114">
        <f>(P140-AH140)+AK140</f>
        <v/>
      </c>
      <c r="AO140" s="114">
        <f>(Q140-AI140)+AL140</f>
        <v/>
      </c>
      <c r="AP140" s="2">
        <f>IF(AM140&gt;0, "Under",IF(AM140&lt;0,"Over",""))</f>
        <v/>
      </c>
      <c r="AQ140" s="1">
        <f>IF(AN140&gt;0, "Under",IF(AN140&lt;0,"Over",""))</f>
        <v/>
      </c>
      <c r="AR140" s="1">
        <f>IF(AO140&gt;0, "Under",IF(AO140&lt;0,"Over",""))</f>
        <v/>
      </c>
      <c r="AS140" s="3" t="n"/>
    </row>
    <row r="141">
      <c r="A141" s="90" t="n"/>
      <c r="B141" s="90" t="n"/>
      <c r="C141" s="115" t="n"/>
      <c r="D141" s="116" t="n"/>
      <c r="E141" s="116" t="n"/>
      <c r="F141" s="115" t="n"/>
      <c r="G141" s="116" t="n"/>
      <c r="H141" s="116" t="n"/>
      <c r="I141" s="115" t="n"/>
      <c r="J141" s="116" t="n"/>
      <c r="K141" s="116" t="n"/>
      <c r="L141" s="115" t="n"/>
      <c r="M141" s="116" t="n"/>
      <c r="N141" s="116" t="n"/>
      <c r="O141" s="115">
        <f>L141+I141+F141+C141</f>
        <v/>
      </c>
      <c r="P141" s="116">
        <f>M141+J141+G141+D141</f>
        <v/>
      </c>
      <c r="Q141" s="116">
        <f>N141+K141+H141+E141</f>
        <v/>
      </c>
      <c r="R141" s="115">
        <f>SUMIFS('PO Log'!$E:$E,'PO Log'!$D:$D,'Category Table'!R$2,'PO Log'!$C:$C,'Category Table'!$A141)</f>
        <v/>
      </c>
      <c r="S141" s="116">
        <f>SUMIFS('PO Log'!$E:$E,'PO Log'!$D:$D,'Category Table'!S$2,'PO Log'!$C:$C,'Category Table'!$A141)</f>
        <v/>
      </c>
      <c r="T141" s="116">
        <f>SUMIFS('PO Log'!$E:$E,'PO Log'!$D:$D,'Category Table'!T$2,'PO Log'!$C:$C,'Category Table'!$A141)</f>
        <v/>
      </c>
      <c r="U141" s="115">
        <f>SUMIFS('Committments Dump'!$Q:$Q,'Committments Dump'!$C:$C,'Category Table'!U$2,'Committments Dump'!$B:$B,'Category Table'!$A141)</f>
        <v/>
      </c>
      <c r="V141" s="116">
        <f>SUMIFS('Committments Dump'!$Q:$Q,'Committments Dump'!$C:$C,'Category Table'!V$2,'Committments Dump'!$B:$B,'Category Table'!$A141)</f>
        <v/>
      </c>
      <c r="W141" s="116">
        <f>SUMIFS('Committments Dump'!$Q:$Q,'Committments Dump'!$C:$C,'Category Table'!W$2,'Committments Dump'!$B:$B,'Category Table'!$A141)</f>
        <v/>
      </c>
      <c r="X141" s="115">
        <f>SUMIFS('Committments Dump'!$R:$R,'Committments Dump'!$C:$C,'Category Table'!X$2,'Committments Dump'!$B:$B,'Category Table'!$A141)</f>
        <v/>
      </c>
      <c r="Y141" s="116">
        <f>SUMIFS('Committments Dump'!$R:$R,'Committments Dump'!$C:$C,'Category Table'!Y$2,'Committments Dump'!$B:$B,'Category Table'!$A141)</f>
        <v/>
      </c>
      <c r="Z141" s="116">
        <f>SUMIFS('Committments Dump'!$R:$R,'Committments Dump'!$C:$C,'Category Table'!Z$2,'Committments Dump'!$B:$B,'Category Table'!$A141)</f>
        <v/>
      </c>
      <c r="AA141" s="115">
        <f>SUMIFS('Committments Dump'!$S:$S,'Committments Dump'!$C:$C,'Category Table'!AA$2,'Committments Dump'!$B:$B,'Category Table'!$A141)</f>
        <v/>
      </c>
      <c r="AB141" s="116">
        <f>SUMIFS('Committments Dump'!$S:$S,'Committments Dump'!$C:$C,'Category Table'!AB$2,'Committments Dump'!$B:$B,'Category Table'!$A141)</f>
        <v/>
      </c>
      <c r="AC141" s="116">
        <f>SUMIFS('Committments Dump'!$S:$S,'Committments Dump'!$C:$C,'Category Table'!AC$2,'Committments Dump'!$B:$B,'Category Table'!$A141)</f>
        <v/>
      </c>
      <c r="AD141" s="115">
        <f>U141+X141+AA141</f>
        <v/>
      </c>
      <c r="AE141" s="116">
        <f>V141+Y141+AB141</f>
        <v/>
      </c>
      <c r="AF141" s="116">
        <f>W141+Z141+AC141</f>
        <v/>
      </c>
      <c r="AG141" s="115">
        <f>R141+AD141</f>
        <v/>
      </c>
      <c r="AH141" s="116">
        <f>S141+AE141</f>
        <v/>
      </c>
      <c r="AI141" s="116">
        <f>T141+AF141</f>
        <v/>
      </c>
      <c r="AJ141" s="115" t="n"/>
      <c r="AK141" s="116" t="n"/>
      <c r="AL141" s="116" t="n"/>
      <c r="AM141" s="115">
        <f>(O141-AG141)+AJ141</f>
        <v/>
      </c>
      <c r="AN141" s="116">
        <f>(P141-AH141)+AK141</f>
        <v/>
      </c>
      <c r="AO141" s="116">
        <f>(Q141-AI141)+AL141</f>
        <v/>
      </c>
      <c r="AP141" s="93">
        <f>IF(AM141&gt;0, "Under",IF(AM141&lt;0,"Over",""))</f>
        <v/>
      </c>
      <c r="AQ141" s="94">
        <f>IF(AN141&gt;0, "Under",IF(AN141&lt;0,"Over",""))</f>
        <v/>
      </c>
      <c r="AR141" s="94">
        <f>IF(AO141&gt;0, "Under",IF(AO141&lt;0,"Over",""))</f>
        <v/>
      </c>
      <c r="AS141" s="3" t="n"/>
    </row>
    <row r="142">
      <c r="C142" s="113" t="n"/>
      <c r="D142" s="114" t="n"/>
      <c r="E142" s="114" t="n"/>
      <c r="F142" s="113" t="n"/>
      <c r="G142" s="114" t="n"/>
      <c r="H142" s="114" t="n"/>
      <c r="I142" s="113" t="n"/>
      <c r="J142" s="114" t="n"/>
      <c r="K142" s="114" t="n"/>
      <c r="L142" s="113" t="n"/>
      <c r="M142" s="114" t="n"/>
      <c r="N142" s="114" t="n"/>
      <c r="O142" s="113">
        <f>L142+I142+F142+C142</f>
        <v/>
      </c>
      <c r="P142" s="114">
        <f>M142+J142+G142+D142</f>
        <v/>
      </c>
      <c r="Q142" s="114">
        <f>N142+K142+H142+E142</f>
        <v/>
      </c>
      <c r="R142" s="113">
        <f>SUMIFS('PO Log'!$E:$E,'PO Log'!$D:$D,'Category Table'!R$2,'PO Log'!$C:$C,'Category Table'!$A142)</f>
        <v/>
      </c>
      <c r="S142" s="114">
        <f>SUMIFS('PO Log'!$E:$E,'PO Log'!$D:$D,'Category Table'!S$2,'PO Log'!$C:$C,'Category Table'!$A142)</f>
        <v/>
      </c>
      <c r="T142" s="114">
        <f>SUMIFS('PO Log'!$E:$E,'PO Log'!$D:$D,'Category Table'!T$2,'PO Log'!$C:$C,'Category Table'!$A142)</f>
        <v/>
      </c>
      <c r="U142" s="113">
        <f>SUMIFS('Committments Dump'!$Q:$Q,'Committments Dump'!$C:$C,'Category Table'!U$2,'Committments Dump'!$B:$B,'Category Table'!$A142)</f>
        <v/>
      </c>
      <c r="V142" s="114">
        <f>SUMIFS('Committments Dump'!$Q:$Q,'Committments Dump'!$C:$C,'Category Table'!V$2,'Committments Dump'!$B:$B,'Category Table'!$A142)</f>
        <v/>
      </c>
      <c r="W142" s="114">
        <f>SUMIFS('Committments Dump'!$Q:$Q,'Committments Dump'!$C:$C,'Category Table'!W$2,'Committments Dump'!$B:$B,'Category Table'!$A142)</f>
        <v/>
      </c>
      <c r="X142" s="113">
        <f>SUMIFS('Committments Dump'!$R:$R,'Committments Dump'!$C:$C,'Category Table'!X$2,'Committments Dump'!$B:$B,'Category Table'!$A142)</f>
        <v/>
      </c>
      <c r="Y142" s="114">
        <f>SUMIFS('Committments Dump'!$R:$R,'Committments Dump'!$C:$C,'Category Table'!Y$2,'Committments Dump'!$B:$B,'Category Table'!$A142)</f>
        <v/>
      </c>
      <c r="Z142" s="114">
        <f>SUMIFS('Committments Dump'!$R:$R,'Committments Dump'!$C:$C,'Category Table'!Z$2,'Committments Dump'!$B:$B,'Category Table'!$A142)</f>
        <v/>
      </c>
      <c r="AA142" s="113">
        <f>SUMIFS('Committments Dump'!$S:$S,'Committments Dump'!$C:$C,'Category Table'!AA$2,'Committments Dump'!$B:$B,'Category Table'!$A142)</f>
        <v/>
      </c>
      <c r="AB142" s="114">
        <f>SUMIFS('Committments Dump'!$S:$S,'Committments Dump'!$C:$C,'Category Table'!AB$2,'Committments Dump'!$B:$B,'Category Table'!$A142)</f>
        <v/>
      </c>
      <c r="AC142" s="114">
        <f>SUMIFS('Committments Dump'!$S:$S,'Committments Dump'!$C:$C,'Category Table'!AC$2,'Committments Dump'!$B:$B,'Category Table'!$A142)</f>
        <v/>
      </c>
      <c r="AD142" s="113">
        <f>U142+X142+AA142</f>
        <v/>
      </c>
      <c r="AE142" s="114">
        <f>V142+Y142+AB142</f>
        <v/>
      </c>
      <c r="AF142" s="114">
        <f>W142+Z142+AC142</f>
        <v/>
      </c>
      <c r="AG142" s="113">
        <f>R142+AD142</f>
        <v/>
      </c>
      <c r="AH142" s="114">
        <f>S142+AE142</f>
        <v/>
      </c>
      <c r="AI142" s="114">
        <f>T142+AF142</f>
        <v/>
      </c>
      <c r="AJ142" s="113" t="n"/>
      <c r="AK142" s="114" t="n"/>
      <c r="AL142" s="114" t="n"/>
      <c r="AM142" s="113">
        <f>(O142-AG142)+AJ142</f>
        <v/>
      </c>
      <c r="AN142" s="114">
        <f>(P142-AH142)+AK142</f>
        <v/>
      </c>
      <c r="AO142" s="114">
        <f>(Q142-AI142)+AL142</f>
        <v/>
      </c>
      <c r="AP142" s="2">
        <f>IF(AM142&gt;0, "Under",IF(AM142&lt;0,"Over",""))</f>
        <v/>
      </c>
      <c r="AQ142" s="1">
        <f>IF(AN142&gt;0, "Under",IF(AN142&lt;0,"Over",""))</f>
        <v/>
      </c>
      <c r="AR142" s="1">
        <f>IF(AO142&gt;0, "Under",IF(AO142&lt;0,"Over",""))</f>
        <v/>
      </c>
      <c r="AS142" s="3" t="n"/>
    </row>
    <row r="143">
      <c r="A143" s="90" t="n"/>
      <c r="B143" s="90" t="n"/>
      <c r="C143" s="115" t="n"/>
      <c r="D143" s="116" t="n"/>
      <c r="E143" s="116" t="n"/>
      <c r="F143" s="115" t="n"/>
      <c r="G143" s="116" t="n"/>
      <c r="H143" s="116" t="n"/>
      <c r="I143" s="115" t="n"/>
      <c r="J143" s="116" t="n"/>
      <c r="K143" s="116" t="n"/>
      <c r="L143" s="115" t="n"/>
      <c r="M143" s="116" t="n"/>
      <c r="N143" s="116" t="n"/>
      <c r="O143" s="115">
        <f>L143+I143+F143+C143</f>
        <v/>
      </c>
      <c r="P143" s="116">
        <f>M143+J143+G143+D143</f>
        <v/>
      </c>
      <c r="Q143" s="116">
        <f>N143+K143+H143+E143</f>
        <v/>
      </c>
      <c r="R143" s="115">
        <f>SUMIFS('PO Log'!$E:$E,'PO Log'!$D:$D,'Category Table'!R$2,'PO Log'!$C:$C,'Category Table'!$A143)</f>
        <v/>
      </c>
      <c r="S143" s="116">
        <f>SUMIFS('PO Log'!$E:$E,'PO Log'!$D:$D,'Category Table'!S$2,'PO Log'!$C:$C,'Category Table'!$A143)</f>
        <v/>
      </c>
      <c r="T143" s="116">
        <f>SUMIFS('PO Log'!$E:$E,'PO Log'!$D:$D,'Category Table'!T$2,'PO Log'!$C:$C,'Category Table'!$A143)</f>
        <v/>
      </c>
      <c r="U143" s="115">
        <f>SUMIFS('Committments Dump'!$Q:$Q,'Committments Dump'!$C:$C,'Category Table'!U$2,'Committments Dump'!$B:$B,'Category Table'!$A143)</f>
        <v/>
      </c>
      <c r="V143" s="116">
        <f>SUMIFS('Committments Dump'!$Q:$Q,'Committments Dump'!$C:$C,'Category Table'!V$2,'Committments Dump'!$B:$B,'Category Table'!$A143)</f>
        <v/>
      </c>
      <c r="W143" s="116">
        <f>SUMIFS('Committments Dump'!$Q:$Q,'Committments Dump'!$C:$C,'Category Table'!W$2,'Committments Dump'!$B:$B,'Category Table'!$A143)</f>
        <v/>
      </c>
      <c r="X143" s="115">
        <f>SUMIFS('Committments Dump'!$R:$R,'Committments Dump'!$C:$C,'Category Table'!X$2,'Committments Dump'!$B:$B,'Category Table'!$A143)</f>
        <v/>
      </c>
      <c r="Y143" s="116">
        <f>SUMIFS('Committments Dump'!$R:$R,'Committments Dump'!$C:$C,'Category Table'!Y$2,'Committments Dump'!$B:$B,'Category Table'!$A143)</f>
        <v/>
      </c>
      <c r="Z143" s="116">
        <f>SUMIFS('Committments Dump'!$R:$R,'Committments Dump'!$C:$C,'Category Table'!Z$2,'Committments Dump'!$B:$B,'Category Table'!$A143)</f>
        <v/>
      </c>
      <c r="AA143" s="115">
        <f>SUMIFS('Committments Dump'!$S:$S,'Committments Dump'!$C:$C,'Category Table'!AA$2,'Committments Dump'!$B:$B,'Category Table'!$A143)</f>
        <v/>
      </c>
      <c r="AB143" s="116">
        <f>SUMIFS('Committments Dump'!$S:$S,'Committments Dump'!$C:$C,'Category Table'!AB$2,'Committments Dump'!$B:$B,'Category Table'!$A143)</f>
        <v/>
      </c>
      <c r="AC143" s="116">
        <f>SUMIFS('Committments Dump'!$S:$S,'Committments Dump'!$C:$C,'Category Table'!AC$2,'Committments Dump'!$B:$B,'Category Table'!$A143)</f>
        <v/>
      </c>
      <c r="AD143" s="115">
        <f>U143+X143+AA143</f>
        <v/>
      </c>
      <c r="AE143" s="116">
        <f>V143+Y143+AB143</f>
        <v/>
      </c>
      <c r="AF143" s="116">
        <f>W143+Z143+AC143</f>
        <v/>
      </c>
      <c r="AG143" s="115">
        <f>R143+AD143</f>
        <v/>
      </c>
      <c r="AH143" s="116">
        <f>S143+AE143</f>
        <v/>
      </c>
      <c r="AI143" s="116">
        <f>T143+AF143</f>
        <v/>
      </c>
      <c r="AJ143" s="115" t="n"/>
      <c r="AK143" s="116" t="n"/>
      <c r="AL143" s="116" t="n"/>
      <c r="AM143" s="115">
        <f>(O143-AG143)+AJ143</f>
        <v/>
      </c>
      <c r="AN143" s="116">
        <f>(P143-AH143)+AK143</f>
        <v/>
      </c>
      <c r="AO143" s="116">
        <f>(Q143-AI143)+AL143</f>
        <v/>
      </c>
      <c r="AP143" s="93">
        <f>IF(AM143&gt;0, "Under",IF(AM143&lt;0,"Over",""))</f>
        <v/>
      </c>
      <c r="AQ143" s="94">
        <f>IF(AN143&gt;0, "Under",IF(AN143&lt;0,"Over",""))</f>
        <v/>
      </c>
      <c r="AR143" s="94">
        <f>IF(AO143&gt;0, "Under",IF(AO143&lt;0,"Over",""))</f>
        <v/>
      </c>
      <c r="AS143" s="3" t="n"/>
    </row>
    <row r="144">
      <c r="C144" s="113" t="n"/>
      <c r="D144" s="114" t="n"/>
      <c r="E144" s="114" t="n"/>
      <c r="F144" s="113" t="n"/>
      <c r="G144" s="114" t="n"/>
      <c r="H144" s="114" t="n"/>
      <c r="I144" s="113" t="n"/>
      <c r="J144" s="114" t="n"/>
      <c r="K144" s="114" t="n"/>
      <c r="L144" s="113" t="n"/>
      <c r="M144" s="114" t="n"/>
      <c r="N144" s="114" t="n"/>
      <c r="O144" s="113">
        <f>L144+I144+F144+C144</f>
        <v/>
      </c>
      <c r="P144" s="114">
        <f>M144+J144+G144+D144</f>
        <v/>
      </c>
      <c r="Q144" s="114">
        <f>N144+K144+H144+E144</f>
        <v/>
      </c>
      <c r="R144" s="113">
        <f>SUMIFS('PO Log'!$E:$E,'PO Log'!$D:$D,'Category Table'!R$2,'PO Log'!$C:$C,'Category Table'!$A144)</f>
        <v/>
      </c>
      <c r="S144" s="114">
        <f>SUMIFS('PO Log'!$E:$E,'PO Log'!$D:$D,'Category Table'!S$2,'PO Log'!$C:$C,'Category Table'!$A144)</f>
        <v/>
      </c>
      <c r="T144" s="114">
        <f>SUMIFS('PO Log'!$E:$E,'PO Log'!$D:$D,'Category Table'!T$2,'PO Log'!$C:$C,'Category Table'!$A144)</f>
        <v/>
      </c>
      <c r="U144" s="113">
        <f>SUMIFS('Committments Dump'!$Q:$Q,'Committments Dump'!$C:$C,'Category Table'!U$2,'Committments Dump'!$B:$B,'Category Table'!$A144)</f>
        <v/>
      </c>
      <c r="V144" s="114">
        <f>SUMIFS('Committments Dump'!$Q:$Q,'Committments Dump'!$C:$C,'Category Table'!V$2,'Committments Dump'!$B:$B,'Category Table'!$A144)</f>
        <v/>
      </c>
      <c r="W144" s="114">
        <f>SUMIFS('Committments Dump'!$Q:$Q,'Committments Dump'!$C:$C,'Category Table'!W$2,'Committments Dump'!$B:$B,'Category Table'!$A144)</f>
        <v/>
      </c>
      <c r="X144" s="113">
        <f>SUMIFS('Committments Dump'!$R:$R,'Committments Dump'!$C:$C,'Category Table'!X$2,'Committments Dump'!$B:$B,'Category Table'!$A144)</f>
        <v/>
      </c>
      <c r="Y144" s="114">
        <f>SUMIFS('Committments Dump'!$R:$R,'Committments Dump'!$C:$C,'Category Table'!Y$2,'Committments Dump'!$B:$B,'Category Table'!$A144)</f>
        <v/>
      </c>
      <c r="Z144" s="114">
        <f>SUMIFS('Committments Dump'!$R:$R,'Committments Dump'!$C:$C,'Category Table'!Z$2,'Committments Dump'!$B:$B,'Category Table'!$A144)</f>
        <v/>
      </c>
      <c r="AA144" s="113">
        <f>SUMIFS('Committments Dump'!$S:$S,'Committments Dump'!$C:$C,'Category Table'!AA$2,'Committments Dump'!$B:$B,'Category Table'!$A144)</f>
        <v/>
      </c>
      <c r="AB144" s="114">
        <f>SUMIFS('Committments Dump'!$S:$S,'Committments Dump'!$C:$C,'Category Table'!AB$2,'Committments Dump'!$B:$B,'Category Table'!$A144)</f>
        <v/>
      </c>
      <c r="AC144" s="114">
        <f>SUMIFS('Committments Dump'!$S:$S,'Committments Dump'!$C:$C,'Category Table'!AC$2,'Committments Dump'!$B:$B,'Category Table'!$A144)</f>
        <v/>
      </c>
      <c r="AD144" s="113">
        <f>U144+X144+AA144</f>
        <v/>
      </c>
      <c r="AE144" s="114">
        <f>V144+Y144+AB144</f>
        <v/>
      </c>
      <c r="AF144" s="114">
        <f>W144+Z144+AC144</f>
        <v/>
      </c>
      <c r="AG144" s="113">
        <f>R144+AD144</f>
        <v/>
      </c>
      <c r="AH144" s="114">
        <f>S144+AE144</f>
        <v/>
      </c>
      <c r="AI144" s="114">
        <f>T144+AF144</f>
        <v/>
      </c>
      <c r="AJ144" s="113" t="n"/>
      <c r="AK144" s="114" t="n"/>
      <c r="AL144" s="114" t="n"/>
      <c r="AM144" s="113">
        <f>(O144-AG144)+AJ144</f>
        <v/>
      </c>
      <c r="AN144" s="114">
        <f>(P144-AH144)+AK144</f>
        <v/>
      </c>
      <c r="AO144" s="114">
        <f>(Q144-AI144)+AL144</f>
        <v/>
      </c>
      <c r="AP144" s="2">
        <f>IF(AM144&gt;0, "Under",IF(AM144&lt;0,"Over",""))</f>
        <v/>
      </c>
      <c r="AQ144" s="1">
        <f>IF(AN144&gt;0, "Under",IF(AN144&lt;0,"Over",""))</f>
        <v/>
      </c>
      <c r="AR144" s="1">
        <f>IF(AO144&gt;0, "Under",IF(AO144&lt;0,"Over",""))</f>
        <v/>
      </c>
      <c r="AS144" s="3" t="n"/>
    </row>
    <row r="145">
      <c r="A145" s="90" t="n"/>
      <c r="B145" s="90" t="n"/>
      <c r="C145" s="115" t="n"/>
      <c r="D145" s="116" t="n"/>
      <c r="E145" s="116" t="n"/>
      <c r="F145" s="115" t="n"/>
      <c r="G145" s="116" t="n"/>
      <c r="H145" s="116" t="n"/>
      <c r="I145" s="115" t="n"/>
      <c r="J145" s="116" t="n"/>
      <c r="K145" s="116" t="n"/>
      <c r="L145" s="115" t="n"/>
      <c r="M145" s="116" t="n"/>
      <c r="N145" s="116" t="n"/>
      <c r="O145" s="115">
        <f>L145+I145+F145+C145</f>
        <v/>
      </c>
      <c r="P145" s="116">
        <f>M145+J145+G145+D145</f>
        <v/>
      </c>
      <c r="Q145" s="116">
        <f>N145+K145+H145+E145</f>
        <v/>
      </c>
      <c r="R145" s="115">
        <f>SUMIFS('PO Log'!$E:$E,'PO Log'!$D:$D,'Category Table'!R$2,'PO Log'!$C:$C,'Category Table'!$A145)</f>
        <v/>
      </c>
      <c r="S145" s="116">
        <f>SUMIFS('PO Log'!$E:$E,'PO Log'!$D:$D,'Category Table'!S$2,'PO Log'!$C:$C,'Category Table'!$A145)</f>
        <v/>
      </c>
      <c r="T145" s="116">
        <f>SUMIFS('PO Log'!$E:$E,'PO Log'!$D:$D,'Category Table'!T$2,'PO Log'!$C:$C,'Category Table'!$A145)</f>
        <v/>
      </c>
      <c r="U145" s="115">
        <f>SUMIFS('Committments Dump'!$Q:$Q,'Committments Dump'!$C:$C,'Category Table'!U$2,'Committments Dump'!$B:$B,'Category Table'!$A145)</f>
        <v/>
      </c>
      <c r="V145" s="116">
        <f>SUMIFS('Committments Dump'!$Q:$Q,'Committments Dump'!$C:$C,'Category Table'!V$2,'Committments Dump'!$B:$B,'Category Table'!$A145)</f>
        <v/>
      </c>
      <c r="W145" s="116">
        <f>SUMIFS('Committments Dump'!$Q:$Q,'Committments Dump'!$C:$C,'Category Table'!W$2,'Committments Dump'!$B:$B,'Category Table'!$A145)</f>
        <v/>
      </c>
      <c r="X145" s="115">
        <f>SUMIFS('Committments Dump'!$R:$R,'Committments Dump'!$C:$C,'Category Table'!X$2,'Committments Dump'!$B:$B,'Category Table'!$A145)</f>
        <v/>
      </c>
      <c r="Y145" s="116">
        <f>SUMIFS('Committments Dump'!$R:$R,'Committments Dump'!$C:$C,'Category Table'!Y$2,'Committments Dump'!$B:$B,'Category Table'!$A145)</f>
        <v/>
      </c>
      <c r="Z145" s="116">
        <f>SUMIFS('Committments Dump'!$R:$R,'Committments Dump'!$C:$C,'Category Table'!Z$2,'Committments Dump'!$B:$B,'Category Table'!$A145)</f>
        <v/>
      </c>
      <c r="AA145" s="115">
        <f>SUMIFS('Committments Dump'!$S:$S,'Committments Dump'!$C:$C,'Category Table'!AA$2,'Committments Dump'!$B:$B,'Category Table'!$A145)</f>
        <v/>
      </c>
      <c r="AB145" s="116">
        <f>SUMIFS('Committments Dump'!$S:$S,'Committments Dump'!$C:$C,'Category Table'!AB$2,'Committments Dump'!$B:$B,'Category Table'!$A145)</f>
        <v/>
      </c>
      <c r="AC145" s="116">
        <f>SUMIFS('Committments Dump'!$S:$S,'Committments Dump'!$C:$C,'Category Table'!AC$2,'Committments Dump'!$B:$B,'Category Table'!$A145)</f>
        <v/>
      </c>
      <c r="AD145" s="115">
        <f>U145+X145+AA145</f>
        <v/>
      </c>
      <c r="AE145" s="116">
        <f>V145+Y145+AB145</f>
        <v/>
      </c>
      <c r="AF145" s="116">
        <f>W145+Z145+AC145</f>
        <v/>
      </c>
      <c r="AG145" s="115">
        <f>R145+AD145</f>
        <v/>
      </c>
      <c r="AH145" s="116">
        <f>S145+AE145</f>
        <v/>
      </c>
      <c r="AI145" s="116">
        <f>T145+AF145</f>
        <v/>
      </c>
      <c r="AJ145" s="115" t="n"/>
      <c r="AK145" s="116" t="n"/>
      <c r="AL145" s="116" t="n"/>
      <c r="AM145" s="115">
        <f>(O145-AG145)+AJ145</f>
        <v/>
      </c>
      <c r="AN145" s="116">
        <f>(P145-AH145)+AK145</f>
        <v/>
      </c>
      <c r="AO145" s="116">
        <f>(Q145-AI145)+AL145</f>
        <v/>
      </c>
      <c r="AP145" s="93">
        <f>IF(AM145&gt;0, "Under",IF(AM145&lt;0,"Over",""))</f>
        <v/>
      </c>
      <c r="AQ145" s="94">
        <f>IF(AN145&gt;0, "Under",IF(AN145&lt;0,"Over",""))</f>
        <v/>
      </c>
      <c r="AR145" s="94">
        <f>IF(AO145&gt;0, "Under",IF(AO145&lt;0,"Over",""))</f>
        <v/>
      </c>
      <c r="AS145" s="3" t="n"/>
    </row>
    <row r="146">
      <c r="C146" s="113" t="n"/>
      <c r="D146" s="114" t="n"/>
      <c r="E146" s="114" t="n"/>
      <c r="F146" s="113" t="n"/>
      <c r="G146" s="114" t="n"/>
      <c r="H146" s="114" t="n"/>
      <c r="I146" s="113" t="n"/>
      <c r="J146" s="114" t="n"/>
      <c r="K146" s="114" t="n"/>
      <c r="L146" s="113" t="n"/>
      <c r="M146" s="114" t="n"/>
      <c r="N146" s="114" t="n"/>
      <c r="O146" s="113">
        <f>L146+I146+F146+C146</f>
        <v/>
      </c>
      <c r="P146" s="114">
        <f>M146+J146+G146+D146</f>
        <v/>
      </c>
      <c r="Q146" s="114">
        <f>N146+K146+H146+E146</f>
        <v/>
      </c>
      <c r="R146" s="113">
        <f>SUMIFS('PO Log'!$E:$E,'PO Log'!$D:$D,'Category Table'!R$2,'PO Log'!$C:$C,'Category Table'!$A146)</f>
        <v/>
      </c>
      <c r="S146" s="114">
        <f>SUMIFS('PO Log'!$E:$E,'PO Log'!$D:$D,'Category Table'!S$2,'PO Log'!$C:$C,'Category Table'!$A146)</f>
        <v/>
      </c>
      <c r="T146" s="114">
        <f>SUMIFS('PO Log'!$E:$E,'PO Log'!$D:$D,'Category Table'!T$2,'PO Log'!$C:$C,'Category Table'!$A146)</f>
        <v/>
      </c>
      <c r="U146" s="113">
        <f>SUMIFS('Committments Dump'!$Q:$Q,'Committments Dump'!$C:$C,'Category Table'!U$2,'Committments Dump'!$B:$B,'Category Table'!$A146)</f>
        <v/>
      </c>
      <c r="V146" s="114">
        <f>SUMIFS('Committments Dump'!$Q:$Q,'Committments Dump'!$C:$C,'Category Table'!V$2,'Committments Dump'!$B:$B,'Category Table'!$A146)</f>
        <v/>
      </c>
      <c r="W146" s="114">
        <f>SUMIFS('Committments Dump'!$Q:$Q,'Committments Dump'!$C:$C,'Category Table'!W$2,'Committments Dump'!$B:$B,'Category Table'!$A146)</f>
        <v/>
      </c>
      <c r="X146" s="113">
        <f>SUMIFS('Committments Dump'!$R:$R,'Committments Dump'!$C:$C,'Category Table'!X$2,'Committments Dump'!$B:$B,'Category Table'!$A146)</f>
        <v/>
      </c>
      <c r="Y146" s="114">
        <f>SUMIFS('Committments Dump'!$R:$R,'Committments Dump'!$C:$C,'Category Table'!Y$2,'Committments Dump'!$B:$B,'Category Table'!$A146)</f>
        <v/>
      </c>
      <c r="Z146" s="114">
        <f>SUMIFS('Committments Dump'!$R:$R,'Committments Dump'!$C:$C,'Category Table'!Z$2,'Committments Dump'!$B:$B,'Category Table'!$A146)</f>
        <v/>
      </c>
      <c r="AA146" s="113">
        <f>SUMIFS('Committments Dump'!$S:$S,'Committments Dump'!$C:$C,'Category Table'!AA$2,'Committments Dump'!$B:$B,'Category Table'!$A146)</f>
        <v/>
      </c>
      <c r="AB146" s="114">
        <f>SUMIFS('Committments Dump'!$S:$S,'Committments Dump'!$C:$C,'Category Table'!AB$2,'Committments Dump'!$B:$B,'Category Table'!$A146)</f>
        <v/>
      </c>
      <c r="AC146" s="114">
        <f>SUMIFS('Committments Dump'!$S:$S,'Committments Dump'!$C:$C,'Category Table'!AC$2,'Committments Dump'!$B:$B,'Category Table'!$A146)</f>
        <v/>
      </c>
      <c r="AD146" s="113">
        <f>U146+X146+AA146</f>
        <v/>
      </c>
      <c r="AE146" s="114">
        <f>V146+Y146+AB146</f>
        <v/>
      </c>
      <c r="AF146" s="114">
        <f>W146+Z146+AC146</f>
        <v/>
      </c>
      <c r="AG146" s="113">
        <f>R146+AD146</f>
        <v/>
      </c>
      <c r="AH146" s="114">
        <f>S146+AE146</f>
        <v/>
      </c>
      <c r="AI146" s="114">
        <f>T146+AF146</f>
        <v/>
      </c>
      <c r="AJ146" s="113" t="n"/>
      <c r="AK146" s="114" t="n"/>
      <c r="AL146" s="114" t="n"/>
      <c r="AM146" s="113">
        <f>(O146-AG146)+AJ146</f>
        <v/>
      </c>
      <c r="AN146" s="114">
        <f>(P146-AH146)+AK146</f>
        <v/>
      </c>
      <c r="AO146" s="114">
        <f>(Q146-AI146)+AL146</f>
        <v/>
      </c>
      <c r="AP146" s="2">
        <f>IF(AM146&gt;0, "Under",IF(AM146&lt;0,"Over",""))</f>
        <v/>
      </c>
      <c r="AQ146" s="1">
        <f>IF(AN146&gt;0, "Under",IF(AN146&lt;0,"Over",""))</f>
        <v/>
      </c>
      <c r="AR146" s="1">
        <f>IF(AO146&gt;0, "Under",IF(AO146&lt;0,"Over",""))</f>
        <v/>
      </c>
      <c r="AS146" s="3" t="n"/>
    </row>
    <row r="147">
      <c r="A147" s="90" t="n"/>
      <c r="B147" s="90" t="n"/>
      <c r="C147" s="115" t="n"/>
      <c r="D147" s="116" t="n"/>
      <c r="E147" s="116" t="n"/>
      <c r="F147" s="115" t="n"/>
      <c r="G147" s="116" t="n"/>
      <c r="H147" s="116" t="n"/>
      <c r="I147" s="115" t="n"/>
      <c r="J147" s="116" t="n"/>
      <c r="K147" s="116" t="n"/>
      <c r="L147" s="115" t="n"/>
      <c r="M147" s="116" t="n"/>
      <c r="N147" s="116" t="n"/>
      <c r="O147" s="115">
        <f>L147+I147+F147+C147</f>
        <v/>
      </c>
      <c r="P147" s="116">
        <f>M147+J147+G147+D147</f>
        <v/>
      </c>
      <c r="Q147" s="116">
        <f>N147+K147+H147+E147</f>
        <v/>
      </c>
      <c r="R147" s="115">
        <f>SUMIFS('PO Log'!$E:$E,'PO Log'!$D:$D,'Category Table'!R$2,'PO Log'!$C:$C,'Category Table'!$A147)</f>
        <v/>
      </c>
      <c r="S147" s="116">
        <f>SUMIFS('PO Log'!$E:$E,'PO Log'!$D:$D,'Category Table'!S$2,'PO Log'!$C:$C,'Category Table'!$A147)</f>
        <v/>
      </c>
      <c r="T147" s="116">
        <f>SUMIFS('PO Log'!$E:$E,'PO Log'!$D:$D,'Category Table'!T$2,'PO Log'!$C:$C,'Category Table'!$A147)</f>
        <v/>
      </c>
      <c r="U147" s="115">
        <f>SUMIFS('Committments Dump'!$Q:$Q,'Committments Dump'!$C:$C,'Category Table'!U$2,'Committments Dump'!$B:$B,'Category Table'!$A147)</f>
        <v/>
      </c>
      <c r="V147" s="116">
        <f>SUMIFS('Committments Dump'!$Q:$Q,'Committments Dump'!$C:$C,'Category Table'!V$2,'Committments Dump'!$B:$B,'Category Table'!$A147)</f>
        <v/>
      </c>
      <c r="W147" s="116">
        <f>SUMIFS('Committments Dump'!$Q:$Q,'Committments Dump'!$C:$C,'Category Table'!W$2,'Committments Dump'!$B:$B,'Category Table'!$A147)</f>
        <v/>
      </c>
      <c r="X147" s="115">
        <f>SUMIFS('Committments Dump'!$R:$R,'Committments Dump'!$C:$C,'Category Table'!X$2,'Committments Dump'!$B:$B,'Category Table'!$A147)</f>
        <v/>
      </c>
      <c r="Y147" s="116">
        <f>SUMIFS('Committments Dump'!$R:$R,'Committments Dump'!$C:$C,'Category Table'!Y$2,'Committments Dump'!$B:$B,'Category Table'!$A147)</f>
        <v/>
      </c>
      <c r="Z147" s="116">
        <f>SUMIFS('Committments Dump'!$R:$R,'Committments Dump'!$C:$C,'Category Table'!Z$2,'Committments Dump'!$B:$B,'Category Table'!$A147)</f>
        <v/>
      </c>
      <c r="AA147" s="115">
        <f>SUMIFS('Committments Dump'!$S:$S,'Committments Dump'!$C:$C,'Category Table'!AA$2,'Committments Dump'!$B:$B,'Category Table'!$A147)</f>
        <v/>
      </c>
      <c r="AB147" s="116">
        <f>SUMIFS('Committments Dump'!$S:$S,'Committments Dump'!$C:$C,'Category Table'!AB$2,'Committments Dump'!$B:$B,'Category Table'!$A147)</f>
        <v/>
      </c>
      <c r="AC147" s="116">
        <f>SUMIFS('Committments Dump'!$S:$S,'Committments Dump'!$C:$C,'Category Table'!AC$2,'Committments Dump'!$B:$B,'Category Table'!$A147)</f>
        <v/>
      </c>
      <c r="AD147" s="115">
        <f>U147+X147+AA147</f>
        <v/>
      </c>
      <c r="AE147" s="116">
        <f>V147+Y147+AB147</f>
        <v/>
      </c>
      <c r="AF147" s="116">
        <f>W147+Z147+AC147</f>
        <v/>
      </c>
      <c r="AG147" s="115">
        <f>R147+AD147</f>
        <v/>
      </c>
      <c r="AH147" s="116">
        <f>S147+AE147</f>
        <v/>
      </c>
      <c r="AI147" s="116">
        <f>T147+AF147</f>
        <v/>
      </c>
      <c r="AJ147" s="115" t="n"/>
      <c r="AK147" s="116" t="n"/>
      <c r="AL147" s="116" t="n"/>
      <c r="AM147" s="115">
        <f>(O147-AG147)+AJ147</f>
        <v/>
      </c>
      <c r="AN147" s="116">
        <f>(P147-AH147)+AK147</f>
        <v/>
      </c>
      <c r="AO147" s="116">
        <f>(Q147-AI147)+AL147</f>
        <v/>
      </c>
      <c r="AP147" s="93">
        <f>IF(AM147&gt;0, "Under",IF(AM147&lt;0,"Over",""))</f>
        <v/>
      </c>
      <c r="AQ147" s="94">
        <f>IF(AN147&gt;0, "Under",IF(AN147&lt;0,"Over",""))</f>
        <v/>
      </c>
      <c r="AR147" s="94">
        <f>IF(AO147&gt;0, "Under",IF(AO147&lt;0,"Over",""))</f>
        <v/>
      </c>
      <c r="AS147" s="3" t="n"/>
    </row>
    <row r="148">
      <c r="C148" s="113" t="n"/>
      <c r="D148" s="114" t="n"/>
      <c r="E148" s="114" t="n"/>
      <c r="F148" s="113" t="n"/>
      <c r="G148" s="114" t="n"/>
      <c r="H148" s="114" t="n"/>
      <c r="I148" s="113" t="n"/>
      <c r="J148" s="114" t="n"/>
      <c r="K148" s="114" t="n"/>
      <c r="L148" s="113" t="n"/>
      <c r="M148" s="114" t="n"/>
      <c r="N148" s="114" t="n"/>
      <c r="O148" s="113">
        <f>L148+I148+F148+C148</f>
        <v/>
      </c>
      <c r="P148" s="114">
        <f>M148+J148+G148+D148</f>
        <v/>
      </c>
      <c r="Q148" s="114">
        <f>N148+K148+H148+E148</f>
        <v/>
      </c>
      <c r="R148" s="113">
        <f>SUMIFS('PO Log'!$E:$E,'PO Log'!$D:$D,'Category Table'!R$2,'PO Log'!$C:$C,'Category Table'!$A148)</f>
        <v/>
      </c>
      <c r="S148" s="114">
        <f>SUMIFS('PO Log'!$E:$E,'PO Log'!$D:$D,'Category Table'!S$2,'PO Log'!$C:$C,'Category Table'!$A148)</f>
        <v/>
      </c>
      <c r="T148" s="114">
        <f>SUMIFS('PO Log'!$E:$E,'PO Log'!$D:$D,'Category Table'!T$2,'PO Log'!$C:$C,'Category Table'!$A148)</f>
        <v/>
      </c>
      <c r="U148" s="113">
        <f>SUMIFS('Committments Dump'!$Q:$Q,'Committments Dump'!$C:$C,'Category Table'!U$2,'Committments Dump'!$B:$B,'Category Table'!$A148)</f>
        <v/>
      </c>
      <c r="V148" s="114">
        <f>SUMIFS('Committments Dump'!$Q:$Q,'Committments Dump'!$C:$C,'Category Table'!V$2,'Committments Dump'!$B:$B,'Category Table'!$A148)</f>
        <v/>
      </c>
      <c r="W148" s="114">
        <f>SUMIFS('Committments Dump'!$Q:$Q,'Committments Dump'!$C:$C,'Category Table'!W$2,'Committments Dump'!$B:$B,'Category Table'!$A148)</f>
        <v/>
      </c>
      <c r="X148" s="113">
        <f>SUMIFS('Committments Dump'!$R:$R,'Committments Dump'!$C:$C,'Category Table'!X$2,'Committments Dump'!$B:$B,'Category Table'!$A148)</f>
        <v/>
      </c>
      <c r="Y148" s="114">
        <f>SUMIFS('Committments Dump'!$R:$R,'Committments Dump'!$C:$C,'Category Table'!Y$2,'Committments Dump'!$B:$B,'Category Table'!$A148)</f>
        <v/>
      </c>
      <c r="Z148" s="114">
        <f>SUMIFS('Committments Dump'!$R:$R,'Committments Dump'!$C:$C,'Category Table'!Z$2,'Committments Dump'!$B:$B,'Category Table'!$A148)</f>
        <v/>
      </c>
      <c r="AA148" s="113">
        <f>SUMIFS('Committments Dump'!$S:$S,'Committments Dump'!$C:$C,'Category Table'!AA$2,'Committments Dump'!$B:$B,'Category Table'!$A148)</f>
        <v/>
      </c>
      <c r="AB148" s="114">
        <f>SUMIFS('Committments Dump'!$S:$S,'Committments Dump'!$C:$C,'Category Table'!AB$2,'Committments Dump'!$B:$B,'Category Table'!$A148)</f>
        <v/>
      </c>
      <c r="AC148" s="114">
        <f>SUMIFS('Committments Dump'!$S:$S,'Committments Dump'!$C:$C,'Category Table'!AC$2,'Committments Dump'!$B:$B,'Category Table'!$A148)</f>
        <v/>
      </c>
      <c r="AD148" s="113">
        <f>U148+X148+AA148</f>
        <v/>
      </c>
      <c r="AE148" s="114">
        <f>V148+Y148+AB148</f>
        <v/>
      </c>
      <c r="AF148" s="114">
        <f>W148+Z148+AC148</f>
        <v/>
      </c>
      <c r="AG148" s="113">
        <f>R148+AD148</f>
        <v/>
      </c>
      <c r="AH148" s="114">
        <f>S148+AE148</f>
        <v/>
      </c>
      <c r="AI148" s="114">
        <f>T148+AF148</f>
        <v/>
      </c>
      <c r="AJ148" s="113" t="n"/>
      <c r="AK148" s="114" t="n"/>
      <c r="AL148" s="114" t="n"/>
      <c r="AM148" s="113">
        <f>(O148-AG148)+AJ148</f>
        <v/>
      </c>
      <c r="AN148" s="114">
        <f>(P148-AH148)+AK148</f>
        <v/>
      </c>
      <c r="AO148" s="114">
        <f>(Q148-AI148)+AL148</f>
        <v/>
      </c>
      <c r="AP148" s="2">
        <f>IF(AM148&gt;0, "Under",IF(AM148&lt;0,"Over",""))</f>
        <v/>
      </c>
      <c r="AQ148" s="1">
        <f>IF(AN148&gt;0, "Under",IF(AN148&lt;0,"Over",""))</f>
        <v/>
      </c>
      <c r="AR148" s="1">
        <f>IF(AO148&gt;0, "Under",IF(AO148&lt;0,"Over",""))</f>
        <v/>
      </c>
      <c r="AS148" s="3" t="n"/>
    </row>
    <row r="149">
      <c r="A149" s="90" t="n"/>
      <c r="B149" s="90" t="n"/>
      <c r="C149" s="115" t="n"/>
      <c r="D149" s="116" t="n"/>
      <c r="E149" s="116" t="n"/>
      <c r="F149" s="115" t="n"/>
      <c r="G149" s="116" t="n"/>
      <c r="H149" s="116" t="n"/>
      <c r="I149" s="115" t="n"/>
      <c r="J149" s="116" t="n"/>
      <c r="K149" s="116" t="n"/>
      <c r="L149" s="115" t="n"/>
      <c r="M149" s="116" t="n"/>
      <c r="N149" s="116" t="n"/>
      <c r="O149" s="115">
        <f>L149+I149+F149+C149</f>
        <v/>
      </c>
      <c r="P149" s="116">
        <f>M149+J149+G149+D149</f>
        <v/>
      </c>
      <c r="Q149" s="116">
        <f>N149+K149+H149+E149</f>
        <v/>
      </c>
      <c r="R149" s="115">
        <f>SUMIFS('PO Log'!$E:$E,'PO Log'!$D:$D,'Category Table'!R$2,'PO Log'!$C:$C,'Category Table'!$A149)</f>
        <v/>
      </c>
      <c r="S149" s="116">
        <f>SUMIFS('PO Log'!$E:$E,'PO Log'!$D:$D,'Category Table'!S$2,'PO Log'!$C:$C,'Category Table'!$A149)</f>
        <v/>
      </c>
      <c r="T149" s="116">
        <f>SUMIFS('PO Log'!$E:$E,'PO Log'!$D:$D,'Category Table'!T$2,'PO Log'!$C:$C,'Category Table'!$A149)</f>
        <v/>
      </c>
      <c r="U149" s="115">
        <f>SUMIFS('Committments Dump'!$Q:$Q,'Committments Dump'!$C:$C,'Category Table'!U$2,'Committments Dump'!$B:$B,'Category Table'!$A149)</f>
        <v/>
      </c>
      <c r="V149" s="116">
        <f>SUMIFS('Committments Dump'!$Q:$Q,'Committments Dump'!$C:$C,'Category Table'!V$2,'Committments Dump'!$B:$B,'Category Table'!$A149)</f>
        <v/>
      </c>
      <c r="W149" s="116">
        <f>SUMIFS('Committments Dump'!$Q:$Q,'Committments Dump'!$C:$C,'Category Table'!W$2,'Committments Dump'!$B:$B,'Category Table'!$A149)</f>
        <v/>
      </c>
      <c r="X149" s="115">
        <f>SUMIFS('Committments Dump'!$R:$R,'Committments Dump'!$C:$C,'Category Table'!X$2,'Committments Dump'!$B:$B,'Category Table'!$A149)</f>
        <v/>
      </c>
      <c r="Y149" s="116">
        <f>SUMIFS('Committments Dump'!$R:$R,'Committments Dump'!$C:$C,'Category Table'!Y$2,'Committments Dump'!$B:$B,'Category Table'!$A149)</f>
        <v/>
      </c>
      <c r="Z149" s="116">
        <f>SUMIFS('Committments Dump'!$R:$R,'Committments Dump'!$C:$C,'Category Table'!Z$2,'Committments Dump'!$B:$B,'Category Table'!$A149)</f>
        <v/>
      </c>
      <c r="AA149" s="115">
        <f>SUMIFS('Committments Dump'!$S:$S,'Committments Dump'!$C:$C,'Category Table'!AA$2,'Committments Dump'!$B:$B,'Category Table'!$A149)</f>
        <v/>
      </c>
      <c r="AB149" s="116">
        <f>SUMIFS('Committments Dump'!$S:$S,'Committments Dump'!$C:$C,'Category Table'!AB$2,'Committments Dump'!$B:$B,'Category Table'!$A149)</f>
        <v/>
      </c>
      <c r="AC149" s="116">
        <f>SUMIFS('Committments Dump'!$S:$S,'Committments Dump'!$C:$C,'Category Table'!AC$2,'Committments Dump'!$B:$B,'Category Table'!$A149)</f>
        <v/>
      </c>
      <c r="AD149" s="115">
        <f>U149+X149+AA149</f>
        <v/>
      </c>
      <c r="AE149" s="116">
        <f>V149+Y149+AB149</f>
        <v/>
      </c>
      <c r="AF149" s="116">
        <f>W149+Z149+AC149</f>
        <v/>
      </c>
      <c r="AG149" s="115">
        <f>R149+AD149</f>
        <v/>
      </c>
      <c r="AH149" s="116">
        <f>S149+AE149</f>
        <v/>
      </c>
      <c r="AI149" s="116">
        <f>T149+AF149</f>
        <v/>
      </c>
      <c r="AJ149" s="115" t="n"/>
      <c r="AK149" s="116" t="n"/>
      <c r="AL149" s="116" t="n"/>
      <c r="AM149" s="115">
        <f>(O149-AG149)+AJ149</f>
        <v/>
      </c>
      <c r="AN149" s="116">
        <f>(P149-AH149)+AK149</f>
        <v/>
      </c>
      <c r="AO149" s="116">
        <f>(Q149-AI149)+AL149</f>
        <v/>
      </c>
      <c r="AP149" s="93">
        <f>IF(AM149&gt;0, "Under",IF(AM149&lt;0,"Over",""))</f>
        <v/>
      </c>
      <c r="AQ149" s="94">
        <f>IF(AN149&gt;0, "Under",IF(AN149&lt;0,"Over",""))</f>
        <v/>
      </c>
      <c r="AR149" s="94">
        <f>IF(AO149&gt;0, "Under",IF(AO149&lt;0,"Over",""))</f>
        <v/>
      </c>
      <c r="AS149" s="3" t="n"/>
    </row>
    <row r="150">
      <c r="C150" s="113" t="n"/>
      <c r="D150" s="114" t="n"/>
      <c r="E150" s="114" t="n"/>
      <c r="F150" s="113" t="n"/>
      <c r="G150" s="114" t="n"/>
      <c r="H150" s="114" t="n"/>
      <c r="I150" s="113" t="n"/>
      <c r="J150" s="114" t="n"/>
      <c r="K150" s="114" t="n"/>
      <c r="L150" s="113" t="n"/>
      <c r="M150" s="114" t="n"/>
      <c r="N150" s="114" t="n"/>
      <c r="O150" s="113">
        <f>L150+I150+F150+C150</f>
        <v/>
      </c>
      <c r="P150" s="114">
        <f>M150+J150+G150+D150</f>
        <v/>
      </c>
      <c r="Q150" s="114">
        <f>N150+K150+H150+E150</f>
        <v/>
      </c>
      <c r="R150" s="113">
        <f>SUMIFS('PO Log'!$E:$E,'PO Log'!$D:$D,'Category Table'!R$2,'PO Log'!$C:$C,'Category Table'!$A150)</f>
        <v/>
      </c>
      <c r="S150" s="114">
        <f>SUMIFS('PO Log'!$E:$E,'PO Log'!$D:$D,'Category Table'!S$2,'PO Log'!$C:$C,'Category Table'!$A150)</f>
        <v/>
      </c>
      <c r="T150" s="114">
        <f>SUMIFS('PO Log'!$E:$E,'PO Log'!$D:$D,'Category Table'!T$2,'PO Log'!$C:$C,'Category Table'!$A150)</f>
        <v/>
      </c>
      <c r="U150" s="113">
        <f>SUMIFS('Committments Dump'!$Q:$Q,'Committments Dump'!$C:$C,'Category Table'!U$2,'Committments Dump'!$B:$B,'Category Table'!$A150)</f>
        <v/>
      </c>
      <c r="V150" s="114">
        <f>SUMIFS('Committments Dump'!$Q:$Q,'Committments Dump'!$C:$C,'Category Table'!V$2,'Committments Dump'!$B:$B,'Category Table'!$A150)</f>
        <v/>
      </c>
      <c r="W150" s="114">
        <f>SUMIFS('Committments Dump'!$Q:$Q,'Committments Dump'!$C:$C,'Category Table'!W$2,'Committments Dump'!$B:$B,'Category Table'!$A150)</f>
        <v/>
      </c>
      <c r="X150" s="113">
        <f>SUMIFS('Committments Dump'!$R:$R,'Committments Dump'!$C:$C,'Category Table'!X$2,'Committments Dump'!$B:$B,'Category Table'!$A150)</f>
        <v/>
      </c>
      <c r="Y150" s="114">
        <f>SUMIFS('Committments Dump'!$R:$R,'Committments Dump'!$C:$C,'Category Table'!Y$2,'Committments Dump'!$B:$B,'Category Table'!$A150)</f>
        <v/>
      </c>
      <c r="Z150" s="114">
        <f>SUMIFS('Committments Dump'!$R:$R,'Committments Dump'!$C:$C,'Category Table'!Z$2,'Committments Dump'!$B:$B,'Category Table'!$A150)</f>
        <v/>
      </c>
      <c r="AA150" s="113">
        <f>SUMIFS('Committments Dump'!$S:$S,'Committments Dump'!$C:$C,'Category Table'!AA$2,'Committments Dump'!$B:$B,'Category Table'!$A150)</f>
        <v/>
      </c>
      <c r="AB150" s="114">
        <f>SUMIFS('Committments Dump'!$S:$S,'Committments Dump'!$C:$C,'Category Table'!AB$2,'Committments Dump'!$B:$B,'Category Table'!$A150)</f>
        <v/>
      </c>
      <c r="AC150" s="114">
        <f>SUMIFS('Committments Dump'!$S:$S,'Committments Dump'!$C:$C,'Category Table'!AC$2,'Committments Dump'!$B:$B,'Category Table'!$A150)</f>
        <v/>
      </c>
      <c r="AD150" s="113">
        <f>U150+X150+AA150</f>
        <v/>
      </c>
      <c r="AE150" s="114">
        <f>V150+Y150+AB150</f>
        <v/>
      </c>
      <c r="AF150" s="114">
        <f>W150+Z150+AC150</f>
        <v/>
      </c>
      <c r="AG150" s="113">
        <f>R150+AD150</f>
        <v/>
      </c>
      <c r="AH150" s="114">
        <f>S150+AE150</f>
        <v/>
      </c>
      <c r="AI150" s="114">
        <f>T150+AF150</f>
        <v/>
      </c>
      <c r="AJ150" s="113" t="n"/>
      <c r="AK150" s="114" t="n"/>
      <c r="AL150" s="114" t="n"/>
      <c r="AM150" s="113">
        <f>(O150-AG150)+AJ150</f>
        <v/>
      </c>
      <c r="AN150" s="114">
        <f>(P150-AH150)+AK150</f>
        <v/>
      </c>
      <c r="AO150" s="114">
        <f>(Q150-AI150)+AL150</f>
        <v/>
      </c>
      <c r="AP150" s="2">
        <f>IF(AM150&gt;0, "Under",IF(AM150&lt;0,"Over",""))</f>
        <v/>
      </c>
      <c r="AQ150" s="1">
        <f>IF(AN150&gt;0, "Under",IF(AN150&lt;0,"Over",""))</f>
        <v/>
      </c>
      <c r="AR150" s="1">
        <f>IF(AO150&gt;0, "Under",IF(AO150&lt;0,"Over",""))</f>
        <v/>
      </c>
      <c r="AS150" s="3" t="n"/>
    </row>
    <row r="151">
      <c r="A151" s="90" t="n"/>
      <c r="B151" s="90" t="n"/>
      <c r="C151" s="115" t="n"/>
      <c r="D151" s="116" t="n"/>
      <c r="E151" s="116" t="n"/>
      <c r="F151" s="115" t="n"/>
      <c r="G151" s="116" t="n"/>
      <c r="H151" s="116" t="n"/>
      <c r="I151" s="115" t="n"/>
      <c r="J151" s="116" t="n"/>
      <c r="K151" s="116" t="n"/>
      <c r="L151" s="115" t="n"/>
      <c r="M151" s="116" t="n"/>
      <c r="N151" s="116" t="n"/>
      <c r="O151" s="115">
        <f>L151+I151+F151+C151</f>
        <v/>
      </c>
      <c r="P151" s="116">
        <f>M151+J151+G151+D151</f>
        <v/>
      </c>
      <c r="Q151" s="116">
        <f>N151+K151+H151+E151</f>
        <v/>
      </c>
      <c r="R151" s="115">
        <f>SUMIFS('PO Log'!$E:$E,'PO Log'!$D:$D,'Category Table'!R$2,'PO Log'!$C:$C,'Category Table'!$A151)</f>
        <v/>
      </c>
      <c r="S151" s="116">
        <f>SUMIFS('PO Log'!$E:$E,'PO Log'!$D:$D,'Category Table'!S$2,'PO Log'!$C:$C,'Category Table'!$A151)</f>
        <v/>
      </c>
      <c r="T151" s="116">
        <f>SUMIFS('PO Log'!$E:$E,'PO Log'!$D:$D,'Category Table'!T$2,'PO Log'!$C:$C,'Category Table'!$A151)</f>
        <v/>
      </c>
      <c r="U151" s="115">
        <f>SUMIFS('Committments Dump'!$Q:$Q,'Committments Dump'!$C:$C,'Category Table'!U$2,'Committments Dump'!$B:$B,'Category Table'!$A151)</f>
        <v/>
      </c>
      <c r="V151" s="116">
        <f>SUMIFS('Committments Dump'!$Q:$Q,'Committments Dump'!$C:$C,'Category Table'!V$2,'Committments Dump'!$B:$B,'Category Table'!$A151)</f>
        <v/>
      </c>
      <c r="W151" s="116">
        <f>SUMIFS('Committments Dump'!$Q:$Q,'Committments Dump'!$C:$C,'Category Table'!W$2,'Committments Dump'!$B:$B,'Category Table'!$A151)</f>
        <v/>
      </c>
      <c r="X151" s="115">
        <f>SUMIFS('Committments Dump'!$R:$R,'Committments Dump'!$C:$C,'Category Table'!X$2,'Committments Dump'!$B:$B,'Category Table'!$A151)</f>
        <v/>
      </c>
      <c r="Y151" s="116">
        <f>SUMIFS('Committments Dump'!$R:$R,'Committments Dump'!$C:$C,'Category Table'!Y$2,'Committments Dump'!$B:$B,'Category Table'!$A151)</f>
        <v/>
      </c>
      <c r="Z151" s="116">
        <f>SUMIFS('Committments Dump'!$R:$R,'Committments Dump'!$C:$C,'Category Table'!Z$2,'Committments Dump'!$B:$B,'Category Table'!$A151)</f>
        <v/>
      </c>
      <c r="AA151" s="115">
        <f>SUMIFS('Committments Dump'!$S:$S,'Committments Dump'!$C:$C,'Category Table'!AA$2,'Committments Dump'!$B:$B,'Category Table'!$A151)</f>
        <v/>
      </c>
      <c r="AB151" s="116">
        <f>SUMIFS('Committments Dump'!$S:$S,'Committments Dump'!$C:$C,'Category Table'!AB$2,'Committments Dump'!$B:$B,'Category Table'!$A151)</f>
        <v/>
      </c>
      <c r="AC151" s="116">
        <f>SUMIFS('Committments Dump'!$S:$S,'Committments Dump'!$C:$C,'Category Table'!AC$2,'Committments Dump'!$B:$B,'Category Table'!$A151)</f>
        <v/>
      </c>
      <c r="AD151" s="115">
        <f>U151+X151+AA151</f>
        <v/>
      </c>
      <c r="AE151" s="116">
        <f>V151+Y151+AB151</f>
        <v/>
      </c>
      <c r="AF151" s="116">
        <f>W151+Z151+AC151</f>
        <v/>
      </c>
      <c r="AG151" s="115">
        <f>R151+AD151</f>
        <v/>
      </c>
      <c r="AH151" s="116">
        <f>S151+AE151</f>
        <v/>
      </c>
      <c r="AI151" s="116">
        <f>T151+AF151</f>
        <v/>
      </c>
      <c r="AJ151" s="115" t="n"/>
      <c r="AK151" s="116" t="n"/>
      <c r="AL151" s="116" t="n"/>
      <c r="AM151" s="115">
        <f>(O151-AG151)+AJ151</f>
        <v/>
      </c>
      <c r="AN151" s="116">
        <f>(P151-AH151)+AK151</f>
        <v/>
      </c>
      <c r="AO151" s="116">
        <f>(Q151-AI151)+AL151</f>
        <v/>
      </c>
      <c r="AP151" s="93">
        <f>IF(AM151&gt;0, "Under",IF(AM151&lt;0,"Over",""))</f>
        <v/>
      </c>
      <c r="AQ151" s="94">
        <f>IF(AN151&gt;0, "Under",IF(AN151&lt;0,"Over",""))</f>
        <v/>
      </c>
      <c r="AR151" s="94">
        <f>IF(AO151&gt;0, "Under",IF(AO151&lt;0,"Over",""))</f>
        <v/>
      </c>
      <c r="AS151" s="3" t="n"/>
    </row>
    <row r="152">
      <c r="C152" s="113" t="n"/>
      <c r="D152" s="114" t="n"/>
      <c r="E152" s="114" t="n"/>
      <c r="F152" s="113" t="n"/>
      <c r="G152" s="114" t="n"/>
      <c r="H152" s="114" t="n"/>
      <c r="I152" s="113" t="n"/>
      <c r="J152" s="114" t="n"/>
      <c r="K152" s="114" t="n"/>
      <c r="L152" s="113" t="n"/>
      <c r="M152" s="114" t="n"/>
      <c r="N152" s="114" t="n"/>
      <c r="O152" s="113">
        <f>L152+I152+F152+C152</f>
        <v/>
      </c>
      <c r="P152" s="114">
        <f>M152+J152+G152+D152</f>
        <v/>
      </c>
      <c r="Q152" s="114">
        <f>N152+K152+H152+E152</f>
        <v/>
      </c>
      <c r="R152" s="113">
        <f>SUMIFS('PO Log'!$E:$E,'PO Log'!$D:$D,'Category Table'!R$2,'PO Log'!$C:$C,'Category Table'!$A152)</f>
        <v/>
      </c>
      <c r="S152" s="114">
        <f>SUMIFS('PO Log'!$E:$E,'PO Log'!$D:$D,'Category Table'!S$2,'PO Log'!$C:$C,'Category Table'!$A152)</f>
        <v/>
      </c>
      <c r="T152" s="114">
        <f>SUMIFS('PO Log'!$E:$E,'PO Log'!$D:$D,'Category Table'!T$2,'PO Log'!$C:$C,'Category Table'!$A152)</f>
        <v/>
      </c>
      <c r="U152" s="113">
        <f>SUMIFS('Committments Dump'!$Q:$Q,'Committments Dump'!$C:$C,'Category Table'!U$2,'Committments Dump'!$B:$B,'Category Table'!$A152)</f>
        <v/>
      </c>
      <c r="V152" s="114">
        <f>SUMIFS('Committments Dump'!$Q:$Q,'Committments Dump'!$C:$C,'Category Table'!V$2,'Committments Dump'!$B:$B,'Category Table'!$A152)</f>
        <v/>
      </c>
      <c r="W152" s="114">
        <f>SUMIFS('Committments Dump'!$Q:$Q,'Committments Dump'!$C:$C,'Category Table'!W$2,'Committments Dump'!$B:$B,'Category Table'!$A152)</f>
        <v/>
      </c>
      <c r="X152" s="113">
        <f>SUMIFS('Committments Dump'!$R:$R,'Committments Dump'!$C:$C,'Category Table'!X$2,'Committments Dump'!$B:$B,'Category Table'!$A152)</f>
        <v/>
      </c>
      <c r="Y152" s="114">
        <f>SUMIFS('Committments Dump'!$R:$R,'Committments Dump'!$C:$C,'Category Table'!Y$2,'Committments Dump'!$B:$B,'Category Table'!$A152)</f>
        <v/>
      </c>
      <c r="Z152" s="114">
        <f>SUMIFS('Committments Dump'!$R:$R,'Committments Dump'!$C:$C,'Category Table'!Z$2,'Committments Dump'!$B:$B,'Category Table'!$A152)</f>
        <v/>
      </c>
      <c r="AA152" s="113">
        <f>SUMIFS('Committments Dump'!$S:$S,'Committments Dump'!$C:$C,'Category Table'!AA$2,'Committments Dump'!$B:$B,'Category Table'!$A152)</f>
        <v/>
      </c>
      <c r="AB152" s="114">
        <f>SUMIFS('Committments Dump'!$S:$S,'Committments Dump'!$C:$C,'Category Table'!AB$2,'Committments Dump'!$B:$B,'Category Table'!$A152)</f>
        <v/>
      </c>
      <c r="AC152" s="114">
        <f>SUMIFS('Committments Dump'!$S:$S,'Committments Dump'!$C:$C,'Category Table'!AC$2,'Committments Dump'!$B:$B,'Category Table'!$A152)</f>
        <v/>
      </c>
      <c r="AD152" s="113">
        <f>U152+X152+AA152</f>
        <v/>
      </c>
      <c r="AE152" s="114">
        <f>V152+Y152+AB152</f>
        <v/>
      </c>
      <c r="AF152" s="114">
        <f>W152+Z152+AC152</f>
        <v/>
      </c>
      <c r="AG152" s="113">
        <f>R152+AD152</f>
        <v/>
      </c>
      <c r="AH152" s="114">
        <f>S152+AE152</f>
        <v/>
      </c>
      <c r="AI152" s="114">
        <f>T152+AF152</f>
        <v/>
      </c>
      <c r="AJ152" s="113" t="n"/>
      <c r="AK152" s="114" t="n"/>
      <c r="AL152" s="114" t="n"/>
      <c r="AM152" s="113">
        <f>(O152-AG152)+AJ152</f>
        <v/>
      </c>
      <c r="AN152" s="114">
        <f>(P152-AH152)+AK152</f>
        <v/>
      </c>
      <c r="AO152" s="114">
        <f>(Q152-AI152)+AL152</f>
        <v/>
      </c>
      <c r="AP152" s="2">
        <f>IF(AM152&gt;0, "Under",IF(AM152&lt;0,"Over",""))</f>
        <v/>
      </c>
      <c r="AQ152" s="1">
        <f>IF(AN152&gt;0, "Under",IF(AN152&lt;0,"Over",""))</f>
        <v/>
      </c>
      <c r="AR152" s="1">
        <f>IF(AO152&gt;0, "Under",IF(AO152&lt;0,"Over",""))</f>
        <v/>
      </c>
      <c r="AS152" s="3" t="n"/>
    </row>
    <row r="153">
      <c r="A153" s="90" t="n"/>
      <c r="B153" s="90" t="n"/>
      <c r="C153" s="115" t="n"/>
      <c r="D153" s="116" t="n"/>
      <c r="E153" s="116" t="n"/>
      <c r="F153" s="115" t="n"/>
      <c r="G153" s="116" t="n"/>
      <c r="H153" s="116" t="n"/>
      <c r="I153" s="115" t="n"/>
      <c r="J153" s="116" t="n"/>
      <c r="K153" s="116" t="n"/>
      <c r="L153" s="115" t="n"/>
      <c r="M153" s="116" t="n"/>
      <c r="N153" s="116" t="n"/>
      <c r="O153" s="115">
        <f>L153+I153+F153+C153</f>
        <v/>
      </c>
      <c r="P153" s="116">
        <f>M153+J153+G153+D153</f>
        <v/>
      </c>
      <c r="Q153" s="116">
        <f>N153+K153+H153+E153</f>
        <v/>
      </c>
      <c r="R153" s="115">
        <f>SUMIFS('PO Log'!$E:$E,'PO Log'!$D:$D,'Category Table'!R$2,'PO Log'!$C:$C,'Category Table'!$A153)</f>
        <v/>
      </c>
      <c r="S153" s="116">
        <f>SUMIFS('PO Log'!$E:$E,'PO Log'!$D:$D,'Category Table'!S$2,'PO Log'!$C:$C,'Category Table'!$A153)</f>
        <v/>
      </c>
      <c r="T153" s="116">
        <f>SUMIFS('PO Log'!$E:$E,'PO Log'!$D:$D,'Category Table'!T$2,'PO Log'!$C:$C,'Category Table'!$A153)</f>
        <v/>
      </c>
      <c r="U153" s="115">
        <f>SUMIFS('Committments Dump'!$Q:$Q,'Committments Dump'!$C:$C,'Category Table'!U$2,'Committments Dump'!$B:$B,'Category Table'!$A153)</f>
        <v/>
      </c>
      <c r="V153" s="116">
        <f>SUMIFS('Committments Dump'!$Q:$Q,'Committments Dump'!$C:$C,'Category Table'!V$2,'Committments Dump'!$B:$B,'Category Table'!$A153)</f>
        <v/>
      </c>
      <c r="W153" s="116">
        <f>SUMIFS('Committments Dump'!$Q:$Q,'Committments Dump'!$C:$C,'Category Table'!W$2,'Committments Dump'!$B:$B,'Category Table'!$A153)</f>
        <v/>
      </c>
      <c r="X153" s="115">
        <f>SUMIFS('Committments Dump'!$R:$R,'Committments Dump'!$C:$C,'Category Table'!X$2,'Committments Dump'!$B:$B,'Category Table'!$A153)</f>
        <v/>
      </c>
      <c r="Y153" s="116">
        <f>SUMIFS('Committments Dump'!$R:$R,'Committments Dump'!$C:$C,'Category Table'!Y$2,'Committments Dump'!$B:$B,'Category Table'!$A153)</f>
        <v/>
      </c>
      <c r="Z153" s="116">
        <f>SUMIFS('Committments Dump'!$R:$R,'Committments Dump'!$C:$C,'Category Table'!Z$2,'Committments Dump'!$B:$B,'Category Table'!$A153)</f>
        <v/>
      </c>
      <c r="AA153" s="115">
        <f>SUMIFS('Committments Dump'!$S:$S,'Committments Dump'!$C:$C,'Category Table'!AA$2,'Committments Dump'!$B:$B,'Category Table'!$A153)</f>
        <v/>
      </c>
      <c r="AB153" s="116">
        <f>SUMIFS('Committments Dump'!$S:$S,'Committments Dump'!$C:$C,'Category Table'!AB$2,'Committments Dump'!$B:$B,'Category Table'!$A153)</f>
        <v/>
      </c>
      <c r="AC153" s="116">
        <f>SUMIFS('Committments Dump'!$S:$S,'Committments Dump'!$C:$C,'Category Table'!AC$2,'Committments Dump'!$B:$B,'Category Table'!$A153)</f>
        <v/>
      </c>
      <c r="AD153" s="115">
        <f>U153+X153+AA153</f>
        <v/>
      </c>
      <c r="AE153" s="116">
        <f>V153+Y153+AB153</f>
        <v/>
      </c>
      <c r="AF153" s="116">
        <f>W153+Z153+AC153</f>
        <v/>
      </c>
      <c r="AG153" s="115">
        <f>R153+AD153</f>
        <v/>
      </c>
      <c r="AH153" s="116">
        <f>S153+AE153</f>
        <v/>
      </c>
      <c r="AI153" s="116">
        <f>T153+AF153</f>
        <v/>
      </c>
      <c r="AJ153" s="115" t="n"/>
      <c r="AK153" s="116" t="n"/>
      <c r="AL153" s="116" t="n"/>
      <c r="AM153" s="115">
        <f>(O153-AG153)+AJ153</f>
        <v/>
      </c>
      <c r="AN153" s="116">
        <f>(P153-AH153)+AK153</f>
        <v/>
      </c>
      <c r="AO153" s="116">
        <f>(Q153-AI153)+AL153</f>
        <v/>
      </c>
      <c r="AP153" s="93">
        <f>IF(AM153&gt;0, "Under",IF(AM153&lt;0,"Over",""))</f>
        <v/>
      </c>
      <c r="AQ153" s="94">
        <f>IF(AN153&gt;0, "Under",IF(AN153&lt;0,"Over",""))</f>
        <v/>
      </c>
      <c r="AR153" s="94">
        <f>IF(AO153&gt;0, "Under",IF(AO153&lt;0,"Over",""))</f>
        <v/>
      </c>
      <c r="AS153" s="3" t="n"/>
    </row>
    <row r="154">
      <c r="C154" s="113" t="n"/>
      <c r="D154" s="114" t="n"/>
      <c r="E154" s="114" t="n"/>
      <c r="F154" s="113" t="n"/>
      <c r="G154" s="114" t="n"/>
      <c r="H154" s="114" t="n"/>
      <c r="I154" s="113" t="n"/>
      <c r="J154" s="114" t="n"/>
      <c r="K154" s="114" t="n"/>
      <c r="L154" s="113" t="n"/>
      <c r="M154" s="114" t="n"/>
      <c r="N154" s="114" t="n"/>
      <c r="O154" s="113">
        <f>L154+I154+F154+C154</f>
        <v/>
      </c>
      <c r="P154" s="114">
        <f>M154+J154+G154+D154</f>
        <v/>
      </c>
      <c r="Q154" s="114">
        <f>N154+K154+H154+E154</f>
        <v/>
      </c>
      <c r="R154" s="113">
        <f>SUMIFS('PO Log'!$E:$E,'PO Log'!$D:$D,'Category Table'!R$2,'PO Log'!$C:$C,'Category Table'!$A154)</f>
        <v/>
      </c>
      <c r="S154" s="114">
        <f>SUMIFS('PO Log'!$E:$E,'PO Log'!$D:$D,'Category Table'!S$2,'PO Log'!$C:$C,'Category Table'!$A154)</f>
        <v/>
      </c>
      <c r="T154" s="114">
        <f>SUMIFS('PO Log'!$E:$E,'PO Log'!$D:$D,'Category Table'!T$2,'PO Log'!$C:$C,'Category Table'!$A154)</f>
        <v/>
      </c>
      <c r="U154" s="113">
        <f>SUMIFS('Committments Dump'!$Q:$Q,'Committments Dump'!$C:$C,'Category Table'!U$2,'Committments Dump'!$B:$B,'Category Table'!$A154)</f>
        <v/>
      </c>
      <c r="V154" s="114">
        <f>SUMIFS('Committments Dump'!$Q:$Q,'Committments Dump'!$C:$C,'Category Table'!V$2,'Committments Dump'!$B:$B,'Category Table'!$A154)</f>
        <v/>
      </c>
      <c r="W154" s="114">
        <f>SUMIFS('Committments Dump'!$Q:$Q,'Committments Dump'!$C:$C,'Category Table'!W$2,'Committments Dump'!$B:$B,'Category Table'!$A154)</f>
        <v/>
      </c>
      <c r="X154" s="113">
        <f>SUMIFS('Committments Dump'!$R:$R,'Committments Dump'!$C:$C,'Category Table'!X$2,'Committments Dump'!$B:$B,'Category Table'!$A154)</f>
        <v/>
      </c>
      <c r="Y154" s="114">
        <f>SUMIFS('Committments Dump'!$R:$R,'Committments Dump'!$C:$C,'Category Table'!Y$2,'Committments Dump'!$B:$B,'Category Table'!$A154)</f>
        <v/>
      </c>
      <c r="Z154" s="114">
        <f>SUMIFS('Committments Dump'!$R:$R,'Committments Dump'!$C:$C,'Category Table'!Z$2,'Committments Dump'!$B:$B,'Category Table'!$A154)</f>
        <v/>
      </c>
      <c r="AA154" s="113">
        <f>SUMIFS('Committments Dump'!$S:$S,'Committments Dump'!$C:$C,'Category Table'!AA$2,'Committments Dump'!$B:$B,'Category Table'!$A154)</f>
        <v/>
      </c>
      <c r="AB154" s="114">
        <f>SUMIFS('Committments Dump'!$S:$S,'Committments Dump'!$C:$C,'Category Table'!AB$2,'Committments Dump'!$B:$B,'Category Table'!$A154)</f>
        <v/>
      </c>
      <c r="AC154" s="114">
        <f>SUMIFS('Committments Dump'!$S:$S,'Committments Dump'!$C:$C,'Category Table'!AC$2,'Committments Dump'!$B:$B,'Category Table'!$A154)</f>
        <v/>
      </c>
      <c r="AD154" s="113">
        <f>U154+X154+AA154</f>
        <v/>
      </c>
      <c r="AE154" s="114">
        <f>V154+Y154+AB154</f>
        <v/>
      </c>
      <c r="AF154" s="114">
        <f>W154+Z154+AC154</f>
        <v/>
      </c>
      <c r="AG154" s="113">
        <f>R154+AD154</f>
        <v/>
      </c>
      <c r="AH154" s="114">
        <f>S154+AE154</f>
        <v/>
      </c>
      <c r="AI154" s="114">
        <f>T154+AF154</f>
        <v/>
      </c>
      <c r="AJ154" s="113" t="n"/>
      <c r="AK154" s="114" t="n"/>
      <c r="AL154" s="114" t="n"/>
      <c r="AM154" s="113">
        <f>(O154-AG154)+AJ154</f>
        <v/>
      </c>
      <c r="AN154" s="114">
        <f>(P154-AH154)+AK154</f>
        <v/>
      </c>
      <c r="AO154" s="114">
        <f>(Q154-AI154)+AL154</f>
        <v/>
      </c>
      <c r="AP154" s="2">
        <f>IF(AM154&gt;0, "Under",IF(AM154&lt;0,"Over",""))</f>
        <v/>
      </c>
      <c r="AQ154" s="1">
        <f>IF(AN154&gt;0, "Under",IF(AN154&lt;0,"Over",""))</f>
        <v/>
      </c>
      <c r="AR154" s="1">
        <f>IF(AO154&gt;0, "Under",IF(AO154&lt;0,"Over",""))</f>
        <v/>
      </c>
      <c r="AS154" s="3" t="n"/>
    </row>
    <row r="155">
      <c r="A155" s="90" t="n"/>
      <c r="B155" s="90" t="n"/>
      <c r="C155" s="115" t="n"/>
      <c r="D155" s="116" t="n"/>
      <c r="E155" s="116" t="n"/>
      <c r="F155" s="115" t="n"/>
      <c r="G155" s="116" t="n"/>
      <c r="H155" s="116" t="n"/>
      <c r="I155" s="115" t="n"/>
      <c r="J155" s="116" t="n"/>
      <c r="K155" s="116" t="n"/>
      <c r="L155" s="115" t="n"/>
      <c r="M155" s="116" t="n"/>
      <c r="N155" s="116" t="n"/>
      <c r="O155" s="115">
        <f>L155+I155+F155+C155</f>
        <v/>
      </c>
      <c r="P155" s="116">
        <f>M155+J155+G155+D155</f>
        <v/>
      </c>
      <c r="Q155" s="116">
        <f>N155+K155+H155+E155</f>
        <v/>
      </c>
      <c r="R155" s="115">
        <f>SUMIFS('PO Log'!$E:$E,'PO Log'!$D:$D,'Category Table'!R$2,'PO Log'!$C:$C,'Category Table'!$A155)</f>
        <v/>
      </c>
      <c r="S155" s="116">
        <f>SUMIFS('PO Log'!$E:$E,'PO Log'!$D:$D,'Category Table'!S$2,'PO Log'!$C:$C,'Category Table'!$A155)</f>
        <v/>
      </c>
      <c r="T155" s="116">
        <f>SUMIFS('PO Log'!$E:$E,'PO Log'!$D:$D,'Category Table'!T$2,'PO Log'!$C:$C,'Category Table'!$A155)</f>
        <v/>
      </c>
      <c r="U155" s="115">
        <f>SUMIFS('Committments Dump'!$Q:$Q,'Committments Dump'!$C:$C,'Category Table'!U$2,'Committments Dump'!$B:$B,'Category Table'!$A155)</f>
        <v/>
      </c>
      <c r="V155" s="116">
        <f>SUMIFS('Committments Dump'!$Q:$Q,'Committments Dump'!$C:$C,'Category Table'!V$2,'Committments Dump'!$B:$B,'Category Table'!$A155)</f>
        <v/>
      </c>
      <c r="W155" s="116">
        <f>SUMIFS('Committments Dump'!$Q:$Q,'Committments Dump'!$C:$C,'Category Table'!W$2,'Committments Dump'!$B:$B,'Category Table'!$A155)</f>
        <v/>
      </c>
      <c r="X155" s="115">
        <f>SUMIFS('Committments Dump'!$R:$R,'Committments Dump'!$C:$C,'Category Table'!X$2,'Committments Dump'!$B:$B,'Category Table'!$A155)</f>
        <v/>
      </c>
      <c r="Y155" s="116">
        <f>SUMIFS('Committments Dump'!$R:$R,'Committments Dump'!$C:$C,'Category Table'!Y$2,'Committments Dump'!$B:$B,'Category Table'!$A155)</f>
        <v/>
      </c>
      <c r="Z155" s="116">
        <f>SUMIFS('Committments Dump'!$R:$R,'Committments Dump'!$C:$C,'Category Table'!Z$2,'Committments Dump'!$B:$B,'Category Table'!$A155)</f>
        <v/>
      </c>
      <c r="AA155" s="115">
        <f>SUMIFS('Committments Dump'!$S:$S,'Committments Dump'!$C:$C,'Category Table'!AA$2,'Committments Dump'!$B:$B,'Category Table'!$A155)</f>
        <v/>
      </c>
      <c r="AB155" s="116">
        <f>SUMIFS('Committments Dump'!$S:$S,'Committments Dump'!$C:$C,'Category Table'!AB$2,'Committments Dump'!$B:$B,'Category Table'!$A155)</f>
        <v/>
      </c>
      <c r="AC155" s="116">
        <f>SUMIFS('Committments Dump'!$S:$S,'Committments Dump'!$C:$C,'Category Table'!AC$2,'Committments Dump'!$B:$B,'Category Table'!$A155)</f>
        <v/>
      </c>
      <c r="AD155" s="115">
        <f>U155+X155+AA155</f>
        <v/>
      </c>
      <c r="AE155" s="116">
        <f>V155+Y155+AB155</f>
        <v/>
      </c>
      <c r="AF155" s="116">
        <f>W155+Z155+AC155</f>
        <v/>
      </c>
      <c r="AG155" s="115">
        <f>R155+AD155</f>
        <v/>
      </c>
      <c r="AH155" s="116">
        <f>S155+AE155</f>
        <v/>
      </c>
      <c r="AI155" s="116">
        <f>T155+AF155</f>
        <v/>
      </c>
      <c r="AJ155" s="115" t="n"/>
      <c r="AK155" s="116" t="n"/>
      <c r="AL155" s="116" t="n"/>
      <c r="AM155" s="115">
        <f>(O155-AG155)+AJ155</f>
        <v/>
      </c>
      <c r="AN155" s="116">
        <f>(P155-AH155)+AK155</f>
        <v/>
      </c>
      <c r="AO155" s="116">
        <f>(Q155-AI155)+AL155</f>
        <v/>
      </c>
      <c r="AP155" s="93">
        <f>IF(AM155&gt;0, "Under",IF(AM155&lt;0,"Over",""))</f>
        <v/>
      </c>
      <c r="AQ155" s="94">
        <f>IF(AN155&gt;0, "Under",IF(AN155&lt;0,"Over",""))</f>
        <v/>
      </c>
      <c r="AR155" s="94">
        <f>IF(AO155&gt;0, "Under",IF(AO155&lt;0,"Over",""))</f>
        <v/>
      </c>
      <c r="AS155" s="3" t="n"/>
    </row>
    <row r="156">
      <c r="C156" s="113" t="n"/>
      <c r="D156" s="114" t="n"/>
      <c r="E156" s="114" t="n"/>
      <c r="F156" s="113" t="n"/>
      <c r="G156" s="114" t="n"/>
      <c r="H156" s="114" t="n"/>
      <c r="I156" s="113" t="n"/>
      <c r="J156" s="114" t="n"/>
      <c r="K156" s="114" t="n"/>
      <c r="L156" s="113" t="n"/>
      <c r="M156" s="114" t="n"/>
      <c r="N156" s="114" t="n"/>
      <c r="O156" s="113">
        <f>L156+I156+F156+C156</f>
        <v/>
      </c>
      <c r="P156" s="114">
        <f>M156+J156+G156+D156</f>
        <v/>
      </c>
      <c r="Q156" s="114">
        <f>N156+K156+H156+E156</f>
        <v/>
      </c>
      <c r="R156" s="113">
        <f>SUMIFS('PO Log'!$E:$E,'PO Log'!$D:$D,'Category Table'!R$2,'PO Log'!$C:$C,'Category Table'!$A156)</f>
        <v/>
      </c>
      <c r="S156" s="114">
        <f>SUMIFS('PO Log'!$E:$E,'PO Log'!$D:$D,'Category Table'!S$2,'PO Log'!$C:$C,'Category Table'!$A156)</f>
        <v/>
      </c>
      <c r="T156" s="114">
        <f>SUMIFS('PO Log'!$E:$E,'PO Log'!$D:$D,'Category Table'!T$2,'PO Log'!$C:$C,'Category Table'!$A156)</f>
        <v/>
      </c>
      <c r="U156" s="113">
        <f>SUMIFS('Committments Dump'!$Q:$Q,'Committments Dump'!$C:$C,'Category Table'!U$2,'Committments Dump'!$B:$B,'Category Table'!$A156)</f>
        <v/>
      </c>
      <c r="V156" s="114">
        <f>SUMIFS('Committments Dump'!$Q:$Q,'Committments Dump'!$C:$C,'Category Table'!V$2,'Committments Dump'!$B:$B,'Category Table'!$A156)</f>
        <v/>
      </c>
      <c r="W156" s="114">
        <f>SUMIFS('Committments Dump'!$Q:$Q,'Committments Dump'!$C:$C,'Category Table'!W$2,'Committments Dump'!$B:$B,'Category Table'!$A156)</f>
        <v/>
      </c>
      <c r="X156" s="113">
        <f>SUMIFS('Committments Dump'!$R:$R,'Committments Dump'!$C:$C,'Category Table'!X$2,'Committments Dump'!$B:$B,'Category Table'!$A156)</f>
        <v/>
      </c>
      <c r="Y156" s="114">
        <f>SUMIFS('Committments Dump'!$R:$R,'Committments Dump'!$C:$C,'Category Table'!Y$2,'Committments Dump'!$B:$B,'Category Table'!$A156)</f>
        <v/>
      </c>
      <c r="Z156" s="114">
        <f>SUMIFS('Committments Dump'!$R:$R,'Committments Dump'!$C:$C,'Category Table'!Z$2,'Committments Dump'!$B:$B,'Category Table'!$A156)</f>
        <v/>
      </c>
      <c r="AA156" s="113">
        <f>SUMIFS('Committments Dump'!$S:$S,'Committments Dump'!$C:$C,'Category Table'!AA$2,'Committments Dump'!$B:$B,'Category Table'!$A156)</f>
        <v/>
      </c>
      <c r="AB156" s="114">
        <f>SUMIFS('Committments Dump'!$S:$S,'Committments Dump'!$C:$C,'Category Table'!AB$2,'Committments Dump'!$B:$B,'Category Table'!$A156)</f>
        <v/>
      </c>
      <c r="AC156" s="114">
        <f>SUMIFS('Committments Dump'!$S:$S,'Committments Dump'!$C:$C,'Category Table'!AC$2,'Committments Dump'!$B:$B,'Category Table'!$A156)</f>
        <v/>
      </c>
      <c r="AD156" s="113">
        <f>U156+X156+AA156</f>
        <v/>
      </c>
      <c r="AE156" s="114">
        <f>V156+Y156+AB156</f>
        <v/>
      </c>
      <c r="AF156" s="114">
        <f>W156+Z156+AC156</f>
        <v/>
      </c>
      <c r="AG156" s="113">
        <f>R156+AD156</f>
        <v/>
      </c>
      <c r="AH156" s="114">
        <f>S156+AE156</f>
        <v/>
      </c>
      <c r="AI156" s="114">
        <f>T156+AF156</f>
        <v/>
      </c>
      <c r="AJ156" s="113" t="n"/>
      <c r="AK156" s="114" t="n"/>
      <c r="AL156" s="114" t="n"/>
      <c r="AM156" s="113">
        <f>(O156-AG156)+AJ156</f>
        <v/>
      </c>
      <c r="AN156" s="114">
        <f>(P156-AH156)+AK156</f>
        <v/>
      </c>
      <c r="AO156" s="114">
        <f>(Q156-AI156)+AL156</f>
        <v/>
      </c>
      <c r="AP156" s="2">
        <f>IF(AM156&gt;0, "Under",IF(AM156&lt;0,"Over",""))</f>
        <v/>
      </c>
      <c r="AQ156" s="1">
        <f>IF(AN156&gt;0, "Under",IF(AN156&lt;0,"Over",""))</f>
        <v/>
      </c>
      <c r="AR156" s="1">
        <f>IF(AO156&gt;0, "Under",IF(AO156&lt;0,"Over",""))</f>
        <v/>
      </c>
      <c r="AS156" s="3" t="n"/>
    </row>
    <row r="157">
      <c r="A157" s="90" t="n"/>
      <c r="B157" s="90" t="n"/>
      <c r="C157" s="115" t="n"/>
      <c r="D157" s="116" t="n"/>
      <c r="E157" s="116" t="n"/>
      <c r="F157" s="115" t="n"/>
      <c r="G157" s="116" t="n"/>
      <c r="H157" s="116" t="n"/>
      <c r="I157" s="115" t="n"/>
      <c r="J157" s="116" t="n"/>
      <c r="K157" s="116" t="n"/>
      <c r="L157" s="115" t="n"/>
      <c r="M157" s="116" t="n"/>
      <c r="N157" s="116" t="n"/>
      <c r="O157" s="115">
        <f>L157+I157+F157+C157</f>
        <v/>
      </c>
      <c r="P157" s="116">
        <f>M157+J157+G157+D157</f>
        <v/>
      </c>
      <c r="Q157" s="116">
        <f>N157+K157+H157+E157</f>
        <v/>
      </c>
      <c r="R157" s="115">
        <f>SUMIFS('PO Log'!$E:$E,'PO Log'!$D:$D,'Category Table'!R$2,'PO Log'!$C:$C,'Category Table'!$A157)</f>
        <v/>
      </c>
      <c r="S157" s="116">
        <f>SUMIFS('PO Log'!$E:$E,'PO Log'!$D:$D,'Category Table'!S$2,'PO Log'!$C:$C,'Category Table'!$A157)</f>
        <v/>
      </c>
      <c r="T157" s="116">
        <f>SUMIFS('PO Log'!$E:$E,'PO Log'!$D:$D,'Category Table'!T$2,'PO Log'!$C:$C,'Category Table'!$A157)</f>
        <v/>
      </c>
      <c r="U157" s="115">
        <f>SUMIFS('Committments Dump'!$Q:$Q,'Committments Dump'!$C:$C,'Category Table'!U$2,'Committments Dump'!$B:$B,'Category Table'!$A157)</f>
        <v/>
      </c>
      <c r="V157" s="116">
        <f>SUMIFS('Committments Dump'!$Q:$Q,'Committments Dump'!$C:$C,'Category Table'!V$2,'Committments Dump'!$B:$B,'Category Table'!$A157)</f>
        <v/>
      </c>
      <c r="W157" s="116">
        <f>SUMIFS('Committments Dump'!$Q:$Q,'Committments Dump'!$C:$C,'Category Table'!W$2,'Committments Dump'!$B:$B,'Category Table'!$A157)</f>
        <v/>
      </c>
      <c r="X157" s="115">
        <f>SUMIFS('Committments Dump'!$R:$R,'Committments Dump'!$C:$C,'Category Table'!X$2,'Committments Dump'!$B:$B,'Category Table'!$A157)</f>
        <v/>
      </c>
      <c r="Y157" s="116">
        <f>SUMIFS('Committments Dump'!$R:$R,'Committments Dump'!$C:$C,'Category Table'!Y$2,'Committments Dump'!$B:$B,'Category Table'!$A157)</f>
        <v/>
      </c>
      <c r="Z157" s="116">
        <f>SUMIFS('Committments Dump'!$R:$R,'Committments Dump'!$C:$C,'Category Table'!Z$2,'Committments Dump'!$B:$B,'Category Table'!$A157)</f>
        <v/>
      </c>
      <c r="AA157" s="115">
        <f>SUMIFS('Committments Dump'!$S:$S,'Committments Dump'!$C:$C,'Category Table'!AA$2,'Committments Dump'!$B:$B,'Category Table'!$A157)</f>
        <v/>
      </c>
      <c r="AB157" s="116">
        <f>SUMIFS('Committments Dump'!$S:$S,'Committments Dump'!$C:$C,'Category Table'!AB$2,'Committments Dump'!$B:$B,'Category Table'!$A157)</f>
        <v/>
      </c>
      <c r="AC157" s="116">
        <f>SUMIFS('Committments Dump'!$S:$S,'Committments Dump'!$C:$C,'Category Table'!AC$2,'Committments Dump'!$B:$B,'Category Table'!$A157)</f>
        <v/>
      </c>
      <c r="AD157" s="115">
        <f>U157+X157+AA157</f>
        <v/>
      </c>
      <c r="AE157" s="116">
        <f>V157+Y157+AB157</f>
        <v/>
      </c>
      <c r="AF157" s="116">
        <f>W157+Z157+AC157</f>
        <v/>
      </c>
      <c r="AG157" s="115">
        <f>R157+AD157</f>
        <v/>
      </c>
      <c r="AH157" s="116">
        <f>S157+AE157</f>
        <v/>
      </c>
      <c r="AI157" s="116">
        <f>T157+AF157</f>
        <v/>
      </c>
      <c r="AJ157" s="115" t="n"/>
      <c r="AK157" s="116" t="n"/>
      <c r="AL157" s="116" t="n"/>
      <c r="AM157" s="115">
        <f>(O157-AG157)+AJ157</f>
        <v/>
      </c>
      <c r="AN157" s="116">
        <f>(P157-AH157)+AK157</f>
        <v/>
      </c>
      <c r="AO157" s="116">
        <f>(Q157-AI157)+AL157</f>
        <v/>
      </c>
      <c r="AP157" s="93">
        <f>IF(AM157&gt;0, "Under",IF(AM157&lt;0,"Over",""))</f>
        <v/>
      </c>
      <c r="AQ157" s="94">
        <f>IF(AN157&gt;0, "Under",IF(AN157&lt;0,"Over",""))</f>
        <v/>
      </c>
      <c r="AR157" s="94">
        <f>IF(AO157&gt;0, "Under",IF(AO157&lt;0,"Over",""))</f>
        <v/>
      </c>
      <c r="AS157" s="3" t="n"/>
    </row>
    <row r="158">
      <c r="C158" s="113" t="n"/>
      <c r="D158" s="114" t="n"/>
      <c r="E158" s="114" t="n"/>
      <c r="F158" s="113" t="n"/>
      <c r="G158" s="114" t="n"/>
      <c r="H158" s="114" t="n"/>
      <c r="I158" s="113" t="n"/>
      <c r="J158" s="114" t="n"/>
      <c r="K158" s="114" t="n"/>
      <c r="L158" s="113" t="n"/>
      <c r="M158" s="114" t="n"/>
      <c r="N158" s="114" t="n"/>
      <c r="O158" s="113">
        <f>L158+I158+F158+C158</f>
        <v/>
      </c>
      <c r="P158" s="114">
        <f>M158+J158+G158+D158</f>
        <v/>
      </c>
      <c r="Q158" s="114">
        <f>N158+K158+H158+E158</f>
        <v/>
      </c>
      <c r="R158" s="113">
        <f>SUMIFS('PO Log'!$E:$E,'PO Log'!$D:$D,'Category Table'!R$2,'PO Log'!$C:$C,'Category Table'!$A158)</f>
        <v/>
      </c>
      <c r="S158" s="114">
        <f>SUMIFS('PO Log'!$E:$E,'PO Log'!$D:$D,'Category Table'!S$2,'PO Log'!$C:$C,'Category Table'!$A158)</f>
        <v/>
      </c>
      <c r="T158" s="114">
        <f>SUMIFS('PO Log'!$E:$E,'PO Log'!$D:$D,'Category Table'!T$2,'PO Log'!$C:$C,'Category Table'!$A158)</f>
        <v/>
      </c>
      <c r="U158" s="113">
        <f>SUMIFS('Committments Dump'!$Q:$Q,'Committments Dump'!$C:$C,'Category Table'!U$2,'Committments Dump'!$B:$B,'Category Table'!$A158)</f>
        <v/>
      </c>
      <c r="V158" s="114">
        <f>SUMIFS('Committments Dump'!$Q:$Q,'Committments Dump'!$C:$C,'Category Table'!V$2,'Committments Dump'!$B:$B,'Category Table'!$A158)</f>
        <v/>
      </c>
      <c r="W158" s="114">
        <f>SUMIFS('Committments Dump'!$Q:$Q,'Committments Dump'!$C:$C,'Category Table'!W$2,'Committments Dump'!$B:$B,'Category Table'!$A158)</f>
        <v/>
      </c>
      <c r="X158" s="113">
        <f>SUMIFS('Committments Dump'!$R:$R,'Committments Dump'!$C:$C,'Category Table'!X$2,'Committments Dump'!$B:$B,'Category Table'!$A158)</f>
        <v/>
      </c>
      <c r="Y158" s="114">
        <f>SUMIFS('Committments Dump'!$R:$R,'Committments Dump'!$C:$C,'Category Table'!Y$2,'Committments Dump'!$B:$B,'Category Table'!$A158)</f>
        <v/>
      </c>
      <c r="Z158" s="114">
        <f>SUMIFS('Committments Dump'!$R:$R,'Committments Dump'!$C:$C,'Category Table'!Z$2,'Committments Dump'!$B:$B,'Category Table'!$A158)</f>
        <v/>
      </c>
      <c r="AA158" s="113">
        <f>SUMIFS('Committments Dump'!$S:$S,'Committments Dump'!$C:$C,'Category Table'!AA$2,'Committments Dump'!$B:$B,'Category Table'!$A158)</f>
        <v/>
      </c>
      <c r="AB158" s="114">
        <f>SUMIFS('Committments Dump'!$S:$S,'Committments Dump'!$C:$C,'Category Table'!AB$2,'Committments Dump'!$B:$B,'Category Table'!$A158)</f>
        <v/>
      </c>
      <c r="AC158" s="114">
        <f>SUMIFS('Committments Dump'!$S:$S,'Committments Dump'!$C:$C,'Category Table'!AC$2,'Committments Dump'!$B:$B,'Category Table'!$A158)</f>
        <v/>
      </c>
      <c r="AD158" s="113">
        <f>U158+X158+AA158</f>
        <v/>
      </c>
      <c r="AE158" s="114">
        <f>V158+Y158+AB158</f>
        <v/>
      </c>
      <c r="AF158" s="114">
        <f>W158+Z158+AC158</f>
        <v/>
      </c>
      <c r="AG158" s="113">
        <f>R158+AD158</f>
        <v/>
      </c>
      <c r="AH158" s="114">
        <f>S158+AE158</f>
        <v/>
      </c>
      <c r="AI158" s="114">
        <f>T158+AF158</f>
        <v/>
      </c>
      <c r="AJ158" s="113" t="n"/>
      <c r="AK158" s="114" t="n"/>
      <c r="AL158" s="114" t="n"/>
      <c r="AM158" s="113">
        <f>(O158-AG158)+AJ158</f>
        <v/>
      </c>
      <c r="AN158" s="114">
        <f>(P158-AH158)+AK158</f>
        <v/>
      </c>
      <c r="AO158" s="114">
        <f>(Q158-AI158)+AL158</f>
        <v/>
      </c>
      <c r="AP158" s="2">
        <f>IF(AM158&gt;0, "Under",IF(AM158&lt;0,"Over",""))</f>
        <v/>
      </c>
      <c r="AQ158" s="1">
        <f>IF(AN158&gt;0, "Under",IF(AN158&lt;0,"Over",""))</f>
        <v/>
      </c>
      <c r="AR158" s="1">
        <f>IF(AO158&gt;0, "Under",IF(AO158&lt;0,"Over",""))</f>
        <v/>
      </c>
      <c r="AS158" s="3" t="n"/>
    </row>
    <row r="159">
      <c r="A159" s="90" t="n"/>
      <c r="B159" s="90" t="n"/>
      <c r="C159" s="115" t="n"/>
      <c r="D159" s="116" t="n"/>
      <c r="E159" s="116" t="n"/>
      <c r="F159" s="115" t="n"/>
      <c r="G159" s="116" t="n"/>
      <c r="H159" s="116" t="n"/>
      <c r="I159" s="115" t="n"/>
      <c r="J159" s="116" t="n"/>
      <c r="K159" s="116" t="n"/>
      <c r="L159" s="115" t="n"/>
      <c r="M159" s="116" t="n"/>
      <c r="N159" s="116" t="n"/>
      <c r="O159" s="115">
        <f>L159+I159+F159+C159</f>
        <v/>
      </c>
      <c r="P159" s="116">
        <f>M159+J159+G159+D159</f>
        <v/>
      </c>
      <c r="Q159" s="116">
        <f>N159+K159+H159+E159</f>
        <v/>
      </c>
      <c r="R159" s="115">
        <f>SUMIFS('PO Log'!$E:$E,'PO Log'!$D:$D,'Category Table'!R$2,'PO Log'!$C:$C,'Category Table'!$A159)</f>
        <v/>
      </c>
      <c r="S159" s="116">
        <f>SUMIFS('PO Log'!$E:$E,'PO Log'!$D:$D,'Category Table'!S$2,'PO Log'!$C:$C,'Category Table'!$A159)</f>
        <v/>
      </c>
      <c r="T159" s="116">
        <f>SUMIFS('PO Log'!$E:$E,'PO Log'!$D:$D,'Category Table'!T$2,'PO Log'!$C:$C,'Category Table'!$A159)</f>
        <v/>
      </c>
      <c r="U159" s="115">
        <f>SUMIFS('Committments Dump'!$Q:$Q,'Committments Dump'!$C:$C,'Category Table'!U$2,'Committments Dump'!$B:$B,'Category Table'!$A159)</f>
        <v/>
      </c>
      <c r="V159" s="116">
        <f>SUMIFS('Committments Dump'!$Q:$Q,'Committments Dump'!$C:$C,'Category Table'!V$2,'Committments Dump'!$B:$B,'Category Table'!$A159)</f>
        <v/>
      </c>
      <c r="W159" s="116">
        <f>SUMIFS('Committments Dump'!$Q:$Q,'Committments Dump'!$C:$C,'Category Table'!W$2,'Committments Dump'!$B:$B,'Category Table'!$A159)</f>
        <v/>
      </c>
      <c r="X159" s="115">
        <f>SUMIFS('Committments Dump'!$R:$R,'Committments Dump'!$C:$C,'Category Table'!X$2,'Committments Dump'!$B:$B,'Category Table'!$A159)</f>
        <v/>
      </c>
      <c r="Y159" s="116">
        <f>SUMIFS('Committments Dump'!$R:$R,'Committments Dump'!$C:$C,'Category Table'!Y$2,'Committments Dump'!$B:$B,'Category Table'!$A159)</f>
        <v/>
      </c>
      <c r="Z159" s="116">
        <f>SUMIFS('Committments Dump'!$R:$R,'Committments Dump'!$C:$C,'Category Table'!Z$2,'Committments Dump'!$B:$B,'Category Table'!$A159)</f>
        <v/>
      </c>
      <c r="AA159" s="115">
        <f>SUMIFS('Committments Dump'!$S:$S,'Committments Dump'!$C:$C,'Category Table'!AA$2,'Committments Dump'!$B:$B,'Category Table'!$A159)</f>
        <v/>
      </c>
      <c r="AB159" s="116">
        <f>SUMIFS('Committments Dump'!$S:$S,'Committments Dump'!$C:$C,'Category Table'!AB$2,'Committments Dump'!$B:$B,'Category Table'!$A159)</f>
        <v/>
      </c>
      <c r="AC159" s="116">
        <f>SUMIFS('Committments Dump'!$S:$S,'Committments Dump'!$C:$C,'Category Table'!AC$2,'Committments Dump'!$B:$B,'Category Table'!$A159)</f>
        <v/>
      </c>
      <c r="AD159" s="115">
        <f>U159+X159+AA159</f>
        <v/>
      </c>
      <c r="AE159" s="116">
        <f>V159+Y159+AB159</f>
        <v/>
      </c>
      <c r="AF159" s="116">
        <f>W159+Z159+AC159</f>
        <v/>
      </c>
      <c r="AG159" s="115">
        <f>R159+AD159</f>
        <v/>
      </c>
      <c r="AH159" s="116">
        <f>S159+AE159</f>
        <v/>
      </c>
      <c r="AI159" s="116">
        <f>T159+AF159</f>
        <v/>
      </c>
      <c r="AJ159" s="115" t="n"/>
      <c r="AK159" s="116" t="n"/>
      <c r="AL159" s="116" t="n"/>
      <c r="AM159" s="115">
        <f>(O159-AG159)+AJ159</f>
        <v/>
      </c>
      <c r="AN159" s="116">
        <f>(P159-AH159)+AK159</f>
        <v/>
      </c>
      <c r="AO159" s="116">
        <f>(Q159-AI159)+AL159</f>
        <v/>
      </c>
      <c r="AP159" s="93">
        <f>IF(AM159&gt;0, "Under",IF(AM159&lt;0,"Over",""))</f>
        <v/>
      </c>
      <c r="AQ159" s="94">
        <f>IF(AN159&gt;0, "Under",IF(AN159&lt;0,"Over",""))</f>
        <v/>
      </c>
      <c r="AR159" s="94">
        <f>IF(AO159&gt;0, "Under",IF(AO159&lt;0,"Over",""))</f>
        <v/>
      </c>
      <c r="AS159" s="3" t="n"/>
    </row>
    <row r="160">
      <c r="C160" s="113" t="n"/>
      <c r="D160" s="114" t="n"/>
      <c r="E160" s="114" t="n"/>
      <c r="F160" s="113" t="n"/>
      <c r="G160" s="114" t="n"/>
      <c r="H160" s="114" t="n"/>
      <c r="I160" s="113" t="n"/>
      <c r="J160" s="114" t="n"/>
      <c r="K160" s="114" t="n"/>
      <c r="L160" s="113" t="n"/>
      <c r="M160" s="114" t="n"/>
      <c r="N160" s="114" t="n"/>
      <c r="O160" s="113">
        <f>L160+I160+F160+C160</f>
        <v/>
      </c>
      <c r="P160" s="114">
        <f>M160+J160+G160+D160</f>
        <v/>
      </c>
      <c r="Q160" s="114">
        <f>N160+K160+H160+E160</f>
        <v/>
      </c>
      <c r="R160" s="113">
        <f>SUMIFS('PO Log'!$E:$E,'PO Log'!$D:$D,'Category Table'!R$2,'PO Log'!$C:$C,'Category Table'!$A160)</f>
        <v/>
      </c>
      <c r="S160" s="114">
        <f>SUMIFS('PO Log'!$E:$E,'PO Log'!$D:$D,'Category Table'!S$2,'PO Log'!$C:$C,'Category Table'!$A160)</f>
        <v/>
      </c>
      <c r="T160" s="114">
        <f>SUMIFS('PO Log'!$E:$E,'PO Log'!$D:$D,'Category Table'!T$2,'PO Log'!$C:$C,'Category Table'!$A160)</f>
        <v/>
      </c>
      <c r="U160" s="113">
        <f>SUMIFS('Committments Dump'!$Q:$Q,'Committments Dump'!$C:$C,'Category Table'!U$2,'Committments Dump'!$B:$B,'Category Table'!$A160)</f>
        <v/>
      </c>
      <c r="V160" s="114">
        <f>SUMIFS('Committments Dump'!$Q:$Q,'Committments Dump'!$C:$C,'Category Table'!V$2,'Committments Dump'!$B:$B,'Category Table'!$A160)</f>
        <v/>
      </c>
      <c r="W160" s="114">
        <f>SUMIFS('Committments Dump'!$Q:$Q,'Committments Dump'!$C:$C,'Category Table'!W$2,'Committments Dump'!$B:$B,'Category Table'!$A160)</f>
        <v/>
      </c>
      <c r="X160" s="113">
        <f>SUMIFS('Committments Dump'!$R:$R,'Committments Dump'!$C:$C,'Category Table'!X$2,'Committments Dump'!$B:$B,'Category Table'!$A160)</f>
        <v/>
      </c>
      <c r="Y160" s="114">
        <f>SUMIFS('Committments Dump'!$R:$R,'Committments Dump'!$C:$C,'Category Table'!Y$2,'Committments Dump'!$B:$B,'Category Table'!$A160)</f>
        <v/>
      </c>
      <c r="Z160" s="114">
        <f>SUMIFS('Committments Dump'!$R:$R,'Committments Dump'!$C:$C,'Category Table'!Z$2,'Committments Dump'!$B:$B,'Category Table'!$A160)</f>
        <v/>
      </c>
      <c r="AA160" s="113">
        <f>SUMIFS('Committments Dump'!$S:$S,'Committments Dump'!$C:$C,'Category Table'!AA$2,'Committments Dump'!$B:$B,'Category Table'!$A160)</f>
        <v/>
      </c>
      <c r="AB160" s="114">
        <f>SUMIFS('Committments Dump'!$S:$S,'Committments Dump'!$C:$C,'Category Table'!AB$2,'Committments Dump'!$B:$B,'Category Table'!$A160)</f>
        <v/>
      </c>
      <c r="AC160" s="114">
        <f>SUMIFS('Committments Dump'!$S:$S,'Committments Dump'!$C:$C,'Category Table'!AC$2,'Committments Dump'!$B:$B,'Category Table'!$A160)</f>
        <v/>
      </c>
      <c r="AD160" s="113">
        <f>U160+X160+AA160</f>
        <v/>
      </c>
      <c r="AE160" s="114">
        <f>V160+Y160+AB160</f>
        <v/>
      </c>
      <c r="AF160" s="114">
        <f>W160+Z160+AC160</f>
        <v/>
      </c>
      <c r="AG160" s="113">
        <f>R160+AD160</f>
        <v/>
      </c>
      <c r="AH160" s="114">
        <f>S160+AE160</f>
        <v/>
      </c>
      <c r="AI160" s="114">
        <f>T160+AF160</f>
        <v/>
      </c>
      <c r="AJ160" s="113" t="n"/>
      <c r="AK160" s="114" t="n"/>
      <c r="AL160" s="114" t="n"/>
      <c r="AM160" s="113">
        <f>(O160-AG160)+AJ160</f>
        <v/>
      </c>
      <c r="AN160" s="114">
        <f>(P160-AH160)+AK160</f>
        <v/>
      </c>
      <c r="AO160" s="114">
        <f>(Q160-AI160)+AL160</f>
        <v/>
      </c>
      <c r="AP160" s="2">
        <f>IF(AM160&gt;0, "Under",IF(AM160&lt;0,"Over",""))</f>
        <v/>
      </c>
      <c r="AQ160" s="1">
        <f>IF(AN160&gt;0, "Under",IF(AN160&lt;0,"Over",""))</f>
        <v/>
      </c>
      <c r="AR160" s="1">
        <f>IF(AO160&gt;0, "Under",IF(AO160&lt;0,"Over",""))</f>
        <v/>
      </c>
      <c r="AS160" s="3" t="n"/>
    </row>
    <row r="161">
      <c r="A161" s="90" t="n"/>
      <c r="B161" s="90" t="n"/>
      <c r="C161" s="115" t="n"/>
      <c r="D161" s="116" t="n"/>
      <c r="E161" s="116" t="n"/>
      <c r="F161" s="115" t="n"/>
      <c r="G161" s="116" t="n"/>
      <c r="H161" s="116" t="n"/>
      <c r="I161" s="115" t="n"/>
      <c r="J161" s="116" t="n"/>
      <c r="K161" s="116" t="n"/>
      <c r="L161" s="115" t="n"/>
      <c r="M161" s="116" t="n"/>
      <c r="N161" s="116" t="n"/>
      <c r="O161" s="115">
        <f>L161+I161+F161+C161</f>
        <v/>
      </c>
      <c r="P161" s="116">
        <f>M161+J161+G161+D161</f>
        <v/>
      </c>
      <c r="Q161" s="116">
        <f>N161+K161+H161+E161</f>
        <v/>
      </c>
      <c r="R161" s="115">
        <f>SUMIFS('PO Log'!$E:$E,'PO Log'!$D:$D,'Category Table'!R$2,'PO Log'!$C:$C,'Category Table'!$A161)</f>
        <v/>
      </c>
      <c r="S161" s="116">
        <f>SUMIFS('PO Log'!$E:$E,'PO Log'!$D:$D,'Category Table'!S$2,'PO Log'!$C:$C,'Category Table'!$A161)</f>
        <v/>
      </c>
      <c r="T161" s="116">
        <f>SUMIFS('PO Log'!$E:$E,'PO Log'!$D:$D,'Category Table'!T$2,'PO Log'!$C:$C,'Category Table'!$A161)</f>
        <v/>
      </c>
      <c r="U161" s="115">
        <f>SUMIFS('Committments Dump'!$Q:$Q,'Committments Dump'!$C:$C,'Category Table'!U$2,'Committments Dump'!$B:$B,'Category Table'!$A161)</f>
        <v/>
      </c>
      <c r="V161" s="116">
        <f>SUMIFS('Committments Dump'!$Q:$Q,'Committments Dump'!$C:$C,'Category Table'!V$2,'Committments Dump'!$B:$B,'Category Table'!$A161)</f>
        <v/>
      </c>
      <c r="W161" s="116">
        <f>SUMIFS('Committments Dump'!$Q:$Q,'Committments Dump'!$C:$C,'Category Table'!W$2,'Committments Dump'!$B:$B,'Category Table'!$A161)</f>
        <v/>
      </c>
      <c r="X161" s="115">
        <f>SUMIFS('Committments Dump'!$R:$R,'Committments Dump'!$C:$C,'Category Table'!X$2,'Committments Dump'!$B:$B,'Category Table'!$A161)</f>
        <v/>
      </c>
      <c r="Y161" s="116">
        <f>SUMIFS('Committments Dump'!$R:$R,'Committments Dump'!$C:$C,'Category Table'!Y$2,'Committments Dump'!$B:$B,'Category Table'!$A161)</f>
        <v/>
      </c>
      <c r="Z161" s="116">
        <f>SUMIFS('Committments Dump'!$R:$R,'Committments Dump'!$C:$C,'Category Table'!Z$2,'Committments Dump'!$B:$B,'Category Table'!$A161)</f>
        <v/>
      </c>
      <c r="AA161" s="115">
        <f>SUMIFS('Committments Dump'!$S:$S,'Committments Dump'!$C:$C,'Category Table'!AA$2,'Committments Dump'!$B:$B,'Category Table'!$A161)</f>
        <v/>
      </c>
      <c r="AB161" s="116">
        <f>SUMIFS('Committments Dump'!$S:$S,'Committments Dump'!$C:$C,'Category Table'!AB$2,'Committments Dump'!$B:$B,'Category Table'!$A161)</f>
        <v/>
      </c>
      <c r="AC161" s="116">
        <f>SUMIFS('Committments Dump'!$S:$S,'Committments Dump'!$C:$C,'Category Table'!AC$2,'Committments Dump'!$B:$B,'Category Table'!$A161)</f>
        <v/>
      </c>
      <c r="AD161" s="115">
        <f>U161+X161+AA161</f>
        <v/>
      </c>
      <c r="AE161" s="116">
        <f>V161+Y161+AB161</f>
        <v/>
      </c>
      <c r="AF161" s="116">
        <f>W161+Z161+AC161</f>
        <v/>
      </c>
      <c r="AG161" s="115">
        <f>R161+AD161</f>
        <v/>
      </c>
      <c r="AH161" s="116">
        <f>S161+AE161</f>
        <v/>
      </c>
      <c r="AI161" s="116">
        <f>T161+AF161</f>
        <v/>
      </c>
      <c r="AJ161" s="115" t="n"/>
      <c r="AK161" s="116" t="n"/>
      <c r="AL161" s="116" t="n"/>
      <c r="AM161" s="115">
        <f>(O161-AG161)+AJ161</f>
        <v/>
      </c>
      <c r="AN161" s="116">
        <f>(P161-AH161)+AK161</f>
        <v/>
      </c>
      <c r="AO161" s="116">
        <f>(Q161-AI161)+AL161</f>
        <v/>
      </c>
      <c r="AP161" s="93">
        <f>IF(AM161&gt;0, "Under",IF(AM161&lt;0,"Over",""))</f>
        <v/>
      </c>
      <c r="AQ161" s="94">
        <f>IF(AN161&gt;0, "Under",IF(AN161&lt;0,"Over",""))</f>
        <v/>
      </c>
      <c r="AR161" s="94">
        <f>IF(AO161&gt;0, "Under",IF(AO161&lt;0,"Over",""))</f>
        <v/>
      </c>
      <c r="AS161" s="3" t="n"/>
    </row>
    <row r="162">
      <c r="C162" s="113" t="n"/>
      <c r="D162" s="114" t="n"/>
      <c r="E162" s="114" t="n"/>
      <c r="F162" s="113" t="n"/>
      <c r="G162" s="114" t="n"/>
      <c r="H162" s="114" t="n"/>
      <c r="I162" s="113" t="n"/>
      <c r="J162" s="114" t="n"/>
      <c r="K162" s="114" t="n"/>
      <c r="L162" s="113" t="n"/>
      <c r="M162" s="114" t="n"/>
      <c r="N162" s="114" t="n"/>
      <c r="O162" s="113">
        <f>L162+I162+F162+C162</f>
        <v/>
      </c>
      <c r="P162" s="114">
        <f>M162+J162+G162+D162</f>
        <v/>
      </c>
      <c r="Q162" s="114">
        <f>N162+K162+H162+E162</f>
        <v/>
      </c>
      <c r="R162" s="113">
        <f>SUMIFS('PO Log'!$E:$E,'PO Log'!$D:$D,'Category Table'!R$2,'PO Log'!$C:$C,'Category Table'!$A162)</f>
        <v/>
      </c>
      <c r="S162" s="114">
        <f>SUMIFS('PO Log'!$E:$E,'PO Log'!$D:$D,'Category Table'!S$2,'PO Log'!$C:$C,'Category Table'!$A162)</f>
        <v/>
      </c>
      <c r="T162" s="114">
        <f>SUMIFS('PO Log'!$E:$E,'PO Log'!$D:$D,'Category Table'!T$2,'PO Log'!$C:$C,'Category Table'!$A162)</f>
        <v/>
      </c>
      <c r="U162" s="113">
        <f>SUMIFS('Committments Dump'!$Q:$Q,'Committments Dump'!$C:$C,'Category Table'!U$2,'Committments Dump'!$B:$B,'Category Table'!$A162)</f>
        <v/>
      </c>
      <c r="V162" s="114">
        <f>SUMIFS('Committments Dump'!$Q:$Q,'Committments Dump'!$C:$C,'Category Table'!V$2,'Committments Dump'!$B:$B,'Category Table'!$A162)</f>
        <v/>
      </c>
      <c r="W162" s="114">
        <f>SUMIFS('Committments Dump'!$Q:$Q,'Committments Dump'!$C:$C,'Category Table'!W$2,'Committments Dump'!$B:$B,'Category Table'!$A162)</f>
        <v/>
      </c>
      <c r="X162" s="113">
        <f>SUMIFS('Committments Dump'!$R:$R,'Committments Dump'!$C:$C,'Category Table'!X$2,'Committments Dump'!$B:$B,'Category Table'!$A162)</f>
        <v/>
      </c>
      <c r="Y162" s="114">
        <f>SUMIFS('Committments Dump'!$R:$R,'Committments Dump'!$C:$C,'Category Table'!Y$2,'Committments Dump'!$B:$B,'Category Table'!$A162)</f>
        <v/>
      </c>
      <c r="Z162" s="114">
        <f>SUMIFS('Committments Dump'!$R:$R,'Committments Dump'!$C:$C,'Category Table'!Z$2,'Committments Dump'!$B:$B,'Category Table'!$A162)</f>
        <v/>
      </c>
      <c r="AA162" s="113">
        <f>SUMIFS('Committments Dump'!$S:$S,'Committments Dump'!$C:$C,'Category Table'!AA$2,'Committments Dump'!$B:$B,'Category Table'!$A162)</f>
        <v/>
      </c>
      <c r="AB162" s="114">
        <f>SUMIFS('Committments Dump'!$S:$S,'Committments Dump'!$C:$C,'Category Table'!AB$2,'Committments Dump'!$B:$B,'Category Table'!$A162)</f>
        <v/>
      </c>
      <c r="AC162" s="114">
        <f>SUMIFS('Committments Dump'!$S:$S,'Committments Dump'!$C:$C,'Category Table'!AC$2,'Committments Dump'!$B:$B,'Category Table'!$A162)</f>
        <v/>
      </c>
      <c r="AD162" s="113">
        <f>U162+X162+AA162</f>
        <v/>
      </c>
      <c r="AE162" s="114">
        <f>V162+Y162+AB162</f>
        <v/>
      </c>
      <c r="AF162" s="114">
        <f>W162+Z162+AC162</f>
        <v/>
      </c>
      <c r="AG162" s="113">
        <f>R162+AD162</f>
        <v/>
      </c>
      <c r="AH162" s="114">
        <f>S162+AE162</f>
        <v/>
      </c>
      <c r="AI162" s="114">
        <f>T162+AF162</f>
        <v/>
      </c>
      <c r="AJ162" s="113" t="n"/>
      <c r="AK162" s="114" t="n"/>
      <c r="AL162" s="114" t="n"/>
      <c r="AM162" s="113">
        <f>(O162-AG162)+AJ162</f>
        <v/>
      </c>
      <c r="AN162" s="114">
        <f>(P162-AH162)+AK162</f>
        <v/>
      </c>
      <c r="AO162" s="114">
        <f>(Q162-AI162)+AL162</f>
        <v/>
      </c>
      <c r="AP162" s="2">
        <f>IF(AM162&gt;0, "Under",IF(AM162&lt;0,"Over",""))</f>
        <v/>
      </c>
      <c r="AQ162" s="1">
        <f>IF(AN162&gt;0, "Under",IF(AN162&lt;0,"Over",""))</f>
        <v/>
      </c>
      <c r="AR162" s="1">
        <f>IF(AO162&gt;0, "Under",IF(AO162&lt;0,"Over",""))</f>
        <v/>
      </c>
      <c r="AS162" s="3" t="n"/>
    </row>
    <row r="163">
      <c r="A163" s="90" t="n"/>
      <c r="B163" s="90" t="n"/>
      <c r="C163" s="115" t="n"/>
      <c r="D163" s="116" t="n"/>
      <c r="E163" s="116" t="n"/>
      <c r="F163" s="115" t="n"/>
      <c r="G163" s="116" t="n"/>
      <c r="H163" s="116" t="n"/>
      <c r="I163" s="115" t="n"/>
      <c r="J163" s="116" t="n"/>
      <c r="K163" s="116" t="n"/>
      <c r="L163" s="115" t="n"/>
      <c r="M163" s="116" t="n"/>
      <c r="N163" s="116" t="n"/>
      <c r="O163" s="115">
        <f>L163+I163+F163+C163</f>
        <v/>
      </c>
      <c r="P163" s="116">
        <f>M163+J163+G163+D163</f>
        <v/>
      </c>
      <c r="Q163" s="116">
        <f>N163+K163+H163+E163</f>
        <v/>
      </c>
      <c r="R163" s="115">
        <f>SUMIFS('PO Log'!$E:$E,'PO Log'!$D:$D,'Category Table'!R$2,'PO Log'!$C:$C,'Category Table'!$A163)</f>
        <v/>
      </c>
      <c r="S163" s="116">
        <f>SUMIFS('PO Log'!$E:$E,'PO Log'!$D:$D,'Category Table'!S$2,'PO Log'!$C:$C,'Category Table'!$A163)</f>
        <v/>
      </c>
      <c r="T163" s="116">
        <f>SUMIFS('PO Log'!$E:$E,'PO Log'!$D:$D,'Category Table'!T$2,'PO Log'!$C:$C,'Category Table'!$A163)</f>
        <v/>
      </c>
      <c r="U163" s="115">
        <f>SUMIFS('Committments Dump'!$Q:$Q,'Committments Dump'!$C:$C,'Category Table'!U$2,'Committments Dump'!$B:$B,'Category Table'!$A163)</f>
        <v/>
      </c>
      <c r="V163" s="116">
        <f>SUMIFS('Committments Dump'!$Q:$Q,'Committments Dump'!$C:$C,'Category Table'!V$2,'Committments Dump'!$B:$B,'Category Table'!$A163)</f>
        <v/>
      </c>
      <c r="W163" s="116">
        <f>SUMIFS('Committments Dump'!$Q:$Q,'Committments Dump'!$C:$C,'Category Table'!W$2,'Committments Dump'!$B:$B,'Category Table'!$A163)</f>
        <v/>
      </c>
      <c r="X163" s="115">
        <f>SUMIFS('Committments Dump'!$R:$R,'Committments Dump'!$C:$C,'Category Table'!X$2,'Committments Dump'!$B:$B,'Category Table'!$A163)</f>
        <v/>
      </c>
      <c r="Y163" s="116">
        <f>SUMIFS('Committments Dump'!$R:$R,'Committments Dump'!$C:$C,'Category Table'!Y$2,'Committments Dump'!$B:$B,'Category Table'!$A163)</f>
        <v/>
      </c>
      <c r="Z163" s="116">
        <f>SUMIFS('Committments Dump'!$R:$R,'Committments Dump'!$C:$C,'Category Table'!Z$2,'Committments Dump'!$B:$B,'Category Table'!$A163)</f>
        <v/>
      </c>
      <c r="AA163" s="115">
        <f>SUMIFS('Committments Dump'!$S:$S,'Committments Dump'!$C:$C,'Category Table'!AA$2,'Committments Dump'!$B:$B,'Category Table'!$A163)</f>
        <v/>
      </c>
      <c r="AB163" s="116">
        <f>SUMIFS('Committments Dump'!$S:$S,'Committments Dump'!$C:$C,'Category Table'!AB$2,'Committments Dump'!$B:$B,'Category Table'!$A163)</f>
        <v/>
      </c>
      <c r="AC163" s="116">
        <f>SUMIFS('Committments Dump'!$S:$S,'Committments Dump'!$C:$C,'Category Table'!AC$2,'Committments Dump'!$B:$B,'Category Table'!$A163)</f>
        <v/>
      </c>
      <c r="AD163" s="115">
        <f>U163+X163+AA163</f>
        <v/>
      </c>
      <c r="AE163" s="116">
        <f>V163+Y163+AB163</f>
        <v/>
      </c>
      <c r="AF163" s="116">
        <f>W163+Z163+AC163</f>
        <v/>
      </c>
      <c r="AG163" s="115">
        <f>R163+AD163</f>
        <v/>
      </c>
      <c r="AH163" s="116">
        <f>S163+AE163</f>
        <v/>
      </c>
      <c r="AI163" s="116">
        <f>T163+AF163</f>
        <v/>
      </c>
      <c r="AJ163" s="115" t="n"/>
      <c r="AK163" s="116" t="n"/>
      <c r="AL163" s="116" t="n"/>
      <c r="AM163" s="115">
        <f>(O163-AG163)+AJ163</f>
        <v/>
      </c>
      <c r="AN163" s="116">
        <f>(P163-AH163)+AK163</f>
        <v/>
      </c>
      <c r="AO163" s="116">
        <f>(Q163-AI163)+AL163</f>
        <v/>
      </c>
      <c r="AP163" s="93">
        <f>IF(AM163&gt;0, "Under",IF(AM163&lt;0,"Over",""))</f>
        <v/>
      </c>
      <c r="AQ163" s="94">
        <f>IF(AN163&gt;0, "Under",IF(AN163&lt;0,"Over",""))</f>
        <v/>
      </c>
      <c r="AR163" s="94">
        <f>IF(AO163&gt;0, "Under",IF(AO163&lt;0,"Over",""))</f>
        <v/>
      </c>
      <c r="AS163" s="3" t="n"/>
    </row>
    <row r="164">
      <c r="C164" s="113" t="n"/>
      <c r="D164" s="114" t="n"/>
      <c r="E164" s="114" t="n"/>
      <c r="F164" s="113" t="n"/>
      <c r="G164" s="114" t="n"/>
      <c r="H164" s="114" t="n"/>
      <c r="I164" s="113" t="n"/>
      <c r="J164" s="114" t="n"/>
      <c r="K164" s="114" t="n"/>
      <c r="L164" s="113" t="n"/>
      <c r="M164" s="114" t="n"/>
      <c r="N164" s="114" t="n"/>
      <c r="O164" s="113">
        <f>L164+I164+F164+C164</f>
        <v/>
      </c>
      <c r="P164" s="114">
        <f>M164+J164+G164+D164</f>
        <v/>
      </c>
      <c r="Q164" s="114">
        <f>N164+K164+H164+E164</f>
        <v/>
      </c>
      <c r="R164" s="113">
        <f>SUMIFS('PO Log'!$E:$E,'PO Log'!$D:$D,'Category Table'!R$2,'PO Log'!$C:$C,'Category Table'!$A164)</f>
        <v/>
      </c>
      <c r="S164" s="114">
        <f>SUMIFS('PO Log'!$E:$E,'PO Log'!$D:$D,'Category Table'!S$2,'PO Log'!$C:$C,'Category Table'!$A164)</f>
        <v/>
      </c>
      <c r="T164" s="114">
        <f>SUMIFS('PO Log'!$E:$E,'PO Log'!$D:$D,'Category Table'!T$2,'PO Log'!$C:$C,'Category Table'!$A164)</f>
        <v/>
      </c>
      <c r="U164" s="113">
        <f>SUMIFS('Committments Dump'!$Q:$Q,'Committments Dump'!$C:$C,'Category Table'!U$2,'Committments Dump'!$B:$B,'Category Table'!$A164)</f>
        <v/>
      </c>
      <c r="V164" s="114">
        <f>SUMIFS('Committments Dump'!$Q:$Q,'Committments Dump'!$C:$C,'Category Table'!V$2,'Committments Dump'!$B:$B,'Category Table'!$A164)</f>
        <v/>
      </c>
      <c r="W164" s="114">
        <f>SUMIFS('Committments Dump'!$Q:$Q,'Committments Dump'!$C:$C,'Category Table'!W$2,'Committments Dump'!$B:$B,'Category Table'!$A164)</f>
        <v/>
      </c>
      <c r="X164" s="113">
        <f>SUMIFS('Committments Dump'!$R:$R,'Committments Dump'!$C:$C,'Category Table'!X$2,'Committments Dump'!$B:$B,'Category Table'!$A164)</f>
        <v/>
      </c>
      <c r="Y164" s="114">
        <f>SUMIFS('Committments Dump'!$R:$R,'Committments Dump'!$C:$C,'Category Table'!Y$2,'Committments Dump'!$B:$B,'Category Table'!$A164)</f>
        <v/>
      </c>
      <c r="Z164" s="114">
        <f>SUMIFS('Committments Dump'!$R:$R,'Committments Dump'!$C:$C,'Category Table'!Z$2,'Committments Dump'!$B:$B,'Category Table'!$A164)</f>
        <v/>
      </c>
      <c r="AA164" s="113">
        <f>SUMIFS('Committments Dump'!$S:$S,'Committments Dump'!$C:$C,'Category Table'!AA$2,'Committments Dump'!$B:$B,'Category Table'!$A164)</f>
        <v/>
      </c>
      <c r="AB164" s="114">
        <f>SUMIFS('Committments Dump'!$S:$S,'Committments Dump'!$C:$C,'Category Table'!AB$2,'Committments Dump'!$B:$B,'Category Table'!$A164)</f>
        <v/>
      </c>
      <c r="AC164" s="114">
        <f>SUMIFS('Committments Dump'!$S:$S,'Committments Dump'!$C:$C,'Category Table'!AC$2,'Committments Dump'!$B:$B,'Category Table'!$A164)</f>
        <v/>
      </c>
      <c r="AD164" s="113">
        <f>U164+X164+AA164</f>
        <v/>
      </c>
      <c r="AE164" s="114">
        <f>V164+Y164+AB164</f>
        <v/>
      </c>
      <c r="AF164" s="114">
        <f>W164+Z164+AC164</f>
        <v/>
      </c>
      <c r="AG164" s="113">
        <f>R164+AD164</f>
        <v/>
      </c>
      <c r="AH164" s="114">
        <f>S164+AE164</f>
        <v/>
      </c>
      <c r="AI164" s="114">
        <f>T164+AF164</f>
        <v/>
      </c>
      <c r="AJ164" s="113" t="n"/>
      <c r="AK164" s="114" t="n"/>
      <c r="AL164" s="114" t="n"/>
      <c r="AM164" s="113">
        <f>(O164-AG164)+AJ164</f>
        <v/>
      </c>
      <c r="AN164" s="114">
        <f>(P164-AH164)+AK164</f>
        <v/>
      </c>
      <c r="AO164" s="114">
        <f>(Q164-AI164)+AL164</f>
        <v/>
      </c>
      <c r="AP164" s="2">
        <f>IF(AM164&gt;0, "Under",IF(AM164&lt;0,"Over",""))</f>
        <v/>
      </c>
      <c r="AQ164" s="1">
        <f>IF(AN164&gt;0, "Under",IF(AN164&lt;0,"Over",""))</f>
        <v/>
      </c>
      <c r="AR164" s="1">
        <f>IF(AO164&gt;0, "Under",IF(AO164&lt;0,"Over",""))</f>
        <v/>
      </c>
      <c r="AS164" s="3" t="n"/>
    </row>
    <row r="165">
      <c r="A165" s="90" t="n"/>
      <c r="B165" s="90" t="n"/>
      <c r="C165" s="115" t="n"/>
      <c r="D165" s="116" t="n"/>
      <c r="E165" s="116" t="n"/>
      <c r="F165" s="115" t="n"/>
      <c r="G165" s="116" t="n"/>
      <c r="H165" s="116" t="n"/>
      <c r="I165" s="115" t="n"/>
      <c r="J165" s="116" t="n"/>
      <c r="K165" s="116" t="n"/>
      <c r="L165" s="115" t="n"/>
      <c r="M165" s="116" t="n"/>
      <c r="N165" s="116" t="n"/>
      <c r="O165" s="115">
        <f>L165+I165+F165+C165</f>
        <v/>
      </c>
      <c r="P165" s="116">
        <f>M165+J165+G165+D165</f>
        <v/>
      </c>
      <c r="Q165" s="116">
        <f>N165+K165+H165+E165</f>
        <v/>
      </c>
      <c r="R165" s="115">
        <f>SUMIFS('PO Log'!$E:$E,'PO Log'!$D:$D,'Category Table'!R$2,'PO Log'!$C:$C,'Category Table'!$A165)</f>
        <v/>
      </c>
      <c r="S165" s="116">
        <f>SUMIFS('PO Log'!$E:$E,'PO Log'!$D:$D,'Category Table'!S$2,'PO Log'!$C:$C,'Category Table'!$A165)</f>
        <v/>
      </c>
      <c r="T165" s="116">
        <f>SUMIFS('PO Log'!$E:$E,'PO Log'!$D:$D,'Category Table'!T$2,'PO Log'!$C:$C,'Category Table'!$A165)</f>
        <v/>
      </c>
      <c r="U165" s="115">
        <f>SUMIFS('Committments Dump'!$Q:$Q,'Committments Dump'!$C:$C,'Category Table'!U$2,'Committments Dump'!$B:$B,'Category Table'!$A165)</f>
        <v/>
      </c>
      <c r="V165" s="116">
        <f>SUMIFS('Committments Dump'!$Q:$Q,'Committments Dump'!$C:$C,'Category Table'!V$2,'Committments Dump'!$B:$B,'Category Table'!$A165)</f>
        <v/>
      </c>
      <c r="W165" s="116">
        <f>SUMIFS('Committments Dump'!$Q:$Q,'Committments Dump'!$C:$C,'Category Table'!W$2,'Committments Dump'!$B:$B,'Category Table'!$A165)</f>
        <v/>
      </c>
      <c r="X165" s="115">
        <f>SUMIFS('Committments Dump'!$R:$R,'Committments Dump'!$C:$C,'Category Table'!X$2,'Committments Dump'!$B:$B,'Category Table'!$A165)</f>
        <v/>
      </c>
      <c r="Y165" s="116">
        <f>SUMIFS('Committments Dump'!$R:$R,'Committments Dump'!$C:$C,'Category Table'!Y$2,'Committments Dump'!$B:$B,'Category Table'!$A165)</f>
        <v/>
      </c>
      <c r="Z165" s="116">
        <f>SUMIFS('Committments Dump'!$R:$R,'Committments Dump'!$C:$C,'Category Table'!Z$2,'Committments Dump'!$B:$B,'Category Table'!$A165)</f>
        <v/>
      </c>
      <c r="AA165" s="115">
        <f>SUMIFS('Committments Dump'!$S:$S,'Committments Dump'!$C:$C,'Category Table'!AA$2,'Committments Dump'!$B:$B,'Category Table'!$A165)</f>
        <v/>
      </c>
      <c r="AB165" s="116">
        <f>SUMIFS('Committments Dump'!$S:$S,'Committments Dump'!$C:$C,'Category Table'!AB$2,'Committments Dump'!$B:$B,'Category Table'!$A165)</f>
        <v/>
      </c>
      <c r="AC165" s="116">
        <f>SUMIFS('Committments Dump'!$S:$S,'Committments Dump'!$C:$C,'Category Table'!AC$2,'Committments Dump'!$B:$B,'Category Table'!$A165)</f>
        <v/>
      </c>
      <c r="AD165" s="115">
        <f>U165+X165+AA165</f>
        <v/>
      </c>
      <c r="AE165" s="116">
        <f>V165+Y165+AB165</f>
        <v/>
      </c>
      <c r="AF165" s="116">
        <f>W165+Z165+AC165</f>
        <v/>
      </c>
      <c r="AG165" s="115">
        <f>R165+AD165</f>
        <v/>
      </c>
      <c r="AH165" s="116">
        <f>S165+AE165</f>
        <v/>
      </c>
      <c r="AI165" s="116">
        <f>T165+AF165</f>
        <v/>
      </c>
      <c r="AJ165" s="115" t="n"/>
      <c r="AK165" s="116" t="n"/>
      <c r="AL165" s="116" t="n"/>
      <c r="AM165" s="115">
        <f>(O165-AG165)+AJ165</f>
        <v/>
      </c>
      <c r="AN165" s="116">
        <f>(P165-AH165)+AK165</f>
        <v/>
      </c>
      <c r="AO165" s="116">
        <f>(Q165-AI165)+AL165</f>
        <v/>
      </c>
      <c r="AP165" s="93">
        <f>IF(AM165&gt;0, "Under",IF(AM165&lt;0,"Over",""))</f>
        <v/>
      </c>
      <c r="AQ165" s="94">
        <f>IF(AN165&gt;0, "Under",IF(AN165&lt;0,"Over",""))</f>
        <v/>
      </c>
      <c r="AR165" s="94">
        <f>IF(AO165&gt;0, "Under",IF(AO165&lt;0,"Over",""))</f>
        <v/>
      </c>
      <c r="AS165" s="3" t="n"/>
    </row>
    <row r="166">
      <c r="C166" s="113" t="n"/>
      <c r="D166" s="114" t="n"/>
      <c r="E166" s="114" t="n"/>
      <c r="F166" s="113" t="n"/>
      <c r="G166" s="114" t="n"/>
      <c r="H166" s="114" t="n"/>
      <c r="I166" s="113" t="n"/>
      <c r="J166" s="114" t="n"/>
      <c r="K166" s="114" t="n"/>
      <c r="L166" s="113" t="n"/>
      <c r="M166" s="114" t="n"/>
      <c r="N166" s="114" t="n"/>
      <c r="O166" s="113">
        <f>L166+I166+F166+C166</f>
        <v/>
      </c>
      <c r="P166" s="114">
        <f>M166+J166+G166+D166</f>
        <v/>
      </c>
      <c r="Q166" s="114">
        <f>N166+K166+H166+E166</f>
        <v/>
      </c>
      <c r="R166" s="113">
        <f>SUMIFS('PO Log'!$E:$E,'PO Log'!$D:$D,'Category Table'!R$2,'PO Log'!$C:$C,'Category Table'!$A166)</f>
        <v/>
      </c>
      <c r="S166" s="114">
        <f>SUMIFS('PO Log'!$E:$E,'PO Log'!$D:$D,'Category Table'!S$2,'PO Log'!$C:$C,'Category Table'!$A166)</f>
        <v/>
      </c>
      <c r="T166" s="114">
        <f>SUMIFS('PO Log'!$E:$E,'PO Log'!$D:$D,'Category Table'!T$2,'PO Log'!$C:$C,'Category Table'!$A166)</f>
        <v/>
      </c>
      <c r="U166" s="113">
        <f>SUMIFS('Committments Dump'!$Q:$Q,'Committments Dump'!$C:$C,'Category Table'!U$2,'Committments Dump'!$B:$B,'Category Table'!$A166)</f>
        <v/>
      </c>
      <c r="V166" s="114">
        <f>SUMIFS('Committments Dump'!$Q:$Q,'Committments Dump'!$C:$C,'Category Table'!V$2,'Committments Dump'!$B:$B,'Category Table'!$A166)</f>
        <v/>
      </c>
      <c r="W166" s="114">
        <f>SUMIFS('Committments Dump'!$Q:$Q,'Committments Dump'!$C:$C,'Category Table'!W$2,'Committments Dump'!$B:$B,'Category Table'!$A166)</f>
        <v/>
      </c>
      <c r="X166" s="113">
        <f>SUMIFS('Committments Dump'!$R:$R,'Committments Dump'!$C:$C,'Category Table'!X$2,'Committments Dump'!$B:$B,'Category Table'!$A166)</f>
        <v/>
      </c>
      <c r="Y166" s="114">
        <f>SUMIFS('Committments Dump'!$R:$R,'Committments Dump'!$C:$C,'Category Table'!Y$2,'Committments Dump'!$B:$B,'Category Table'!$A166)</f>
        <v/>
      </c>
      <c r="Z166" s="114">
        <f>SUMIFS('Committments Dump'!$R:$R,'Committments Dump'!$C:$C,'Category Table'!Z$2,'Committments Dump'!$B:$B,'Category Table'!$A166)</f>
        <v/>
      </c>
      <c r="AA166" s="113">
        <f>SUMIFS('Committments Dump'!$S:$S,'Committments Dump'!$C:$C,'Category Table'!AA$2,'Committments Dump'!$B:$B,'Category Table'!$A166)</f>
        <v/>
      </c>
      <c r="AB166" s="114">
        <f>SUMIFS('Committments Dump'!$S:$S,'Committments Dump'!$C:$C,'Category Table'!AB$2,'Committments Dump'!$B:$B,'Category Table'!$A166)</f>
        <v/>
      </c>
      <c r="AC166" s="114">
        <f>SUMIFS('Committments Dump'!$S:$S,'Committments Dump'!$C:$C,'Category Table'!AC$2,'Committments Dump'!$B:$B,'Category Table'!$A166)</f>
        <v/>
      </c>
      <c r="AD166" s="113">
        <f>U166+X166+AA166</f>
        <v/>
      </c>
      <c r="AE166" s="114">
        <f>V166+Y166+AB166</f>
        <v/>
      </c>
      <c r="AF166" s="114">
        <f>W166+Z166+AC166</f>
        <v/>
      </c>
      <c r="AG166" s="113">
        <f>R166+AD166</f>
        <v/>
      </c>
      <c r="AH166" s="114">
        <f>S166+AE166</f>
        <v/>
      </c>
      <c r="AI166" s="114">
        <f>T166+AF166</f>
        <v/>
      </c>
      <c r="AJ166" s="113" t="n"/>
      <c r="AK166" s="114" t="n"/>
      <c r="AL166" s="114" t="n"/>
      <c r="AM166" s="113">
        <f>(O166-AG166)+AJ166</f>
        <v/>
      </c>
      <c r="AN166" s="114">
        <f>(P166-AH166)+AK166</f>
        <v/>
      </c>
      <c r="AO166" s="114">
        <f>(Q166-AI166)+AL166</f>
        <v/>
      </c>
      <c r="AP166" s="2">
        <f>IF(AM166&gt;0, "Under",IF(AM166&lt;0,"Over",""))</f>
        <v/>
      </c>
      <c r="AQ166" s="1">
        <f>IF(AN166&gt;0, "Under",IF(AN166&lt;0,"Over",""))</f>
        <v/>
      </c>
      <c r="AR166" s="1">
        <f>IF(AO166&gt;0, "Under",IF(AO166&lt;0,"Over",""))</f>
        <v/>
      </c>
      <c r="AS166" s="3" t="n"/>
    </row>
    <row r="167">
      <c r="A167" s="90" t="n"/>
      <c r="B167" s="90" t="n"/>
      <c r="C167" s="115" t="n"/>
      <c r="D167" s="116" t="n"/>
      <c r="E167" s="116" t="n"/>
      <c r="F167" s="115" t="n"/>
      <c r="G167" s="116" t="n"/>
      <c r="H167" s="116" t="n"/>
      <c r="I167" s="115" t="n"/>
      <c r="J167" s="116" t="n"/>
      <c r="K167" s="116" t="n"/>
      <c r="L167" s="115" t="n"/>
      <c r="M167" s="116" t="n"/>
      <c r="N167" s="116" t="n"/>
      <c r="O167" s="115">
        <f>L167+I167+F167+C167</f>
        <v/>
      </c>
      <c r="P167" s="116">
        <f>M167+J167+G167+D167</f>
        <v/>
      </c>
      <c r="Q167" s="116">
        <f>N167+K167+H167+E167</f>
        <v/>
      </c>
      <c r="R167" s="115">
        <f>SUMIFS('PO Log'!$E:$E,'PO Log'!$D:$D,'Category Table'!R$2,'PO Log'!$C:$C,'Category Table'!$A167)</f>
        <v/>
      </c>
      <c r="S167" s="116">
        <f>SUMIFS('PO Log'!$E:$E,'PO Log'!$D:$D,'Category Table'!S$2,'PO Log'!$C:$C,'Category Table'!$A167)</f>
        <v/>
      </c>
      <c r="T167" s="116">
        <f>SUMIFS('PO Log'!$E:$E,'PO Log'!$D:$D,'Category Table'!T$2,'PO Log'!$C:$C,'Category Table'!$A167)</f>
        <v/>
      </c>
      <c r="U167" s="115">
        <f>SUMIFS('Committments Dump'!$Q:$Q,'Committments Dump'!$C:$C,'Category Table'!U$2,'Committments Dump'!$B:$B,'Category Table'!$A167)</f>
        <v/>
      </c>
      <c r="V167" s="116">
        <f>SUMIFS('Committments Dump'!$Q:$Q,'Committments Dump'!$C:$C,'Category Table'!V$2,'Committments Dump'!$B:$B,'Category Table'!$A167)</f>
        <v/>
      </c>
      <c r="W167" s="116">
        <f>SUMIFS('Committments Dump'!$Q:$Q,'Committments Dump'!$C:$C,'Category Table'!W$2,'Committments Dump'!$B:$B,'Category Table'!$A167)</f>
        <v/>
      </c>
      <c r="X167" s="115">
        <f>SUMIFS('Committments Dump'!$R:$R,'Committments Dump'!$C:$C,'Category Table'!X$2,'Committments Dump'!$B:$B,'Category Table'!$A167)</f>
        <v/>
      </c>
      <c r="Y167" s="116">
        <f>SUMIFS('Committments Dump'!$R:$R,'Committments Dump'!$C:$C,'Category Table'!Y$2,'Committments Dump'!$B:$B,'Category Table'!$A167)</f>
        <v/>
      </c>
      <c r="Z167" s="116">
        <f>SUMIFS('Committments Dump'!$R:$R,'Committments Dump'!$C:$C,'Category Table'!Z$2,'Committments Dump'!$B:$B,'Category Table'!$A167)</f>
        <v/>
      </c>
      <c r="AA167" s="115">
        <f>SUMIFS('Committments Dump'!$S:$S,'Committments Dump'!$C:$C,'Category Table'!AA$2,'Committments Dump'!$B:$B,'Category Table'!$A167)</f>
        <v/>
      </c>
      <c r="AB167" s="116">
        <f>SUMIFS('Committments Dump'!$S:$S,'Committments Dump'!$C:$C,'Category Table'!AB$2,'Committments Dump'!$B:$B,'Category Table'!$A167)</f>
        <v/>
      </c>
      <c r="AC167" s="116">
        <f>SUMIFS('Committments Dump'!$S:$S,'Committments Dump'!$C:$C,'Category Table'!AC$2,'Committments Dump'!$B:$B,'Category Table'!$A167)</f>
        <v/>
      </c>
      <c r="AD167" s="115">
        <f>U167+X167+AA167</f>
        <v/>
      </c>
      <c r="AE167" s="116">
        <f>V167+Y167+AB167</f>
        <v/>
      </c>
      <c r="AF167" s="116">
        <f>W167+Z167+AC167</f>
        <v/>
      </c>
      <c r="AG167" s="115">
        <f>R167+AD167</f>
        <v/>
      </c>
      <c r="AH167" s="116">
        <f>S167+AE167</f>
        <v/>
      </c>
      <c r="AI167" s="116">
        <f>T167+AF167</f>
        <v/>
      </c>
      <c r="AJ167" s="115" t="n"/>
      <c r="AK167" s="116" t="n"/>
      <c r="AL167" s="116" t="n"/>
      <c r="AM167" s="115">
        <f>(O167-AG167)+AJ167</f>
        <v/>
      </c>
      <c r="AN167" s="116">
        <f>(P167-AH167)+AK167</f>
        <v/>
      </c>
      <c r="AO167" s="116">
        <f>(Q167-AI167)+AL167</f>
        <v/>
      </c>
      <c r="AP167" s="93">
        <f>IF(AM167&gt;0, "Under",IF(AM167&lt;0,"Over",""))</f>
        <v/>
      </c>
      <c r="AQ167" s="94">
        <f>IF(AN167&gt;0, "Under",IF(AN167&lt;0,"Over",""))</f>
        <v/>
      </c>
      <c r="AR167" s="94">
        <f>IF(AO167&gt;0, "Under",IF(AO167&lt;0,"Over",""))</f>
        <v/>
      </c>
      <c r="AS167" s="3" t="n"/>
    </row>
    <row r="168">
      <c r="C168" s="113" t="n"/>
      <c r="D168" s="114" t="n"/>
      <c r="E168" s="114" t="n"/>
      <c r="F168" s="113" t="n"/>
      <c r="G168" s="114" t="n"/>
      <c r="H168" s="114" t="n"/>
      <c r="I168" s="113" t="n"/>
      <c r="J168" s="114" t="n"/>
      <c r="K168" s="114" t="n"/>
      <c r="L168" s="113" t="n"/>
      <c r="M168" s="114" t="n"/>
      <c r="N168" s="114" t="n"/>
      <c r="O168" s="113">
        <f>L168+I168+F168+C168</f>
        <v/>
      </c>
      <c r="P168" s="114">
        <f>M168+J168+G168+D168</f>
        <v/>
      </c>
      <c r="Q168" s="114">
        <f>N168+K168+H168+E168</f>
        <v/>
      </c>
      <c r="R168" s="113">
        <f>SUMIFS('PO Log'!$E:$E,'PO Log'!$D:$D,'Category Table'!R$2,'PO Log'!$C:$C,'Category Table'!$A168)</f>
        <v/>
      </c>
      <c r="S168" s="114">
        <f>SUMIFS('PO Log'!$E:$E,'PO Log'!$D:$D,'Category Table'!S$2,'PO Log'!$C:$C,'Category Table'!$A168)</f>
        <v/>
      </c>
      <c r="T168" s="114">
        <f>SUMIFS('PO Log'!$E:$E,'PO Log'!$D:$D,'Category Table'!T$2,'PO Log'!$C:$C,'Category Table'!$A168)</f>
        <v/>
      </c>
      <c r="U168" s="113">
        <f>SUMIFS('Committments Dump'!$Q:$Q,'Committments Dump'!$C:$C,'Category Table'!U$2,'Committments Dump'!$B:$B,'Category Table'!$A168)</f>
        <v/>
      </c>
      <c r="V168" s="114">
        <f>SUMIFS('Committments Dump'!$Q:$Q,'Committments Dump'!$C:$C,'Category Table'!V$2,'Committments Dump'!$B:$B,'Category Table'!$A168)</f>
        <v/>
      </c>
      <c r="W168" s="114">
        <f>SUMIFS('Committments Dump'!$Q:$Q,'Committments Dump'!$C:$C,'Category Table'!W$2,'Committments Dump'!$B:$B,'Category Table'!$A168)</f>
        <v/>
      </c>
      <c r="X168" s="113">
        <f>SUMIFS('Committments Dump'!$R:$R,'Committments Dump'!$C:$C,'Category Table'!X$2,'Committments Dump'!$B:$B,'Category Table'!$A168)</f>
        <v/>
      </c>
      <c r="Y168" s="114">
        <f>SUMIFS('Committments Dump'!$R:$R,'Committments Dump'!$C:$C,'Category Table'!Y$2,'Committments Dump'!$B:$B,'Category Table'!$A168)</f>
        <v/>
      </c>
      <c r="Z168" s="114">
        <f>SUMIFS('Committments Dump'!$R:$R,'Committments Dump'!$C:$C,'Category Table'!Z$2,'Committments Dump'!$B:$B,'Category Table'!$A168)</f>
        <v/>
      </c>
      <c r="AA168" s="113">
        <f>SUMIFS('Committments Dump'!$S:$S,'Committments Dump'!$C:$C,'Category Table'!AA$2,'Committments Dump'!$B:$B,'Category Table'!$A168)</f>
        <v/>
      </c>
      <c r="AB168" s="114">
        <f>SUMIFS('Committments Dump'!$S:$S,'Committments Dump'!$C:$C,'Category Table'!AB$2,'Committments Dump'!$B:$B,'Category Table'!$A168)</f>
        <v/>
      </c>
      <c r="AC168" s="114">
        <f>SUMIFS('Committments Dump'!$S:$S,'Committments Dump'!$C:$C,'Category Table'!AC$2,'Committments Dump'!$B:$B,'Category Table'!$A168)</f>
        <v/>
      </c>
      <c r="AD168" s="113">
        <f>U168+X168+AA168</f>
        <v/>
      </c>
      <c r="AE168" s="114">
        <f>V168+Y168+AB168</f>
        <v/>
      </c>
      <c r="AF168" s="114">
        <f>W168+Z168+AC168</f>
        <v/>
      </c>
      <c r="AG168" s="113">
        <f>R168+AD168</f>
        <v/>
      </c>
      <c r="AH168" s="114">
        <f>S168+AE168</f>
        <v/>
      </c>
      <c r="AI168" s="114">
        <f>T168+AF168</f>
        <v/>
      </c>
      <c r="AJ168" s="113" t="n"/>
      <c r="AK168" s="114" t="n"/>
      <c r="AL168" s="114" t="n"/>
      <c r="AM168" s="113">
        <f>(O168-AG168)+AJ168</f>
        <v/>
      </c>
      <c r="AN168" s="114">
        <f>(P168-AH168)+AK168</f>
        <v/>
      </c>
      <c r="AO168" s="114">
        <f>(Q168-AI168)+AL168</f>
        <v/>
      </c>
      <c r="AP168" s="2">
        <f>IF(AM168&gt;0, "Under",IF(AM168&lt;0,"Over",""))</f>
        <v/>
      </c>
      <c r="AQ168" s="1">
        <f>IF(AN168&gt;0, "Under",IF(AN168&lt;0,"Over",""))</f>
        <v/>
      </c>
      <c r="AR168" s="1">
        <f>IF(AO168&gt;0, "Under",IF(AO168&lt;0,"Over",""))</f>
        <v/>
      </c>
      <c r="AS168" s="3" t="n"/>
    </row>
    <row r="169">
      <c r="A169" s="90" t="n"/>
      <c r="B169" s="90" t="n"/>
      <c r="C169" s="115" t="n"/>
      <c r="D169" s="116" t="n"/>
      <c r="E169" s="116" t="n"/>
      <c r="F169" s="115" t="n"/>
      <c r="G169" s="116" t="n"/>
      <c r="H169" s="116" t="n"/>
      <c r="I169" s="115" t="n"/>
      <c r="J169" s="116" t="n"/>
      <c r="K169" s="116" t="n"/>
      <c r="L169" s="115" t="n"/>
      <c r="M169" s="116" t="n"/>
      <c r="N169" s="116" t="n"/>
      <c r="O169" s="115">
        <f>L169+I169+F169+C169</f>
        <v/>
      </c>
      <c r="P169" s="116">
        <f>M169+J169+G169+D169</f>
        <v/>
      </c>
      <c r="Q169" s="116">
        <f>N169+K169+H169+E169</f>
        <v/>
      </c>
      <c r="R169" s="115">
        <f>SUMIFS('PO Log'!$E:$E,'PO Log'!$D:$D,'Category Table'!R$2,'PO Log'!$C:$C,'Category Table'!$A169)</f>
        <v/>
      </c>
      <c r="S169" s="116">
        <f>SUMIFS('PO Log'!$E:$E,'PO Log'!$D:$D,'Category Table'!S$2,'PO Log'!$C:$C,'Category Table'!$A169)</f>
        <v/>
      </c>
      <c r="T169" s="116">
        <f>SUMIFS('PO Log'!$E:$E,'PO Log'!$D:$D,'Category Table'!T$2,'PO Log'!$C:$C,'Category Table'!$A169)</f>
        <v/>
      </c>
      <c r="U169" s="115">
        <f>SUMIFS('Committments Dump'!$Q:$Q,'Committments Dump'!$C:$C,'Category Table'!U$2,'Committments Dump'!$B:$B,'Category Table'!$A169)</f>
        <v/>
      </c>
      <c r="V169" s="116">
        <f>SUMIFS('Committments Dump'!$Q:$Q,'Committments Dump'!$C:$C,'Category Table'!V$2,'Committments Dump'!$B:$B,'Category Table'!$A169)</f>
        <v/>
      </c>
      <c r="W169" s="116">
        <f>SUMIFS('Committments Dump'!$Q:$Q,'Committments Dump'!$C:$C,'Category Table'!W$2,'Committments Dump'!$B:$B,'Category Table'!$A169)</f>
        <v/>
      </c>
      <c r="X169" s="115">
        <f>SUMIFS('Committments Dump'!$R:$R,'Committments Dump'!$C:$C,'Category Table'!X$2,'Committments Dump'!$B:$B,'Category Table'!$A169)</f>
        <v/>
      </c>
      <c r="Y169" s="116">
        <f>SUMIFS('Committments Dump'!$R:$R,'Committments Dump'!$C:$C,'Category Table'!Y$2,'Committments Dump'!$B:$B,'Category Table'!$A169)</f>
        <v/>
      </c>
      <c r="Z169" s="116">
        <f>SUMIFS('Committments Dump'!$R:$R,'Committments Dump'!$C:$C,'Category Table'!Z$2,'Committments Dump'!$B:$B,'Category Table'!$A169)</f>
        <v/>
      </c>
      <c r="AA169" s="115">
        <f>SUMIFS('Committments Dump'!$S:$S,'Committments Dump'!$C:$C,'Category Table'!AA$2,'Committments Dump'!$B:$B,'Category Table'!$A169)</f>
        <v/>
      </c>
      <c r="AB169" s="116">
        <f>SUMIFS('Committments Dump'!$S:$S,'Committments Dump'!$C:$C,'Category Table'!AB$2,'Committments Dump'!$B:$B,'Category Table'!$A169)</f>
        <v/>
      </c>
      <c r="AC169" s="116">
        <f>SUMIFS('Committments Dump'!$S:$S,'Committments Dump'!$C:$C,'Category Table'!AC$2,'Committments Dump'!$B:$B,'Category Table'!$A169)</f>
        <v/>
      </c>
      <c r="AD169" s="115">
        <f>U169+X169+AA169</f>
        <v/>
      </c>
      <c r="AE169" s="116">
        <f>V169+Y169+AB169</f>
        <v/>
      </c>
      <c r="AF169" s="116">
        <f>W169+Z169+AC169</f>
        <v/>
      </c>
      <c r="AG169" s="115">
        <f>R169+AD169</f>
        <v/>
      </c>
      <c r="AH169" s="116">
        <f>S169+AE169</f>
        <v/>
      </c>
      <c r="AI169" s="116">
        <f>T169+AF169</f>
        <v/>
      </c>
      <c r="AJ169" s="115" t="n"/>
      <c r="AK169" s="116" t="n"/>
      <c r="AL169" s="116" t="n"/>
      <c r="AM169" s="115">
        <f>(O169-AG169)+AJ169</f>
        <v/>
      </c>
      <c r="AN169" s="116">
        <f>(P169-AH169)+AK169</f>
        <v/>
      </c>
      <c r="AO169" s="116">
        <f>(Q169-AI169)+AL169</f>
        <v/>
      </c>
      <c r="AP169" s="93">
        <f>IF(AM169&gt;0, "Under",IF(AM169&lt;0,"Over",""))</f>
        <v/>
      </c>
      <c r="AQ169" s="94">
        <f>IF(AN169&gt;0, "Under",IF(AN169&lt;0,"Over",""))</f>
        <v/>
      </c>
      <c r="AR169" s="94">
        <f>IF(AO169&gt;0, "Under",IF(AO169&lt;0,"Over",""))</f>
        <v/>
      </c>
      <c r="AS169" s="3" t="n"/>
    </row>
    <row r="170">
      <c r="C170" s="113" t="n"/>
      <c r="D170" s="114" t="n"/>
      <c r="E170" s="114" t="n"/>
      <c r="F170" s="113" t="n"/>
      <c r="G170" s="114" t="n"/>
      <c r="H170" s="114" t="n"/>
      <c r="I170" s="113" t="n"/>
      <c r="J170" s="114" t="n"/>
      <c r="K170" s="114" t="n"/>
      <c r="L170" s="113" t="n"/>
      <c r="M170" s="114" t="n"/>
      <c r="N170" s="114" t="n"/>
      <c r="O170" s="113">
        <f>L170+I170+F170+C170</f>
        <v/>
      </c>
      <c r="P170" s="114">
        <f>M170+J170+G170+D170</f>
        <v/>
      </c>
      <c r="Q170" s="114">
        <f>N170+K170+H170+E170</f>
        <v/>
      </c>
      <c r="R170" s="113">
        <f>SUMIFS('PO Log'!$E:$E,'PO Log'!$D:$D,'Category Table'!R$2,'PO Log'!$C:$C,'Category Table'!$A170)</f>
        <v/>
      </c>
      <c r="S170" s="114">
        <f>SUMIFS('PO Log'!$E:$E,'PO Log'!$D:$D,'Category Table'!S$2,'PO Log'!$C:$C,'Category Table'!$A170)</f>
        <v/>
      </c>
      <c r="T170" s="114">
        <f>SUMIFS('PO Log'!$E:$E,'PO Log'!$D:$D,'Category Table'!T$2,'PO Log'!$C:$C,'Category Table'!$A170)</f>
        <v/>
      </c>
      <c r="U170" s="113">
        <f>SUMIFS('Committments Dump'!$Q:$Q,'Committments Dump'!$C:$C,'Category Table'!U$2,'Committments Dump'!$B:$B,'Category Table'!$A170)</f>
        <v/>
      </c>
      <c r="V170" s="114">
        <f>SUMIFS('Committments Dump'!$Q:$Q,'Committments Dump'!$C:$C,'Category Table'!V$2,'Committments Dump'!$B:$B,'Category Table'!$A170)</f>
        <v/>
      </c>
      <c r="W170" s="114">
        <f>SUMIFS('Committments Dump'!$Q:$Q,'Committments Dump'!$C:$C,'Category Table'!W$2,'Committments Dump'!$B:$B,'Category Table'!$A170)</f>
        <v/>
      </c>
      <c r="X170" s="113">
        <f>SUMIFS('Committments Dump'!$R:$R,'Committments Dump'!$C:$C,'Category Table'!X$2,'Committments Dump'!$B:$B,'Category Table'!$A170)</f>
        <v/>
      </c>
      <c r="Y170" s="114">
        <f>SUMIFS('Committments Dump'!$R:$R,'Committments Dump'!$C:$C,'Category Table'!Y$2,'Committments Dump'!$B:$B,'Category Table'!$A170)</f>
        <v/>
      </c>
      <c r="Z170" s="114">
        <f>SUMIFS('Committments Dump'!$R:$R,'Committments Dump'!$C:$C,'Category Table'!Z$2,'Committments Dump'!$B:$B,'Category Table'!$A170)</f>
        <v/>
      </c>
      <c r="AA170" s="113">
        <f>SUMIFS('Committments Dump'!$S:$S,'Committments Dump'!$C:$C,'Category Table'!AA$2,'Committments Dump'!$B:$B,'Category Table'!$A170)</f>
        <v/>
      </c>
      <c r="AB170" s="114">
        <f>SUMIFS('Committments Dump'!$S:$S,'Committments Dump'!$C:$C,'Category Table'!AB$2,'Committments Dump'!$B:$B,'Category Table'!$A170)</f>
        <v/>
      </c>
      <c r="AC170" s="114">
        <f>SUMIFS('Committments Dump'!$S:$S,'Committments Dump'!$C:$C,'Category Table'!AC$2,'Committments Dump'!$B:$B,'Category Table'!$A170)</f>
        <v/>
      </c>
      <c r="AD170" s="113">
        <f>U170+X170+AA170</f>
        <v/>
      </c>
      <c r="AE170" s="114">
        <f>V170+Y170+AB170</f>
        <v/>
      </c>
      <c r="AF170" s="114">
        <f>W170+Z170+AC170</f>
        <v/>
      </c>
      <c r="AG170" s="113">
        <f>R170+AD170</f>
        <v/>
      </c>
      <c r="AH170" s="114">
        <f>S170+AE170</f>
        <v/>
      </c>
      <c r="AI170" s="114">
        <f>T170+AF170</f>
        <v/>
      </c>
      <c r="AJ170" s="113" t="n"/>
      <c r="AK170" s="114" t="n"/>
      <c r="AL170" s="114" t="n"/>
      <c r="AM170" s="113">
        <f>(O170-AG170)+AJ170</f>
        <v/>
      </c>
      <c r="AN170" s="114">
        <f>(P170-AH170)+AK170</f>
        <v/>
      </c>
      <c r="AO170" s="114">
        <f>(Q170-AI170)+AL170</f>
        <v/>
      </c>
      <c r="AP170" s="2">
        <f>IF(AM170&gt;0, "Under",IF(AM170&lt;0,"Over",""))</f>
        <v/>
      </c>
      <c r="AQ170" s="1">
        <f>IF(AN170&gt;0, "Under",IF(AN170&lt;0,"Over",""))</f>
        <v/>
      </c>
      <c r="AR170" s="1">
        <f>IF(AO170&gt;0, "Under",IF(AO170&lt;0,"Over",""))</f>
        <v/>
      </c>
      <c r="AS170" s="3" t="n"/>
    </row>
    <row r="171">
      <c r="A171" s="90" t="n"/>
      <c r="B171" s="90" t="n"/>
      <c r="C171" s="115" t="n"/>
      <c r="D171" s="116" t="n"/>
      <c r="E171" s="116" t="n"/>
      <c r="F171" s="115" t="n"/>
      <c r="G171" s="116" t="n"/>
      <c r="H171" s="116" t="n"/>
      <c r="I171" s="115" t="n"/>
      <c r="J171" s="116" t="n"/>
      <c r="K171" s="116" t="n"/>
      <c r="L171" s="115" t="n"/>
      <c r="M171" s="116" t="n"/>
      <c r="N171" s="116" t="n"/>
      <c r="O171" s="115">
        <f>L171+I171+F171+C171</f>
        <v/>
      </c>
      <c r="P171" s="116">
        <f>M171+J171+G171+D171</f>
        <v/>
      </c>
      <c r="Q171" s="116">
        <f>N171+K171+H171+E171</f>
        <v/>
      </c>
      <c r="R171" s="115">
        <f>SUMIFS('PO Log'!$E:$E,'PO Log'!$D:$D,'Category Table'!R$2,'PO Log'!$C:$C,'Category Table'!$A171)</f>
        <v/>
      </c>
      <c r="S171" s="116">
        <f>SUMIFS('PO Log'!$E:$E,'PO Log'!$D:$D,'Category Table'!S$2,'PO Log'!$C:$C,'Category Table'!$A171)</f>
        <v/>
      </c>
      <c r="T171" s="116">
        <f>SUMIFS('PO Log'!$E:$E,'PO Log'!$D:$D,'Category Table'!T$2,'PO Log'!$C:$C,'Category Table'!$A171)</f>
        <v/>
      </c>
      <c r="U171" s="115">
        <f>SUMIFS('Committments Dump'!$Q:$Q,'Committments Dump'!$C:$C,'Category Table'!U$2,'Committments Dump'!$B:$B,'Category Table'!$A171)</f>
        <v/>
      </c>
      <c r="V171" s="116">
        <f>SUMIFS('Committments Dump'!$Q:$Q,'Committments Dump'!$C:$C,'Category Table'!V$2,'Committments Dump'!$B:$B,'Category Table'!$A171)</f>
        <v/>
      </c>
      <c r="W171" s="116">
        <f>SUMIFS('Committments Dump'!$Q:$Q,'Committments Dump'!$C:$C,'Category Table'!W$2,'Committments Dump'!$B:$B,'Category Table'!$A171)</f>
        <v/>
      </c>
      <c r="X171" s="115">
        <f>SUMIFS('Committments Dump'!$R:$R,'Committments Dump'!$C:$C,'Category Table'!X$2,'Committments Dump'!$B:$B,'Category Table'!$A171)</f>
        <v/>
      </c>
      <c r="Y171" s="116">
        <f>SUMIFS('Committments Dump'!$R:$R,'Committments Dump'!$C:$C,'Category Table'!Y$2,'Committments Dump'!$B:$B,'Category Table'!$A171)</f>
        <v/>
      </c>
      <c r="Z171" s="116">
        <f>SUMIFS('Committments Dump'!$R:$R,'Committments Dump'!$C:$C,'Category Table'!Z$2,'Committments Dump'!$B:$B,'Category Table'!$A171)</f>
        <v/>
      </c>
      <c r="AA171" s="115">
        <f>SUMIFS('Committments Dump'!$S:$S,'Committments Dump'!$C:$C,'Category Table'!AA$2,'Committments Dump'!$B:$B,'Category Table'!$A171)</f>
        <v/>
      </c>
      <c r="AB171" s="116">
        <f>SUMIFS('Committments Dump'!$S:$S,'Committments Dump'!$C:$C,'Category Table'!AB$2,'Committments Dump'!$B:$B,'Category Table'!$A171)</f>
        <v/>
      </c>
      <c r="AC171" s="116">
        <f>SUMIFS('Committments Dump'!$S:$S,'Committments Dump'!$C:$C,'Category Table'!AC$2,'Committments Dump'!$B:$B,'Category Table'!$A171)</f>
        <v/>
      </c>
      <c r="AD171" s="115">
        <f>U171+X171+AA171</f>
        <v/>
      </c>
      <c r="AE171" s="116">
        <f>V171+Y171+AB171</f>
        <v/>
      </c>
      <c r="AF171" s="116">
        <f>W171+Z171+AC171</f>
        <v/>
      </c>
      <c r="AG171" s="115">
        <f>R171+AD171</f>
        <v/>
      </c>
      <c r="AH171" s="116">
        <f>S171+AE171</f>
        <v/>
      </c>
      <c r="AI171" s="116">
        <f>T171+AF171</f>
        <v/>
      </c>
      <c r="AJ171" s="115" t="n"/>
      <c r="AK171" s="116" t="n"/>
      <c r="AL171" s="116" t="n"/>
      <c r="AM171" s="115">
        <f>(O171-AG171)+AJ171</f>
        <v/>
      </c>
      <c r="AN171" s="116">
        <f>(P171-AH171)+AK171</f>
        <v/>
      </c>
      <c r="AO171" s="116">
        <f>(Q171-AI171)+AL171</f>
        <v/>
      </c>
      <c r="AP171" s="93">
        <f>IF(AM171&gt;0, "Under",IF(AM171&lt;0,"Over",""))</f>
        <v/>
      </c>
      <c r="AQ171" s="94">
        <f>IF(AN171&gt;0, "Under",IF(AN171&lt;0,"Over",""))</f>
        <v/>
      </c>
      <c r="AR171" s="94">
        <f>IF(AO171&gt;0, "Under",IF(AO171&lt;0,"Over",""))</f>
        <v/>
      </c>
      <c r="AS171" s="3" t="n"/>
    </row>
    <row r="172">
      <c r="C172" s="113" t="n"/>
      <c r="D172" s="114" t="n"/>
      <c r="E172" s="114" t="n"/>
      <c r="F172" s="113" t="n"/>
      <c r="G172" s="114" t="n"/>
      <c r="H172" s="114" t="n"/>
      <c r="I172" s="113" t="n"/>
      <c r="J172" s="114" t="n"/>
      <c r="K172" s="114" t="n"/>
      <c r="L172" s="113" t="n"/>
      <c r="M172" s="114" t="n"/>
      <c r="N172" s="114" t="n"/>
      <c r="O172" s="113">
        <f>L172+I172+F172+C172</f>
        <v/>
      </c>
      <c r="P172" s="114">
        <f>M172+J172+G172+D172</f>
        <v/>
      </c>
      <c r="Q172" s="114">
        <f>N172+K172+H172+E172</f>
        <v/>
      </c>
      <c r="R172" s="113">
        <f>SUMIFS('PO Log'!$E:$E,'PO Log'!$D:$D,'Category Table'!R$2,'PO Log'!$C:$C,'Category Table'!$A172)</f>
        <v/>
      </c>
      <c r="S172" s="114">
        <f>SUMIFS('PO Log'!$E:$E,'PO Log'!$D:$D,'Category Table'!S$2,'PO Log'!$C:$C,'Category Table'!$A172)</f>
        <v/>
      </c>
      <c r="T172" s="114">
        <f>SUMIFS('PO Log'!$E:$E,'PO Log'!$D:$D,'Category Table'!T$2,'PO Log'!$C:$C,'Category Table'!$A172)</f>
        <v/>
      </c>
      <c r="U172" s="113">
        <f>SUMIFS('Committments Dump'!$Q:$Q,'Committments Dump'!$C:$C,'Category Table'!U$2,'Committments Dump'!$B:$B,'Category Table'!$A172)</f>
        <v/>
      </c>
      <c r="V172" s="114">
        <f>SUMIFS('Committments Dump'!$Q:$Q,'Committments Dump'!$C:$C,'Category Table'!V$2,'Committments Dump'!$B:$B,'Category Table'!$A172)</f>
        <v/>
      </c>
      <c r="W172" s="114">
        <f>SUMIFS('Committments Dump'!$Q:$Q,'Committments Dump'!$C:$C,'Category Table'!W$2,'Committments Dump'!$B:$B,'Category Table'!$A172)</f>
        <v/>
      </c>
      <c r="X172" s="113">
        <f>SUMIFS('Committments Dump'!$R:$R,'Committments Dump'!$C:$C,'Category Table'!X$2,'Committments Dump'!$B:$B,'Category Table'!$A172)</f>
        <v/>
      </c>
      <c r="Y172" s="114">
        <f>SUMIFS('Committments Dump'!$R:$R,'Committments Dump'!$C:$C,'Category Table'!Y$2,'Committments Dump'!$B:$B,'Category Table'!$A172)</f>
        <v/>
      </c>
      <c r="Z172" s="114">
        <f>SUMIFS('Committments Dump'!$R:$R,'Committments Dump'!$C:$C,'Category Table'!Z$2,'Committments Dump'!$B:$B,'Category Table'!$A172)</f>
        <v/>
      </c>
      <c r="AA172" s="113">
        <f>SUMIFS('Committments Dump'!$S:$S,'Committments Dump'!$C:$C,'Category Table'!AA$2,'Committments Dump'!$B:$B,'Category Table'!$A172)</f>
        <v/>
      </c>
      <c r="AB172" s="114">
        <f>SUMIFS('Committments Dump'!$S:$S,'Committments Dump'!$C:$C,'Category Table'!AB$2,'Committments Dump'!$B:$B,'Category Table'!$A172)</f>
        <v/>
      </c>
      <c r="AC172" s="114">
        <f>SUMIFS('Committments Dump'!$S:$S,'Committments Dump'!$C:$C,'Category Table'!AC$2,'Committments Dump'!$B:$B,'Category Table'!$A172)</f>
        <v/>
      </c>
      <c r="AD172" s="113">
        <f>U172+X172+AA172</f>
        <v/>
      </c>
      <c r="AE172" s="114">
        <f>V172+Y172+AB172</f>
        <v/>
      </c>
      <c r="AF172" s="114">
        <f>W172+Z172+AC172</f>
        <v/>
      </c>
      <c r="AG172" s="113">
        <f>R172+AD172</f>
        <v/>
      </c>
      <c r="AH172" s="114">
        <f>S172+AE172</f>
        <v/>
      </c>
      <c r="AI172" s="114">
        <f>T172+AF172</f>
        <v/>
      </c>
      <c r="AJ172" s="113" t="n"/>
      <c r="AK172" s="114" t="n"/>
      <c r="AL172" s="114" t="n"/>
      <c r="AM172" s="113">
        <f>(O172-AG172)+AJ172</f>
        <v/>
      </c>
      <c r="AN172" s="114">
        <f>(P172-AH172)+AK172</f>
        <v/>
      </c>
      <c r="AO172" s="114">
        <f>(Q172-AI172)+AL172</f>
        <v/>
      </c>
      <c r="AP172" s="2">
        <f>IF(AM172&gt;0, "Under",IF(AM172&lt;0,"Over",""))</f>
        <v/>
      </c>
      <c r="AQ172" s="1">
        <f>IF(AN172&gt;0, "Under",IF(AN172&lt;0,"Over",""))</f>
        <v/>
      </c>
      <c r="AR172" s="1">
        <f>IF(AO172&gt;0, "Under",IF(AO172&lt;0,"Over",""))</f>
        <v/>
      </c>
      <c r="AS172" s="3" t="n"/>
    </row>
    <row r="173">
      <c r="A173" s="90" t="n"/>
      <c r="B173" s="90" t="n"/>
      <c r="C173" s="115" t="n"/>
      <c r="D173" s="116" t="n"/>
      <c r="E173" s="116" t="n"/>
      <c r="F173" s="115" t="n"/>
      <c r="G173" s="116" t="n"/>
      <c r="H173" s="116" t="n"/>
      <c r="I173" s="115" t="n"/>
      <c r="J173" s="116" t="n"/>
      <c r="K173" s="116" t="n"/>
      <c r="L173" s="115" t="n"/>
      <c r="M173" s="116" t="n"/>
      <c r="N173" s="116" t="n"/>
      <c r="O173" s="115">
        <f>L173+I173+F173+C173</f>
        <v/>
      </c>
      <c r="P173" s="116">
        <f>M173+J173+G173+D173</f>
        <v/>
      </c>
      <c r="Q173" s="116">
        <f>N173+K173+H173+E173</f>
        <v/>
      </c>
      <c r="R173" s="115">
        <f>SUMIFS('PO Log'!$E:$E,'PO Log'!$D:$D,'Category Table'!R$2,'PO Log'!$C:$C,'Category Table'!$A173)</f>
        <v/>
      </c>
      <c r="S173" s="116">
        <f>SUMIFS('PO Log'!$E:$E,'PO Log'!$D:$D,'Category Table'!S$2,'PO Log'!$C:$C,'Category Table'!$A173)</f>
        <v/>
      </c>
      <c r="T173" s="116">
        <f>SUMIFS('PO Log'!$E:$E,'PO Log'!$D:$D,'Category Table'!T$2,'PO Log'!$C:$C,'Category Table'!$A173)</f>
        <v/>
      </c>
      <c r="U173" s="115">
        <f>SUMIFS('Committments Dump'!$Q:$Q,'Committments Dump'!$C:$C,'Category Table'!U$2,'Committments Dump'!$B:$B,'Category Table'!$A173)</f>
        <v/>
      </c>
      <c r="V173" s="116">
        <f>SUMIFS('Committments Dump'!$Q:$Q,'Committments Dump'!$C:$C,'Category Table'!V$2,'Committments Dump'!$B:$B,'Category Table'!$A173)</f>
        <v/>
      </c>
      <c r="W173" s="116">
        <f>SUMIFS('Committments Dump'!$Q:$Q,'Committments Dump'!$C:$C,'Category Table'!W$2,'Committments Dump'!$B:$B,'Category Table'!$A173)</f>
        <v/>
      </c>
      <c r="X173" s="115">
        <f>SUMIFS('Committments Dump'!$R:$R,'Committments Dump'!$C:$C,'Category Table'!X$2,'Committments Dump'!$B:$B,'Category Table'!$A173)</f>
        <v/>
      </c>
      <c r="Y173" s="116">
        <f>SUMIFS('Committments Dump'!$R:$R,'Committments Dump'!$C:$C,'Category Table'!Y$2,'Committments Dump'!$B:$B,'Category Table'!$A173)</f>
        <v/>
      </c>
      <c r="Z173" s="116">
        <f>SUMIFS('Committments Dump'!$R:$R,'Committments Dump'!$C:$C,'Category Table'!Z$2,'Committments Dump'!$B:$B,'Category Table'!$A173)</f>
        <v/>
      </c>
      <c r="AA173" s="115">
        <f>SUMIFS('Committments Dump'!$S:$S,'Committments Dump'!$C:$C,'Category Table'!AA$2,'Committments Dump'!$B:$B,'Category Table'!$A173)</f>
        <v/>
      </c>
      <c r="AB173" s="116">
        <f>SUMIFS('Committments Dump'!$S:$S,'Committments Dump'!$C:$C,'Category Table'!AB$2,'Committments Dump'!$B:$B,'Category Table'!$A173)</f>
        <v/>
      </c>
      <c r="AC173" s="116">
        <f>SUMIFS('Committments Dump'!$S:$S,'Committments Dump'!$C:$C,'Category Table'!AC$2,'Committments Dump'!$B:$B,'Category Table'!$A173)</f>
        <v/>
      </c>
      <c r="AD173" s="115">
        <f>U173+X173+AA173</f>
        <v/>
      </c>
      <c r="AE173" s="116">
        <f>V173+Y173+AB173</f>
        <v/>
      </c>
      <c r="AF173" s="116">
        <f>W173+Z173+AC173</f>
        <v/>
      </c>
      <c r="AG173" s="115">
        <f>R173+AD173</f>
        <v/>
      </c>
      <c r="AH173" s="116">
        <f>S173+AE173</f>
        <v/>
      </c>
      <c r="AI173" s="116">
        <f>T173+AF173</f>
        <v/>
      </c>
      <c r="AJ173" s="115" t="n"/>
      <c r="AK173" s="116" t="n"/>
      <c r="AL173" s="116" t="n"/>
      <c r="AM173" s="115">
        <f>(O173-AG173)+AJ173</f>
        <v/>
      </c>
      <c r="AN173" s="116">
        <f>(P173-AH173)+AK173</f>
        <v/>
      </c>
      <c r="AO173" s="116">
        <f>(Q173-AI173)+AL173</f>
        <v/>
      </c>
      <c r="AP173" s="93">
        <f>IF(AM173&gt;0, "Under",IF(AM173&lt;0,"Over",""))</f>
        <v/>
      </c>
      <c r="AQ173" s="94">
        <f>IF(AN173&gt;0, "Under",IF(AN173&lt;0,"Over",""))</f>
        <v/>
      </c>
      <c r="AR173" s="94">
        <f>IF(AO173&gt;0, "Under",IF(AO173&lt;0,"Over",""))</f>
        <v/>
      </c>
      <c r="AS173" s="3" t="n"/>
    </row>
    <row r="174">
      <c r="C174" s="113" t="n"/>
      <c r="D174" s="114" t="n"/>
      <c r="E174" s="114" t="n"/>
      <c r="F174" s="113" t="n"/>
      <c r="G174" s="114" t="n"/>
      <c r="H174" s="114" t="n"/>
      <c r="I174" s="113" t="n"/>
      <c r="J174" s="114" t="n"/>
      <c r="K174" s="114" t="n"/>
      <c r="L174" s="113" t="n"/>
      <c r="M174" s="114" t="n"/>
      <c r="N174" s="114" t="n"/>
      <c r="O174" s="113">
        <f>L174+I174+F174+C174</f>
        <v/>
      </c>
      <c r="P174" s="114">
        <f>M174+J174+G174+D174</f>
        <v/>
      </c>
      <c r="Q174" s="114">
        <f>N174+K174+H174+E174</f>
        <v/>
      </c>
      <c r="R174" s="113">
        <f>SUMIFS('PO Log'!$E:$E,'PO Log'!$D:$D,'Category Table'!R$2,'PO Log'!$C:$C,'Category Table'!$A174)</f>
        <v/>
      </c>
      <c r="S174" s="114">
        <f>SUMIFS('PO Log'!$E:$E,'PO Log'!$D:$D,'Category Table'!S$2,'PO Log'!$C:$C,'Category Table'!$A174)</f>
        <v/>
      </c>
      <c r="T174" s="114">
        <f>SUMIFS('PO Log'!$E:$E,'PO Log'!$D:$D,'Category Table'!T$2,'PO Log'!$C:$C,'Category Table'!$A174)</f>
        <v/>
      </c>
      <c r="U174" s="113">
        <f>SUMIFS('Committments Dump'!$Q:$Q,'Committments Dump'!$C:$C,'Category Table'!U$2,'Committments Dump'!$B:$B,'Category Table'!$A174)</f>
        <v/>
      </c>
      <c r="V174" s="114">
        <f>SUMIFS('Committments Dump'!$Q:$Q,'Committments Dump'!$C:$C,'Category Table'!V$2,'Committments Dump'!$B:$B,'Category Table'!$A174)</f>
        <v/>
      </c>
      <c r="W174" s="114">
        <f>SUMIFS('Committments Dump'!$Q:$Q,'Committments Dump'!$C:$C,'Category Table'!W$2,'Committments Dump'!$B:$B,'Category Table'!$A174)</f>
        <v/>
      </c>
      <c r="X174" s="113">
        <f>SUMIFS('Committments Dump'!$R:$R,'Committments Dump'!$C:$C,'Category Table'!X$2,'Committments Dump'!$B:$B,'Category Table'!$A174)</f>
        <v/>
      </c>
      <c r="Y174" s="114">
        <f>SUMIFS('Committments Dump'!$R:$R,'Committments Dump'!$C:$C,'Category Table'!Y$2,'Committments Dump'!$B:$B,'Category Table'!$A174)</f>
        <v/>
      </c>
      <c r="Z174" s="114">
        <f>SUMIFS('Committments Dump'!$R:$R,'Committments Dump'!$C:$C,'Category Table'!Z$2,'Committments Dump'!$B:$B,'Category Table'!$A174)</f>
        <v/>
      </c>
      <c r="AA174" s="113">
        <f>SUMIFS('Committments Dump'!$S:$S,'Committments Dump'!$C:$C,'Category Table'!AA$2,'Committments Dump'!$B:$B,'Category Table'!$A174)</f>
        <v/>
      </c>
      <c r="AB174" s="114">
        <f>SUMIFS('Committments Dump'!$S:$S,'Committments Dump'!$C:$C,'Category Table'!AB$2,'Committments Dump'!$B:$B,'Category Table'!$A174)</f>
        <v/>
      </c>
      <c r="AC174" s="114">
        <f>SUMIFS('Committments Dump'!$S:$S,'Committments Dump'!$C:$C,'Category Table'!AC$2,'Committments Dump'!$B:$B,'Category Table'!$A174)</f>
        <v/>
      </c>
      <c r="AD174" s="113">
        <f>U174+X174+AA174</f>
        <v/>
      </c>
      <c r="AE174" s="114">
        <f>V174+Y174+AB174</f>
        <v/>
      </c>
      <c r="AF174" s="114">
        <f>W174+Z174+AC174</f>
        <v/>
      </c>
      <c r="AG174" s="113">
        <f>R174+AD174</f>
        <v/>
      </c>
      <c r="AH174" s="114">
        <f>S174+AE174</f>
        <v/>
      </c>
      <c r="AI174" s="114">
        <f>T174+AF174</f>
        <v/>
      </c>
      <c r="AJ174" s="113" t="n"/>
      <c r="AK174" s="114" t="n"/>
      <c r="AL174" s="114" t="n"/>
      <c r="AM174" s="113">
        <f>(O174-AG174)+AJ174</f>
        <v/>
      </c>
      <c r="AN174" s="114">
        <f>(P174-AH174)+AK174</f>
        <v/>
      </c>
      <c r="AO174" s="114">
        <f>(Q174-AI174)+AL174</f>
        <v/>
      </c>
      <c r="AP174" s="2">
        <f>IF(AM174&gt;0, "Under",IF(AM174&lt;0,"Over",""))</f>
        <v/>
      </c>
      <c r="AQ174" s="1">
        <f>IF(AN174&gt;0, "Under",IF(AN174&lt;0,"Over",""))</f>
        <v/>
      </c>
      <c r="AR174" s="1">
        <f>IF(AO174&gt;0, "Under",IF(AO174&lt;0,"Over",""))</f>
        <v/>
      </c>
      <c r="AS174" s="3" t="n"/>
    </row>
    <row r="175">
      <c r="A175" s="90" t="n"/>
      <c r="B175" s="90" t="n"/>
      <c r="C175" s="115" t="n"/>
      <c r="D175" s="116" t="n"/>
      <c r="E175" s="116" t="n"/>
      <c r="F175" s="115" t="n"/>
      <c r="G175" s="116" t="n"/>
      <c r="H175" s="116" t="n"/>
      <c r="I175" s="115" t="n"/>
      <c r="J175" s="116" t="n"/>
      <c r="K175" s="116" t="n"/>
      <c r="L175" s="115" t="n"/>
      <c r="M175" s="116" t="n"/>
      <c r="N175" s="116" t="n"/>
      <c r="O175" s="115">
        <f>L175+I175+F175+C175</f>
        <v/>
      </c>
      <c r="P175" s="116">
        <f>M175+J175+G175+D175</f>
        <v/>
      </c>
      <c r="Q175" s="116">
        <f>N175+K175+H175+E175</f>
        <v/>
      </c>
      <c r="R175" s="115">
        <f>SUMIFS('PO Log'!$E:$E,'PO Log'!$D:$D,'Category Table'!R$2,'PO Log'!$C:$C,'Category Table'!$A175)</f>
        <v/>
      </c>
      <c r="S175" s="116">
        <f>SUMIFS('PO Log'!$E:$E,'PO Log'!$D:$D,'Category Table'!S$2,'PO Log'!$C:$C,'Category Table'!$A175)</f>
        <v/>
      </c>
      <c r="T175" s="116">
        <f>SUMIFS('PO Log'!$E:$E,'PO Log'!$D:$D,'Category Table'!T$2,'PO Log'!$C:$C,'Category Table'!$A175)</f>
        <v/>
      </c>
      <c r="U175" s="115">
        <f>SUMIFS('Committments Dump'!$Q:$Q,'Committments Dump'!$C:$C,'Category Table'!U$2,'Committments Dump'!$B:$B,'Category Table'!$A175)</f>
        <v/>
      </c>
      <c r="V175" s="116">
        <f>SUMIFS('Committments Dump'!$Q:$Q,'Committments Dump'!$C:$C,'Category Table'!V$2,'Committments Dump'!$B:$B,'Category Table'!$A175)</f>
        <v/>
      </c>
      <c r="W175" s="116">
        <f>SUMIFS('Committments Dump'!$Q:$Q,'Committments Dump'!$C:$C,'Category Table'!W$2,'Committments Dump'!$B:$B,'Category Table'!$A175)</f>
        <v/>
      </c>
      <c r="X175" s="115">
        <f>SUMIFS('Committments Dump'!$R:$R,'Committments Dump'!$C:$C,'Category Table'!X$2,'Committments Dump'!$B:$B,'Category Table'!$A175)</f>
        <v/>
      </c>
      <c r="Y175" s="116">
        <f>SUMIFS('Committments Dump'!$R:$R,'Committments Dump'!$C:$C,'Category Table'!Y$2,'Committments Dump'!$B:$B,'Category Table'!$A175)</f>
        <v/>
      </c>
      <c r="Z175" s="116">
        <f>SUMIFS('Committments Dump'!$R:$R,'Committments Dump'!$C:$C,'Category Table'!Z$2,'Committments Dump'!$B:$B,'Category Table'!$A175)</f>
        <v/>
      </c>
      <c r="AA175" s="115">
        <f>SUMIFS('Committments Dump'!$S:$S,'Committments Dump'!$C:$C,'Category Table'!AA$2,'Committments Dump'!$B:$B,'Category Table'!$A175)</f>
        <v/>
      </c>
      <c r="AB175" s="116">
        <f>SUMIFS('Committments Dump'!$S:$S,'Committments Dump'!$C:$C,'Category Table'!AB$2,'Committments Dump'!$B:$B,'Category Table'!$A175)</f>
        <v/>
      </c>
      <c r="AC175" s="116">
        <f>SUMIFS('Committments Dump'!$S:$S,'Committments Dump'!$C:$C,'Category Table'!AC$2,'Committments Dump'!$B:$B,'Category Table'!$A175)</f>
        <v/>
      </c>
      <c r="AD175" s="115">
        <f>U175+X175+AA175</f>
        <v/>
      </c>
      <c r="AE175" s="116">
        <f>V175+Y175+AB175</f>
        <v/>
      </c>
      <c r="AF175" s="116">
        <f>W175+Z175+AC175</f>
        <v/>
      </c>
      <c r="AG175" s="115">
        <f>R175+AD175</f>
        <v/>
      </c>
      <c r="AH175" s="116">
        <f>S175+AE175</f>
        <v/>
      </c>
      <c r="AI175" s="116">
        <f>T175+AF175</f>
        <v/>
      </c>
      <c r="AJ175" s="115" t="n"/>
      <c r="AK175" s="116" t="n"/>
      <c r="AL175" s="116" t="n"/>
      <c r="AM175" s="115">
        <f>(O175-AG175)+AJ175</f>
        <v/>
      </c>
      <c r="AN175" s="116">
        <f>(P175-AH175)+AK175</f>
        <v/>
      </c>
      <c r="AO175" s="116">
        <f>(Q175-AI175)+AL175</f>
        <v/>
      </c>
      <c r="AP175" s="93">
        <f>IF(AM175&gt;0, "Under",IF(AM175&lt;0,"Over",""))</f>
        <v/>
      </c>
      <c r="AQ175" s="94">
        <f>IF(AN175&gt;0, "Under",IF(AN175&lt;0,"Over",""))</f>
        <v/>
      </c>
      <c r="AR175" s="94">
        <f>IF(AO175&gt;0, "Under",IF(AO175&lt;0,"Over",""))</f>
        <v/>
      </c>
      <c r="AS175" s="3" t="n"/>
    </row>
    <row r="176">
      <c r="C176" s="113" t="n"/>
      <c r="D176" s="114" t="n"/>
      <c r="E176" s="114" t="n"/>
      <c r="F176" s="113" t="n"/>
      <c r="G176" s="114" t="n"/>
      <c r="H176" s="114" t="n"/>
      <c r="I176" s="113" t="n"/>
      <c r="J176" s="114" t="n"/>
      <c r="K176" s="114" t="n"/>
      <c r="L176" s="113" t="n"/>
      <c r="M176" s="114" t="n"/>
      <c r="N176" s="114" t="n"/>
      <c r="O176" s="113">
        <f>L176+I176+F176+C176</f>
        <v/>
      </c>
      <c r="P176" s="114">
        <f>M176+J176+G176+D176</f>
        <v/>
      </c>
      <c r="Q176" s="114">
        <f>N176+K176+H176+E176</f>
        <v/>
      </c>
      <c r="R176" s="113">
        <f>SUMIFS('PO Log'!$E:$E,'PO Log'!$D:$D,'Category Table'!R$2,'PO Log'!$C:$C,'Category Table'!$A176)</f>
        <v/>
      </c>
      <c r="S176" s="114">
        <f>SUMIFS('PO Log'!$E:$E,'PO Log'!$D:$D,'Category Table'!S$2,'PO Log'!$C:$C,'Category Table'!$A176)</f>
        <v/>
      </c>
      <c r="T176" s="114">
        <f>SUMIFS('PO Log'!$E:$E,'PO Log'!$D:$D,'Category Table'!T$2,'PO Log'!$C:$C,'Category Table'!$A176)</f>
        <v/>
      </c>
      <c r="U176" s="113">
        <f>SUMIFS('Committments Dump'!$Q:$Q,'Committments Dump'!$C:$C,'Category Table'!U$2,'Committments Dump'!$B:$B,'Category Table'!$A176)</f>
        <v/>
      </c>
      <c r="V176" s="114">
        <f>SUMIFS('Committments Dump'!$Q:$Q,'Committments Dump'!$C:$C,'Category Table'!V$2,'Committments Dump'!$B:$B,'Category Table'!$A176)</f>
        <v/>
      </c>
      <c r="W176" s="114">
        <f>SUMIFS('Committments Dump'!$Q:$Q,'Committments Dump'!$C:$C,'Category Table'!W$2,'Committments Dump'!$B:$B,'Category Table'!$A176)</f>
        <v/>
      </c>
      <c r="X176" s="113">
        <f>SUMIFS('Committments Dump'!$R:$R,'Committments Dump'!$C:$C,'Category Table'!X$2,'Committments Dump'!$B:$B,'Category Table'!$A176)</f>
        <v/>
      </c>
      <c r="Y176" s="114">
        <f>SUMIFS('Committments Dump'!$R:$R,'Committments Dump'!$C:$C,'Category Table'!Y$2,'Committments Dump'!$B:$B,'Category Table'!$A176)</f>
        <v/>
      </c>
      <c r="Z176" s="114">
        <f>SUMIFS('Committments Dump'!$R:$R,'Committments Dump'!$C:$C,'Category Table'!Z$2,'Committments Dump'!$B:$B,'Category Table'!$A176)</f>
        <v/>
      </c>
      <c r="AA176" s="113">
        <f>SUMIFS('Committments Dump'!$S:$S,'Committments Dump'!$C:$C,'Category Table'!AA$2,'Committments Dump'!$B:$B,'Category Table'!$A176)</f>
        <v/>
      </c>
      <c r="AB176" s="114">
        <f>SUMIFS('Committments Dump'!$S:$S,'Committments Dump'!$C:$C,'Category Table'!AB$2,'Committments Dump'!$B:$B,'Category Table'!$A176)</f>
        <v/>
      </c>
      <c r="AC176" s="114">
        <f>SUMIFS('Committments Dump'!$S:$S,'Committments Dump'!$C:$C,'Category Table'!AC$2,'Committments Dump'!$B:$B,'Category Table'!$A176)</f>
        <v/>
      </c>
      <c r="AD176" s="113">
        <f>U176+X176+AA176</f>
        <v/>
      </c>
      <c r="AE176" s="114">
        <f>V176+Y176+AB176</f>
        <v/>
      </c>
      <c r="AF176" s="114">
        <f>W176+Z176+AC176</f>
        <v/>
      </c>
      <c r="AG176" s="113">
        <f>R176+AD176</f>
        <v/>
      </c>
      <c r="AH176" s="114">
        <f>S176+AE176</f>
        <v/>
      </c>
      <c r="AI176" s="114">
        <f>T176+AF176</f>
        <v/>
      </c>
      <c r="AJ176" s="113" t="n"/>
      <c r="AK176" s="114" t="n"/>
      <c r="AL176" s="114" t="n"/>
      <c r="AM176" s="113">
        <f>(O176-AG176)+AJ176</f>
        <v/>
      </c>
      <c r="AN176" s="114">
        <f>(P176-AH176)+AK176</f>
        <v/>
      </c>
      <c r="AO176" s="114">
        <f>(Q176-AI176)+AL176</f>
        <v/>
      </c>
      <c r="AP176" s="2">
        <f>IF(AM176&gt;0, "Under",IF(AM176&lt;0,"Over",""))</f>
        <v/>
      </c>
      <c r="AQ176" s="1">
        <f>IF(AN176&gt;0, "Under",IF(AN176&lt;0,"Over",""))</f>
        <v/>
      </c>
      <c r="AR176" s="1">
        <f>IF(AO176&gt;0, "Under",IF(AO176&lt;0,"Over",""))</f>
        <v/>
      </c>
      <c r="AS176" s="3" t="n"/>
    </row>
    <row r="177">
      <c r="A177" s="90" t="n"/>
      <c r="B177" s="90" t="n"/>
      <c r="C177" s="115" t="n"/>
      <c r="D177" s="116" t="n"/>
      <c r="E177" s="116" t="n"/>
      <c r="F177" s="115" t="n"/>
      <c r="G177" s="116" t="n"/>
      <c r="H177" s="116" t="n"/>
      <c r="I177" s="115" t="n"/>
      <c r="J177" s="116" t="n"/>
      <c r="K177" s="116" t="n"/>
      <c r="L177" s="115" t="n"/>
      <c r="M177" s="116" t="n"/>
      <c r="N177" s="116" t="n"/>
      <c r="O177" s="115">
        <f>L177+I177+F177+C177</f>
        <v/>
      </c>
      <c r="P177" s="116">
        <f>M177+J177+G177+D177</f>
        <v/>
      </c>
      <c r="Q177" s="116">
        <f>N177+K177+H177+E177</f>
        <v/>
      </c>
      <c r="R177" s="115">
        <f>SUMIFS('PO Log'!$E:$E,'PO Log'!$D:$D,'Category Table'!R$2,'PO Log'!$C:$C,'Category Table'!$A177)</f>
        <v/>
      </c>
      <c r="S177" s="116">
        <f>SUMIFS('PO Log'!$E:$E,'PO Log'!$D:$D,'Category Table'!S$2,'PO Log'!$C:$C,'Category Table'!$A177)</f>
        <v/>
      </c>
      <c r="T177" s="116">
        <f>SUMIFS('PO Log'!$E:$E,'PO Log'!$D:$D,'Category Table'!T$2,'PO Log'!$C:$C,'Category Table'!$A177)</f>
        <v/>
      </c>
      <c r="U177" s="115">
        <f>SUMIFS('Committments Dump'!$Q:$Q,'Committments Dump'!$C:$C,'Category Table'!U$2,'Committments Dump'!$B:$B,'Category Table'!$A177)</f>
        <v/>
      </c>
      <c r="V177" s="116">
        <f>SUMIFS('Committments Dump'!$Q:$Q,'Committments Dump'!$C:$C,'Category Table'!V$2,'Committments Dump'!$B:$B,'Category Table'!$A177)</f>
        <v/>
      </c>
      <c r="W177" s="116">
        <f>SUMIFS('Committments Dump'!$Q:$Q,'Committments Dump'!$C:$C,'Category Table'!W$2,'Committments Dump'!$B:$B,'Category Table'!$A177)</f>
        <v/>
      </c>
      <c r="X177" s="115">
        <f>SUMIFS('Committments Dump'!$R:$R,'Committments Dump'!$C:$C,'Category Table'!X$2,'Committments Dump'!$B:$B,'Category Table'!$A177)</f>
        <v/>
      </c>
      <c r="Y177" s="116">
        <f>SUMIFS('Committments Dump'!$R:$R,'Committments Dump'!$C:$C,'Category Table'!Y$2,'Committments Dump'!$B:$B,'Category Table'!$A177)</f>
        <v/>
      </c>
      <c r="Z177" s="116">
        <f>SUMIFS('Committments Dump'!$R:$R,'Committments Dump'!$C:$C,'Category Table'!Z$2,'Committments Dump'!$B:$B,'Category Table'!$A177)</f>
        <v/>
      </c>
      <c r="AA177" s="115">
        <f>SUMIFS('Committments Dump'!$S:$S,'Committments Dump'!$C:$C,'Category Table'!AA$2,'Committments Dump'!$B:$B,'Category Table'!$A177)</f>
        <v/>
      </c>
      <c r="AB177" s="116">
        <f>SUMIFS('Committments Dump'!$S:$S,'Committments Dump'!$C:$C,'Category Table'!AB$2,'Committments Dump'!$B:$B,'Category Table'!$A177)</f>
        <v/>
      </c>
      <c r="AC177" s="116">
        <f>SUMIFS('Committments Dump'!$S:$S,'Committments Dump'!$C:$C,'Category Table'!AC$2,'Committments Dump'!$B:$B,'Category Table'!$A177)</f>
        <v/>
      </c>
      <c r="AD177" s="115">
        <f>U177+X177+AA177</f>
        <v/>
      </c>
      <c r="AE177" s="116">
        <f>V177+Y177+AB177</f>
        <v/>
      </c>
      <c r="AF177" s="116">
        <f>W177+Z177+AC177</f>
        <v/>
      </c>
      <c r="AG177" s="115">
        <f>R177+AD177</f>
        <v/>
      </c>
      <c r="AH177" s="116">
        <f>S177+AE177</f>
        <v/>
      </c>
      <c r="AI177" s="116">
        <f>T177+AF177</f>
        <v/>
      </c>
      <c r="AJ177" s="115" t="n"/>
      <c r="AK177" s="116" t="n"/>
      <c r="AL177" s="116" t="n"/>
      <c r="AM177" s="115">
        <f>(O177-AG177)+AJ177</f>
        <v/>
      </c>
      <c r="AN177" s="116">
        <f>(P177-AH177)+AK177</f>
        <v/>
      </c>
      <c r="AO177" s="116">
        <f>(Q177-AI177)+AL177</f>
        <v/>
      </c>
      <c r="AP177" s="93">
        <f>IF(AM177&gt;0, "Under",IF(AM177&lt;0,"Over",""))</f>
        <v/>
      </c>
      <c r="AQ177" s="94">
        <f>IF(AN177&gt;0, "Under",IF(AN177&lt;0,"Over",""))</f>
        <v/>
      </c>
      <c r="AR177" s="94">
        <f>IF(AO177&gt;0, "Under",IF(AO177&lt;0,"Over",""))</f>
        <v/>
      </c>
      <c r="AS177" s="3" t="n"/>
    </row>
    <row r="178">
      <c r="C178" s="113" t="n"/>
      <c r="D178" s="114" t="n"/>
      <c r="E178" s="114" t="n"/>
      <c r="F178" s="113" t="n"/>
      <c r="G178" s="114" t="n"/>
      <c r="H178" s="114" t="n"/>
      <c r="I178" s="113" t="n"/>
      <c r="J178" s="114" t="n"/>
      <c r="K178" s="114" t="n"/>
      <c r="L178" s="113" t="n"/>
      <c r="M178" s="114" t="n"/>
      <c r="N178" s="114" t="n"/>
      <c r="O178" s="113">
        <f>L178+I178+F178+C178</f>
        <v/>
      </c>
      <c r="P178" s="114">
        <f>M178+J178+G178+D178</f>
        <v/>
      </c>
      <c r="Q178" s="114">
        <f>N178+K178+H178+E178</f>
        <v/>
      </c>
      <c r="R178" s="113">
        <f>SUMIFS('PO Log'!$E:$E,'PO Log'!$D:$D,'Category Table'!R$2,'PO Log'!$C:$C,'Category Table'!$A178)</f>
        <v/>
      </c>
      <c r="S178" s="114">
        <f>SUMIFS('PO Log'!$E:$E,'PO Log'!$D:$D,'Category Table'!S$2,'PO Log'!$C:$C,'Category Table'!$A178)</f>
        <v/>
      </c>
      <c r="T178" s="114">
        <f>SUMIFS('PO Log'!$E:$E,'PO Log'!$D:$D,'Category Table'!T$2,'PO Log'!$C:$C,'Category Table'!$A178)</f>
        <v/>
      </c>
      <c r="U178" s="113">
        <f>SUMIFS('Committments Dump'!$Q:$Q,'Committments Dump'!$C:$C,'Category Table'!U$2,'Committments Dump'!$B:$B,'Category Table'!$A178)</f>
        <v/>
      </c>
      <c r="V178" s="114">
        <f>SUMIFS('Committments Dump'!$Q:$Q,'Committments Dump'!$C:$C,'Category Table'!V$2,'Committments Dump'!$B:$B,'Category Table'!$A178)</f>
        <v/>
      </c>
      <c r="W178" s="114">
        <f>SUMIFS('Committments Dump'!$Q:$Q,'Committments Dump'!$C:$C,'Category Table'!W$2,'Committments Dump'!$B:$B,'Category Table'!$A178)</f>
        <v/>
      </c>
      <c r="X178" s="113">
        <f>SUMIFS('Committments Dump'!$R:$R,'Committments Dump'!$C:$C,'Category Table'!X$2,'Committments Dump'!$B:$B,'Category Table'!$A178)</f>
        <v/>
      </c>
      <c r="Y178" s="114">
        <f>SUMIFS('Committments Dump'!$R:$R,'Committments Dump'!$C:$C,'Category Table'!Y$2,'Committments Dump'!$B:$B,'Category Table'!$A178)</f>
        <v/>
      </c>
      <c r="Z178" s="114">
        <f>SUMIFS('Committments Dump'!$R:$R,'Committments Dump'!$C:$C,'Category Table'!Z$2,'Committments Dump'!$B:$B,'Category Table'!$A178)</f>
        <v/>
      </c>
      <c r="AA178" s="113">
        <f>SUMIFS('Committments Dump'!$S:$S,'Committments Dump'!$C:$C,'Category Table'!AA$2,'Committments Dump'!$B:$B,'Category Table'!$A178)</f>
        <v/>
      </c>
      <c r="AB178" s="114">
        <f>SUMIFS('Committments Dump'!$S:$S,'Committments Dump'!$C:$C,'Category Table'!AB$2,'Committments Dump'!$B:$B,'Category Table'!$A178)</f>
        <v/>
      </c>
      <c r="AC178" s="114">
        <f>SUMIFS('Committments Dump'!$S:$S,'Committments Dump'!$C:$C,'Category Table'!AC$2,'Committments Dump'!$B:$B,'Category Table'!$A178)</f>
        <v/>
      </c>
      <c r="AD178" s="113">
        <f>U178+X178+AA178</f>
        <v/>
      </c>
      <c r="AE178" s="114">
        <f>V178+Y178+AB178</f>
        <v/>
      </c>
      <c r="AF178" s="114">
        <f>W178+Z178+AC178</f>
        <v/>
      </c>
      <c r="AG178" s="113">
        <f>R178+AD178</f>
        <v/>
      </c>
      <c r="AH178" s="114">
        <f>S178+AE178</f>
        <v/>
      </c>
      <c r="AI178" s="114">
        <f>T178+AF178</f>
        <v/>
      </c>
      <c r="AJ178" s="113" t="n"/>
      <c r="AK178" s="114" t="n"/>
      <c r="AL178" s="114" t="n"/>
      <c r="AM178" s="113">
        <f>(O178-AG178)+AJ178</f>
        <v/>
      </c>
      <c r="AN178" s="114">
        <f>(P178-AH178)+AK178</f>
        <v/>
      </c>
      <c r="AO178" s="114">
        <f>(Q178-AI178)+AL178</f>
        <v/>
      </c>
      <c r="AP178" s="2">
        <f>IF(AM178&gt;0, "Under",IF(AM178&lt;0,"Over",""))</f>
        <v/>
      </c>
      <c r="AQ178" s="1">
        <f>IF(AN178&gt;0, "Under",IF(AN178&lt;0,"Over",""))</f>
        <v/>
      </c>
      <c r="AR178" s="1">
        <f>IF(AO178&gt;0, "Under",IF(AO178&lt;0,"Over",""))</f>
        <v/>
      </c>
      <c r="AS178" s="3" t="n"/>
    </row>
    <row r="179">
      <c r="A179" s="90" t="n"/>
      <c r="B179" s="90" t="n"/>
      <c r="C179" s="115" t="n"/>
      <c r="D179" s="116" t="n"/>
      <c r="E179" s="116" t="n"/>
      <c r="F179" s="115" t="n"/>
      <c r="G179" s="116" t="n"/>
      <c r="H179" s="116" t="n"/>
      <c r="I179" s="115" t="n"/>
      <c r="J179" s="116" t="n"/>
      <c r="K179" s="116" t="n"/>
      <c r="L179" s="115" t="n"/>
      <c r="M179" s="116" t="n"/>
      <c r="N179" s="116" t="n"/>
      <c r="O179" s="115">
        <f>L179+I179+F179+C179</f>
        <v/>
      </c>
      <c r="P179" s="116">
        <f>M179+J179+G179+D179</f>
        <v/>
      </c>
      <c r="Q179" s="116">
        <f>N179+K179+H179+E179</f>
        <v/>
      </c>
      <c r="R179" s="115">
        <f>SUMIFS('PO Log'!$E:$E,'PO Log'!$D:$D,'Category Table'!R$2,'PO Log'!$C:$C,'Category Table'!$A179)</f>
        <v/>
      </c>
      <c r="S179" s="116">
        <f>SUMIFS('PO Log'!$E:$E,'PO Log'!$D:$D,'Category Table'!S$2,'PO Log'!$C:$C,'Category Table'!$A179)</f>
        <v/>
      </c>
      <c r="T179" s="116">
        <f>SUMIFS('PO Log'!$E:$E,'PO Log'!$D:$D,'Category Table'!T$2,'PO Log'!$C:$C,'Category Table'!$A179)</f>
        <v/>
      </c>
      <c r="U179" s="115">
        <f>SUMIFS('Committments Dump'!$Q:$Q,'Committments Dump'!$C:$C,'Category Table'!U$2,'Committments Dump'!$B:$B,'Category Table'!$A179)</f>
        <v/>
      </c>
      <c r="V179" s="116">
        <f>SUMIFS('Committments Dump'!$Q:$Q,'Committments Dump'!$C:$C,'Category Table'!V$2,'Committments Dump'!$B:$B,'Category Table'!$A179)</f>
        <v/>
      </c>
      <c r="W179" s="116">
        <f>SUMIFS('Committments Dump'!$Q:$Q,'Committments Dump'!$C:$C,'Category Table'!W$2,'Committments Dump'!$B:$B,'Category Table'!$A179)</f>
        <v/>
      </c>
      <c r="X179" s="115">
        <f>SUMIFS('Committments Dump'!$R:$R,'Committments Dump'!$C:$C,'Category Table'!X$2,'Committments Dump'!$B:$B,'Category Table'!$A179)</f>
        <v/>
      </c>
      <c r="Y179" s="116">
        <f>SUMIFS('Committments Dump'!$R:$R,'Committments Dump'!$C:$C,'Category Table'!Y$2,'Committments Dump'!$B:$B,'Category Table'!$A179)</f>
        <v/>
      </c>
      <c r="Z179" s="116">
        <f>SUMIFS('Committments Dump'!$R:$R,'Committments Dump'!$C:$C,'Category Table'!Z$2,'Committments Dump'!$B:$B,'Category Table'!$A179)</f>
        <v/>
      </c>
      <c r="AA179" s="115">
        <f>SUMIFS('Committments Dump'!$S:$S,'Committments Dump'!$C:$C,'Category Table'!AA$2,'Committments Dump'!$B:$B,'Category Table'!$A179)</f>
        <v/>
      </c>
      <c r="AB179" s="116">
        <f>SUMIFS('Committments Dump'!$S:$S,'Committments Dump'!$C:$C,'Category Table'!AB$2,'Committments Dump'!$B:$B,'Category Table'!$A179)</f>
        <v/>
      </c>
      <c r="AC179" s="116">
        <f>SUMIFS('Committments Dump'!$S:$S,'Committments Dump'!$C:$C,'Category Table'!AC$2,'Committments Dump'!$B:$B,'Category Table'!$A179)</f>
        <v/>
      </c>
      <c r="AD179" s="115">
        <f>U179+X179+AA179</f>
        <v/>
      </c>
      <c r="AE179" s="116">
        <f>V179+Y179+AB179</f>
        <v/>
      </c>
      <c r="AF179" s="116">
        <f>W179+Z179+AC179</f>
        <v/>
      </c>
      <c r="AG179" s="115">
        <f>R179+AD179</f>
        <v/>
      </c>
      <c r="AH179" s="116">
        <f>S179+AE179</f>
        <v/>
      </c>
      <c r="AI179" s="116">
        <f>T179+AF179</f>
        <v/>
      </c>
      <c r="AJ179" s="115" t="n"/>
      <c r="AK179" s="116" t="n"/>
      <c r="AL179" s="116" t="n"/>
      <c r="AM179" s="115">
        <f>(O179-AG179)+AJ179</f>
        <v/>
      </c>
      <c r="AN179" s="116">
        <f>(P179-AH179)+AK179</f>
        <v/>
      </c>
      <c r="AO179" s="116">
        <f>(Q179-AI179)+AL179</f>
        <v/>
      </c>
      <c r="AP179" s="93">
        <f>IF(AM179&gt;0, "Under",IF(AM179&lt;0,"Over",""))</f>
        <v/>
      </c>
      <c r="AQ179" s="94">
        <f>IF(AN179&gt;0, "Under",IF(AN179&lt;0,"Over",""))</f>
        <v/>
      </c>
      <c r="AR179" s="94">
        <f>IF(AO179&gt;0, "Under",IF(AO179&lt;0,"Over",""))</f>
        <v/>
      </c>
      <c r="AS179" s="3" t="n"/>
    </row>
    <row r="180">
      <c r="C180" s="113" t="n"/>
      <c r="D180" s="114" t="n"/>
      <c r="E180" s="114" t="n"/>
      <c r="F180" s="113" t="n"/>
      <c r="G180" s="114" t="n"/>
      <c r="H180" s="114" t="n"/>
      <c r="I180" s="113" t="n"/>
      <c r="J180" s="114" t="n"/>
      <c r="K180" s="114" t="n"/>
      <c r="L180" s="113" t="n"/>
      <c r="M180" s="114" t="n"/>
      <c r="N180" s="114" t="n"/>
      <c r="O180" s="113">
        <f>L180+I180+F180+C180</f>
        <v/>
      </c>
      <c r="P180" s="114">
        <f>M180+J180+G180+D180</f>
        <v/>
      </c>
      <c r="Q180" s="114">
        <f>N180+K180+H180+E180</f>
        <v/>
      </c>
      <c r="R180" s="113">
        <f>SUMIFS('PO Log'!$E:$E,'PO Log'!$D:$D,'Category Table'!R$2,'PO Log'!$C:$C,'Category Table'!$A180)</f>
        <v/>
      </c>
      <c r="S180" s="114">
        <f>SUMIFS('PO Log'!$E:$E,'PO Log'!$D:$D,'Category Table'!S$2,'PO Log'!$C:$C,'Category Table'!$A180)</f>
        <v/>
      </c>
      <c r="T180" s="114">
        <f>SUMIFS('PO Log'!$E:$E,'PO Log'!$D:$D,'Category Table'!T$2,'PO Log'!$C:$C,'Category Table'!$A180)</f>
        <v/>
      </c>
      <c r="U180" s="113">
        <f>SUMIFS('Committments Dump'!$Q:$Q,'Committments Dump'!$C:$C,'Category Table'!U$2,'Committments Dump'!$B:$B,'Category Table'!$A180)</f>
        <v/>
      </c>
      <c r="V180" s="114">
        <f>SUMIFS('Committments Dump'!$Q:$Q,'Committments Dump'!$C:$C,'Category Table'!V$2,'Committments Dump'!$B:$B,'Category Table'!$A180)</f>
        <v/>
      </c>
      <c r="W180" s="114">
        <f>SUMIFS('Committments Dump'!$Q:$Q,'Committments Dump'!$C:$C,'Category Table'!W$2,'Committments Dump'!$B:$B,'Category Table'!$A180)</f>
        <v/>
      </c>
      <c r="X180" s="113">
        <f>SUMIFS('Committments Dump'!$R:$R,'Committments Dump'!$C:$C,'Category Table'!X$2,'Committments Dump'!$B:$B,'Category Table'!$A180)</f>
        <v/>
      </c>
      <c r="Y180" s="114">
        <f>SUMIFS('Committments Dump'!$R:$R,'Committments Dump'!$C:$C,'Category Table'!Y$2,'Committments Dump'!$B:$B,'Category Table'!$A180)</f>
        <v/>
      </c>
      <c r="Z180" s="114">
        <f>SUMIFS('Committments Dump'!$R:$R,'Committments Dump'!$C:$C,'Category Table'!Z$2,'Committments Dump'!$B:$B,'Category Table'!$A180)</f>
        <v/>
      </c>
      <c r="AA180" s="113">
        <f>SUMIFS('Committments Dump'!$S:$S,'Committments Dump'!$C:$C,'Category Table'!AA$2,'Committments Dump'!$B:$B,'Category Table'!$A180)</f>
        <v/>
      </c>
      <c r="AB180" s="114">
        <f>SUMIFS('Committments Dump'!$S:$S,'Committments Dump'!$C:$C,'Category Table'!AB$2,'Committments Dump'!$B:$B,'Category Table'!$A180)</f>
        <v/>
      </c>
      <c r="AC180" s="114">
        <f>SUMIFS('Committments Dump'!$S:$S,'Committments Dump'!$C:$C,'Category Table'!AC$2,'Committments Dump'!$B:$B,'Category Table'!$A180)</f>
        <v/>
      </c>
      <c r="AD180" s="113">
        <f>U180+X180+AA180</f>
        <v/>
      </c>
      <c r="AE180" s="114">
        <f>V180+Y180+AB180</f>
        <v/>
      </c>
      <c r="AF180" s="114">
        <f>W180+Z180+AC180</f>
        <v/>
      </c>
      <c r="AG180" s="113">
        <f>R180+AD180</f>
        <v/>
      </c>
      <c r="AH180" s="114">
        <f>S180+AE180</f>
        <v/>
      </c>
      <c r="AI180" s="114">
        <f>T180+AF180</f>
        <v/>
      </c>
      <c r="AJ180" s="113" t="n"/>
      <c r="AK180" s="114" t="n"/>
      <c r="AL180" s="114" t="n"/>
      <c r="AM180" s="113">
        <f>(O180-AG180)+AJ180</f>
        <v/>
      </c>
      <c r="AN180" s="114">
        <f>(P180-AH180)+AK180</f>
        <v/>
      </c>
      <c r="AO180" s="114">
        <f>(Q180-AI180)+AL180</f>
        <v/>
      </c>
      <c r="AP180" s="2">
        <f>IF(AM180&gt;0, "Under",IF(AM180&lt;0,"Over",""))</f>
        <v/>
      </c>
      <c r="AQ180" s="1">
        <f>IF(AN180&gt;0, "Under",IF(AN180&lt;0,"Over",""))</f>
        <v/>
      </c>
      <c r="AR180" s="1">
        <f>IF(AO180&gt;0, "Under",IF(AO180&lt;0,"Over",""))</f>
        <v/>
      </c>
      <c r="AS180" s="3" t="n"/>
    </row>
    <row r="181">
      <c r="A181" s="90" t="n"/>
      <c r="B181" s="90" t="n"/>
      <c r="C181" s="115" t="n"/>
      <c r="D181" s="116" t="n"/>
      <c r="E181" s="116" t="n"/>
      <c r="F181" s="115" t="n"/>
      <c r="G181" s="116" t="n"/>
      <c r="H181" s="116" t="n"/>
      <c r="I181" s="115" t="n"/>
      <c r="J181" s="116" t="n"/>
      <c r="K181" s="116" t="n"/>
      <c r="L181" s="115" t="n"/>
      <c r="M181" s="116" t="n"/>
      <c r="N181" s="116" t="n"/>
      <c r="O181" s="115">
        <f>L181+I181+F181+C181</f>
        <v/>
      </c>
      <c r="P181" s="116">
        <f>M181+J181+G181+D181</f>
        <v/>
      </c>
      <c r="Q181" s="116">
        <f>N181+K181+H181+E181</f>
        <v/>
      </c>
      <c r="R181" s="115">
        <f>SUMIFS('PO Log'!$E:$E,'PO Log'!$D:$D,'Category Table'!R$2,'PO Log'!$C:$C,'Category Table'!$A181)</f>
        <v/>
      </c>
      <c r="S181" s="116">
        <f>SUMIFS('PO Log'!$E:$E,'PO Log'!$D:$D,'Category Table'!S$2,'PO Log'!$C:$C,'Category Table'!$A181)</f>
        <v/>
      </c>
      <c r="T181" s="116">
        <f>SUMIFS('PO Log'!$E:$E,'PO Log'!$D:$D,'Category Table'!T$2,'PO Log'!$C:$C,'Category Table'!$A181)</f>
        <v/>
      </c>
      <c r="U181" s="115">
        <f>SUMIFS('Committments Dump'!$Q:$Q,'Committments Dump'!$C:$C,'Category Table'!U$2,'Committments Dump'!$B:$B,'Category Table'!$A181)</f>
        <v/>
      </c>
      <c r="V181" s="116">
        <f>SUMIFS('Committments Dump'!$Q:$Q,'Committments Dump'!$C:$C,'Category Table'!V$2,'Committments Dump'!$B:$B,'Category Table'!$A181)</f>
        <v/>
      </c>
      <c r="W181" s="116">
        <f>SUMIFS('Committments Dump'!$Q:$Q,'Committments Dump'!$C:$C,'Category Table'!W$2,'Committments Dump'!$B:$B,'Category Table'!$A181)</f>
        <v/>
      </c>
      <c r="X181" s="115">
        <f>SUMIFS('Committments Dump'!$R:$R,'Committments Dump'!$C:$C,'Category Table'!X$2,'Committments Dump'!$B:$B,'Category Table'!$A181)</f>
        <v/>
      </c>
      <c r="Y181" s="116">
        <f>SUMIFS('Committments Dump'!$R:$R,'Committments Dump'!$C:$C,'Category Table'!Y$2,'Committments Dump'!$B:$B,'Category Table'!$A181)</f>
        <v/>
      </c>
      <c r="Z181" s="116">
        <f>SUMIFS('Committments Dump'!$R:$R,'Committments Dump'!$C:$C,'Category Table'!Z$2,'Committments Dump'!$B:$B,'Category Table'!$A181)</f>
        <v/>
      </c>
      <c r="AA181" s="115">
        <f>SUMIFS('Committments Dump'!$S:$S,'Committments Dump'!$C:$C,'Category Table'!AA$2,'Committments Dump'!$B:$B,'Category Table'!$A181)</f>
        <v/>
      </c>
      <c r="AB181" s="116">
        <f>SUMIFS('Committments Dump'!$S:$S,'Committments Dump'!$C:$C,'Category Table'!AB$2,'Committments Dump'!$B:$B,'Category Table'!$A181)</f>
        <v/>
      </c>
      <c r="AC181" s="116">
        <f>SUMIFS('Committments Dump'!$S:$S,'Committments Dump'!$C:$C,'Category Table'!AC$2,'Committments Dump'!$B:$B,'Category Table'!$A181)</f>
        <v/>
      </c>
      <c r="AD181" s="115">
        <f>U181+X181+AA181</f>
        <v/>
      </c>
      <c r="AE181" s="116">
        <f>V181+Y181+AB181</f>
        <v/>
      </c>
      <c r="AF181" s="116">
        <f>W181+Z181+AC181</f>
        <v/>
      </c>
      <c r="AG181" s="115">
        <f>R181+AD181</f>
        <v/>
      </c>
      <c r="AH181" s="116">
        <f>S181+AE181</f>
        <v/>
      </c>
      <c r="AI181" s="116">
        <f>T181+AF181</f>
        <v/>
      </c>
      <c r="AJ181" s="115" t="n"/>
      <c r="AK181" s="116" t="n"/>
      <c r="AL181" s="116" t="n"/>
      <c r="AM181" s="115">
        <f>(O181-AG181)+AJ181</f>
        <v/>
      </c>
      <c r="AN181" s="116">
        <f>(P181-AH181)+AK181</f>
        <v/>
      </c>
      <c r="AO181" s="116">
        <f>(Q181-AI181)+AL181</f>
        <v/>
      </c>
      <c r="AP181" s="93">
        <f>IF(AM181&gt;0, "Under",IF(AM181&lt;0,"Over",""))</f>
        <v/>
      </c>
      <c r="AQ181" s="94">
        <f>IF(AN181&gt;0, "Under",IF(AN181&lt;0,"Over",""))</f>
        <v/>
      </c>
      <c r="AR181" s="94">
        <f>IF(AO181&gt;0, "Under",IF(AO181&lt;0,"Over",""))</f>
        <v/>
      </c>
      <c r="AS181" s="3" t="n"/>
    </row>
    <row r="182">
      <c r="C182" s="113" t="n"/>
      <c r="D182" s="114" t="n"/>
      <c r="E182" s="114" t="n"/>
      <c r="F182" s="113" t="n"/>
      <c r="G182" s="114" t="n"/>
      <c r="H182" s="114" t="n"/>
      <c r="I182" s="113" t="n"/>
      <c r="J182" s="114" t="n"/>
      <c r="K182" s="114" t="n"/>
      <c r="L182" s="113" t="n"/>
      <c r="M182" s="114" t="n"/>
      <c r="N182" s="114" t="n"/>
      <c r="O182" s="113">
        <f>L182+I182+F182+C182</f>
        <v/>
      </c>
      <c r="P182" s="114">
        <f>M182+J182+G182+D182</f>
        <v/>
      </c>
      <c r="Q182" s="114">
        <f>N182+K182+H182+E182</f>
        <v/>
      </c>
      <c r="R182" s="113">
        <f>SUMIFS('PO Log'!$E:$E,'PO Log'!$D:$D,'Category Table'!R$2,'PO Log'!$C:$C,'Category Table'!$A182)</f>
        <v/>
      </c>
      <c r="S182" s="114">
        <f>SUMIFS('PO Log'!$E:$E,'PO Log'!$D:$D,'Category Table'!S$2,'PO Log'!$C:$C,'Category Table'!$A182)</f>
        <v/>
      </c>
      <c r="T182" s="114">
        <f>SUMIFS('PO Log'!$E:$E,'PO Log'!$D:$D,'Category Table'!T$2,'PO Log'!$C:$C,'Category Table'!$A182)</f>
        <v/>
      </c>
      <c r="U182" s="113">
        <f>SUMIFS('Committments Dump'!$Q:$Q,'Committments Dump'!$C:$C,'Category Table'!U$2,'Committments Dump'!$B:$B,'Category Table'!$A182)</f>
        <v/>
      </c>
      <c r="V182" s="114">
        <f>SUMIFS('Committments Dump'!$Q:$Q,'Committments Dump'!$C:$C,'Category Table'!V$2,'Committments Dump'!$B:$B,'Category Table'!$A182)</f>
        <v/>
      </c>
      <c r="W182" s="114">
        <f>SUMIFS('Committments Dump'!$Q:$Q,'Committments Dump'!$C:$C,'Category Table'!W$2,'Committments Dump'!$B:$B,'Category Table'!$A182)</f>
        <v/>
      </c>
      <c r="X182" s="113">
        <f>SUMIFS('Committments Dump'!$R:$R,'Committments Dump'!$C:$C,'Category Table'!X$2,'Committments Dump'!$B:$B,'Category Table'!$A182)</f>
        <v/>
      </c>
      <c r="Y182" s="114">
        <f>SUMIFS('Committments Dump'!$R:$R,'Committments Dump'!$C:$C,'Category Table'!Y$2,'Committments Dump'!$B:$B,'Category Table'!$A182)</f>
        <v/>
      </c>
      <c r="Z182" s="114">
        <f>SUMIFS('Committments Dump'!$R:$R,'Committments Dump'!$C:$C,'Category Table'!Z$2,'Committments Dump'!$B:$B,'Category Table'!$A182)</f>
        <v/>
      </c>
      <c r="AA182" s="113">
        <f>SUMIFS('Committments Dump'!$S:$S,'Committments Dump'!$C:$C,'Category Table'!AA$2,'Committments Dump'!$B:$B,'Category Table'!$A182)</f>
        <v/>
      </c>
      <c r="AB182" s="114">
        <f>SUMIFS('Committments Dump'!$S:$S,'Committments Dump'!$C:$C,'Category Table'!AB$2,'Committments Dump'!$B:$B,'Category Table'!$A182)</f>
        <v/>
      </c>
      <c r="AC182" s="114">
        <f>SUMIFS('Committments Dump'!$S:$S,'Committments Dump'!$C:$C,'Category Table'!AC$2,'Committments Dump'!$B:$B,'Category Table'!$A182)</f>
        <v/>
      </c>
      <c r="AD182" s="113">
        <f>U182+X182+AA182</f>
        <v/>
      </c>
      <c r="AE182" s="114">
        <f>V182+Y182+AB182</f>
        <v/>
      </c>
      <c r="AF182" s="114">
        <f>W182+Z182+AC182</f>
        <v/>
      </c>
      <c r="AG182" s="113">
        <f>R182+AD182</f>
        <v/>
      </c>
      <c r="AH182" s="114">
        <f>S182+AE182</f>
        <v/>
      </c>
      <c r="AI182" s="114">
        <f>T182+AF182</f>
        <v/>
      </c>
      <c r="AJ182" s="113" t="n"/>
      <c r="AK182" s="114" t="n"/>
      <c r="AL182" s="114" t="n"/>
      <c r="AM182" s="113">
        <f>(O182-AG182)+AJ182</f>
        <v/>
      </c>
      <c r="AN182" s="114">
        <f>(P182-AH182)+AK182</f>
        <v/>
      </c>
      <c r="AO182" s="114">
        <f>(Q182-AI182)+AL182</f>
        <v/>
      </c>
      <c r="AP182" s="2">
        <f>IF(AM182&gt;0, "Under",IF(AM182&lt;0,"Over",""))</f>
        <v/>
      </c>
      <c r="AQ182" s="1">
        <f>IF(AN182&gt;0, "Under",IF(AN182&lt;0,"Over",""))</f>
        <v/>
      </c>
      <c r="AR182" s="1">
        <f>IF(AO182&gt;0, "Under",IF(AO182&lt;0,"Over",""))</f>
        <v/>
      </c>
      <c r="AS182" s="3" t="n"/>
    </row>
    <row r="183">
      <c r="A183" s="90" t="n"/>
      <c r="B183" s="90" t="n"/>
      <c r="C183" s="115" t="n"/>
      <c r="D183" s="116" t="n"/>
      <c r="E183" s="116" t="n"/>
      <c r="F183" s="115" t="n"/>
      <c r="G183" s="116" t="n"/>
      <c r="H183" s="116" t="n"/>
      <c r="I183" s="115" t="n"/>
      <c r="J183" s="116" t="n"/>
      <c r="K183" s="116" t="n"/>
      <c r="L183" s="115" t="n"/>
      <c r="M183" s="116" t="n"/>
      <c r="N183" s="116" t="n"/>
      <c r="O183" s="115">
        <f>L183+I183+F183+C183</f>
        <v/>
      </c>
      <c r="P183" s="116">
        <f>M183+J183+G183+D183</f>
        <v/>
      </c>
      <c r="Q183" s="116">
        <f>N183+K183+H183+E183</f>
        <v/>
      </c>
      <c r="R183" s="115">
        <f>SUMIFS('PO Log'!$E:$E,'PO Log'!$D:$D,'Category Table'!R$2,'PO Log'!$C:$C,'Category Table'!$A183)</f>
        <v/>
      </c>
      <c r="S183" s="116">
        <f>SUMIFS('PO Log'!$E:$E,'PO Log'!$D:$D,'Category Table'!S$2,'PO Log'!$C:$C,'Category Table'!$A183)</f>
        <v/>
      </c>
      <c r="T183" s="116">
        <f>SUMIFS('PO Log'!$E:$E,'PO Log'!$D:$D,'Category Table'!T$2,'PO Log'!$C:$C,'Category Table'!$A183)</f>
        <v/>
      </c>
      <c r="U183" s="115">
        <f>SUMIFS('Committments Dump'!$Q:$Q,'Committments Dump'!$C:$C,'Category Table'!U$2,'Committments Dump'!$B:$B,'Category Table'!$A183)</f>
        <v/>
      </c>
      <c r="V183" s="116">
        <f>SUMIFS('Committments Dump'!$Q:$Q,'Committments Dump'!$C:$C,'Category Table'!V$2,'Committments Dump'!$B:$B,'Category Table'!$A183)</f>
        <v/>
      </c>
      <c r="W183" s="116">
        <f>SUMIFS('Committments Dump'!$Q:$Q,'Committments Dump'!$C:$C,'Category Table'!W$2,'Committments Dump'!$B:$B,'Category Table'!$A183)</f>
        <v/>
      </c>
      <c r="X183" s="115">
        <f>SUMIFS('Committments Dump'!$R:$R,'Committments Dump'!$C:$C,'Category Table'!X$2,'Committments Dump'!$B:$B,'Category Table'!$A183)</f>
        <v/>
      </c>
      <c r="Y183" s="116">
        <f>SUMIFS('Committments Dump'!$R:$R,'Committments Dump'!$C:$C,'Category Table'!Y$2,'Committments Dump'!$B:$B,'Category Table'!$A183)</f>
        <v/>
      </c>
      <c r="Z183" s="116">
        <f>SUMIFS('Committments Dump'!$R:$R,'Committments Dump'!$C:$C,'Category Table'!Z$2,'Committments Dump'!$B:$B,'Category Table'!$A183)</f>
        <v/>
      </c>
      <c r="AA183" s="115">
        <f>SUMIFS('Committments Dump'!$S:$S,'Committments Dump'!$C:$C,'Category Table'!AA$2,'Committments Dump'!$B:$B,'Category Table'!$A183)</f>
        <v/>
      </c>
      <c r="AB183" s="116">
        <f>SUMIFS('Committments Dump'!$S:$S,'Committments Dump'!$C:$C,'Category Table'!AB$2,'Committments Dump'!$B:$B,'Category Table'!$A183)</f>
        <v/>
      </c>
      <c r="AC183" s="116">
        <f>SUMIFS('Committments Dump'!$S:$S,'Committments Dump'!$C:$C,'Category Table'!AC$2,'Committments Dump'!$B:$B,'Category Table'!$A183)</f>
        <v/>
      </c>
      <c r="AD183" s="115">
        <f>U183+X183+AA183</f>
        <v/>
      </c>
      <c r="AE183" s="116">
        <f>V183+Y183+AB183</f>
        <v/>
      </c>
      <c r="AF183" s="116">
        <f>W183+Z183+AC183</f>
        <v/>
      </c>
      <c r="AG183" s="115">
        <f>R183+AD183</f>
        <v/>
      </c>
      <c r="AH183" s="116">
        <f>S183+AE183</f>
        <v/>
      </c>
      <c r="AI183" s="116">
        <f>T183+AF183</f>
        <v/>
      </c>
      <c r="AJ183" s="115" t="n"/>
      <c r="AK183" s="116" t="n"/>
      <c r="AL183" s="116" t="n"/>
      <c r="AM183" s="115">
        <f>(O183-AG183)+AJ183</f>
        <v/>
      </c>
      <c r="AN183" s="116">
        <f>(P183-AH183)+AK183</f>
        <v/>
      </c>
      <c r="AO183" s="116">
        <f>(Q183-AI183)+AL183</f>
        <v/>
      </c>
      <c r="AP183" s="93">
        <f>IF(AM183&gt;0, "Under",IF(AM183&lt;0,"Over",""))</f>
        <v/>
      </c>
      <c r="AQ183" s="94">
        <f>IF(AN183&gt;0, "Under",IF(AN183&lt;0,"Over",""))</f>
        <v/>
      </c>
      <c r="AR183" s="94">
        <f>IF(AO183&gt;0, "Under",IF(AO183&lt;0,"Over",""))</f>
        <v/>
      </c>
      <c r="AS183" s="3" t="n"/>
    </row>
    <row r="184">
      <c r="C184" s="113" t="n"/>
      <c r="D184" s="114" t="n"/>
      <c r="E184" s="114" t="n"/>
      <c r="F184" s="113" t="n"/>
      <c r="G184" s="114" t="n"/>
      <c r="H184" s="114" t="n"/>
      <c r="I184" s="113" t="n"/>
      <c r="J184" s="114" t="n"/>
      <c r="K184" s="114" t="n"/>
      <c r="L184" s="113" t="n"/>
      <c r="M184" s="114" t="n"/>
      <c r="N184" s="114" t="n"/>
      <c r="O184" s="113">
        <f>L184+I184+F184+C184</f>
        <v/>
      </c>
      <c r="P184" s="114">
        <f>M184+J184+G184+D184</f>
        <v/>
      </c>
      <c r="Q184" s="114">
        <f>N184+K184+H184+E184</f>
        <v/>
      </c>
      <c r="R184" s="113">
        <f>SUMIFS('PO Log'!$E:$E,'PO Log'!$D:$D,'Category Table'!R$2,'PO Log'!$C:$C,'Category Table'!$A184)</f>
        <v/>
      </c>
      <c r="S184" s="114">
        <f>SUMIFS('PO Log'!$E:$E,'PO Log'!$D:$D,'Category Table'!S$2,'PO Log'!$C:$C,'Category Table'!$A184)</f>
        <v/>
      </c>
      <c r="T184" s="114">
        <f>SUMIFS('PO Log'!$E:$E,'PO Log'!$D:$D,'Category Table'!T$2,'PO Log'!$C:$C,'Category Table'!$A184)</f>
        <v/>
      </c>
      <c r="U184" s="113">
        <f>SUMIFS('Committments Dump'!$Q:$Q,'Committments Dump'!$C:$C,'Category Table'!U$2,'Committments Dump'!$B:$B,'Category Table'!$A184)</f>
        <v/>
      </c>
      <c r="V184" s="114">
        <f>SUMIFS('Committments Dump'!$Q:$Q,'Committments Dump'!$C:$C,'Category Table'!V$2,'Committments Dump'!$B:$B,'Category Table'!$A184)</f>
        <v/>
      </c>
      <c r="W184" s="114">
        <f>SUMIFS('Committments Dump'!$Q:$Q,'Committments Dump'!$C:$C,'Category Table'!W$2,'Committments Dump'!$B:$B,'Category Table'!$A184)</f>
        <v/>
      </c>
      <c r="X184" s="113">
        <f>SUMIFS('Committments Dump'!$R:$R,'Committments Dump'!$C:$C,'Category Table'!X$2,'Committments Dump'!$B:$B,'Category Table'!$A184)</f>
        <v/>
      </c>
      <c r="Y184" s="114">
        <f>SUMIFS('Committments Dump'!$R:$R,'Committments Dump'!$C:$C,'Category Table'!Y$2,'Committments Dump'!$B:$B,'Category Table'!$A184)</f>
        <v/>
      </c>
      <c r="Z184" s="114">
        <f>SUMIFS('Committments Dump'!$R:$R,'Committments Dump'!$C:$C,'Category Table'!Z$2,'Committments Dump'!$B:$B,'Category Table'!$A184)</f>
        <v/>
      </c>
      <c r="AA184" s="113">
        <f>SUMIFS('Committments Dump'!$S:$S,'Committments Dump'!$C:$C,'Category Table'!AA$2,'Committments Dump'!$B:$B,'Category Table'!$A184)</f>
        <v/>
      </c>
      <c r="AB184" s="114">
        <f>SUMIFS('Committments Dump'!$S:$S,'Committments Dump'!$C:$C,'Category Table'!AB$2,'Committments Dump'!$B:$B,'Category Table'!$A184)</f>
        <v/>
      </c>
      <c r="AC184" s="114">
        <f>SUMIFS('Committments Dump'!$S:$S,'Committments Dump'!$C:$C,'Category Table'!AC$2,'Committments Dump'!$B:$B,'Category Table'!$A184)</f>
        <v/>
      </c>
      <c r="AD184" s="113">
        <f>U184+X184+AA184</f>
        <v/>
      </c>
      <c r="AE184" s="114">
        <f>V184+Y184+AB184</f>
        <v/>
      </c>
      <c r="AF184" s="114">
        <f>W184+Z184+AC184</f>
        <v/>
      </c>
      <c r="AG184" s="113">
        <f>R184+AD184</f>
        <v/>
      </c>
      <c r="AH184" s="114">
        <f>S184+AE184</f>
        <v/>
      </c>
      <c r="AI184" s="114">
        <f>T184+AF184</f>
        <v/>
      </c>
      <c r="AJ184" s="113" t="n"/>
      <c r="AK184" s="114" t="n"/>
      <c r="AL184" s="114" t="n"/>
      <c r="AM184" s="113">
        <f>(O184-AG184)+AJ184</f>
        <v/>
      </c>
      <c r="AN184" s="114">
        <f>(P184-AH184)+AK184</f>
        <v/>
      </c>
      <c r="AO184" s="114">
        <f>(Q184-AI184)+AL184</f>
        <v/>
      </c>
      <c r="AP184" s="2">
        <f>IF(AM184&gt;0, "Under",IF(AM184&lt;0,"Over",""))</f>
        <v/>
      </c>
      <c r="AQ184" s="1">
        <f>IF(AN184&gt;0, "Under",IF(AN184&lt;0,"Over",""))</f>
        <v/>
      </c>
      <c r="AR184" s="1">
        <f>IF(AO184&gt;0, "Under",IF(AO184&lt;0,"Over",""))</f>
        <v/>
      </c>
      <c r="AS184" s="3" t="n"/>
    </row>
    <row r="185">
      <c r="A185" s="90" t="n"/>
      <c r="B185" s="90" t="n"/>
      <c r="C185" s="115" t="n"/>
      <c r="D185" s="116" t="n"/>
      <c r="E185" s="116" t="n"/>
      <c r="F185" s="115" t="n"/>
      <c r="G185" s="116" t="n"/>
      <c r="H185" s="116" t="n"/>
      <c r="I185" s="115" t="n"/>
      <c r="J185" s="116" t="n"/>
      <c r="K185" s="116" t="n"/>
      <c r="L185" s="115" t="n"/>
      <c r="M185" s="116" t="n"/>
      <c r="N185" s="116" t="n"/>
      <c r="O185" s="115">
        <f>L185+I185+F185+C185</f>
        <v/>
      </c>
      <c r="P185" s="116">
        <f>M185+J185+G185+D185</f>
        <v/>
      </c>
      <c r="Q185" s="116">
        <f>N185+K185+H185+E185</f>
        <v/>
      </c>
      <c r="R185" s="115">
        <f>SUMIFS('PO Log'!$E:$E,'PO Log'!$D:$D,'Category Table'!R$2,'PO Log'!$C:$C,'Category Table'!$A185)</f>
        <v/>
      </c>
      <c r="S185" s="116">
        <f>SUMIFS('PO Log'!$E:$E,'PO Log'!$D:$D,'Category Table'!S$2,'PO Log'!$C:$C,'Category Table'!$A185)</f>
        <v/>
      </c>
      <c r="T185" s="116">
        <f>SUMIFS('PO Log'!$E:$E,'PO Log'!$D:$D,'Category Table'!T$2,'PO Log'!$C:$C,'Category Table'!$A185)</f>
        <v/>
      </c>
      <c r="U185" s="115">
        <f>SUMIFS('Committments Dump'!$Q:$Q,'Committments Dump'!$C:$C,'Category Table'!U$2,'Committments Dump'!$B:$B,'Category Table'!$A185)</f>
        <v/>
      </c>
      <c r="V185" s="116">
        <f>SUMIFS('Committments Dump'!$Q:$Q,'Committments Dump'!$C:$C,'Category Table'!V$2,'Committments Dump'!$B:$B,'Category Table'!$A185)</f>
        <v/>
      </c>
      <c r="W185" s="116">
        <f>SUMIFS('Committments Dump'!$Q:$Q,'Committments Dump'!$C:$C,'Category Table'!W$2,'Committments Dump'!$B:$B,'Category Table'!$A185)</f>
        <v/>
      </c>
      <c r="X185" s="115">
        <f>SUMIFS('Committments Dump'!$R:$R,'Committments Dump'!$C:$C,'Category Table'!X$2,'Committments Dump'!$B:$B,'Category Table'!$A185)</f>
        <v/>
      </c>
      <c r="Y185" s="116">
        <f>SUMIFS('Committments Dump'!$R:$R,'Committments Dump'!$C:$C,'Category Table'!Y$2,'Committments Dump'!$B:$B,'Category Table'!$A185)</f>
        <v/>
      </c>
      <c r="Z185" s="116">
        <f>SUMIFS('Committments Dump'!$R:$R,'Committments Dump'!$C:$C,'Category Table'!Z$2,'Committments Dump'!$B:$B,'Category Table'!$A185)</f>
        <v/>
      </c>
      <c r="AA185" s="115">
        <f>SUMIFS('Committments Dump'!$S:$S,'Committments Dump'!$C:$C,'Category Table'!AA$2,'Committments Dump'!$B:$B,'Category Table'!$A185)</f>
        <v/>
      </c>
      <c r="AB185" s="116">
        <f>SUMIFS('Committments Dump'!$S:$S,'Committments Dump'!$C:$C,'Category Table'!AB$2,'Committments Dump'!$B:$B,'Category Table'!$A185)</f>
        <v/>
      </c>
      <c r="AC185" s="116">
        <f>SUMIFS('Committments Dump'!$S:$S,'Committments Dump'!$C:$C,'Category Table'!AC$2,'Committments Dump'!$B:$B,'Category Table'!$A185)</f>
        <v/>
      </c>
      <c r="AD185" s="115">
        <f>U185+X185+AA185</f>
        <v/>
      </c>
      <c r="AE185" s="116">
        <f>V185+Y185+AB185</f>
        <v/>
      </c>
      <c r="AF185" s="116">
        <f>W185+Z185+AC185</f>
        <v/>
      </c>
      <c r="AG185" s="115">
        <f>R185+AD185</f>
        <v/>
      </c>
      <c r="AH185" s="116">
        <f>S185+AE185</f>
        <v/>
      </c>
      <c r="AI185" s="116">
        <f>T185+AF185</f>
        <v/>
      </c>
      <c r="AJ185" s="115" t="n"/>
      <c r="AK185" s="116" t="n"/>
      <c r="AL185" s="116" t="n"/>
      <c r="AM185" s="115">
        <f>(O185-AG185)+AJ185</f>
        <v/>
      </c>
      <c r="AN185" s="116">
        <f>(P185-AH185)+AK185</f>
        <v/>
      </c>
      <c r="AO185" s="116">
        <f>(Q185-AI185)+AL185</f>
        <v/>
      </c>
      <c r="AP185" s="93">
        <f>IF(AM185&gt;0, "Under",IF(AM185&lt;0,"Over",""))</f>
        <v/>
      </c>
      <c r="AQ185" s="94">
        <f>IF(AN185&gt;0, "Under",IF(AN185&lt;0,"Over",""))</f>
        <v/>
      </c>
      <c r="AR185" s="94">
        <f>IF(AO185&gt;0, "Under",IF(AO185&lt;0,"Over",""))</f>
        <v/>
      </c>
      <c r="AS185" s="3" t="n"/>
    </row>
    <row r="186">
      <c r="C186" s="113" t="n"/>
      <c r="D186" s="114" t="n"/>
      <c r="E186" s="114" t="n"/>
      <c r="F186" s="113" t="n"/>
      <c r="G186" s="114" t="n"/>
      <c r="H186" s="114" t="n"/>
      <c r="I186" s="113" t="n"/>
      <c r="J186" s="114" t="n"/>
      <c r="K186" s="114" t="n"/>
      <c r="L186" s="113" t="n"/>
      <c r="M186" s="114" t="n"/>
      <c r="N186" s="114" t="n"/>
      <c r="O186" s="113">
        <f>L186+I186+F186+C186</f>
        <v/>
      </c>
      <c r="P186" s="114">
        <f>M186+J186+G186+D186</f>
        <v/>
      </c>
      <c r="Q186" s="114">
        <f>N186+K186+H186+E186</f>
        <v/>
      </c>
      <c r="R186" s="113">
        <f>SUMIFS('PO Log'!$E:$E,'PO Log'!$D:$D,'Category Table'!R$2,'PO Log'!$C:$C,'Category Table'!$A186)</f>
        <v/>
      </c>
      <c r="S186" s="114">
        <f>SUMIFS('PO Log'!$E:$E,'PO Log'!$D:$D,'Category Table'!S$2,'PO Log'!$C:$C,'Category Table'!$A186)</f>
        <v/>
      </c>
      <c r="T186" s="114">
        <f>SUMIFS('PO Log'!$E:$E,'PO Log'!$D:$D,'Category Table'!T$2,'PO Log'!$C:$C,'Category Table'!$A186)</f>
        <v/>
      </c>
      <c r="U186" s="113">
        <f>SUMIFS('Committments Dump'!$Q:$Q,'Committments Dump'!$C:$C,'Category Table'!U$2,'Committments Dump'!$B:$B,'Category Table'!$A186)</f>
        <v/>
      </c>
      <c r="V186" s="114">
        <f>SUMIFS('Committments Dump'!$Q:$Q,'Committments Dump'!$C:$C,'Category Table'!V$2,'Committments Dump'!$B:$B,'Category Table'!$A186)</f>
        <v/>
      </c>
      <c r="W186" s="114">
        <f>SUMIFS('Committments Dump'!$Q:$Q,'Committments Dump'!$C:$C,'Category Table'!W$2,'Committments Dump'!$B:$B,'Category Table'!$A186)</f>
        <v/>
      </c>
      <c r="X186" s="113">
        <f>SUMIFS('Committments Dump'!$R:$R,'Committments Dump'!$C:$C,'Category Table'!X$2,'Committments Dump'!$B:$B,'Category Table'!$A186)</f>
        <v/>
      </c>
      <c r="Y186" s="114">
        <f>SUMIFS('Committments Dump'!$R:$R,'Committments Dump'!$C:$C,'Category Table'!Y$2,'Committments Dump'!$B:$B,'Category Table'!$A186)</f>
        <v/>
      </c>
      <c r="Z186" s="114">
        <f>SUMIFS('Committments Dump'!$R:$R,'Committments Dump'!$C:$C,'Category Table'!Z$2,'Committments Dump'!$B:$B,'Category Table'!$A186)</f>
        <v/>
      </c>
      <c r="AA186" s="113">
        <f>SUMIFS('Committments Dump'!$S:$S,'Committments Dump'!$C:$C,'Category Table'!AA$2,'Committments Dump'!$B:$B,'Category Table'!$A186)</f>
        <v/>
      </c>
      <c r="AB186" s="114">
        <f>SUMIFS('Committments Dump'!$S:$S,'Committments Dump'!$C:$C,'Category Table'!AB$2,'Committments Dump'!$B:$B,'Category Table'!$A186)</f>
        <v/>
      </c>
      <c r="AC186" s="114">
        <f>SUMIFS('Committments Dump'!$S:$S,'Committments Dump'!$C:$C,'Category Table'!AC$2,'Committments Dump'!$B:$B,'Category Table'!$A186)</f>
        <v/>
      </c>
      <c r="AD186" s="113">
        <f>U186+X186+AA186</f>
        <v/>
      </c>
      <c r="AE186" s="114">
        <f>V186+Y186+AB186</f>
        <v/>
      </c>
      <c r="AF186" s="114">
        <f>W186+Z186+AC186</f>
        <v/>
      </c>
      <c r="AG186" s="113">
        <f>R186+AD186</f>
        <v/>
      </c>
      <c r="AH186" s="114">
        <f>S186+AE186</f>
        <v/>
      </c>
      <c r="AI186" s="114">
        <f>T186+AF186</f>
        <v/>
      </c>
      <c r="AJ186" s="113" t="n"/>
      <c r="AK186" s="114" t="n"/>
      <c r="AL186" s="114" t="n"/>
      <c r="AM186" s="113">
        <f>(O186-AG186)+AJ186</f>
        <v/>
      </c>
      <c r="AN186" s="114">
        <f>(P186-AH186)+AK186</f>
        <v/>
      </c>
      <c r="AO186" s="114">
        <f>(Q186-AI186)+AL186</f>
        <v/>
      </c>
      <c r="AP186" s="2">
        <f>IF(AM186&gt;0, "Under",IF(AM186&lt;0,"Over",""))</f>
        <v/>
      </c>
      <c r="AQ186" s="1">
        <f>IF(AN186&gt;0, "Under",IF(AN186&lt;0,"Over",""))</f>
        <v/>
      </c>
      <c r="AR186" s="1">
        <f>IF(AO186&gt;0, "Under",IF(AO186&lt;0,"Over",""))</f>
        <v/>
      </c>
      <c r="AS186" s="3" t="n"/>
    </row>
    <row r="187">
      <c r="A187" s="90" t="n"/>
      <c r="B187" s="90" t="n"/>
      <c r="C187" s="115" t="n"/>
      <c r="D187" s="116" t="n"/>
      <c r="E187" s="116" t="n"/>
      <c r="F187" s="115" t="n"/>
      <c r="G187" s="116" t="n"/>
      <c r="H187" s="116" t="n"/>
      <c r="I187" s="115" t="n"/>
      <c r="J187" s="116" t="n"/>
      <c r="K187" s="116" t="n"/>
      <c r="L187" s="115" t="n"/>
      <c r="M187" s="116" t="n"/>
      <c r="N187" s="116" t="n"/>
      <c r="O187" s="115">
        <f>L187+I187+F187+C187</f>
        <v/>
      </c>
      <c r="P187" s="116">
        <f>M187+J187+G187+D187</f>
        <v/>
      </c>
      <c r="Q187" s="116">
        <f>N187+K187+H187+E187</f>
        <v/>
      </c>
      <c r="R187" s="115">
        <f>SUMIFS('PO Log'!$E:$E,'PO Log'!$D:$D,'Category Table'!R$2,'PO Log'!$C:$C,'Category Table'!$A187)</f>
        <v/>
      </c>
      <c r="S187" s="116">
        <f>SUMIFS('PO Log'!$E:$E,'PO Log'!$D:$D,'Category Table'!S$2,'PO Log'!$C:$C,'Category Table'!$A187)</f>
        <v/>
      </c>
      <c r="T187" s="116">
        <f>SUMIFS('PO Log'!$E:$E,'PO Log'!$D:$D,'Category Table'!T$2,'PO Log'!$C:$C,'Category Table'!$A187)</f>
        <v/>
      </c>
      <c r="U187" s="115">
        <f>SUMIFS('Committments Dump'!$Q:$Q,'Committments Dump'!$C:$C,'Category Table'!U$2,'Committments Dump'!$B:$B,'Category Table'!$A187)</f>
        <v/>
      </c>
      <c r="V187" s="116">
        <f>SUMIFS('Committments Dump'!$Q:$Q,'Committments Dump'!$C:$C,'Category Table'!V$2,'Committments Dump'!$B:$B,'Category Table'!$A187)</f>
        <v/>
      </c>
      <c r="W187" s="116">
        <f>SUMIFS('Committments Dump'!$Q:$Q,'Committments Dump'!$C:$C,'Category Table'!W$2,'Committments Dump'!$B:$B,'Category Table'!$A187)</f>
        <v/>
      </c>
      <c r="X187" s="115">
        <f>SUMIFS('Committments Dump'!$R:$R,'Committments Dump'!$C:$C,'Category Table'!X$2,'Committments Dump'!$B:$B,'Category Table'!$A187)</f>
        <v/>
      </c>
      <c r="Y187" s="116">
        <f>SUMIFS('Committments Dump'!$R:$R,'Committments Dump'!$C:$C,'Category Table'!Y$2,'Committments Dump'!$B:$B,'Category Table'!$A187)</f>
        <v/>
      </c>
      <c r="Z187" s="116">
        <f>SUMIFS('Committments Dump'!$R:$R,'Committments Dump'!$C:$C,'Category Table'!Z$2,'Committments Dump'!$B:$B,'Category Table'!$A187)</f>
        <v/>
      </c>
      <c r="AA187" s="115">
        <f>SUMIFS('Committments Dump'!$S:$S,'Committments Dump'!$C:$C,'Category Table'!AA$2,'Committments Dump'!$B:$B,'Category Table'!$A187)</f>
        <v/>
      </c>
      <c r="AB187" s="116">
        <f>SUMIFS('Committments Dump'!$S:$S,'Committments Dump'!$C:$C,'Category Table'!AB$2,'Committments Dump'!$B:$B,'Category Table'!$A187)</f>
        <v/>
      </c>
      <c r="AC187" s="116">
        <f>SUMIFS('Committments Dump'!$S:$S,'Committments Dump'!$C:$C,'Category Table'!AC$2,'Committments Dump'!$B:$B,'Category Table'!$A187)</f>
        <v/>
      </c>
      <c r="AD187" s="115">
        <f>U187+X187+AA187</f>
        <v/>
      </c>
      <c r="AE187" s="116">
        <f>V187+Y187+AB187</f>
        <v/>
      </c>
      <c r="AF187" s="116">
        <f>W187+Z187+AC187</f>
        <v/>
      </c>
      <c r="AG187" s="115">
        <f>R187+AD187</f>
        <v/>
      </c>
      <c r="AH187" s="116">
        <f>S187+AE187</f>
        <v/>
      </c>
      <c r="AI187" s="116">
        <f>T187+AF187</f>
        <v/>
      </c>
      <c r="AJ187" s="115" t="n"/>
      <c r="AK187" s="116" t="n"/>
      <c r="AL187" s="116" t="n"/>
      <c r="AM187" s="115">
        <f>(O187-AG187)+AJ187</f>
        <v/>
      </c>
      <c r="AN187" s="116">
        <f>(P187-AH187)+AK187</f>
        <v/>
      </c>
      <c r="AO187" s="116">
        <f>(Q187-AI187)+AL187</f>
        <v/>
      </c>
      <c r="AP187" s="93">
        <f>IF(AM187&gt;0, "Under",IF(AM187&lt;0,"Over",""))</f>
        <v/>
      </c>
      <c r="AQ187" s="94">
        <f>IF(AN187&gt;0, "Under",IF(AN187&lt;0,"Over",""))</f>
        <v/>
      </c>
      <c r="AR187" s="94">
        <f>IF(AO187&gt;0, "Under",IF(AO187&lt;0,"Over",""))</f>
        <v/>
      </c>
      <c r="AS187" s="3" t="n"/>
    </row>
    <row r="188">
      <c r="C188" s="113" t="n"/>
      <c r="D188" s="114" t="n"/>
      <c r="E188" s="114" t="n"/>
      <c r="F188" s="113" t="n"/>
      <c r="G188" s="114" t="n"/>
      <c r="H188" s="114" t="n"/>
      <c r="I188" s="113" t="n"/>
      <c r="J188" s="114" t="n"/>
      <c r="K188" s="114" t="n"/>
      <c r="L188" s="113" t="n"/>
      <c r="M188" s="114" t="n"/>
      <c r="N188" s="114" t="n"/>
      <c r="O188" s="113">
        <f>L188+I188+F188+C188</f>
        <v/>
      </c>
      <c r="P188" s="114">
        <f>M188+J188+G188+D188</f>
        <v/>
      </c>
      <c r="Q188" s="114">
        <f>N188+K188+H188+E188</f>
        <v/>
      </c>
      <c r="R188" s="113">
        <f>SUMIFS('PO Log'!$E:$E,'PO Log'!$D:$D,'Category Table'!R$2,'PO Log'!$C:$C,'Category Table'!$A188)</f>
        <v/>
      </c>
      <c r="S188" s="114">
        <f>SUMIFS('PO Log'!$E:$E,'PO Log'!$D:$D,'Category Table'!S$2,'PO Log'!$C:$C,'Category Table'!$A188)</f>
        <v/>
      </c>
      <c r="T188" s="114">
        <f>SUMIFS('PO Log'!$E:$E,'PO Log'!$D:$D,'Category Table'!T$2,'PO Log'!$C:$C,'Category Table'!$A188)</f>
        <v/>
      </c>
      <c r="U188" s="113">
        <f>SUMIFS('Committments Dump'!$Q:$Q,'Committments Dump'!$C:$C,'Category Table'!U$2,'Committments Dump'!$B:$B,'Category Table'!$A188)</f>
        <v/>
      </c>
      <c r="V188" s="114">
        <f>SUMIFS('Committments Dump'!$Q:$Q,'Committments Dump'!$C:$C,'Category Table'!V$2,'Committments Dump'!$B:$B,'Category Table'!$A188)</f>
        <v/>
      </c>
      <c r="W188" s="114">
        <f>SUMIFS('Committments Dump'!$Q:$Q,'Committments Dump'!$C:$C,'Category Table'!W$2,'Committments Dump'!$B:$B,'Category Table'!$A188)</f>
        <v/>
      </c>
      <c r="X188" s="113">
        <f>SUMIFS('Committments Dump'!$R:$R,'Committments Dump'!$C:$C,'Category Table'!X$2,'Committments Dump'!$B:$B,'Category Table'!$A188)</f>
        <v/>
      </c>
      <c r="Y188" s="114">
        <f>SUMIFS('Committments Dump'!$R:$R,'Committments Dump'!$C:$C,'Category Table'!Y$2,'Committments Dump'!$B:$B,'Category Table'!$A188)</f>
        <v/>
      </c>
      <c r="Z188" s="114">
        <f>SUMIFS('Committments Dump'!$R:$R,'Committments Dump'!$C:$C,'Category Table'!Z$2,'Committments Dump'!$B:$B,'Category Table'!$A188)</f>
        <v/>
      </c>
      <c r="AA188" s="113">
        <f>SUMIFS('Committments Dump'!$S:$S,'Committments Dump'!$C:$C,'Category Table'!AA$2,'Committments Dump'!$B:$B,'Category Table'!$A188)</f>
        <v/>
      </c>
      <c r="AB188" s="114">
        <f>SUMIFS('Committments Dump'!$S:$S,'Committments Dump'!$C:$C,'Category Table'!AB$2,'Committments Dump'!$B:$B,'Category Table'!$A188)</f>
        <v/>
      </c>
      <c r="AC188" s="114">
        <f>SUMIFS('Committments Dump'!$S:$S,'Committments Dump'!$C:$C,'Category Table'!AC$2,'Committments Dump'!$B:$B,'Category Table'!$A188)</f>
        <v/>
      </c>
      <c r="AD188" s="113">
        <f>U188+X188+AA188</f>
        <v/>
      </c>
      <c r="AE188" s="114">
        <f>V188+Y188+AB188</f>
        <v/>
      </c>
      <c r="AF188" s="114">
        <f>W188+Z188+AC188</f>
        <v/>
      </c>
      <c r="AG188" s="113">
        <f>R188+AD188</f>
        <v/>
      </c>
      <c r="AH188" s="114">
        <f>S188+AE188</f>
        <v/>
      </c>
      <c r="AI188" s="114">
        <f>T188+AF188</f>
        <v/>
      </c>
      <c r="AJ188" s="113" t="n"/>
      <c r="AK188" s="114" t="n"/>
      <c r="AL188" s="114" t="n"/>
      <c r="AM188" s="113">
        <f>(O188-AG188)+AJ188</f>
        <v/>
      </c>
      <c r="AN188" s="114">
        <f>(P188-AH188)+AK188</f>
        <v/>
      </c>
      <c r="AO188" s="114">
        <f>(Q188-AI188)+AL188</f>
        <v/>
      </c>
      <c r="AP188" s="2">
        <f>IF(AM188&gt;0, "Under",IF(AM188&lt;0,"Over",""))</f>
        <v/>
      </c>
      <c r="AQ188" s="1">
        <f>IF(AN188&gt;0, "Under",IF(AN188&lt;0,"Over",""))</f>
        <v/>
      </c>
      <c r="AR188" s="1">
        <f>IF(AO188&gt;0, "Under",IF(AO188&lt;0,"Over",""))</f>
        <v/>
      </c>
      <c r="AS188" s="3" t="n"/>
    </row>
    <row r="189">
      <c r="A189" s="90" t="n"/>
      <c r="B189" s="90" t="n"/>
      <c r="C189" s="115" t="n"/>
      <c r="D189" s="116" t="n"/>
      <c r="E189" s="116" t="n"/>
      <c r="F189" s="115" t="n"/>
      <c r="G189" s="116" t="n"/>
      <c r="H189" s="116" t="n"/>
      <c r="I189" s="115" t="n"/>
      <c r="J189" s="116" t="n"/>
      <c r="K189" s="116" t="n"/>
      <c r="L189" s="115" t="n"/>
      <c r="M189" s="116" t="n"/>
      <c r="N189" s="116" t="n"/>
      <c r="O189" s="115">
        <f>L189+I189+F189+C189</f>
        <v/>
      </c>
      <c r="P189" s="116">
        <f>M189+J189+G189+D189</f>
        <v/>
      </c>
      <c r="Q189" s="116">
        <f>N189+K189+H189+E189</f>
        <v/>
      </c>
      <c r="R189" s="115">
        <f>SUMIFS('PO Log'!$E:$E,'PO Log'!$D:$D,'Category Table'!R$2,'PO Log'!$C:$C,'Category Table'!$A189)</f>
        <v/>
      </c>
      <c r="S189" s="116">
        <f>SUMIFS('PO Log'!$E:$E,'PO Log'!$D:$D,'Category Table'!S$2,'PO Log'!$C:$C,'Category Table'!$A189)</f>
        <v/>
      </c>
      <c r="T189" s="116">
        <f>SUMIFS('PO Log'!$E:$E,'PO Log'!$D:$D,'Category Table'!T$2,'PO Log'!$C:$C,'Category Table'!$A189)</f>
        <v/>
      </c>
      <c r="U189" s="115">
        <f>SUMIFS('Committments Dump'!$Q:$Q,'Committments Dump'!$C:$C,'Category Table'!U$2,'Committments Dump'!$B:$B,'Category Table'!$A189)</f>
        <v/>
      </c>
      <c r="V189" s="116">
        <f>SUMIFS('Committments Dump'!$Q:$Q,'Committments Dump'!$C:$C,'Category Table'!V$2,'Committments Dump'!$B:$B,'Category Table'!$A189)</f>
        <v/>
      </c>
      <c r="W189" s="116">
        <f>SUMIFS('Committments Dump'!$Q:$Q,'Committments Dump'!$C:$C,'Category Table'!W$2,'Committments Dump'!$B:$B,'Category Table'!$A189)</f>
        <v/>
      </c>
      <c r="X189" s="115">
        <f>SUMIFS('Committments Dump'!$R:$R,'Committments Dump'!$C:$C,'Category Table'!X$2,'Committments Dump'!$B:$B,'Category Table'!$A189)</f>
        <v/>
      </c>
      <c r="Y189" s="116">
        <f>SUMIFS('Committments Dump'!$R:$R,'Committments Dump'!$C:$C,'Category Table'!Y$2,'Committments Dump'!$B:$B,'Category Table'!$A189)</f>
        <v/>
      </c>
      <c r="Z189" s="116">
        <f>SUMIFS('Committments Dump'!$R:$R,'Committments Dump'!$C:$C,'Category Table'!Z$2,'Committments Dump'!$B:$B,'Category Table'!$A189)</f>
        <v/>
      </c>
      <c r="AA189" s="115">
        <f>SUMIFS('Committments Dump'!$S:$S,'Committments Dump'!$C:$C,'Category Table'!AA$2,'Committments Dump'!$B:$B,'Category Table'!$A189)</f>
        <v/>
      </c>
      <c r="AB189" s="116">
        <f>SUMIFS('Committments Dump'!$S:$S,'Committments Dump'!$C:$C,'Category Table'!AB$2,'Committments Dump'!$B:$B,'Category Table'!$A189)</f>
        <v/>
      </c>
      <c r="AC189" s="116">
        <f>SUMIFS('Committments Dump'!$S:$S,'Committments Dump'!$C:$C,'Category Table'!AC$2,'Committments Dump'!$B:$B,'Category Table'!$A189)</f>
        <v/>
      </c>
      <c r="AD189" s="115">
        <f>U189+X189+AA189</f>
        <v/>
      </c>
      <c r="AE189" s="116">
        <f>V189+Y189+AB189</f>
        <v/>
      </c>
      <c r="AF189" s="116">
        <f>W189+Z189+AC189</f>
        <v/>
      </c>
      <c r="AG189" s="115">
        <f>R189+AD189</f>
        <v/>
      </c>
      <c r="AH189" s="116">
        <f>S189+AE189</f>
        <v/>
      </c>
      <c r="AI189" s="116">
        <f>T189+AF189</f>
        <v/>
      </c>
      <c r="AJ189" s="115" t="n"/>
      <c r="AK189" s="116" t="n"/>
      <c r="AL189" s="116" t="n"/>
      <c r="AM189" s="115">
        <f>(O189-AG189)+AJ189</f>
        <v/>
      </c>
      <c r="AN189" s="116">
        <f>(P189-AH189)+AK189</f>
        <v/>
      </c>
      <c r="AO189" s="116">
        <f>(Q189-AI189)+AL189</f>
        <v/>
      </c>
      <c r="AP189" s="93">
        <f>IF(AM189&gt;0, "Under",IF(AM189&lt;0,"Over",""))</f>
        <v/>
      </c>
      <c r="AQ189" s="94">
        <f>IF(AN189&gt;0, "Under",IF(AN189&lt;0,"Over",""))</f>
        <v/>
      </c>
      <c r="AR189" s="94">
        <f>IF(AO189&gt;0, "Under",IF(AO189&lt;0,"Over",""))</f>
        <v/>
      </c>
      <c r="AS189" s="3" t="n"/>
    </row>
    <row r="190">
      <c r="C190" s="113" t="n"/>
      <c r="D190" s="114" t="n"/>
      <c r="E190" s="114" t="n"/>
      <c r="F190" s="113" t="n"/>
      <c r="G190" s="114" t="n"/>
      <c r="H190" s="114" t="n"/>
      <c r="I190" s="113" t="n"/>
      <c r="J190" s="114" t="n"/>
      <c r="K190" s="114" t="n"/>
      <c r="L190" s="113" t="n"/>
      <c r="M190" s="114" t="n"/>
      <c r="N190" s="114" t="n"/>
      <c r="O190" s="113">
        <f>L190+I190+F190+C190</f>
        <v/>
      </c>
      <c r="P190" s="114">
        <f>M190+J190+G190+D190</f>
        <v/>
      </c>
      <c r="Q190" s="114">
        <f>N190+K190+H190+E190</f>
        <v/>
      </c>
      <c r="R190" s="113">
        <f>SUMIFS('PO Log'!$E:$E,'PO Log'!$D:$D,'Category Table'!R$2,'PO Log'!$C:$C,'Category Table'!$A190)</f>
        <v/>
      </c>
      <c r="S190" s="114">
        <f>SUMIFS('PO Log'!$E:$E,'PO Log'!$D:$D,'Category Table'!S$2,'PO Log'!$C:$C,'Category Table'!$A190)</f>
        <v/>
      </c>
      <c r="T190" s="114">
        <f>SUMIFS('PO Log'!$E:$E,'PO Log'!$D:$D,'Category Table'!T$2,'PO Log'!$C:$C,'Category Table'!$A190)</f>
        <v/>
      </c>
      <c r="U190" s="113">
        <f>SUMIFS('Committments Dump'!$Q:$Q,'Committments Dump'!$C:$C,'Category Table'!U$2,'Committments Dump'!$B:$B,'Category Table'!$A190)</f>
        <v/>
      </c>
      <c r="V190" s="114">
        <f>SUMIFS('Committments Dump'!$Q:$Q,'Committments Dump'!$C:$C,'Category Table'!V$2,'Committments Dump'!$B:$B,'Category Table'!$A190)</f>
        <v/>
      </c>
      <c r="W190" s="114">
        <f>SUMIFS('Committments Dump'!$Q:$Q,'Committments Dump'!$C:$C,'Category Table'!W$2,'Committments Dump'!$B:$B,'Category Table'!$A190)</f>
        <v/>
      </c>
      <c r="X190" s="113">
        <f>SUMIFS('Committments Dump'!$R:$R,'Committments Dump'!$C:$C,'Category Table'!X$2,'Committments Dump'!$B:$B,'Category Table'!$A190)</f>
        <v/>
      </c>
      <c r="Y190" s="114">
        <f>SUMIFS('Committments Dump'!$R:$R,'Committments Dump'!$C:$C,'Category Table'!Y$2,'Committments Dump'!$B:$B,'Category Table'!$A190)</f>
        <v/>
      </c>
      <c r="Z190" s="114">
        <f>SUMIFS('Committments Dump'!$R:$R,'Committments Dump'!$C:$C,'Category Table'!Z$2,'Committments Dump'!$B:$B,'Category Table'!$A190)</f>
        <v/>
      </c>
      <c r="AA190" s="113">
        <f>SUMIFS('Committments Dump'!$S:$S,'Committments Dump'!$C:$C,'Category Table'!AA$2,'Committments Dump'!$B:$B,'Category Table'!$A190)</f>
        <v/>
      </c>
      <c r="AB190" s="114">
        <f>SUMIFS('Committments Dump'!$S:$S,'Committments Dump'!$C:$C,'Category Table'!AB$2,'Committments Dump'!$B:$B,'Category Table'!$A190)</f>
        <v/>
      </c>
      <c r="AC190" s="114">
        <f>SUMIFS('Committments Dump'!$S:$S,'Committments Dump'!$C:$C,'Category Table'!AC$2,'Committments Dump'!$B:$B,'Category Table'!$A190)</f>
        <v/>
      </c>
      <c r="AD190" s="113">
        <f>U190+X190+AA190</f>
        <v/>
      </c>
      <c r="AE190" s="114">
        <f>V190+Y190+AB190</f>
        <v/>
      </c>
      <c r="AF190" s="114">
        <f>W190+Z190+AC190</f>
        <v/>
      </c>
      <c r="AG190" s="113">
        <f>R190+AD190</f>
        <v/>
      </c>
      <c r="AH190" s="114">
        <f>S190+AE190</f>
        <v/>
      </c>
      <c r="AI190" s="114">
        <f>T190+AF190</f>
        <v/>
      </c>
      <c r="AJ190" s="113" t="n"/>
      <c r="AK190" s="114" t="n"/>
      <c r="AL190" s="114" t="n"/>
      <c r="AM190" s="113">
        <f>(O190-AG190)+AJ190</f>
        <v/>
      </c>
      <c r="AN190" s="114">
        <f>(P190-AH190)+AK190</f>
        <v/>
      </c>
      <c r="AO190" s="114">
        <f>(Q190-AI190)+AL190</f>
        <v/>
      </c>
      <c r="AP190" s="2">
        <f>IF(AM190&gt;0, "Under",IF(AM190&lt;0,"Over",""))</f>
        <v/>
      </c>
      <c r="AQ190" s="1">
        <f>IF(AN190&gt;0, "Under",IF(AN190&lt;0,"Over",""))</f>
        <v/>
      </c>
      <c r="AR190" s="1">
        <f>IF(AO190&gt;0, "Under",IF(AO190&lt;0,"Over",""))</f>
        <v/>
      </c>
      <c r="AS190" s="3" t="n"/>
    </row>
    <row r="191">
      <c r="A191" s="90" t="n"/>
      <c r="B191" s="90" t="n"/>
      <c r="C191" s="115" t="n"/>
      <c r="D191" s="116" t="n"/>
      <c r="E191" s="116" t="n"/>
      <c r="F191" s="115" t="n"/>
      <c r="G191" s="116" t="n"/>
      <c r="H191" s="116" t="n"/>
      <c r="I191" s="115" t="n"/>
      <c r="J191" s="116" t="n"/>
      <c r="K191" s="116" t="n"/>
      <c r="L191" s="115" t="n"/>
      <c r="M191" s="116" t="n"/>
      <c r="N191" s="116" t="n"/>
      <c r="O191" s="115">
        <f>L191+I191+F191+C191</f>
        <v/>
      </c>
      <c r="P191" s="116">
        <f>M191+J191+G191+D191</f>
        <v/>
      </c>
      <c r="Q191" s="116">
        <f>N191+K191+H191+E191</f>
        <v/>
      </c>
      <c r="R191" s="115">
        <f>SUMIFS('PO Log'!$E:$E,'PO Log'!$D:$D,'Category Table'!R$2,'PO Log'!$C:$C,'Category Table'!$A191)</f>
        <v/>
      </c>
      <c r="S191" s="116">
        <f>SUMIFS('PO Log'!$E:$E,'PO Log'!$D:$D,'Category Table'!S$2,'PO Log'!$C:$C,'Category Table'!$A191)</f>
        <v/>
      </c>
      <c r="T191" s="116">
        <f>SUMIFS('PO Log'!$E:$E,'PO Log'!$D:$D,'Category Table'!T$2,'PO Log'!$C:$C,'Category Table'!$A191)</f>
        <v/>
      </c>
      <c r="U191" s="115">
        <f>SUMIFS('Committments Dump'!$Q:$Q,'Committments Dump'!$C:$C,'Category Table'!U$2,'Committments Dump'!$B:$B,'Category Table'!$A191)</f>
        <v/>
      </c>
      <c r="V191" s="116">
        <f>SUMIFS('Committments Dump'!$Q:$Q,'Committments Dump'!$C:$C,'Category Table'!V$2,'Committments Dump'!$B:$B,'Category Table'!$A191)</f>
        <v/>
      </c>
      <c r="W191" s="116">
        <f>SUMIFS('Committments Dump'!$Q:$Q,'Committments Dump'!$C:$C,'Category Table'!W$2,'Committments Dump'!$B:$B,'Category Table'!$A191)</f>
        <v/>
      </c>
      <c r="X191" s="115">
        <f>SUMIFS('Committments Dump'!$R:$R,'Committments Dump'!$C:$C,'Category Table'!X$2,'Committments Dump'!$B:$B,'Category Table'!$A191)</f>
        <v/>
      </c>
      <c r="Y191" s="116">
        <f>SUMIFS('Committments Dump'!$R:$R,'Committments Dump'!$C:$C,'Category Table'!Y$2,'Committments Dump'!$B:$B,'Category Table'!$A191)</f>
        <v/>
      </c>
      <c r="Z191" s="116">
        <f>SUMIFS('Committments Dump'!$R:$R,'Committments Dump'!$C:$C,'Category Table'!Z$2,'Committments Dump'!$B:$B,'Category Table'!$A191)</f>
        <v/>
      </c>
      <c r="AA191" s="115">
        <f>SUMIFS('Committments Dump'!$S:$S,'Committments Dump'!$C:$C,'Category Table'!AA$2,'Committments Dump'!$B:$B,'Category Table'!$A191)</f>
        <v/>
      </c>
      <c r="AB191" s="116">
        <f>SUMIFS('Committments Dump'!$S:$S,'Committments Dump'!$C:$C,'Category Table'!AB$2,'Committments Dump'!$B:$B,'Category Table'!$A191)</f>
        <v/>
      </c>
      <c r="AC191" s="116">
        <f>SUMIFS('Committments Dump'!$S:$S,'Committments Dump'!$C:$C,'Category Table'!AC$2,'Committments Dump'!$B:$B,'Category Table'!$A191)</f>
        <v/>
      </c>
      <c r="AD191" s="115">
        <f>U191+X191+AA191</f>
        <v/>
      </c>
      <c r="AE191" s="116">
        <f>V191+Y191+AB191</f>
        <v/>
      </c>
      <c r="AF191" s="116">
        <f>W191+Z191+AC191</f>
        <v/>
      </c>
      <c r="AG191" s="115">
        <f>R191+AD191</f>
        <v/>
      </c>
      <c r="AH191" s="116">
        <f>S191+AE191</f>
        <v/>
      </c>
      <c r="AI191" s="116">
        <f>T191+AF191</f>
        <v/>
      </c>
      <c r="AJ191" s="115" t="n"/>
      <c r="AK191" s="116" t="n"/>
      <c r="AL191" s="116" t="n"/>
      <c r="AM191" s="115">
        <f>(O191-AG191)+AJ191</f>
        <v/>
      </c>
      <c r="AN191" s="116">
        <f>(P191-AH191)+AK191</f>
        <v/>
      </c>
      <c r="AO191" s="116">
        <f>(Q191-AI191)+AL191</f>
        <v/>
      </c>
      <c r="AP191" s="93">
        <f>IF(AM191&gt;0, "Under",IF(AM191&lt;0,"Over",""))</f>
        <v/>
      </c>
      <c r="AQ191" s="94">
        <f>IF(AN191&gt;0, "Under",IF(AN191&lt;0,"Over",""))</f>
        <v/>
      </c>
      <c r="AR191" s="94">
        <f>IF(AO191&gt;0, "Under",IF(AO191&lt;0,"Over",""))</f>
        <v/>
      </c>
      <c r="AS191" s="3" t="n"/>
    </row>
    <row r="192">
      <c r="C192" s="113" t="n"/>
      <c r="D192" s="114" t="n"/>
      <c r="E192" s="114" t="n"/>
      <c r="F192" s="113" t="n"/>
      <c r="G192" s="114" t="n"/>
      <c r="H192" s="114" t="n"/>
      <c r="I192" s="113" t="n"/>
      <c r="J192" s="114" t="n"/>
      <c r="K192" s="114" t="n"/>
      <c r="L192" s="113" t="n"/>
      <c r="M192" s="114" t="n"/>
      <c r="N192" s="114" t="n"/>
      <c r="O192" s="113">
        <f>L192+I192+F192+C192</f>
        <v/>
      </c>
      <c r="P192" s="114">
        <f>M192+J192+G192+D192</f>
        <v/>
      </c>
      <c r="Q192" s="114">
        <f>N192+K192+H192+E192</f>
        <v/>
      </c>
      <c r="R192" s="113">
        <f>SUMIFS('PO Log'!$E:$E,'PO Log'!$D:$D,'Category Table'!R$2,'PO Log'!$C:$C,'Category Table'!$A192)</f>
        <v/>
      </c>
      <c r="S192" s="114">
        <f>SUMIFS('PO Log'!$E:$E,'PO Log'!$D:$D,'Category Table'!S$2,'PO Log'!$C:$C,'Category Table'!$A192)</f>
        <v/>
      </c>
      <c r="T192" s="114">
        <f>SUMIFS('PO Log'!$E:$E,'PO Log'!$D:$D,'Category Table'!T$2,'PO Log'!$C:$C,'Category Table'!$A192)</f>
        <v/>
      </c>
      <c r="U192" s="113">
        <f>SUMIFS('Committments Dump'!$Q:$Q,'Committments Dump'!$C:$C,'Category Table'!U$2,'Committments Dump'!$B:$B,'Category Table'!$A192)</f>
        <v/>
      </c>
      <c r="V192" s="114">
        <f>SUMIFS('Committments Dump'!$Q:$Q,'Committments Dump'!$C:$C,'Category Table'!V$2,'Committments Dump'!$B:$B,'Category Table'!$A192)</f>
        <v/>
      </c>
      <c r="W192" s="114">
        <f>SUMIFS('Committments Dump'!$Q:$Q,'Committments Dump'!$C:$C,'Category Table'!W$2,'Committments Dump'!$B:$B,'Category Table'!$A192)</f>
        <v/>
      </c>
      <c r="X192" s="113">
        <f>SUMIFS('Committments Dump'!$R:$R,'Committments Dump'!$C:$C,'Category Table'!X$2,'Committments Dump'!$B:$B,'Category Table'!$A192)</f>
        <v/>
      </c>
      <c r="Y192" s="114">
        <f>SUMIFS('Committments Dump'!$R:$R,'Committments Dump'!$C:$C,'Category Table'!Y$2,'Committments Dump'!$B:$B,'Category Table'!$A192)</f>
        <v/>
      </c>
      <c r="Z192" s="114">
        <f>SUMIFS('Committments Dump'!$R:$R,'Committments Dump'!$C:$C,'Category Table'!Z$2,'Committments Dump'!$B:$B,'Category Table'!$A192)</f>
        <v/>
      </c>
      <c r="AA192" s="113">
        <f>SUMIFS('Committments Dump'!$S:$S,'Committments Dump'!$C:$C,'Category Table'!AA$2,'Committments Dump'!$B:$B,'Category Table'!$A192)</f>
        <v/>
      </c>
      <c r="AB192" s="114">
        <f>SUMIFS('Committments Dump'!$S:$S,'Committments Dump'!$C:$C,'Category Table'!AB$2,'Committments Dump'!$B:$B,'Category Table'!$A192)</f>
        <v/>
      </c>
      <c r="AC192" s="114">
        <f>SUMIFS('Committments Dump'!$S:$S,'Committments Dump'!$C:$C,'Category Table'!AC$2,'Committments Dump'!$B:$B,'Category Table'!$A192)</f>
        <v/>
      </c>
      <c r="AD192" s="113">
        <f>U192+X192+AA192</f>
        <v/>
      </c>
      <c r="AE192" s="114">
        <f>V192+Y192+AB192</f>
        <v/>
      </c>
      <c r="AF192" s="114">
        <f>W192+Z192+AC192</f>
        <v/>
      </c>
      <c r="AG192" s="113">
        <f>R192+AD192</f>
        <v/>
      </c>
      <c r="AH192" s="114">
        <f>S192+AE192</f>
        <v/>
      </c>
      <c r="AI192" s="114">
        <f>T192+AF192</f>
        <v/>
      </c>
      <c r="AJ192" s="113" t="n"/>
      <c r="AK192" s="114" t="n"/>
      <c r="AL192" s="114" t="n"/>
      <c r="AM192" s="113">
        <f>(O192-AG192)+AJ192</f>
        <v/>
      </c>
      <c r="AN192" s="114">
        <f>(P192-AH192)+AK192</f>
        <v/>
      </c>
      <c r="AO192" s="114">
        <f>(Q192-AI192)+AL192</f>
        <v/>
      </c>
      <c r="AP192" s="2">
        <f>IF(AM192&gt;0, "Under",IF(AM192&lt;0,"Over",""))</f>
        <v/>
      </c>
      <c r="AQ192" s="1">
        <f>IF(AN192&gt;0, "Under",IF(AN192&lt;0,"Over",""))</f>
        <v/>
      </c>
      <c r="AR192" s="1">
        <f>IF(AO192&gt;0, "Under",IF(AO192&lt;0,"Over",""))</f>
        <v/>
      </c>
      <c r="AS192" s="3" t="n"/>
    </row>
    <row r="193">
      <c r="A193" s="90" t="n"/>
      <c r="B193" s="90" t="n"/>
      <c r="C193" s="115" t="n"/>
      <c r="D193" s="116" t="n"/>
      <c r="E193" s="116" t="n"/>
      <c r="F193" s="115" t="n"/>
      <c r="G193" s="116" t="n"/>
      <c r="H193" s="116" t="n"/>
      <c r="I193" s="115" t="n"/>
      <c r="J193" s="116" t="n"/>
      <c r="K193" s="116" t="n"/>
      <c r="L193" s="115" t="n"/>
      <c r="M193" s="116" t="n"/>
      <c r="N193" s="116" t="n"/>
      <c r="O193" s="115">
        <f>L193+I193+F193+C193</f>
        <v/>
      </c>
      <c r="P193" s="116">
        <f>M193+J193+G193+D193</f>
        <v/>
      </c>
      <c r="Q193" s="116">
        <f>N193+K193+H193+E193</f>
        <v/>
      </c>
      <c r="R193" s="115">
        <f>SUMIFS('PO Log'!$E:$E,'PO Log'!$D:$D,'Category Table'!R$2,'PO Log'!$C:$C,'Category Table'!$A193)</f>
        <v/>
      </c>
      <c r="S193" s="116">
        <f>SUMIFS('PO Log'!$E:$E,'PO Log'!$D:$D,'Category Table'!S$2,'PO Log'!$C:$C,'Category Table'!$A193)</f>
        <v/>
      </c>
      <c r="T193" s="116">
        <f>SUMIFS('PO Log'!$E:$E,'PO Log'!$D:$D,'Category Table'!T$2,'PO Log'!$C:$C,'Category Table'!$A193)</f>
        <v/>
      </c>
      <c r="U193" s="115">
        <f>SUMIFS('Committments Dump'!$Q:$Q,'Committments Dump'!$C:$C,'Category Table'!U$2,'Committments Dump'!$B:$B,'Category Table'!$A193)</f>
        <v/>
      </c>
      <c r="V193" s="116">
        <f>SUMIFS('Committments Dump'!$Q:$Q,'Committments Dump'!$C:$C,'Category Table'!V$2,'Committments Dump'!$B:$B,'Category Table'!$A193)</f>
        <v/>
      </c>
      <c r="W193" s="116">
        <f>SUMIFS('Committments Dump'!$Q:$Q,'Committments Dump'!$C:$C,'Category Table'!W$2,'Committments Dump'!$B:$B,'Category Table'!$A193)</f>
        <v/>
      </c>
      <c r="X193" s="115">
        <f>SUMIFS('Committments Dump'!$R:$R,'Committments Dump'!$C:$C,'Category Table'!X$2,'Committments Dump'!$B:$B,'Category Table'!$A193)</f>
        <v/>
      </c>
      <c r="Y193" s="116">
        <f>SUMIFS('Committments Dump'!$R:$R,'Committments Dump'!$C:$C,'Category Table'!Y$2,'Committments Dump'!$B:$B,'Category Table'!$A193)</f>
        <v/>
      </c>
      <c r="Z193" s="116">
        <f>SUMIFS('Committments Dump'!$R:$R,'Committments Dump'!$C:$C,'Category Table'!Z$2,'Committments Dump'!$B:$B,'Category Table'!$A193)</f>
        <v/>
      </c>
      <c r="AA193" s="115">
        <f>SUMIFS('Committments Dump'!$S:$S,'Committments Dump'!$C:$C,'Category Table'!AA$2,'Committments Dump'!$B:$B,'Category Table'!$A193)</f>
        <v/>
      </c>
      <c r="AB193" s="116">
        <f>SUMIFS('Committments Dump'!$S:$S,'Committments Dump'!$C:$C,'Category Table'!AB$2,'Committments Dump'!$B:$B,'Category Table'!$A193)</f>
        <v/>
      </c>
      <c r="AC193" s="116">
        <f>SUMIFS('Committments Dump'!$S:$S,'Committments Dump'!$C:$C,'Category Table'!AC$2,'Committments Dump'!$B:$B,'Category Table'!$A193)</f>
        <v/>
      </c>
      <c r="AD193" s="115">
        <f>U193+X193+AA193</f>
        <v/>
      </c>
      <c r="AE193" s="116">
        <f>V193+Y193+AB193</f>
        <v/>
      </c>
      <c r="AF193" s="116">
        <f>W193+Z193+AC193</f>
        <v/>
      </c>
      <c r="AG193" s="115">
        <f>R193+AD193</f>
        <v/>
      </c>
      <c r="AH193" s="116">
        <f>S193+AE193</f>
        <v/>
      </c>
      <c r="AI193" s="116">
        <f>T193+AF193</f>
        <v/>
      </c>
      <c r="AJ193" s="115" t="n"/>
      <c r="AK193" s="116" t="n"/>
      <c r="AL193" s="116" t="n"/>
      <c r="AM193" s="115">
        <f>(O193-AG193)+AJ193</f>
        <v/>
      </c>
      <c r="AN193" s="116">
        <f>(P193-AH193)+AK193</f>
        <v/>
      </c>
      <c r="AO193" s="116">
        <f>(Q193-AI193)+AL193</f>
        <v/>
      </c>
      <c r="AP193" s="93">
        <f>IF(AM193&gt;0, "Under",IF(AM193&lt;0,"Over",""))</f>
        <v/>
      </c>
      <c r="AQ193" s="94">
        <f>IF(AN193&gt;0, "Under",IF(AN193&lt;0,"Over",""))</f>
        <v/>
      </c>
      <c r="AR193" s="94">
        <f>IF(AO193&gt;0, "Under",IF(AO193&lt;0,"Over",""))</f>
        <v/>
      </c>
      <c r="AS193" s="3" t="n"/>
    </row>
    <row r="194">
      <c r="C194" s="113" t="n"/>
      <c r="D194" s="114" t="n"/>
      <c r="E194" s="114" t="n"/>
      <c r="F194" s="113" t="n"/>
      <c r="G194" s="114" t="n"/>
      <c r="H194" s="114" t="n"/>
      <c r="I194" s="113" t="n"/>
      <c r="J194" s="114" t="n"/>
      <c r="K194" s="114" t="n"/>
      <c r="L194" s="113" t="n"/>
      <c r="M194" s="114" t="n"/>
      <c r="N194" s="114" t="n"/>
      <c r="O194" s="113">
        <f>L194+I194+F194+C194</f>
        <v/>
      </c>
      <c r="P194" s="114">
        <f>M194+J194+G194+D194</f>
        <v/>
      </c>
      <c r="Q194" s="114">
        <f>N194+K194+H194+E194</f>
        <v/>
      </c>
      <c r="R194" s="113">
        <f>SUMIFS('PO Log'!$E:$E,'PO Log'!$D:$D,'Category Table'!R$2,'PO Log'!$C:$C,'Category Table'!$A194)</f>
        <v/>
      </c>
      <c r="S194" s="114">
        <f>SUMIFS('PO Log'!$E:$E,'PO Log'!$D:$D,'Category Table'!S$2,'PO Log'!$C:$C,'Category Table'!$A194)</f>
        <v/>
      </c>
      <c r="T194" s="114">
        <f>SUMIFS('PO Log'!$E:$E,'PO Log'!$D:$D,'Category Table'!T$2,'PO Log'!$C:$C,'Category Table'!$A194)</f>
        <v/>
      </c>
      <c r="U194" s="113">
        <f>SUMIFS('Committments Dump'!$Q:$Q,'Committments Dump'!$C:$C,'Category Table'!U$2,'Committments Dump'!$B:$B,'Category Table'!$A194)</f>
        <v/>
      </c>
      <c r="V194" s="114">
        <f>SUMIFS('Committments Dump'!$Q:$Q,'Committments Dump'!$C:$C,'Category Table'!V$2,'Committments Dump'!$B:$B,'Category Table'!$A194)</f>
        <v/>
      </c>
      <c r="W194" s="114">
        <f>SUMIFS('Committments Dump'!$Q:$Q,'Committments Dump'!$C:$C,'Category Table'!W$2,'Committments Dump'!$B:$B,'Category Table'!$A194)</f>
        <v/>
      </c>
      <c r="X194" s="113">
        <f>SUMIFS('Committments Dump'!$R:$R,'Committments Dump'!$C:$C,'Category Table'!X$2,'Committments Dump'!$B:$B,'Category Table'!$A194)</f>
        <v/>
      </c>
      <c r="Y194" s="114">
        <f>SUMIFS('Committments Dump'!$R:$R,'Committments Dump'!$C:$C,'Category Table'!Y$2,'Committments Dump'!$B:$B,'Category Table'!$A194)</f>
        <v/>
      </c>
      <c r="Z194" s="114">
        <f>SUMIFS('Committments Dump'!$R:$R,'Committments Dump'!$C:$C,'Category Table'!Z$2,'Committments Dump'!$B:$B,'Category Table'!$A194)</f>
        <v/>
      </c>
      <c r="AA194" s="113">
        <f>SUMIFS('Committments Dump'!$S:$S,'Committments Dump'!$C:$C,'Category Table'!AA$2,'Committments Dump'!$B:$B,'Category Table'!$A194)</f>
        <v/>
      </c>
      <c r="AB194" s="114">
        <f>SUMIFS('Committments Dump'!$S:$S,'Committments Dump'!$C:$C,'Category Table'!AB$2,'Committments Dump'!$B:$B,'Category Table'!$A194)</f>
        <v/>
      </c>
      <c r="AC194" s="114">
        <f>SUMIFS('Committments Dump'!$S:$S,'Committments Dump'!$C:$C,'Category Table'!AC$2,'Committments Dump'!$B:$B,'Category Table'!$A194)</f>
        <v/>
      </c>
      <c r="AD194" s="113">
        <f>U194+X194+AA194</f>
        <v/>
      </c>
      <c r="AE194" s="114">
        <f>V194+Y194+AB194</f>
        <v/>
      </c>
      <c r="AF194" s="114">
        <f>W194+Z194+AC194</f>
        <v/>
      </c>
      <c r="AG194" s="113">
        <f>R194+AD194</f>
        <v/>
      </c>
      <c r="AH194" s="114">
        <f>S194+AE194</f>
        <v/>
      </c>
      <c r="AI194" s="114">
        <f>T194+AF194</f>
        <v/>
      </c>
      <c r="AJ194" s="113" t="n"/>
      <c r="AK194" s="114" t="n"/>
      <c r="AL194" s="114" t="n"/>
      <c r="AM194" s="113">
        <f>(O194-AG194)+AJ194</f>
        <v/>
      </c>
      <c r="AN194" s="114">
        <f>(P194-AH194)+AK194</f>
        <v/>
      </c>
      <c r="AO194" s="114">
        <f>(Q194-AI194)+AL194</f>
        <v/>
      </c>
      <c r="AP194" s="2">
        <f>IF(AM194&gt;0, "Under",IF(AM194&lt;0,"Over",""))</f>
        <v/>
      </c>
      <c r="AQ194" s="1">
        <f>IF(AN194&gt;0, "Under",IF(AN194&lt;0,"Over",""))</f>
        <v/>
      </c>
      <c r="AR194" s="1">
        <f>IF(AO194&gt;0, "Under",IF(AO194&lt;0,"Over",""))</f>
        <v/>
      </c>
      <c r="AS194" s="3" t="n"/>
    </row>
    <row r="195">
      <c r="A195" s="90" t="n"/>
      <c r="B195" s="90" t="n"/>
      <c r="C195" s="115" t="n"/>
      <c r="D195" s="116" t="n"/>
      <c r="E195" s="116" t="n"/>
      <c r="F195" s="115" t="n"/>
      <c r="G195" s="116" t="n"/>
      <c r="H195" s="116" t="n"/>
      <c r="I195" s="115" t="n"/>
      <c r="J195" s="116" t="n"/>
      <c r="K195" s="116" t="n"/>
      <c r="L195" s="115" t="n"/>
      <c r="M195" s="116" t="n"/>
      <c r="N195" s="116" t="n"/>
      <c r="O195" s="115">
        <f>L195+I195+F195+C195</f>
        <v/>
      </c>
      <c r="P195" s="116">
        <f>M195+J195+G195+D195</f>
        <v/>
      </c>
      <c r="Q195" s="116">
        <f>N195+K195+H195+E195</f>
        <v/>
      </c>
      <c r="R195" s="115">
        <f>SUMIFS('PO Log'!$E:$E,'PO Log'!$D:$D,'Category Table'!R$2,'PO Log'!$C:$C,'Category Table'!$A195)</f>
        <v/>
      </c>
      <c r="S195" s="116">
        <f>SUMIFS('PO Log'!$E:$E,'PO Log'!$D:$D,'Category Table'!S$2,'PO Log'!$C:$C,'Category Table'!$A195)</f>
        <v/>
      </c>
      <c r="T195" s="116">
        <f>SUMIFS('PO Log'!$E:$E,'PO Log'!$D:$D,'Category Table'!T$2,'PO Log'!$C:$C,'Category Table'!$A195)</f>
        <v/>
      </c>
      <c r="U195" s="115">
        <f>SUMIFS('Committments Dump'!$Q:$Q,'Committments Dump'!$C:$C,'Category Table'!U$2,'Committments Dump'!$B:$B,'Category Table'!$A195)</f>
        <v/>
      </c>
      <c r="V195" s="116">
        <f>SUMIFS('Committments Dump'!$Q:$Q,'Committments Dump'!$C:$C,'Category Table'!V$2,'Committments Dump'!$B:$B,'Category Table'!$A195)</f>
        <v/>
      </c>
      <c r="W195" s="116">
        <f>SUMIFS('Committments Dump'!$Q:$Q,'Committments Dump'!$C:$C,'Category Table'!W$2,'Committments Dump'!$B:$B,'Category Table'!$A195)</f>
        <v/>
      </c>
      <c r="X195" s="115">
        <f>SUMIFS('Committments Dump'!$R:$R,'Committments Dump'!$C:$C,'Category Table'!X$2,'Committments Dump'!$B:$B,'Category Table'!$A195)</f>
        <v/>
      </c>
      <c r="Y195" s="116">
        <f>SUMIFS('Committments Dump'!$R:$R,'Committments Dump'!$C:$C,'Category Table'!Y$2,'Committments Dump'!$B:$B,'Category Table'!$A195)</f>
        <v/>
      </c>
      <c r="Z195" s="116">
        <f>SUMIFS('Committments Dump'!$R:$R,'Committments Dump'!$C:$C,'Category Table'!Z$2,'Committments Dump'!$B:$B,'Category Table'!$A195)</f>
        <v/>
      </c>
      <c r="AA195" s="115">
        <f>SUMIFS('Committments Dump'!$S:$S,'Committments Dump'!$C:$C,'Category Table'!AA$2,'Committments Dump'!$B:$B,'Category Table'!$A195)</f>
        <v/>
      </c>
      <c r="AB195" s="116">
        <f>SUMIFS('Committments Dump'!$S:$S,'Committments Dump'!$C:$C,'Category Table'!AB$2,'Committments Dump'!$B:$B,'Category Table'!$A195)</f>
        <v/>
      </c>
      <c r="AC195" s="116">
        <f>SUMIFS('Committments Dump'!$S:$S,'Committments Dump'!$C:$C,'Category Table'!AC$2,'Committments Dump'!$B:$B,'Category Table'!$A195)</f>
        <v/>
      </c>
      <c r="AD195" s="115">
        <f>U195+X195+AA195</f>
        <v/>
      </c>
      <c r="AE195" s="116">
        <f>V195+Y195+AB195</f>
        <v/>
      </c>
      <c r="AF195" s="116">
        <f>W195+Z195+AC195</f>
        <v/>
      </c>
      <c r="AG195" s="115">
        <f>R195+AD195</f>
        <v/>
      </c>
      <c r="AH195" s="116">
        <f>S195+AE195</f>
        <v/>
      </c>
      <c r="AI195" s="116">
        <f>T195+AF195</f>
        <v/>
      </c>
      <c r="AJ195" s="115" t="n"/>
      <c r="AK195" s="116" t="n"/>
      <c r="AL195" s="116" t="n"/>
      <c r="AM195" s="115">
        <f>(O195-AG195)+AJ195</f>
        <v/>
      </c>
      <c r="AN195" s="116">
        <f>(P195-AH195)+AK195</f>
        <v/>
      </c>
      <c r="AO195" s="116">
        <f>(Q195-AI195)+AL195</f>
        <v/>
      </c>
      <c r="AP195" s="93">
        <f>IF(AM195&gt;0, "Under",IF(AM195&lt;0,"Over",""))</f>
        <v/>
      </c>
      <c r="AQ195" s="94">
        <f>IF(AN195&gt;0, "Under",IF(AN195&lt;0,"Over",""))</f>
        <v/>
      </c>
      <c r="AR195" s="94">
        <f>IF(AO195&gt;0, "Under",IF(AO195&lt;0,"Over",""))</f>
        <v/>
      </c>
      <c r="AS195" s="3" t="n"/>
    </row>
    <row r="196">
      <c r="C196" s="113" t="n"/>
      <c r="D196" s="114" t="n"/>
      <c r="E196" s="114" t="n"/>
      <c r="F196" s="113" t="n"/>
      <c r="G196" s="114" t="n"/>
      <c r="H196" s="114" t="n"/>
      <c r="I196" s="113" t="n"/>
      <c r="J196" s="114" t="n"/>
      <c r="K196" s="114" t="n"/>
      <c r="L196" s="113" t="n"/>
      <c r="M196" s="114" t="n"/>
      <c r="N196" s="114" t="n"/>
      <c r="O196" s="113">
        <f>L196+I196+F196+C196</f>
        <v/>
      </c>
      <c r="P196" s="114">
        <f>M196+J196+G196+D196</f>
        <v/>
      </c>
      <c r="Q196" s="114">
        <f>N196+K196+H196+E196</f>
        <v/>
      </c>
      <c r="R196" s="113">
        <f>SUMIFS('PO Log'!$E:$E,'PO Log'!$D:$D,'Category Table'!R$2,'PO Log'!$C:$C,'Category Table'!$A196)</f>
        <v/>
      </c>
      <c r="S196" s="114">
        <f>SUMIFS('PO Log'!$E:$E,'PO Log'!$D:$D,'Category Table'!S$2,'PO Log'!$C:$C,'Category Table'!$A196)</f>
        <v/>
      </c>
      <c r="T196" s="114">
        <f>SUMIFS('PO Log'!$E:$E,'PO Log'!$D:$D,'Category Table'!T$2,'PO Log'!$C:$C,'Category Table'!$A196)</f>
        <v/>
      </c>
      <c r="U196" s="113">
        <f>SUMIFS('Committments Dump'!$Q:$Q,'Committments Dump'!$C:$C,'Category Table'!U$2,'Committments Dump'!$B:$B,'Category Table'!$A196)</f>
        <v/>
      </c>
      <c r="V196" s="114">
        <f>SUMIFS('Committments Dump'!$Q:$Q,'Committments Dump'!$C:$C,'Category Table'!V$2,'Committments Dump'!$B:$B,'Category Table'!$A196)</f>
        <v/>
      </c>
      <c r="W196" s="114">
        <f>SUMIFS('Committments Dump'!$Q:$Q,'Committments Dump'!$C:$C,'Category Table'!W$2,'Committments Dump'!$B:$B,'Category Table'!$A196)</f>
        <v/>
      </c>
      <c r="X196" s="113">
        <f>SUMIFS('Committments Dump'!$R:$R,'Committments Dump'!$C:$C,'Category Table'!X$2,'Committments Dump'!$B:$B,'Category Table'!$A196)</f>
        <v/>
      </c>
      <c r="Y196" s="114">
        <f>SUMIFS('Committments Dump'!$R:$R,'Committments Dump'!$C:$C,'Category Table'!Y$2,'Committments Dump'!$B:$B,'Category Table'!$A196)</f>
        <v/>
      </c>
      <c r="Z196" s="114">
        <f>SUMIFS('Committments Dump'!$R:$R,'Committments Dump'!$C:$C,'Category Table'!Z$2,'Committments Dump'!$B:$B,'Category Table'!$A196)</f>
        <v/>
      </c>
      <c r="AA196" s="113">
        <f>SUMIFS('Committments Dump'!$S:$S,'Committments Dump'!$C:$C,'Category Table'!AA$2,'Committments Dump'!$B:$B,'Category Table'!$A196)</f>
        <v/>
      </c>
      <c r="AB196" s="114">
        <f>SUMIFS('Committments Dump'!$S:$S,'Committments Dump'!$C:$C,'Category Table'!AB$2,'Committments Dump'!$B:$B,'Category Table'!$A196)</f>
        <v/>
      </c>
      <c r="AC196" s="114">
        <f>SUMIFS('Committments Dump'!$S:$S,'Committments Dump'!$C:$C,'Category Table'!AC$2,'Committments Dump'!$B:$B,'Category Table'!$A196)</f>
        <v/>
      </c>
      <c r="AD196" s="113">
        <f>U196+X196+AA196</f>
        <v/>
      </c>
      <c r="AE196" s="114">
        <f>V196+Y196+AB196</f>
        <v/>
      </c>
      <c r="AF196" s="114">
        <f>W196+Z196+AC196</f>
        <v/>
      </c>
      <c r="AG196" s="113">
        <f>R196+AD196</f>
        <v/>
      </c>
      <c r="AH196" s="114">
        <f>S196+AE196</f>
        <v/>
      </c>
      <c r="AI196" s="114">
        <f>T196+AF196</f>
        <v/>
      </c>
      <c r="AJ196" s="113" t="n"/>
      <c r="AK196" s="114" t="n"/>
      <c r="AL196" s="114" t="n"/>
      <c r="AM196" s="113">
        <f>(O196-AG196)+AJ196</f>
        <v/>
      </c>
      <c r="AN196" s="114">
        <f>(P196-AH196)+AK196</f>
        <v/>
      </c>
      <c r="AO196" s="114">
        <f>(Q196-AI196)+AL196</f>
        <v/>
      </c>
      <c r="AP196" s="2">
        <f>IF(AM196&gt;0, "Under",IF(AM196&lt;0,"Over",""))</f>
        <v/>
      </c>
      <c r="AQ196" s="1">
        <f>IF(AN196&gt;0, "Under",IF(AN196&lt;0,"Over",""))</f>
        <v/>
      </c>
      <c r="AR196" s="1">
        <f>IF(AO196&gt;0, "Under",IF(AO196&lt;0,"Over",""))</f>
        <v/>
      </c>
      <c r="AS196" s="3" t="n"/>
    </row>
    <row r="197">
      <c r="A197" s="90" t="n"/>
      <c r="B197" s="90" t="n"/>
      <c r="C197" s="115" t="n"/>
      <c r="D197" s="116" t="n"/>
      <c r="E197" s="116" t="n"/>
      <c r="F197" s="115" t="n"/>
      <c r="G197" s="116" t="n"/>
      <c r="H197" s="116" t="n"/>
      <c r="I197" s="115" t="n"/>
      <c r="J197" s="116" t="n"/>
      <c r="K197" s="116" t="n"/>
      <c r="L197" s="115" t="n"/>
      <c r="M197" s="116" t="n"/>
      <c r="N197" s="116" t="n"/>
      <c r="O197" s="115">
        <f>L197+I197+F197+C197</f>
        <v/>
      </c>
      <c r="P197" s="116">
        <f>M197+J197+G197+D197</f>
        <v/>
      </c>
      <c r="Q197" s="116">
        <f>N197+K197+H197+E197</f>
        <v/>
      </c>
      <c r="R197" s="115">
        <f>SUMIFS('PO Log'!$E:$E,'PO Log'!$D:$D,'Category Table'!R$2,'PO Log'!$C:$C,'Category Table'!$A197)</f>
        <v/>
      </c>
      <c r="S197" s="116">
        <f>SUMIFS('PO Log'!$E:$E,'PO Log'!$D:$D,'Category Table'!S$2,'PO Log'!$C:$C,'Category Table'!$A197)</f>
        <v/>
      </c>
      <c r="T197" s="116">
        <f>SUMIFS('PO Log'!$E:$E,'PO Log'!$D:$D,'Category Table'!T$2,'PO Log'!$C:$C,'Category Table'!$A197)</f>
        <v/>
      </c>
      <c r="U197" s="115">
        <f>SUMIFS('Committments Dump'!$Q:$Q,'Committments Dump'!$C:$C,'Category Table'!U$2,'Committments Dump'!$B:$B,'Category Table'!$A197)</f>
        <v/>
      </c>
      <c r="V197" s="116">
        <f>SUMIFS('Committments Dump'!$Q:$Q,'Committments Dump'!$C:$C,'Category Table'!V$2,'Committments Dump'!$B:$B,'Category Table'!$A197)</f>
        <v/>
      </c>
      <c r="W197" s="116">
        <f>SUMIFS('Committments Dump'!$Q:$Q,'Committments Dump'!$C:$C,'Category Table'!W$2,'Committments Dump'!$B:$B,'Category Table'!$A197)</f>
        <v/>
      </c>
      <c r="X197" s="115">
        <f>SUMIFS('Committments Dump'!$R:$R,'Committments Dump'!$C:$C,'Category Table'!X$2,'Committments Dump'!$B:$B,'Category Table'!$A197)</f>
        <v/>
      </c>
      <c r="Y197" s="116">
        <f>SUMIFS('Committments Dump'!$R:$R,'Committments Dump'!$C:$C,'Category Table'!Y$2,'Committments Dump'!$B:$B,'Category Table'!$A197)</f>
        <v/>
      </c>
      <c r="Z197" s="116">
        <f>SUMIFS('Committments Dump'!$R:$R,'Committments Dump'!$C:$C,'Category Table'!Z$2,'Committments Dump'!$B:$B,'Category Table'!$A197)</f>
        <v/>
      </c>
      <c r="AA197" s="115">
        <f>SUMIFS('Committments Dump'!$S:$S,'Committments Dump'!$C:$C,'Category Table'!AA$2,'Committments Dump'!$B:$B,'Category Table'!$A197)</f>
        <v/>
      </c>
      <c r="AB197" s="116">
        <f>SUMIFS('Committments Dump'!$S:$S,'Committments Dump'!$C:$C,'Category Table'!AB$2,'Committments Dump'!$B:$B,'Category Table'!$A197)</f>
        <v/>
      </c>
      <c r="AC197" s="116">
        <f>SUMIFS('Committments Dump'!$S:$S,'Committments Dump'!$C:$C,'Category Table'!AC$2,'Committments Dump'!$B:$B,'Category Table'!$A197)</f>
        <v/>
      </c>
      <c r="AD197" s="115">
        <f>U197+X197+AA197</f>
        <v/>
      </c>
      <c r="AE197" s="116">
        <f>V197+Y197+AB197</f>
        <v/>
      </c>
      <c r="AF197" s="116">
        <f>W197+Z197+AC197</f>
        <v/>
      </c>
      <c r="AG197" s="115">
        <f>R197+AD197</f>
        <v/>
      </c>
      <c r="AH197" s="116">
        <f>S197+AE197</f>
        <v/>
      </c>
      <c r="AI197" s="116">
        <f>T197+AF197</f>
        <v/>
      </c>
      <c r="AJ197" s="115" t="n"/>
      <c r="AK197" s="116" t="n"/>
      <c r="AL197" s="116" t="n"/>
      <c r="AM197" s="115">
        <f>(O197-AG197)+AJ197</f>
        <v/>
      </c>
      <c r="AN197" s="116">
        <f>(P197-AH197)+AK197</f>
        <v/>
      </c>
      <c r="AO197" s="116">
        <f>(Q197-AI197)+AL197</f>
        <v/>
      </c>
      <c r="AP197" s="93">
        <f>IF(AM197&gt;0, "Under",IF(AM197&lt;0,"Over",""))</f>
        <v/>
      </c>
      <c r="AQ197" s="94">
        <f>IF(AN197&gt;0, "Under",IF(AN197&lt;0,"Over",""))</f>
        <v/>
      </c>
      <c r="AR197" s="94">
        <f>IF(AO197&gt;0, "Under",IF(AO197&lt;0,"Over",""))</f>
        <v/>
      </c>
      <c r="AS197" s="3" t="n"/>
    </row>
    <row r="198">
      <c r="C198" s="113" t="n"/>
      <c r="D198" s="114" t="n"/>
      <c r="E198" s="114" t="n"/>
      <c r="F198" s="113" t="n"/>
      <c r="G198" s="114" t="n"/>
      <c r="H198" s="114" t="n"/>
      <c r="I198" s="113" t="n"/>
      <c r="J198" s="114" t="n"/>
      <c r="K198" s="114" t="n"/>
      <c r="L198" s="113" t="n"/>
      <c r="M198" s="114" t="n"/>
      <c r="N198" s="114" t="n"/>
      <c r="O198" s="113">
        <f>L198+I198+F198+C198</f>
        <v/>
      </c>
      <c r="P198" s="114">
        <f>M198+J198+G198+D198</f>
        <v/>
      </c>
      <c r="Q198" s="114">
        <f>N198+K198+H198+E198</f>
        <v/>
      </c>
      <c r="R198" s="113">
        <f>SUMIFS('PO Log'!$E:$E,'PO Log'!$D:$D,'Category Table'!R$2,'PO Log'!$C:$C,'Category Table'!$A198)</f>
        <v/>
      </c>
      <c r="S198" s="114">
        <f>SUMIFS('PO Log'!$E:$E,'PO Log'!$D:$D,'Category Table'!S$2,'PO Log'!$C:$C,'Category Table'!$A198)</f>
        <v/>
      </c>
      <c r="T198" s="114">
        <f>SUMIFS('PO Log'!$E:$E,'PO Log'!$D:$D,'Category Table'!T$2,'PO Log'!$C:$C,'Category Table'!$A198)</f>
        <v/>
      </c>
      <c r="U198" s="113">
        <f>SUMIFS('Committments Dump'!$Q:$Q,'Committments Dump'!$C:$C,'Category Table'!U$2,'Committments Dump'!$B:$B,'Category Table'!$A198)</f>
        <v/>
      </c>
      <c r="V198" s="114">
        <f>SUMIFS('Committments Dump'!$Q:$Q,'Committments Dump'!$C:$C,'Category Table'!V$2,'Committments Dump'!$B:$B,'Category Table'!$A198)</f>
        <v/>
      </c>
      <c r="W198" s="114">
        <f>SUMIFS('Committments Dump'!$Q:$Q,'Committments Dump'!$C:$C,'Category Table'!W$2,'Committments Dump'!$B:$B,'Category Table'!$A198)</f>
        <v/>
      </c>
      <c r="X198" s="113">
        <f>SUMIFS('Committments Dump'!$R:$R,'Committments Dump'!$C:$C,'Category Table'!X$2,'Committments Dump'!$B:$B,'Category Table'!$A198)</f>
        <v/>
      </c>
      <c r="Y198" s="114">
        <f>SUMIFS('Committments Dump'!$R:$R,'Committments Dump'!$C:$C,'Category Table'!Y$2,'Committments Dump'!$B:$B,'Category Table'!$A198)</f>
        <v/>
      </c>
      <c r="Z198" s="114">
        <f>SUMIFS('Committments Dump'!$R:$R,'Committments Dump'!$C:$C,'Category Table'!Z$2,'Committments Dump'!$B:$B,'Category Table'!$A198)</f>
        <v/>
      </c>
      <c r="AA198" s="113">
        <f>SUMIFS('Committments Dump'!$S:$S,'Committments Dump'!$C:$C,'Category Table'!AA$2,'Committments Dump'!$B:$B,'Category Table'!$A198)</f>
        <v/>
      </c>
      <c r="AB198" s="114">
        <f>SUMIFS('Committments Dump'!$S:$S,'Committments Dump'!$C:$C,'Category Table'!AB$2,'Committments Dump'!$B:$B,'Category Table'!$A198)</f>
        <v/>
      </c>
      <c r="AC198" s="114">
        <f>SUMIFS('Committments Dump'!$S:$S,'Committments Dump'!$C:$C,'Category Table'!AC$2,'Committments Dump'!$B:$B,'Category Table'!$A198)</f>
        <v/>
      </c>
      <c r="AD198" s="113">
        <f>U198+X198+AA198</f>
        <v/>
      </c>
      <c r="AE198" s="114">
        <f>V198+Y198+AB198</f>
        <v/>
      </c>
      <c r="AF198" s="114">
        <f>W198+Z198+AC198</f>
        <v/>
      </c>
      <c r="AG198" s="113">
        <f>R198+AD198</f>
        <v/>
      </c>
      <c r="AH198" s="114">
        <f>S198+AE198</f>
        <v/>
      </c>
      <c r="AI198" s="114">
        <f>T198+AF198</f>
        <v/>
      </c>
      <c r="AJ198" s="113" t="n"/>
      <c r="AK198" s="114" t="n"/>
      <c r="AL198" s="114" t="n"/>
      <c r="AM198" s="113">
        <f>(O198-AG198)+AJ198</f>
        <v/>
      </c>
      <c r="AN198" s="114">
        <f>(P198-AH198)+AK198</f>
        <v/>
      </c>
      <c r="AO198" s="114">
        <f>(Q198-AI198)+AL198</f>
        <v/>
      </c>
      <c r="AP198" s="2">
        <f>IF(AM198&gt;0, "Under",IF(AM198&lt;0,"Over",""))</f>
        <v/>
      </c>
      <c r="AQ198" s="1">
        <f>IF(AN198&gt;0, "Under",IF(AN198&lt;0,"Over",""))</f>
        <v/>
      </c>
      <c r="AR198" s="1">
        <f>IF(AO198&gt;0, "Under",IF(AO198&lt;0,"Over",""))</f>
        <v/>
      </c>
      <c r="AS198" s="3" t="n"/>
    </row>
    <row r="199">
      <c r="A199" s="90" t="n"/>
      <c r="B199" s="90" t="n"/>
      <c r="C199" s="115" t="n"/>
      <c r="D199" s="116" t="n"/>
      <c r="E199" s="116" t="n"/>
      <c r="F199" s="115" t="n"/>
      <c r="G199" s="116" t="n"/>
      <c r="H199" s="116" t="n"/>
      <c r="I199" s="115" t="n"/>
      <c r="J199" s="116" t="n"/>
      <c r="K199" s="116" t="n"/>
      <c r="L199" s="115" t="n"/>
      <c r="M199" s="116" t="n"/>
      <c r="N199" s="116" t="n"/>
      <c r="O199" s="115">
        <f>L199+I199+F199+C199</f>
        <v/>
      </c>
      <c r="P199" s="116">
        <f>M199+J199+G199+D199</f>
        <v/>
      </c>
      <c r="Q199" s="116">
        <f>N199+K199+H199+E199</f>
        <v/>
      </c>
      <c r="R199" s="115">
        <f>SUMIFS('PO Log'!$E:$E,'PO Log'!$D:$D,'Category Table'!R$2,'PO Log'!$C:$C,'Category Table'!$A199)</f>
        <v/>
      </c>
      <c r="S199" s="116">
        <f>SUMIFS('PO Log'!$E:$E,'PO Log'!$D:$D,'Category Table'!S$2,'PO Log'!$C:$C,'Category Table'!$A199)</f>
        <v/>
      </c>
      <c r="T199" s="116">
        <f>SUMIFS('PO Log'!$E:$E,'PO Log'!$D:$D,'Category Table'!T$2,'PO Log'!$C:$C,'Category Table'!$A199)</f>
        <v/>
      </c>
      <c r="U199" s="115">
        <f>SUMIFS('Committments Dump'!$Q:$Q,'Committments Dump'!$C:$C,'Category Table'!U$2,'Committments Dump'!$B:$B,'Category Table'!$A199)</f>
        <v/>
      </c>
      <c r="V199" s="116">
        <f>SUMIFS('Committments Dump'!$Q:$Q,'Committments Dump'!$C:$C,'Category Table'!V$2,'Committments Dump'!$B:$B,'Category Table'!$A199)</f>
        <v/>
      </c>
      <c r="W199" s="116">
        <f>SUMIFS('Committments Dump'!$Q:$Q,'Committments Dump'!$C:$C,'Category Table'!W$2,'Committments Dump'!$B:$B,'Category Table'!$A199)</f>
        <v/>
      </c>
      <c r="X199" s="115">
        <f>SUMIFS('Committments Dump'!$R:$R,'Committments Dump'!$C:$C,'Category Table'!X$2,'Committments Dump'!$B:$B,'Category Table'!$A199)</f>
        <v/>
      </c>
      <c r="Y199" s="116">
        <f>SUMIFS('Committments Dump'!$R:$R,'Committments Dump'!$C:$C,'Category Table'!Y$2,'Committments Dump'!$B:$B,'Category Table'!$A199)</f>
        <v/>
      </c>
      <c r="Z199" s="116">
        <f>SUMIFS('Committments Dump'!$R:$R,'Committments Dump'!$C:$C,'Category Table'!Z$2,'Committments Dump'!$B:$B,'Category Table'!$A199)</f>
        <v/>
      </c>
      <c r="AA199" s="115">
        <f>SUMIFS('Committments Dump'!$S:$S,'Committments Dump'!$C:$C,'Category Table'!AA$2,'Committments Dump'!$B:$B,'Category Table'!$A199)</f>
        <v/>
      </c>
      <c r="AB199" s="116">
        <f>SUMIFS('Committments Dump'!$S:$S,'Committments Dump'!$C:$C,'Category Table'!AB$2,'Committments Dump'!$B:$B,'Category Table'!$A199)</f>
        <v/>
      </c>
      <c r="AC199" s="116">
        <f>SUMIFS('Committments Dump'!$S:$S,'Committments Dump'!$C:$C,'Category Table'!AC$2,'Committments Dump'!$B:$B,'Category Table'!$A199)</f>
        <v/>
      </c>
      <c r="AD199" s="115">
        <f>U199+X199+AA199</f>
        <v/>
      </c>
      <c r="AE199" s="116">
        <f>V199+Y199+AB199</f>
        <v/>
      </c>
      <c r="AF199" s="116">
        <f>W199+Z199+AC199</f>
        <v/>
      </c>
      <c r="AG199" s="115">
        <f>R199+AD199</f>
        <v/>
      </c>
      <c r="AH199" s="116">
        <f>S199+AE199</f>
        <v/>
      </c>
      <c r="AI199" s="116">
        <f>T199+AF199</f>
        <v/>
      </c>
      <c r="AJ199" s="115" t="n"/>
      <c r="AK199" s="116" t="n"/>
      <c r="AL199" s="116" t="n"/>
      <c r="AM199" s="115">
        <f>(O199-AG199)+AJ199</f>
        <v/>
      </c>
      <c r="AN199" s="116">
        <f>(P199-AH199)+AK199</f>
        <v/>
      </c>
      <c r="AO199" s="116">
        <f>(Q199-AI199)+AL199</f>
        <v/>
      </c>
      <c r="AP199" s="93">
        <f>IF(AM199&gt;0, "Under",IF(AM199&lt;0,"Over",""))</f>
        <v/>
      </c>
      <c r="AQ199" s="94">
        <f>IF(AN199&gt;0, "Under",IF(AN199&lt;0,"Over",""))</f>
        <v/>
      </c>
      <c r="AR199" s="94">
        <f>IF(AO199&gt;0, "Under",IF(AO199&lt;0,"Over",""))</f>
        <v/>
      </c>
      <c r="AS199" s="3" t="n"/>
    </row>
    <row r="200">
      <c r="C200" s="113" t="n"/>
      <c r="D200" s="114" t="n"/>
      <c r="E200" s="114" t="n"/>
      <c r="F200" s="113" t="n"/>
      <c r="G200" s="114" t="n"/>
      <c r="H200" s="114" t="n"/>
      <c r="I200" s="113" t="n"/>
      <c r="J200" s="114" t="n"/>
      <c r="K200" s="114" t="n"/>
      <c r="L200" s="113" t="n"/>
      <c r="M200" s="114" t="n"/>
      <c r="N200" s="114" t="n"/>
      <c r="O200" s="113">
        <f>L200+I200+F200+C200</f>
        <v/>
      </c>
      <c r="P200" s="114">
        <f>M200+J200+G200+D200</f>
        <v/>
      </c>
      <c r="Q200" s="114">
        <f>N200+K200+H200+E200</f>
        <v/>
      </c>
      <c r="R200" s="113">
        <f>SUMIFS('PO Log'!$E:$E,'PO Log'!$D:$D,'Category Table'!R$2,'PO Log'!$C:$C,'Category Table'!$A200)</f>
        <v/>
      </c>
      <c r="S200" s="114">
        <f>SUMIFS('PO Log'!$E:$E,'PO Log'!$D:$D,'Category Table'!S$2,'PO Log'!$C:$C,'Category Table'!$A200)</f>
        <v/>
      </c>
      <c r="T200" s="114">
        <f>SUMIFS('PO Log'!$E:$E,'PO Log'!$D:$D,'Category Table'!T$2,'PO Log'!$C:$C,'Category Table'!$A200)</f>
        <v/>
      </c>
      <c r="U200" s="113">
        <f>SUMIFS('Committments Dump'!$Q:$Q,'Committments Dump'!$C:$C,'Category Table'!U$2,'Committments Dump'!$B:$B,'Category Table'!$A200)</f>
        <v/>
      </c>
      <c r="V200" s="114">
        <f>SUMIFS('Committments Dump'!$Q:$Q,'Committments Dump'!$C:$C,'Category Table'!V$2,'Committments Dump'!$B:$B,'Category Table'!$A200)</f>
        <v/>
      </c>
      <c r="W200" s="114">
        <f>SUMIFS('Committments Dump'!$Q:$Q,'Committments Dump'!$C:$C,'Category Table'!W$2,'Committments Dump'!$B:$B,'Category Table'!$A200)</f>
        <v/>
      </c>
      <c r="X200" s="113">
        <f>SUMIFS('Committments Dump'!$R:$R,'Committments Dump'!$C:$C,'Category Table'!X$2,'Committments Dump'!$B:$B,'Category Table'!$A200)</f>
        <v/>
      </c>
      <c r="Y200" s="114">
        <f>SUMIFS('Committments Dump'!$R:$R,'Committments Dump'!$C:$C,'Category Table'!Y$2,'Committments Dump'!$B:$B,'Category Table'!$A200)</f>
        <v/>
      </c>
      <c r="Z200" s="114">
        <f>SUMIFS('Committments Dump'!$R:$R,'Committments Dump'!$C:$C,'Category Table'!Z$2,'Committments Dump'!$B:$B,'Category Table'!$A200)</f>
        <v/>
      </c>
      <c r="AA200" s="113">
        <f>SUMIFS('Committments Dump'!$S:$S,'Committments Dump'!$C:$C,'Category Table'!AA$2,'Committments Dump'!$B:$B,'Category Table'!$A200)</f>
        <v/>
      </c>
      <c r="AB200" s="114">
        <f>SUMIFS('Committments Dump'!$S:$S,'Committments Dump'!$C:$C,'Category Table'!AB$2,'Committments Dump'!$B:$B,'Category Table'!$A200)</f>
        <v/>
      </c>
      <c r="AC200" s="114">
        <f>SUMIFS('Committments Dump'!$S:$S,'Committments Dump'!$C:$C,'Category Table'!AC$2,'Committments Dump'!$B:$B,'Category Table'!$A200)</f>
        <v/>
      </c>
      <c r="AD200" s="113">
        <f>U200+X200+AA200</f>
        <v/>
      </c>
      <c r="AE200" s="114">
        <f>V200+Y200+AB200</f>
        <v/>
      </c>
      <c r="AF200" s="114">
        <f>W200+Z200+AC200</f>
        <v/>
      </c>
      <c r="AG200" s="113">
        <f>R200+AD200</f>
        <v/>
      </c>
      <c r="AH200" s="114">
        <f>S200+AE200</f>
        <v/>
      </c>
      <c r="AI200" s="114">
        <f>T200+AF200</f>
        <v/>
      </c>
      <c r="AJ200" s="113" t="n"/>
      <c r="AK200" s="114" t="n"/>
      <c r="AL200" s="114" t="n"/>
      <c r="AM200" s="113">
        <f>(O200-AG200)+AJ200</f>
        <v/>
      </c>
      <c r="AN200" s="114">
        <f>(P200-AH200)+AK200</f>
        <v/>
      </c>
      <c r="AO200" s="114">
        <f>(Q200-AI200)+AL200</f>
        <v/>
      </c>
      <c r="AP200" s="2">
        <f>IF(AM200&gt;0, "Under",IF(AM200&lt;0,"Over",""))</f>
        <v/>
      </c>
      <c r="AQ200" s="1">
        <f>IF(AN200&gt;0, "Under",IF(AN200&lt;0,"Over",""))</f>
        <v/>
      </c>
      <c r="AR200" s="1">
        <f>IF(AO200&gt;0, "Under",IF(AO200&lt;0,"Over",""))</f>
        <v/>
      </c>
      <c r="AS200" s="3" t="n"/>
    </row>
    <row r="201">
      <c r="A201" s="90" t="n"/>
      <c r="B201" s="90" t="n"/>
      <c r="C201" s="115" t="n"/>
      <c r="D201" s="116" t="n"/>
      <c r="E201" s="116" t="n"/>
      <c r="F201" s="115" t="n"/>
      <c r="G201" s="116" t="n"/>
      <c r="H201" s="116" t="n"/>
      <c r="I201" s="115" t="n"/>
      <c r="J201" s="116" t="n"/>
      <c r="K201" s="116" t="n"/>
      <c r="L201" s="115" t="n"/>
      <c r="M201" s="116" t="n"/>
      <c r="N201" s="116" t="n"/>
      <c r="O201" s="115">
        <f>L201+I201+F201+C201</f>
        <v/>
      </c>
      <c r="P201" s="116">
        <f>M201+J201+G201+D201</f>
        <v/>
      </c>
      <c r="Q201" s="116">
        <f>N201+K201+H201+E201</f>
        <v/>
      </c>
      <c r="R201" s="115">
        <f>SUMIFS('PO Log'!$E:$E,'PO Log'!$D:$D,'Category Table'!R$2,'PO Log'!$C:$C,'Category Table'!$A201)</f>
        <v/>
      </c>
      <c r="S201" s="116">
        <f>SUMIFS('PO Log'!$E:$E,'PO Log'!$D:$D,'Category Table'!S$2,'PO Log'!$C:$C,'Category Table'!$A201)</f>
        <v/>
      </c>
      <c r="T201" s="116">
        <f>SUMIFS('PO Log'!$E:$E,'PO Log'!$D:$D,'Category Table'!T$2,'PO Log'!$C:$C,'Category Table'!$A201)</f>
        <v/>
      </c>
      <c r="U201" s="115">
        <f>SUMIFS('Committments Dump'!$Q:$Q,'Committments Dump'!$C:$C,'Category Table'!U$2,'Committments Dump'!$B:$B,'Category Table'!$A201)</f>
        <v/>
      </c>
      <c r="V201" s="116">
        <f>SUMIFS('Committments Dump'!$Q:$Q,'Committments Dump'!$C:$C,'Category Table'!V$2,'Committments Dump'!$B:$B,'Category Table'!$A201)</f>
        <v/>
      </c>
      <c r="W201" s="116">
        <f>SUMIFS('Committments Dump'!$Q:$Q,'Committments Dump'!$C:$C,'Category Table'!W$2,'Committments Dump'!$B:$B,'Category Table'!$A201)</f>
        <v/>
      </c>
      <c r="X201" s="115">
        <f>SUMIFS('Committments Dump'!$R:$R,'Committments Dump'!$C:$C,'Category Table'!X$2,'Committments Dump'!$B:$B,'Category Table'!$A201)</f>
        <v/>
      </c>
      <c r="Y201" s="116">
        <f>SUMIFS('Committments Dump'!$R:$R,'Committments Dump'!$C:$C,'Category Table'!Y$2,'Committments Dump'!$B:$B,'Category Table'!$A201)</f>
        <v/>
      </c>
      <c r="Z201" s="116">
        <f>SUMIFS('Committments Dump'!$R:$R,'Committments Dump'!$C:$C,'Category Table'!Z$2,'Committments Dump'!$B:$B,'Category Table'!$A201)</f>
        <v/>
      </c>
      <c r="AA201" s="115">
        <f>SUMIFS('Committments Dump'!$S:$S,'Committments Dump'!$C:$C,'Category Table'!AA$2,'Committments Dump'!$B:$B,'Category Table'!$A201)</f>
        <v/>
      </c>
      <c r="AB201" s="116">
        <f>SUMIFS('Committments Dump'!$S:$S,'Committments Dump'!$C:$C,'Category Table'!AB$2,'Committments Dump'!$B:$B,'Category Table'!$A201)</f>
        <v/>
      </c>
      <c r="AC201" s="116">
        <f>SUMIFS('Committments Dump'!$S:$S,'Committments Dump'!$C:$C,'Category Table'!AC$2,'Committments Dump'!$B:$B,'Category Table'!$A201)</f>
        <v/>
      </c>
      <c r="AD201" s="115">
        <f>U201+X201+AA201</f>
        <v/>
      </c>
      <c r="AE201" s="116">
        <f>V201+Y201+AB201</f>
        <v/>
      </c>
      <c r="AF201" s="116">
        <f>W201+Z201+AC201</f>
        <v/>
      </c>
      <c r="AG201" s="115">
        <f>R201+AD201</f>
        <v/>
      </c>
      <c r="AH201" s="116">
        <f>S201+AE201</f>
        <v/>
      </c>
      <c r="AI201" s="116">
        <f>T201+AF201</f>
        <v/>
      </c>
      <c r="AJ201" s="115" t="n"/>
      <c r="AK201" s="116" t="n"/>
      <c r="AL201" s="116" t="n"/>
      <c r="AM201" s="115">
        <f>(O201-AG201)+AJ201</f>
        <v/>
      </c>
      <c r="AN201" s="116">
        <f>(P201-AH201)+AK201</f>
        <v/>
      </c>
      <c r="AO201" s="116">
        <f>(Q201-AI201)+AL201</f>
        <v/>
      </c>
      <c r="AP201" s="93">
        <f>IF(AM201&gt;0, "Under",IF(AM201&lt;0,"Over",""))</f>
        <v/>
      </c>
      <c r="AQ201" s="94">
        <f>IF(AN201&gt;0, "Under",IF(AN201&lt;0,"Over",""))</f>
        <v/>
      </c>
      <c r="AR201" s="94">
        <f>IF(AO201&gt;0, "Under",IF(AO201&lt;0,"Over",""))</f>
        <v/>
      </c>
      <c r="AS201" s="3" t="n"/>
    </row>
    <row r="202">
      <c r="C202" s="113" t="n"/>
      <c r="D202" s="114" t="n"/>
      <c r="E202" s="114" t="n"/>
      <c r="F202" s="113" t="n"/>
      <c r="G202" s="114" t="n"/>
      <c r="H202" s="114" t="n"/>
      <c r="I202" s="113" t="n"/>
      <c r="J202" s="114" t="n"/>
      <c r="K202" s="114" t="n"/>
      <c r="L202" s="113" t="n"/>
      <c r="M202" s="114" t="n"/>
      <c r="N202" s="114" t="n"/>
      <c r="O202" s="113">
        <f>L202+I202+F202+C202</f>
        <v/>
      </c>
      <c r="P202" s="114">
        <f>M202+J202+G202+D202</f>
        <v/>
      </c>
      <c r="Q202" s="114">
        <f>N202+K202+H202+E202</f>
        <v/>
      </c>
      <c r="R202" s="113">
        <f>SUMIFS('PO Log'!$E:$E,'PO Log'!$D:$D,'Category Table'!R$2,'PO Log'!$C:$C,'Category Table'!$A202)</f>
        <v/>
      </c>
      <c r="S202" s="114">
        <f>SUMIFS('PO Log'!$E:$E,'PO Log'!$D:$D,'Category Table'!S$2,'PO Log'!$C:$C,'Category Table'!$A202)</f>
        <v/>
      </c>
      <c r="T202" s="114">
        <f>SUMIFS('PO Log'!$E:$E,'PO Log'!$D:$D,'Category Table'!T$2,'PO Log'!$C:$C,'Category Table'!$A202)</f>
        <v/>
      </c>
      <c r="U202" s="113">
        <f>SUMIFS('Committments Dump'!$Q:$Q,'Committments Dump'!$C:$C,'Category Table'!U$2,'Committments Dump'!$B:$B,'Category Table'!$A202)</f>
        <v/>
      </c>
      <c r="V202" s="114">
        <f>SUMIFS('Committments Dump'!$Q:$Q,'Committments Dump'!$C:$C,'Category Table'!V$2,'Committments Dump'!$B:$B,'Category Table'!$A202)</f>
        <v/>
      </c>
      <c r="W202" s="114">
        <f>SUMIFS('Committments Dump'!$Q:$Q,'Committments Dump'!$C:$C,'Category Table'!W$2,'Committments Dump'!$B:$B,'Category Table'!$A202)</f>
        <v/>
      </c>
      <c r="X202" s="113">
        <f>SUMIFS('Committments Dump'!$R:$R,'Committments Dump'!$C:$C,'Category Table'!X$2,'Committments Dump'!$B:$B,'Category Table'!$A202)</f>
        <v/>
      </c>
      <c r="Y202" s="114">
        <f>SUMIFS('Committments Dump'!$R:$R,'Committments Dump'!$C:$C,'Category Table'!Y$2,'Committments Dump'!$B:$B,'Category Table'!$A202)</f>
        <v/>
      </c>
      <c r="Z202" s="114">
        <f>SUMIFS('Committments Dump'!$R:$R,'Committments Dump'!$C:$C,'Category Table'!Z$2,'Committments Dump'!$B:$B,'Category Table'!$A202)</f>
        <v/>
      </c>
      <c r="AA202" s="113">
        <f>SUMIFS('Committments Dump'!$S:$S,'Committments Dump'!$C:$C,'Category Table'!AA$2,'Committments Dump'!$B:$B,'Category Table'!$A202)</f>
        <v/>
      </c>
      <c r="AB202" s="114">
        <f>SUMIFS('Committments Dump'!$S:$S,'Committments Dump'!$C:$C,'Category Table'!AB$2,'Committments Dump'!$B:$B,'Category Table'!$A202)</f>
        <v/>
      </c>
      <c r="AC202" s="114">
        <f>SUMIFS('Committments Dump'!$S:$S,'Committments Dump'!$C:$C,'Category Table'!AC$2,'Committments Dump'!$B:$B,'Category Table'!$A202)</f>
        <v/>
      </c>
      <c r="AD202" s="113">
        <f>U202+X202+AA202</f>
        <v/>
      </c>
      <c r="AE202" s="114">
        <f>V202+Y202+AB202</f>
        <v/>
      </c>
      <c r="AF202" s="114">
        <f>W202+Z202+AC202</f>
        <v/>
      </c>
      <c r="AG202" s="113">
        <f>R202+AD202</f>
        <v/>
      </c>
      <c r="AH202" s="114">
        <f>S202+AE202</f>
        <v/>
      </c>
      <c r="AI202" s="114">
        <f>T202+AF202</f>
        <v/>
      </c>
      <c r="AJ202" s="113" t="n"/>
      <c r="AK202" s="114" t="n"/>
      <c r="AL202" s="114" t="n"/>
      <c r="AM202" s="113">
        <f>(O202-AG202)+AJ202</f>
        <v/>
      </c>
      <c r="AN202" s="114">
        <f>(P202-AH202)+AK202</f>
        <v/>
      </c>
      <c r="AO202" s="114">
        <f>(Q202-AI202)+AL202</f>
        <v/>
      </c>
      <c r="AP202" s="2">
        <f>IF(AM202&gt;0, "Under",IF(AM202&lt;0,"Over",""))</f>
        <v/>
      </c>
      <c r="AQ202" s="1">
        <f>IF(AN202&gt;0, "Under",IF(AN202&lt;0,"Over",""))</f>
        <v/>
      </c>
      <c r="AR202" s="1">
        <f>IF(AO202&gt;0, "Under",IF(AO202&lt;0,"Over",""))</f>
        <v/>
      </c>
      <c r="AS202" s="3" t="n"/>
    </row>
    <row r="203">
      <c r="A203" s="90" t="n"/>
      <c r="B203" s="90" t="n"/>
      <c r="C203" s="115" t="n"/>
      <c r="D203" s="116" t="n"/>
      <c r="E203" s="116" t="n"/>
      <c r="F203" s="115" t="n"/>
      <c r="G203" s="116" t="n"/>
      <c r="H203" s="116" t="n"/>
      <c r="I203" s="115" t="n"/>
      <c r="J203" s="116" t="n"/>
      <c r="K203" s="116" t="n"/>
      <c r="L203" s="115" t="n"/>
      <c r="M203" s="116" t="n"/>
      <c r="N203" s="116" t="n"/>
      <c r="O203" s="115">
        <f>L203+I203+F203+C203</f>
        <v/>
      </c>
      <c r="P203" s="116">
        <f>M203+J203+G203+D203</f>
        <v/>
      </c>
      <c r="Q203" s="116">
        <f>N203+K203+H203+E203</f>
        <v/>
      </c>
      <c r="R203" s="115">
        <f>SUMIFS('PO Log'!$E:$E,'PO Log'!$D:$D,'Category Table'!R$2,'PO Log'!$C:$C,'Category Table'!$A203)</f>
        <v/>
      </c>
      <c r="S203" s="116">
        <f>SUMIFS('PO Log'!$E:$E,'PO Log'!$D:$D,'Category Table'!S$2,'PO Log'!$C:$C,'Category Table'!$A203)</f>
        <v/>
      </c>
      <c r="T203" s="116">
        <f>SUMIFS('PO Log'!$E:$E,'PO Log'!$D:$D,'Category Table'!T$2,'PO Log'!$C:$C,'Category Table'!$A203)</f>
        <v/>
      </c>
      <c r="U203" s="115">
        <f>SUMIFS('Committments Dump'!$Q:$Q,'Committments Dump'!$C:$C,'Category Table'!U$2,'Committments Dump'!$B:$B,'Category Table'!$A203)</f>
        <v/>
      </c>
      <c r="V203" s="116">
        <f>SUMIFS('Committments Dump'!$Q:$Q,'Committments Dump'!$C:$C,'Category Table'!V$2,'Committments Dump'!$B:$B,'Category Table'!$A203)</f>
        <v/>
      </c>
      <c r="W203" s="116">
        <f>SUMIFS('Committments Dump'!$Q:$Q,'Committments Dump'!$C:$C,'Category Table'!W$2,'Committments Dump'!$B:$B,'Category Table'!$A203)</f>
        <v/>
      </c>
      <c r="X203" s="115">
        <f>SUMIFS('Committments Dump'!$R:$R,'Committments Dump'!$C:$C,'Category Table'!X$2,'Committments Dump'!$B:$B,'Category Table'!$A203)</f>
        <v/>
      </c>
      <c r="Y203" s="116">
        <f>SUMIFS('Committments Dump'!$R:$R,'Committments Dump'!$C:$C,'Category Table'!Y$2,'Committments Dump'!$B:$B,'Category Table'!$A203)</f>
        <v/>
      </c>
      <c r="Z203" s="116">
        <f>SUMIFS('Committments Dump'!$R:$R,'Committments Dump'!$C:$C,'Category Table'!Z$2,'Committments Dump'!$B:$B,'Category Table'!$A203)</f>
        <v/>
      </c>
      <c r="AA203" s="115">
        <f>SUMIFS('Committments Dump'!$S:$S,'Committments Dump'!$C:$C,'Category Table'!AA$2,'Committments Dump'!$B:$B,'Category Table'!$A203)</f>
        <v/>
      </c>
      <c r="AB203" s="116">
        <f>SUMIFS('Committments Dump'!$S:$S,'Committments Dump'!$C:$C,'Category Table'!AB$2,'Committments Dump'!$B:$B,'Category Table'!$A203)</f>
        <v/>
      </c>
      <c r="AC203" s="116">
        <f>SUMIFS('Committments Dump'!$S:$S,'Committments Dump'!$C:$C,'Category Table'!AC$2,'Committments Dump'!$B:$B,'Category Table'!$A203)</f>
        <v/>
      </c>
      <c r="AD203" s="115">
        <f>U203+X203+AA203</f>
        <v/>
      </c>
      <c r="AE203" s="116">
        <f>V203+Y203+AB203</f>
        <v/>
      </c>
      <c r="AF203" s="116">
        <f>W203+Z203+AC203</f>
        <v/>
      </c>
      <c r="AG203" s="115">
        <f>R203+AD203</f>
        <v/>
      </c>
      <c r="AH203" s="116">
        <f>S203+AE203</f>
        <v/>
      </c>
      <c r="AI203" s="116">
        <f>T203+AF203</f>
        <v/>
      </c>
      <c r="AJ203" s="115" t="n"/>
      <c r="AK203" s="116" t="n"/>
      <c r="AL203" s="116" t="n"/>
      <c r="AM203" s="115">
        <f>(O203-AG203)+AJ203</f>
        <v/>
      </c>
      <c r="AN203" s="116">
        <f>(P203-AH203)+AK203</f>
        <v/>
      </c>
      <c r="AO203" s="116">
        <f>(Q203-AI203)+AL203</f>
        <v/>
      </c>
      <c r="AP203" s="93">
        <f>IF(AM203&gt;0, "Under",IF(AM203&lt;0,"Over",""))</f>
        <v/>
      </c>
      <c r="AQ203" s="94">
        <f>IF(AN203&gt;0, "Under",IF(AN203&lt;0,"Over",""))</f>
        <v/>
      </c>
      <c r="AR203" s="94">
        <f>IF(AO203&gt;0, "Under",IF(AO203&lt;0,"Over",""))</f>
        <v/>
      </c>
      <c r="AS203" s="3" t="n"/>
    </row>
    <row r="204">
      <c r="C204" s="113" t="n"/>
      <c r="D204" s="114" t="n"/>
      <c r="E204" s="114" t="n"/>
      <c r="F204" s="113" t="n"/>
      <c r="G204" s="114" t="n"/>
      <c r="H204" s="114" t="n"/>
      <c r="I204" s="113" t="n"/>
      <c r="J204" s="114" t="n"/>
      <c r="K204" s="114" t="n"/>
      <c r="L204" s="113" t="n"/>
      <c r="M204" s="114" t="n"/>
      <c r="N204" s="114" t="n"/>
      <c r="O204" s="113">
        <f>L204+I204+F204+C204</f>
        <v/>
      </c>
      <c r="P204" s="114">
        <f>M204+J204+G204+D204</f>
        <v/>
      </c>
      <c r="Q204" s="114">
        <f>N204+K204+H204+E204</f>
        <v/>
      </c>
      <c r="R204" s="113">
        <f>SUMIFS('PO Log'!$E:$E,'PO Log'!$D:$D,'Category Table'!R$2,'PO Log'!$C:$C,'Category Table'!$A204)</f>
        <v/>
      </c>
      <c r="S204" s="114">
        <f>SUMIFS('PO Log'!$E:$E,'PO Log'!$D:$D,'Category Table'!S$2,'PO Log'!$C:$C,'Category Table'!$A204)</f>
        <v/>
      </c>
      <c r="T204" s="114">
        <f>SUMIFS('PO Log'!$E:$E,'PO Log'!$D:$D,'Category Table'!T$2,'PO Log'!$C:$C,'Category Table'!$A204)</f>
        <v/>
      </c>
      <c r="U204" s="113">
        <f>SUMIFS('Committments Dump'!$Q:$Q,'Committments Dump'!$C:$C,'Category Table'!U$2,'Committments Dump'!$B:$B,'Category Table'!$A204)</f>
        <v/>
      </c>
      <c r="V204" s="114">
        <f>SUMIFS('Committments Dump'!$Q:$Q,'Committments Dump'!$C:$C,'Category Table'!V$2,'Committments Dump'!$B:$B,'Category Table'!$A204)</f>
        <v/>
      </c>
      <c r="W204" s="114">
        <f>SUMIFS('Committments Dump'!$Q:$Q,'Committments Dump'!$C:$C,'Category Table'!W$2,'Committments Dump'!$B:$B,'Category Table'!$A204)</f>
        <v/>
      </c>
      <c r="X204" s="113">
        <f>SUMIFS('Committments Dump'!$R:$R,'Committments Dump'!$C:$C,'Category Table'!X$2,'Committments Dump'!$B:$B,'Category Table'!$A204)</f>
        <v/>
      </c>
      <c r="Y204" s="114">
        <f>SUMIFS('Committments Dump'!$R:$R,'Committments Dump'!$C:$C,'Category Table'!Y$2,'Committments Dump'!$B:$B,'Category Table'!$A204)</f>
        <v/>
      </c>
      <c r="Z204" s="114">
        <f>SUMIFS('Committments Dump'!$R:$R,'Committments Dump'!$C:$C,'Category Table'!Z$2,'Committments Dump'!$B:$B,'Category Table'!$A204)</f>
        <v/>
      </c>
      <c r="AA204" s="113">
        <f>SUMIFS('Committments Dump'!$S:$S,'Committments Dump'!$C:$C,'Category Table'!AA$2,'Committments Dump'!$B:$B,'Category Table'!$A204)</f>
        <v/>
      </c>
      <c r="AB204" s="114">
        <f>SUMIFS('Committments Dump'!$S:$S,'Committments Dump'!$C:$C,'Category Table'!AB$2,'Committments Dump'!$B:$B,'Category Table'!$A204)</f>
        <v/>
      </c>
      <c r="AC204" s="114">
        <f>SUMIFS('Committments Dump'!$S:$S,'Committments Dump'!$C:$C,'Category Table'!AC$2,'Committments Dump'!$B:$B,'Category Table'!$A204)</f>
        <v/>
      </c>
      <c r="AD204" s="113">
        <f>U204+X204+AA204</f>
        <v/>
      </c>
      <c r="AE204" s="114">
        <f>V204+Y204+AB204</f>
        <v/>
      </c>
      <c r="AF204" s="114">
        <f>W204+Z204+AC204</f>
        <v/>
      </c>
      <c r="AG204" s="113">
        <f>R204+AD204</f>
        <v/>
      </c>
      <c r="AH204" s="114">
        <f>S204+AE204</f>
        <v/>
      </c>
      <c r="AI204" s="114">
        <f>T204+AF204</f>
        <v/>
      </c>
      <c r="AJ204" s="113" t="n"/>
      <c r="AK204" s="114" t="n"/>
      <c r="AL204" s="114" t="n"/>
      <c r="AM204" s="113">
        <f>(O204-AG204)+AJ204</f>
        <v/>
      </c>
      <c r="AN204" s="114">
        <f>(P204-AH204)+AK204</f>
        <v/>
      </c>
      <c r="AO204" s="114">
        <f>(Q204-AI204)+AL204</f>
        <v/>
      </c>
      <c r="AP204" s="2">
        <f>IF(AM204&gt;0, "Under",IF(AM204&lt;0,"Over",""))</f>
        <v/>
      </c>
      <c r="AQ204" s="1">
        <f>IF(AN204&gt;0, "Under",IF(AN204&lt;0,"Over",""))</f>
        <v/>
      </c>
      <c r="AR204" s="1">
        <f>IF(AO204&gt;0, "Under",IF(AO204&lt;0,"Over",""))</f>
        <v/>
      </c>
      <c r="AS204" s="3" t="n"/>
    </row>
    <row r="205">
      <c r="A205" s="90" t="n"/>
      <c r="B205" s="90" t="n"/>
      <c r="C205" s="115" t="n"/>
      <c r="D205" s="116" t="n"/>
      <c r="E205" s="116" t="n"/>
      <c r="F205" s="115" t="n"/>
      <c r="G205" s="116" t="n"/>
      <c r="H205" s="116" t="n"/>
      <c r="I205" s="115" t="n"/>
      <c r="J205" s="116" t="n"/>
      <c r="K205" s="116" t="n"/>
      <c r="L205" s="115" t="n"/>
      <c r="M205" s="116" t="n"/>
      <c r="N205" s="116" t="n"/>
      <c r="O205" s="115">
        <f>L205+I205+F205+C205</f>
        <v/>
      </c>
      <c r="P205" s="116">
        <f>M205+J205+G205+D205</f>
        <v/>
      </c>
      <c r="Q205" s="116">
        <f>N205+K205+H205+E205</f>
        <v/>
      </c>
      <c r="R205" s="115">
        <f>SUMIFS('PO Log'!$E:$E,'PO Log'!$D:$D,'Category Table'!R$2,'PO Log'!$C:$C,'Category Table'!$A205)</f>
        <v/>
      </c>
      <c r="S205" s="116">
        <f>SUMIFS('PO Log'!$E:$E,'PO Log'!$D:$D,'Category Table'!S$2,'PO Log'!$C:$C,'Category Table'!$A205)</f>
        <v/>
      </c>
      <c r="T205" s="116">
        <f>SUMIFS('PO Log'!$E:$E,'PO Log'!$D:$D,'Category Table'!T$2,'PO Log'!$C:$C,'Category Table'!$A205)</f>
        <v/>
      </c>
      <c r="U205" s="115">
        <f>SUMIFS('Committments Dump'!$Q:$Q,'Committments Dump'!$C:$C,'Category Table'!U$2,'Committments Dump'!$B:$B,'Category Table'!$A205)</f>
        <v/>
      </c>
      <c r="V205" s="116">
        <f>SUMIFS('Committments Dump'!$Q:$Q,'Committments Dump'!$C:$C,'Category Table'!V$2,'Committments Dump'!$B:$B,'Category Table'!$A205)</f>
        <v/>
      </c>
      <c r="W205" s="116">
        <f>SUMIFS('Committments Dump'!$Q:$Q,'Committments Dump'!$C:$C,'Category Table'!W$2,'Committments Dump'!$B:$B,'Category Table'!$A205)</f>
        <v/>
      </c>
      <c r="X205" s="115">
        <f>SUMIFS('Committments Dump'!$R:$R,'Committments Dump'!$C:$C,'Category Table'!X$2,'Committments Dump'!$B:$B,'Category Table'!$A205)</f>
        <v/>
      </c>
      <c r="Y205" s="116">
        <f>SUMIFS('Committments Dump'!$R:$R,'Committments Dump'!$C:$C,'Category Table'!Y$2,'Committments Dump'!$B:$B,'Category Table'!$A205)</f>
        <v/>
      </c>
      <c r="Z205" s="116">
        <f>SUMIFS('Committments Dump'!$R:$R,'Committments Dump'!$C:$C,'Category Table'!Z$2,'Committments Dump'!$B:$B,'Category Table'!$A205)</f>
        <v/>
      </c>
      <c r="AA205" s="115">
        <f>SUMIFS('Committments Dump'!$S:$S,'Committments Dump'!$C:$C,'Category Table'!AA$2,'Committments Dump'!$B:$B,'Category Table'!$A205)</f>
        <v/>
      </c>
      <c r="AB205" s="116">
        <f>SUMIFS('Committments Dump'!$S:$S,'Committments Dump'!$C:$C,'Category Table'!AB$2,'Committments Dump'!$B:$B,'Category Table'!$A205)</f>
        <v/>
      </c>
      <c r="AC205" s="116">
        <f>SUMIFS('Committments Dump'!$S:$S,'Committments Dump'!$C:$C,'Category Table'!AC$2,'Committments Dump'!$B:$B,'Category Table'!$A205)</f>
        <v/>
      </c>
      <c r="AD205" s="115">
        <f>U205+X205+AA205</f>
        <v/>
      </c>
      <c r="AE205" s="116">
        <f>V205+Y205+AB205</f>
        <v/>
      </c>
      <c r="AF205" s="116">
        <f>W205+Z205+AC205</f>
        <v/>
      </c>
      <c r="AG205" s="115">
        <f>R205+AD205</f>
        <v/>
      </c>
      <c r="AH205" s="116">
        <f>S205+AE205</f>
        <v/>
      </c>
      <c r="AI205" s="116">
        <f>T205+AF205</f>
        <v/>
      </c>
      <c r="AJ205" s="115" t="n"/>
      <c r="AK205" s="116" t="n"/>
      <c r="AL205" s="116" t="n"/>
      <c r="AM205" s="115">
        <f>(O205-AG205)+AJ205</f>
        <v/>
      </c>
      <c r="AN205" s="116">
        <f>(P205-AH205)+AK205</f>
        <v/>
      </c>
      <c r="AO205" s="116">
        <f>(Q205-AI205)+AL205</f>
        <v/>
      </c>
      <c r="AP205" s="93">
        <f>IF(AM205&gt;0, "Under",IF(AM205&lt;0,"Over",""))</f>
        <v/>
      </c>
      <c r="AQ205" s="94">
        <f>IF(AN205&gt;0, "Under",IF(AN205&lt;0,"Over",""))</f>
        <v/>
      </c>
      <c r="AR205" s="94">
        <f>IF(AO205&gt;0, "Under",IF(AO205&lt;0,"Over",""))</f>
        <v/>
      </c>
      <c r="AS205" s="3" t="n"/>
    </row>
    <row r="206">
      <c r="C206" s="113" t="n"/>
      <c r="D206" s="114" t="n"/>
      <c r="E206" s="114" t="n"/>
      <c r="F206" s="113" t="n"/>
      <c r="G206" s="114" t="n"/>
      <c r="H206" s="114" t="n"/>
      <c r="I206" s="113" t="n"/>
      <c r="J206" s="114" t="n"/>
      <c r="K206" s="114" t="n"/>
      <c r="L206" s="113" t="n"/>
      <c r="M206" s="114" t="n"/>
      <c r="N206" s="114" t="n"/>
      <c r="O206" s="113">
        <f>L206+I206+F206+C206</f>
        <v/>
      </c>
      <c r="P206" s="114">
        <f>M206+J206+G206+D206</f>
        <v/>
      </c>
      <c r="Q206" s="114">
        <f>N206+K206+H206+E206</f>
        <v/>
      </c>
      <c r="R206" s="113">
        <f>SUMIFS('PO Log'!$E:$E,'PO Log'!$D:$D,'Category Table'!R$2,'PO Log'!$C:$C,'Category Table'!$A206)</f>
        <v/>
      </c>
      <c r="S206" s="114">
        <f>SUMIFS('PO Log'!$E:$E,'PO Log'!$D:$D,'Category Table'!S$2,'PO Log'!$C:$C,'Category Table'!$A206)</f>
        <v/>
      </c>
      <c r="T206" s="114">
        <f>SUMIFS('PO Log'!$E:$E,'PO Log'!$D:$D,'Category Table'!T$2,'PO Log'!$C:$C,'Category Table'!$A206)</f>
        <v/>
      </c>
      <c r="U206" s="113">
        <f>SUMIFS('Committments Dump'!$Q:$Q,'Committments Dump'!$C:$C,'Category Table'!U$2,'Committments Dump'!$B:$B,'Category Table'!$A206)</f>
        <v/>
      </c>
      <c r="V206" s="114">
        <f>SUMIFS('Committments Dump'!$Q:$Q,'Committments Dump'!$C:$C,'Category Table'!V$2,'Committments Dump'!$B:$B,'Category Table'!$A206)</f>
        <v/>
      </c>
      <c r="W206" s="114">
        <f>SUMIFS('Committments Dump'!$Q:$Q,'Committments Dump'!$C:$C,'Category Table'!W$2,'Committments Dump'!$B:$B,'Category Table'!$A206)</f>
        <v/>
      </c>
      <c r="X206" s="113">
        <f>SUMIFS('Committments Dump'!$R:$R,'Committments Dump'!$C:$C,'Category Table'!X$2,'Committments Dump'!$B:$B,'Category Table'!$A206)</f>
        <v/>
      </c>
      <c r="Y206" s="114">
        <f>SUMIFS('Committments Dump'!$R:$R,'Committments Dump'!$C:$C,'Category Table'!Y$2,'Committments Dump'!$B:$B,'Category Table'!$A206)</f>
        <v/>
      </c>
      <c r="Z206" s="114">
        <f>SUMIFS('Committments Dump'!$R:$R,'Committments Dump'!$C:$C,'Category Table'!Z$2,'Committments Dump'!$B:$B,'Category Table'!$A206)</f>
        <v/>
      </c>
      <c r="AA206" s="113">
        <f>SUMIFS('Committments Dump'!$S:$S,'Committments Dump'!$C:$C,'Category Table'!AA$2,'Committments Dump'!$B:$B,'Category Table'!$A206)</f>
        <v/>
      </c>
      <c r="AB206" s="114">
        <f>SUMIFS('Committments Dump'!$S:$S,'Committments Dump'!$C:$C,'Category Table'!AB$2,'Committments Dump'!$B:$B,'Category Table'!$A206)</f>
        <v/>
      </c>
      <c r="AC206" s="114">
        <f>SUMIFS('Committments Dump'!$S:$S,'Committments Dump'!$C:$C,'Category Table'!AC$2,'Committments Dump'!$B:$B,'Category Table'!$A206)</f>
        <v/>
      </c>
      <c r="AD206" s="113">
        <f>U206+X206+AA206</f>
        <v/>
      </c>
      <c r="AE206" s="114">
        <f>V206+Y206+AB206</f>
        <v/>
      </c>
      <c r="AF206" s="114">
        <f>W206+Z206+AC206</f>
        <v/>
      </c>
      <c r="AG206" s="113">
        <f>R206+AD206</f>
        <v/>
      </c>
      <c r="AH206" s="114">
        <f>S206+AE206</f>
        <v/>
      </c>
      <c r="AI206" s="114">
        <f>T206+AF206</f>
        <v/>
      </c>
      <c r="AJ206" s="113" t="n"/>
      <c r="AK206" s="114" t="n"/>
      <c r="AL206" s="114" t="n"/>
      <c r="AM206" s="113">
        <f>(O206-AG206)+AJ206</f>
        <v/>
      </c>
      <c r="AN206" s="114">
        <f>(P206-AH206)+AK206</f>
        <v/>
      </c>
      <c r="AO206" s="114">
        <f>(Q206-AI206)+AL206</f>
        <v/>
      </c>
      <c r="AP206" s="2">
        <f>IF(AM206&gt;0, "Under",IF(AM206&lt;0,"Over",""))</f>
        <v/>
      </c>
      <c r="AQ206" s="1">
        <f>IF(AN206&gt;0, "Under",IF(AN206&lt;0,"Over",""))</f>
        <v/>
      </c>
      <c r="AR206" s="1">
        <f>IF(AO206&gt;0, "Under",IF(AO206&lt;0,"Over",""))</f>
        <v/>
      </c>
      <c r="AS206" s="3" t="n"/>
    </row>
    <row r="207">
      <c r="A207" s="90" t="n"/>
      <c r="B207" s="90" t="n"/>
      <c r="C207" s="115" t="n"/>
      <c r="D207" s="116" t="n"/>
      <c r="E207" s="116" t="n"/>
      <c r="F207" s="115" t="n"/>
      <c r="G207" s="116" t="n"/>
      <c r="H207" s="116" t="n"/>
      <c r="I207" s="115" t="n"/>
      <c r="J207" s="116" t="n"/>
      <c r="K207" s="116" t="n"/>
      <c r="L207" s="115" t="n"/>
      <c r="M207" s="116" t="n"/>
      <c r="N207" s="116" t="n"/>
      <c r="O207" s="115">
        <f>L207+I207+F207+C207</f>
        <v/>
      </c>
      <c r="P207" s="116">
        <f>M207+J207+G207+D207</f>
        <v/>
      </c>
      <c r="Q207" s="116">
        <f>N207+K207+H207+E207</f>
        <v/>
      </c>
      <c r="R207" s="115">
        <f>SUMIFS('PO Log'!$E:$E,'PO Log'!$D:$D,'Category Table'!R$2,'PO Log'!$C:$C,'Category Table'!$A207)</f>
        <v/>
      </c>
      <c r="S207" s="116">
        <f>SUMIFS('PO Log'!$E:$E,'PO Log'!$D:$D,'Category Table'!S$2,'PO Log'!$C:$C,'Category Table'!$A207)</f>
        <v/>
      </c>
      <c r="T207" s="116">
        <f>SUMIFS('PO Log'!$E:$E,'PO Log'!$D:$D,'Category Table'!T$2,'PO Log'!$C:$C,'Category Table'!$A207)</f>
        <v/>
      </c>
      <c r="U207" s="115">
        <f>SUMIFS('Committments Dump'!$Q:$Q,'Committments Dump'!$C:$C,'Category Table'!U$2,'Committments Dump'!$B:$B,'Category Table'!$A207)</f>
        <v/>
      </c>
      <c r="V207" s="116">
        <f>SUMIFS('Committments Dump'!$Q:$Q,'Committments Dump'!$C:$C,'Category Table'!V$2,'Committments Dump'!$B:$B,'Category Table'!$A207)</f>
        <v/>
      </c>
      <c r="W207" s="116">
        <f>SUMIFS('Committments Dump'!$Q:$Q,'Committments Dump'!$C:$C,'Category Table'!W$2,'Committments Dump'!$B:$B,'Category Table'!$A207)</f>
        <v/>
      </c>
      <c r="X207" s="115">
        <f>SUMIFS('Committments Dump'!$R:$R,'Committments Dump'!$C:$C,'Category Table'!X$2,'Committments Dump'!$B:$B,'Category Table'!$A207)</f>
        <v/>
      </c>
      <c r="Y207" s="116">
        <f>SUMIFS('Committments Dump'!$R:$R,'Committments Dump'!$C:$C,'Category Table'!Y$2,'Committments Dump'!$B:$B,'Category Table'!$A207)</f>
        <v/>
      </c>
      <c r="Z207" s="116">
        <f>SUMIFS('Committments Dump'!$R:$R,'Committments Dump'!$C:$C,'Category Table'!Z$2,'Committments Dump'!$B:$B,'Category Table'!$A207)</f>
        <v/>
      </c>
      <c r="AA207" s="115">
        <f>SUMIFS('Committments Dump'!$S:$S,'Committments Dump'!$C:$C,'Category Table'!AA$2,'Committments Dump'!$B:$B,'Category Table'!$A207)</f>
        <v/>
      </c>
      <c r="AB207" s="116">
        <f>SUMIFS('Committments Dump'!$S:$S,'Committments Dump'!$C:$C,'Category Table'!AB$2,'Committments Dump'!$B:$B,'Category Table'!$A207)</f>
        <v/>
      </c>
      <c r="AC207" s="116">
        <f>SUMIFS('Committments Dump'!$S:$S,'Committments Dump'!$C:$C,'Category Table'!AC$2,'Committments Dump'!$B:$B,'Category Table'!$A207)</f>
        <v/>
      </c>
      <c r="AD207" s="115">
        <f>U207+X207+AA207</f>
        <v/>
      </c>
      <c r="AE207" s="116">
        <f>V207+Y207+AB207</f>
        <v/>
      </c>
      <c r="AF207" s="116">
        <f>W207+Z207+AC207</f>
        <v/>
      </c>
      <c r="AG207" s="115">
        <f>R207+AD207</f>
        <v/>
      </c>
      <c r="AH207" s="116">
        <f>S207+AE207</f>
        <v/>
      </c>
      <c r="AI207" s="116">
        <f>T207+AF207</f>
        <v/>
      </c>
      <c r="AJ207" s="115" t="n"/>
      <c r="AK207" s="116" t="n"/>
      <c r="AL207" s="116" t="n"/>
      <c r="AM207" s="115">
        <f>(O207-AG207)+AJ207</f>
        <v/>
      </c>
      <c r="AN207" s="116">
        <f>(P207-AH207)+AK207</f>
        <v/>
      </c>
      <c r="AO207" s="116">
        <f>(Q207-AI207)+AL207</f>
        <v/>
      </c>
      <c r="AP207" s="93">
        <f>IF(AM207&gt;0, "Under",IF(AM207&lt;0,"Over",""))</f>
        <v/>
      </c>
      <c r="AQ207" s="94">
        <f>IF(AN207&gt;0, "Under",IF(AN207&lt;0,"Over",""))</f>
        <v/>
      </c>
      <c r="AR207" s="94">
        <f>IF(AO207&gt;0, "Under",IF(AO207&lt;0,"Over",""))</f>
        <v/>
      </c>
      <c r="AS207" s="3" t="n"/>
    </row>
    <row r="208">
      <c r="C208" s="113" t="n"/>
      <c r="D208" s="114" t="n"/>
      <c r="E208" s="114" t="n"/>
      <c r="F208" s="113" t="n"/>
      <c r="G208" s="114" t="n"/>
      <c r="H208" s="114" t="n"/>
      <c r="I208" s="113" t="n"/>
      <c r="J208" s="114" t="n"/>
      <c r="K208" s="114" t="n"/>
      <c r="L208" s="113" t="n"/>
      <c r="M208" s="114" t="n"/>
      <c r="N208" s="114" t="n"/>
      <c r="O208" s="113">
        <f>L208+I208+F208+C208</f>
        <v/>
      </c>
      <c r="P208" s="114">
        <f>M208+J208+G208+D208</f>
        <v/>
      </c>
      <c r="Q208" s="114">
        <f>N208+K208+H208+E208</f>
        <v/>
      </c>
      <c r="R208" s="113">
        <f>SUMIFS('PO Log'!$E:$E,'PO Log'!$D:$D,'Category Table'!R$2,'PO Log'!$C:$C,'Category Table'!$A208)</f>
        <v/>
      </c>
      <c r="S208" s="114">
        <f>SUMIFS('PO Log'!$E:$E,'PO Log'!$D:$D,'Category Table'!S$2,'PO Log'!$C:$C,'Category Table'!$A208)</f>
        <v/>
      </c>
      <c r="T208" s="114">
        <f>SUMIFS('PO Log'!$E:$E,'PO Log'!$D:$D,'Category Table'!T$2,'PO Log'!$C:$C,'Category Table'!$A208)</f>
        <v/>
      </c>
      <c r="U208" s="113">
        <f>SUMIFS('Committments Dump'!$Q:$Q,'Committments Dump'!$C:$C,'Category Table'!U$2,'Committments Dump'!$B:$B,'Category Table'!$A208)</f>
        <v/>
      </c>
      <c r="V208" s="114">
        <f>SUMIFS('Committments Dump'!$Q:$Q,'Committments Dump'!$C:$C,'Category Table'!V$2,'Committments Dump'!$B:$B,'Category Table'!$A208)</f>
        <v/>
      </c>
      <c r="W208" s="114">
        <f>SUMIFS('Committments Dump'!$Q:$Q,'Committments Dump'!$C:$C,'Category Table'!W$2,'Committments Dump'!$B:$B,'Category Table'!$A208)</f>
        <v/>
      </c>
      <c r="X208" s="113">
        <f>SUMIFS('Committments Dump'!$R:$R,'Committments Dump'!$C:$C,'Category Table'!X$2,'Committments Dump'!$B:$B,'Category Table'!$A208)</f>
        <v/>
      </c>
      <c r="Y208" s="114">
        <f>SUMIFS('Committments Dump'!$R:$R,'Committments Dump'!$C:$C,'Category Table'!Y$2,'Committments Dump'!$B:$B,'Category Table'!$A208)</f>
        <v/>
      </c>
      <c r="Z208" s="114">
        <f>SUMIFS('Committments Dump'!$R:$R,'Committments Dump'!$C:$C,'Category Table'!Z$2,'Committments Dump'!$B:$B,'Category Table'!$A208)</f>
        <v/>
      </c>
      <c r="AA208" s="113">
        <f>SUMIFS('Committments Dump'!$S:$S,'Committments Dump'!$C:$C,'Category Table'!AA$2,'Committments Dump'!$B:$B,'Category Table'!$A208)</f>
        <v/>
      </c>
      <c r="AB208" s="114">
        <f>SUMIFS('Committments Dump'!$S:$S,'Committments Dump'!$C:$C,'Category Table'!AB$2,'Committments Dump'!$B:$B,'Category Table'!$A208)</f>
        <v/>
      </c>
      <c r="AC208" s="114">
        <f>SUMIFS('Committments Dump'!$S:$S,'Committments Dump'!$C:$C,'Category Table'!AC$2,'Committments Dump'!$B:$B,'Category Table'!$A208)</f>
        <v/>
      </c>
      <c r="AD208" s="113">
        <f>U208+X208+AA208</f>
        <v/>
      </c>
      <c r="AE208" s="114">
        <f>V208+Y208+AB208</f>
        <v/>
      </c>
      <c r="AF208" s="114">
        <f>W208+Z208+AC208</f>
        <v/>
      </c>
      <c r="AG208" s="113">
        <f>R208+AD208</f>
        <v/>
      </c>
      <c r="AH208" s="114">
        <f>S208+AE208</f>
        <v/>
      </c>
      <c r="AI208" s="114">
        <f>T208+AF208</f>
        <v/>
      </c>
      <c r="AJ208" s="113" t="n"/>
      <c r="AK208" s="114" t="n"/>
      <c r="AL208" s="114" t="n"/>
      <c r="AM208" s="113">
        <f>(O208-AG208)+AJ208</f>
        <v/>
      </c>
      <c r="AN208" s="114">
        <f>(P208-AH208)+AK208</f>
        <v/>
      </c>
      <c r="AO208" s="114">
        <f>(Q208-AI208)+AL208</f>
        <v/>
      </c>
      <c r="AP208" s="2">
        <f>IF(AM208&gt;0, "Under",IF(AM208&lt;0,"Over",""))</f>
        <v/>
      </c>
      <c r="AQ208" s="1">
        <f>IF(AN208&gt;0, "Under",IF(AN208&lt;0,"Over",""))</f>
        <v/>
      </c>
      <c r="AR208" s="1">
        <f>IF(AO208&gt;0, "Under",IF(AO208&lt;0,"Over",""))</f>
        <v/>
      </c>
      <c r="AS208" s="3" t="n"/>
    </row>
    <row r="209">
      <c r="A209" s="90" t="n"/>
      <c r="B209" s="90" t="n"/>
      <c r="C209" s="115" t="n"/>
      <c r="D209" s="116" t="n"/>
      <c r="E209" s="116" t="n"/>
      <c r="F209" s="115" t="n"/>
      <c r="G209" s="116" t="n"/>
      <c r="H209" s="116" t="n"/>
      <c r="I209" s="115" t="n"/>
      <c r="J209" s="116" t="n"/>
      <c r="K209" s="116" t="n"/>
      <c r="L209" s="115" t="n"/>
      <c r="M209" s="116" t="n"/>
      <c r="N209" s="116" t="n"/>
      <c r="O209" s="115">
        <f>L209+I209+F209+C209</f>
        <v/>
      </c>
      <c r="P209" s="116">
        <f>M209+J209+G209+D209</f>
        <v/>
      </c>
      <c r="Q209" s="116">
        <f>N209+K209+H209+E209</f>
        <v/>
      </c>
      <c r="R209" s="115">
        <f>SUMIFS('PO Log'!$E:$E,'PO Log'!$D:$D,'Category Table'!R$2,'PO Log'!$C:$C,'Category Table'!$A209)</f>
        <v/>
      </c>
      <c r="S209" s="116">
        <f>SUMIFS('PO Log'!$E:$E,'PO Log'!$D:$D,'Category Table'!S$2,'PO Log'!$C:$C,'Category Table'!$A209)</f>
        <v/>
      </c>
      <c r="T209" s="116">
        <f>SUMIFS('PO Log'!$E:$E,'PO Log'!$D:$D,'Category Table'!T$2,'PO Log'!$C:$C,'Category Table'!$A209)</f>
        <v/>
      </c>
      <c r="U209" s="115">
        <f>SUMIFS('Committments Dump'!$Q:$Q,'Committments Dump'!$C:$C,'Category Table'!U$2,'Committments Dump'!$B:$B,'Category Table'!$A209)</f>
        <v/>
      </c>
      <c r="V209" s="116">
        <f>SUMIFS('Committments Dump'!$Q:$Q,'Committments Dump'!$C:$C,'Category Table'!V$2,'Committments Dump'!$B:$B,'Category Table'!$A209)</f>
        <v/>
      </c>
      <c r="W209" s="116">
        <f>SUMIFS('Committments Dump'!$Q:$Q,'Committments Dump'!$C:$C,'Category Table'!W$2,'Committments Dump'!$B:$B,'Category Table'!$A209)</f>
        <v/>
      </c>
      <c r="X209" s="115">
        <f>SUMIFS('Committments Dump'!$R:$R,'Committments Dump'!$C:$C,'Category Table'!X$2,'Committments Dump'!$B:$B,'Category Table'!$A209)</f>
        <v/>
      </c>
      <c r="Y209" s="116">
        <f>SUMIFS('Committments Dump'!$R:$R,'Committments Dump'!$C:$C,'Category Table'!Y$2,'Committments Dump'!$B:$B,'Category Table'!$A209)</f>
        <v/>
      </c>
      <c r="Z209" s="116">
        <f>SUMIFS('Committments Dump'!$R:$R,'Committments Dump'!$C:$C,'Category Table'!Z$2,'Committments Dump'!$B:$B,'Category Table'!$A209)</f>
        <v/>
      </c>
      <c r="AA209" s="115">
        <f>SUMIFS('Committments Dump'!$S:$S,'Committments Dump'!$C:$C,'Category Table'!AA$2,'Committments Dump'!$B:$B,'Category Table'!$A209)</f>
        <v/>
      </c>
      <c r="AB209" s="116">
        <f>SUMIFS('Committments Dump'!$S:$S,'Committments Dump'!$C:$C,'Category Table'!AB$2,'Committments Dump'!$B:$B,'Category Table'!$A209)</f>
        <v/>
      </c>
      <c r="AC209" s="116">
        <f>SUMIFS('Committments Dump'!$S:$S,'Committments Dump'!$C:$C,'Category Table'!AC$2,'Committments Dump'!$B:$B,'Category Table'!$A209)</f>
        <v/>
      </c>
      <c r="AD209" s="115">
        <f>U209+X209+AA209</f>
        <v/>
      </c>
      <c r="AE209" s="116">
        <f>V209+Y209+AB209</f>
        <v/>
      </c>
      <c r="AF209" s="116">
        <f>W209+Z209+AC209</f>
        <v/>
      </c>
      <c r="AG209" s="115">
        <f>R209+AD209</f>
        <v/>
      </c>
      <c r="AH209" s="116">
        <f>S209+AE209</f>
        <v/>
      </c>
      <c r="AI209" s="116">
        <f>T209+AF209</f>
        <v/>
      </c>
      <c r="AJ209" s="115" t="n"/>
      <c r="AK209" s="116" t="n"/>
      <c r="AL209" s="116" t="n"/>
      <c r="AM209" s="115">
        <f>(O209-AG209)+AJ209</f>
        <v/>
      </c>
      <c r="AN209" s="116">
        <f>(P209-AH209)+AK209</f>
        <v/>
      </c>
      <c r="AO209" s="116">
        <f>(Q209-AI209)+AL209</f>
        <v/>
      </c>
      <c r="AP209" s="93">
        <f>IF(AM209&gt;0, "Under",IF(AM209&lt;0,"Over",""))</f>
        <v/>
      </c>
      <c r="AQ209" s="94">
        <f>IF(AN209&gt;0, "Under",IF(AN209&lt;0,"Over",""))</f>
        <v/>
      </c>
      <c r="AR209" s="94">
        <f>IF(AO209&gt;0, "Under",IF(AO209&lt;0,"Over",""))</f>
        <v/>
      </c>
      <c r="AS209" s="3" t="n"/>
    </row>
    <row r="210">
      <c r="C210" s="113" t="n"/>
      <c r="D210" s="114" t="n"/>
      <c r="E210" s="114" t="n"/>
      <c r="F210" s="113" t="n"/>
      <c r="G210" s="114" t="n"/>
      <c r="H210" s="114" t="n"/>
      <c r="I210" s="113" t="n"/>
      <c r="J210" s="114" t="n"/>
      <c r="K210" s="114" t="n"/>
      <c r="L210" s="113" t="n"/>
      <c r="M210" s="114" t="n"/>
      <c r="N210" s="114" t="n"/>
      <c r="O210" s="113">
        <f>L210+I210+F210+C210</f>
        <v/>
      </c>
      <c r="P210" s="114">
        <f>M210+J210+G210+D210</f>
        <v/>
      </c>
      <c r="Q210" s="114">
        <f>N210+K210+H210+E210</f>
        <v/>
      </c>
      <c r="R210" s="113">
        <f>SUMIFS('PO Log'!$E:$E,'PO Log'!$D:$D,'Category Table'!R$2,'PO Log'!$C:$C,'Category Table'!$A210)</f>
        <v/>
      </c>
      <c r="S210" s="114">
        <f>SUMIFS('PO Log'!$E:$E,'PO Log'!$D:$D,'Category Table'!S$2,'PO Log'!$C:$C,'Category Table'!$A210)</f>
        <v/>
      </c>
      <c r="T210" s="114">
        <f>SUMIFS('PO Log'!$E:$E,'PO Log'!$D:$D,'Category Table'!T$2,'PO Log'!$C:$C,'Category Table'!$A210)</f>
        <v/>
      </c>
      <c r="U210" s="113">
        <f>SUMIFS('Committments Dump'!$Q:$Q,'Committments Dump'!$C:$C,'Category Table'!U$2,'Committments Dump'!$B:$B,'Category Table'!$A210)</f>
        <v/>
      </c>
      <c r="V210" s="114">
        <f>SUMIFS('Committments Dump'!$Q:$Q,'Committments Dump'!$C:$C,'Category Table'!V$2,'Committments Dump'!$B:$B,'Category Table'!$A210)</f>
        <v/>
      </c>
      <c r="W210" s="114">
        <f>SUMIFS('Committments Dump'!$Q:$Q,'Committments Dump'!$C:$C,'Category Table'!W$2,'Committments Dump'!$B:$B,'Category Table'!$A210)</f>
        <v/>
      </c>
      <c r="X210" s="113">
        <f>SUMIFS('Committments Dump'!$R:$R,'Committments Dump'!$C:$C,'Category Table'!X$2,'Committments Dump'!$B:$B,'Category Table'!$A210)</f>
        <v/>
      </c>
      <c r="Y210" s="114">
        <f>SUMIFS('Committments Dump'!$R:$R,'Committments Dump'!$C:$C,'Category Table'!Y$2,'Committments Dump'!$B:$B,'Category Table'!$A210)</f>
        <v/>
      </c>
      <c r="Z210" s="114">
        <f>SUMIFS('Committments Dump'!$R:$R,'Committments Dump'!$C:$C,'Category Table'!Z$2,'Committments Dump'!$B:$B,'Category Table'!$A210)</f>
        <v/>
      </c>
      <c r="AA210" s="113">
        <f>SUMIFS('Committments Dump'!$S:$S,'Committments Dump'!$C:$C,'Category Table'!AA$2,'Committments Dump'!$B:$B,'Category Table'!$A210)</f>
        <v/>
      </c>
      <c r="AB210" s="114">
        <f>SUMIFS('Committments Dump'!$S:$S,'Committments Dump'!$C:$C,'Category Table'!AB$2,'Committments Dump'!$B:$B,'Category Table'!$A210)</f>
        <v/>
      </c>
      <c r="AC210" s="114">
        <f>SUMIFS('Committments Dump'!$S:$S,'Committments Dump'!$C:$C,'Category Table'!AC$2,'Committments Dump'!$B:$B,'Category Table'!$A210)</f>
        <v/>
      </c>
      <c r="AD210" s="113">
        <f>U210+X210+AA210</f>
        <v/>
      </c>
      <c r="AE210" s="114">
        <f>V210+Y210+AB210</f>
        <v/>
      </c>
      <c r="AF210" s="114">
        <f>W210+Z210+AC210</f>
        <v/>
      </c>
      <c r="AG210" s="113">
        <f>R210+AD210</f>
        <v/>
      </c>
      <c r="AH210" s="114">
        <f>S210+AE210</f>
        <v/>
      </c>
      <c r="AI210" s="114">
        <f>T210+AF210</f>
        <v/>
      </c>
      <c r="AJ210" s="113" t="n"/>
      <c r="AK210" s="114" t="n"/>
      <c r="AL210" s="114" t="n"/>
      <c r="AM210" s="113">
        <f>(O210-AG210)+AJ210</f>
        <v/>
      </c>
      <c r="AN210" s="114">
        <f>(P210-AH210)+AK210</f>
        <v/>
      </c>
      <c r="AO210" s="114">
        <f>(Q210-AI210)+AL210</f>
        <v/>
      </c>
      <c r="AP210" s="2">
        <f>IF(AM210&gt;0, "Under",IF(AM210&lt;0,"Over",""))</f>
        <v/>
      </c>
      <c r="AQ210" s="1">
        <f>IF(AN210&gt;0, "Under",IF(AN210&lt;0,"Over",""))</f>
        <v/>
      </c>
      <c r="AR210" s="1">
        <f>IF(AO210&gt;0, "Under",IF(AO210&lt;0,"Over",""))</f>
        <v/>
      </c>
      <c r="AS210" s="3" t="n"/>
    </row>
    <row r="211">
      <c r="A211" s="90" t="n"/>
      <c r="B211" s="90" t="n"/>
      <c r="C211" s="115" t="n"/>
      <c r="D211" s="116" t="n"/>
      <c r="E211" s="116" t="n"/>
      <c r="F211" s="115" t="n"/>
      <c r="G211" s="116" t="n"/>
      <c r="H211" s="116" t="n"/>
      <c r="I211" s="115" t="n"/>
      <c r="J211" s="116" t="n"/>
      <c r="K211" s="116" t="n"/>
      <c r="L211" s="115" t="n"/>
      <c r="M211" s="116" t="n"/>
      <c r="N211" s="116" t="n"/>
      <c r="O211" s="115">
        <f>L211+I211+F211+C211</f>
        <v/>
      </c>
      <c r="P211" s="116">
        <f>M211+J211+G211+D211</f>
        <v/>
      </c>
      <c r="Q211" s="116">
        <f>N211+K211+H211+E211</f>
        <v/>
      </c>
      <c r="R211" s="115">
        <f>SUMIFS('PO Log'!$E:$E,'PO Log'!$D:$D,'Category Table'!R$2,'PO Log'!$C:$C,'Category Table'!$A211)</f>
        <v/>
      </c>
      <c r="S211" s="116">
        <f>SUMIFS('PO Log'!$E:$E,'PO Log'!$D:$D,'Category Table'!S$2,'PO Log'!$C:$C,'Category Table'!$A211)</f>
        <v/>
      </c>
      <c r="T211" s="116">
        <f>SUMIFS('PO Log'!$E:$E,'PO Log'!$D:$D,'Category Table'!T$2,'PO Log'!$C:$C,'Category Table'!$A211)</f>
        <v/>
      </c>
      <c r="U211" s="115">
        <f>SUMIFS('Committments Dump'!$Q:$Q,'Committments Dump'!$C:$C,'Category Table'!U$2,'Committments Dump'!$B:$B,'Category Table'!$A211)</f>
        <v/>
      </c>
      <c r="V211" s="116">
        <f>SUMIFS('Committments Dump'!$Q:$Q,'Committments Dump'!$C:$C,'Category Table'!V$2,'Committments Dump'!$B:$B,'Category Table'!$A211)</f>
        <v/>
      </c>
      <c r="W211" s="116">
        <f>SUMIFS('Committments Dump'!$Q:$Q,'Committments Dump'!$C:$C,'Category Table'!W$2,'Committments Dump'!$B:$B,'Category Table'!$A211)</f>
        <v/>
      </c>
      <c r="X211" s="115">
        <f>SUMIFS('Committments Dump'!$R:$R,'Committments Dump'!$C:$C,'Category Table'!X$2,'Committments Dump'!$B:$B,'Category Table'!$A211)</f>
        <v/>
      </c>
      <c r="Y211" s="116">
        <f>SUMIFS('Committments Dump'!$R:$R,'Committments Dump'!$C:$C,'Category Table'!Y$2,'Committments Dump'!$B:$B,'Category Table'!$A211)</f>
        <v/>
      </c>
      <c r="Z211" s="116">
        <f>SUMIFS('Committments Dump'!$R:$R,'Committments Dump'!$C:$C,'Category Table'!Z$2,'Committments Dump'!$B:$B,'Category Table'!$A211)</f>
        <v/>
      </c>
      <c r="AA211" s="115">
        <f>SUMIFS('Committments Dump'!$S:$S,'Committments Dump'!$C:$C,'Category Table'!AA$2,'Committments Dump'!$B:$B,'Category Table'!$A211)</f>
        <v/>
      </c>
      <c r="AB211" s="116">
        <f>SUMIFS('Committments Dump'!$S:$S,'Committments Dump'!$C:$C,'Category Table'!AB$2,'Committments Dump'!$B:$B,'Category Table'!$A211)</f>
        <v/>
      </c>
      <c r="AC211" s="116">
        <f>SUMIFS('Committments Dump'!$S:$S,'Committments Dump'!$C:$C,'Category Table'!AC$2,'Committments Dump'!$B:$B,'Category Table'!$A211)</f>
        <v/>
      </c>
      <c r="AD211" s="115">
        <f>U211+X211+AA211</f>
        <v/>
      </c>
      <c r="AE211" s="116">
        <f>V211+Y211+AB211</f>
        <v/>
      </c>
      <c r="AF211" s="116">
        <f>W211+Z211+AC211</f>
        <v/>
      </c>
      <c r="AG211" s="115">
        <f>R211+AD211</f>
        <v/>
      </c>
      <c r="AH211" s="116">
        <f>S211+AE211</f>
        <v/>
      </c>
      <c r="AI211" s="116">
        <f>T211+AF211</f>
        <v/>
      </c>
      <c r="AJ211" s="115" t="n"/>
      <c r="AK211" s="116" t="n"/>
      <c r="AL211" s="116" t="n"/>
      <c r="AM211" s="115">
        <f>(O211-AG211)+AJ211</f>
        <v/>
      </c>
      <c r="AN211" s="116">
        <f>(P211-AH211)+AK211</f>
        <v/>
      </c>
      <c r="AO211" s="116">
        <f>(Q211-AI211)+AL211</f>
        <v/>
      </c>
      <c r="AP211" s="93">
        <f>IF(AM211&gt;0, "Under",IF(AM211&lt;0,"Over",""))</f>
        <v/>
      </c>
      <c r="AQ211" s="94">
        <f>IF(AN211&gt;0, "Under",IF(AN211&lt;0,"Over",""))</f>
        <v/>
      </c>
      <c r="AR211" s="94">
        <f>IF(AO211&gt;0, "Under",IF(AO211&lt;0,"Over",""))</f>
        <v/>
      </c>
      <c r="AS211" s="3" t="n"/>
    </row>
    <row r="212">
      <c r="C212" s="113" t="n"/>
      <c r="D212" s="114" t="n"/>
      <c r="E212" s="114" t="n"/>
      <c r="F212" s="113" t="n"/>
      <c r="G212" s="114" t="n"/>
      <c r="H212" s="114" t="n"/>
      <c r="I212" s="113" t="n"/>
      <c r="J212" s="114" t="n"/>
      <c r="K212" s="114" t="n"/>
      <c r="L212" s="113" t="n"/>
      <c r="M212" s="114" t="n"/>
      <c r="N212" s="114" t="n"/>
      <c r="O212" s="113">
        <f>L212+I212+F212+C212</f>
        <v/>
      </c>
      <c r="P212" s="114">
        <f>M212+J212+G212+D212</f>
        <v/>
      </c>
      <c r="Q212" s="114">
        <f>N212+K212+H212+E212</f>
        <v/>
      </c>
      <c r="R212" s="113">
        <f>SUMIFS('PO Log'!$E:$E,'PO Log'!$D:$D,'Category Table'!R$2,'PO Log'!$C:$C,'Category Table'!$A212)</f>
        <v/>
      </c>
      <c r="S212" s="114">
        <f>SUMIFS('PO Log'!$E:$E,'PO Log'!$D:$D,'Category Table'!S$2,'PO Log'!$C:$C,'Category Table'!$A212)</f>
        <v/>
      </c>
      <c r="T212" s="114">
        <f>SUMIFS('PO Log'!$E:$E,'PO Log'!$D:$D,'Category Table'!T$2,'PO Log'!$C:$C,'Category Table'!$A212)</f>
        <v/>
      </c>
      <c r="U212" s="113">
        <f>SUMIFS('Committments Dump'!$Q:$Q,'Committments Dump'!$C:$C,'Category Table'!U$2,'Committments Dump'!$B:$B,'Category Table'!$A212)</f>
        <v/>
      </c>
      <c r="V212" s="114">
        <f>SUMIFS('Committments Dump'!$Q:$Q,'Committments Dump'!$C:$C,'Category Table'!V$2,'Committments Dump'!$B:$B,'Category Table'!$A212)</f>
        <v/>
      </c>
      <c r="W212" s="114">
        <f>SUMIFS('Committments Dump'!$Q:$Q,'Committments Dump'!$C:$C,'Category Table'!W$2,'Committments Dump'!$B:$B,'Category Table'!$A212)</f>
        <v/>
      </c>
      <c r="X212" s="113">
        <f>SUMIFS('Committments Dump'!$R:$R,'Committments Dump'!$C:$C,'Category Table'!X$2,'Committments Dump'!$B:$B,'Category Table'!$A212)</f>
        <v/>
      </c>
      <c r="Y212" s="114">
        <f>SUMIFS('Committments Dump'!$R:$R,'Committments Dump'!$C:$C,'Category Table'!Y$2,'Committments Dump'!$B:$B,'Category Table'!$A212)</f>
        <v/>
      </c>
      <c r="Z212" s="114">
        <f>SUMIFS('Committments Dump'!$R:$R,'Committments Dump'!$C:$C,'Category Table'!Z$2,'Committments Dump'!$B:$B,'Category Table'!$A212)</f>
        <v/>
      </c>
      <c r="AA212" s="113">
        <f>SUMIFS('Committments Dump'!$S:$S,'Committments Dump'!$C:$C,'Category Table'!AA$2,'Committments Dump'!$B:$B,'Category Table'!$A212)</f>
        <v/>
      </c>
      <c r="AB212" s="114">
        <f>SUMIFS('Committments Dump'!$S:$S,'Committments Dump'!$C:$C,'Category Table'!AB$2,'Committments Dump'!$B:$B,'Category Table'!$A212)</f>
        <v/>
      </c>
      <c r="AC212" s="114">
        <f>SUMIFS('Committments Dump'!$S:$S,'Committments Dump'!$C:$C,'Category Table'!AC$2,'Committments Dump'!$B:$B,'Category Table'!$A212)</f>
        <v/>
      </c>
      <c r="AD212" s="113">
        <f>U212+X212+AA212</f>
        <v/>
      </c>
      <c r="AE212" s="114">
        <f>V212+Y212+AB212</f>
        <v/>
      </c>
      <c r="AF212" s="114">
        <f>W212+Z212+AC212</f>
        <v/>
      </c>
      <c r="AG212" s="113">
        <f>R212+AD212</f>
        <v/>
      </c>
      <c r="AH212" s="114">
        <f>S212+AE212</f>
        <v/>
      </c>
      <c r="AI212" s="114">
        <f>T212+AF212</f>
        <v/>
      </c>
      <c r="AJ212" s="113" t="n"/>
      <c r="AK212" s="114" t="n"/>
      <c r="AL212" s="114" t="n"/>
      <c r="AM212" s="113">
        <f>(O212-AG212)+AJ212</f>
        <v/>
      </c>
      <c r="AN212" s="114">
        <f>(P212-AH212)+AK212</f>
        <v/>
      </c>
      <c r="AO212" s="114">
        <f>(Q212-AI212)+AL212</f>
        <v/>
      </c>
      <c r="AP212" s="2">
        <f>IF(AM212&gt;0, "Under",IF(AM212&lt;0,"Over",""))</f>
        <v/>
      </c>
      <c r="AQ212" s="1">
        <f>IF(AN212&gt;0, "Under",IF(AN212&lt;0,"Over",""))</f>
        <v/>
      </c>
      <c r="AR212" s="1">
        <f>IF(AO212&gt;0, "Under",IF(AO212&lt;0,"Over",""))</f>
        <v/>
      </c>
      <c r="AS212" s="3" t="n"/>
    </row>
    <row r="213">
      <c r="A213" s="90" t="n"/>
      <c r="B213" s="90" t="n"/>
      <c r="C213" s="115" t="n"/>
      <c r="D213" s="116" t="n"/>
      <c r="E213" s="116" t="n"/>
      <c r="F213" s="115" t="n"/>
      <c r="G213" s="116" t="n"/>
      <c r="H213" s="116" t="n"/>
      <c r="I213" s="115" t="n"/>
      <c r="J213" s="116" t="n"/>
      <c r="K213" s="116" t="n"/>
      <c r="L213" s="115" t="n"/>
      <c r="M213" s="116" t="n"/>
      <c r="N213" s="116" t="n"/>
      <c r="O213" s="115">
        <f>L213+I213+F213+C213</f>
        <v/>
      </c>
      <c r="P213" s="116">
        <f>M213+J213+G213+D213</f>
        <v/>
      </c>
      <c r="Q213" s="116">
        <f>N213+K213+H213+E213</f>
        <v/>
      </c>
      <c r="R213" s="115">
        <f>SUMIFS('PO Log'!$E:$E,'PO Log'!$D:$D,'Category Table'!R$2,'PO Log'!$C:$C,'Category Table'!$A213)</f>
        <v/>
      </c>
      <c r="S213" s="116">
        <f>SUMIFS('PO Log'!$E:$E,'PO Log'!$D:$D,'Category Table'!S$2,'PO Log'!$C:$C,'Category Table'!$A213)</f>
        <v/>
      </c>
      <c r="T213" s="116">
        <f>SUMIFS('PO Log'!$E:$E,'PO Log'!$D:$D,'Category Table'!T$2,'PO Log'!$C:$C,'Category Table'!$A213)</f>
        <v/>
      </c>
      <c r="U213" s="115">
        <f>SUMIFS('Committments Dump'!$Q:$Q,'Committments Dump'!$C:$C,'Category Table'!U$2,'Committments Dump'!$B:$B,'Category Table'!$A213)</f>
        <v/>
      </c>
      <c r="V213" s="116">
        <f>SUMIFS('Committments Dump'!$Q:$Q,'Committments Dump'!$C:$C,'Category Table'!V$2,'Committments Dump'!$B:$B,'Category Table'!$A213)</f>
        <v/>
      </c>
      <c r="W213" s="116">
        <f>SUMIFS('Committments Dump'!$Q:$Q,'Committments Dump'!$C:$C,'Category Table'!W$2,'Committments Dump'!$B:$B,'Category Table'!$A213)</f>
        <v/>
      </c>
      <c r="X213" s="115">
        <f>SUMIFS('Committments Dump'!$R:$R,'Committments Dump'!$C:$C,'Category Table'!X$2,'Committments Dump'!$B:$B,'Category Table'!$A213)</f>
        <v/>
      </c>
      <c r="Y213" s="116">
        <f>SUMIFS('Committments Dump'!$R:$R,'Committments Dump'!$C:$C,'Category Table'!Y$2,'Committments Dump'!$B:$B,'Category Table'!$A213)</f>
        <v/>
      </c>
      <c r="Z213" s="116">
        <f>SUMIFS('Committments Dump'!$R:$R,'Committments Dump'!$C:$C,'Category Table'!Z$2,'Committments Dump'!$B:$B,'Category Table'!$A213)</f>
        <v/>
      </c>
      <c r="AA213" s="115">
        <f>SUMIFS('Committments Dump'!$S:$S,'Committments Dump'!$C:$C,'Category Table'!AA$2,'Committments Dump'!$B:$B,'Category Table'!$A213)</f>
        <v/>
      </c>
      <c r="AB213" s="116">
        <f>SUMIFS('Committments Dump'!$S:$S,'Committments Dump'!$C:$C,'Category Table'!AB$2,'Committments Dump'!$B:$B,'Category Table'!$A213)</f>
        <v/>
      </c>
      <c r="AC213" s="116">
        <f>SUMIFS('Committments Dump'!$S:$S,'Committments Dump'!$C:$C,'Category Table'!AC$2,'Committments Dump'!$B:$B,'Category Table'!$A213)</f>
        <v/>
      </c>
      <c r="AD213" s="115">
        <f>U213+X213+AA213</f>
        <v/>
      </c>
      <c r="AE213" s="116">
        <f>V213+Y213+AB213</f>
        <v/>
      </c>
      <c r="AF213" s="116">
        <f>W213+Z213+AC213</f>
        <v/>
      </c>
      <c r="AG213" s="115">
        <f>R213+AD213</f>
        <v/>
      </c>
      <c r="AH213" s="116">
        <f>S213+AE213</f>
        <v/>
      </c>
      <c r="AI213" s="116">
        <f>T213+AF213</f>
        <v/>
      </c>
      <c r="AJ213" s="115" t="n"/>
      <c r="AK213" s="116" t="n"/>
      <c r="AL213" s="116" t="n"/>
      <c r="AM213" s="115">
        <f>(O213-AG213)+AJ213</f>
        <v/>
      </c>
      <c r="AN213" s="116">
        <f>(P213-AH213)+AK213</f>
        <v/>
      </c>
      <c r="AO213" s="116">
        <f>(Q213-AI213)+AL213</f>
        <v/>
      </c>
      <c r="AP213" s="93">
        <f>IF(AM213&gt;0, "Under",IF(AM213&lt;0,"Over",""))</f>
        <v/>
      </c>
      <c r="AQ213" s="94">
        <f>IF(AN213&gt;0, "Under",IF(AN213&lt;0,"Over",""))</f>
        <v/>
      </c>
      <c r="AR213" s="94">
        <f>IF(AO213&gt;0, "Under",IF(AO213&lt;0,"Over",""))</f>
        <v/>
      </c>
      <c r="AS213" s="3" t="n"/>
    </row>
    <row r="214">
      <c r="C214" s="113" t="n"/>
      <c r="D214" s="114" t="n"/>
      <c r="E214" s="114" t="n"/>
      <c r="F214" s="113" t="n"/>
      <c r="G214" s="114" t="n"/>
      <c r="H214" s="114" t="n"/>
      <c r="I214" s="113" t="n"/>
      <c r="J214" s="114" t="n"/>
      <c r="K214" s="114" t="n"/>
      <c r="L214" s="113" t="n"/>
      <c r="M214" s="114" t="n"/>
      <c r="N214" s="114" t="n"/>
      <c r="O214" s="113">
        <f>L214+I214+F214+C214</f>
        <v/>
      </c>
      <c r="P214" s="114">
        <f>M214+J214+G214+D214</f>
        <v/>
      </c>
      <c r="Q214" s="114">
        <f>N214+K214+H214+E214</f>
        <v/>
      </c>
      <c r="R214" s="113">
        <f>SUMIFS('PO Log'!$E:$E,'PO Log'!$D:$D,'Category Table'!R$2,'PO Log'!$C:$C,'Category Table'!$A214)</f>
        <v/>
      </c>
      <c r="S214" s="114">
        <f>SUMIFS('PO Log'!$E:$E,'PO Log'!$D:$D,'Category Table'!S$2,'PO Log'!$C:$C,'Category Table'!$A214)</f>
        <v/>
      </c>
      <c r="T214" s="114">
        <f>SUMIFS('PO Log'!$E:$E,'PO Log'!$D:$D,'Category Table'!T$2,'PO Log'!$C:$C,'Category Table'!$A214)</f>
        <v/>
      </c>
      <c r="U214" s="113">
        <f>SUMIFS('Committments Dump'!$Q:$Q,'Committments Dump'!$C:$C,'Category Table'!U$2,'Committments Dump'!$B:$B,'Category Table'!$A214)</f>
        <v/>
      </c>
      <c r="V214" s="114">
        <f>SUMIFS('Committments Dump'!$Q:$Q,'Committments Dump'!$C:$C,'Category Table'!V$2,'Committments Dump'!$B:$B,'Category Table'!$A214)</f>
        <v/>
      </c>
      <c r="W214" s="114">
        <f>SUMIFS('Committments Dump'!$Q:$Q,'Committments Dump'!$C:$C,'Category Table'!W$2,'Committments Dump'!$B:$B,'Category Table'!$A214)</f>
        <v/>
      </c>
      <c r="X214" s="113">
        <f>SUMIFS('Committments Dump'!$R:$R,'Committments Dump'!$C:$C,'Category Table'!X$2,'Committments Dump'!$B:$B,'Category Table'!$A214)</f>
        <v/>
      </c>
      <c r="Y214" s="114">
        <f>SUMIFS('Committments Dump'!$R:$R,'Committments Dump'!$C:$C,'Category Table'!Y$2,'Committments Dump'!$B:$B,'Category Table'!$A214)</f>
        <v/>
      </c>
      <c r="Z214" s="114">
        <f>SUMIFS('Committments Dump'!$R:$R,'Committments Dump'!$C:$C,'Category Table'!Z$2,'Committments Dump'!$B:$B,'Category Table'!$A214)</f>
        <v/>
      </c>
      <c r="AA214" s="113">
        <f>SUMIFS('Committments Dump'!$S:$S,'Committments Dump'!$C:$C,'Category Table'!AA$2,'Committments Dump'!$B:$B,'Category Table'!$A214)</f>
        <v/>
      </c>
      <c r="AB214" s="114">
        <f>SUMIFS('Committments Dump'!$S:$S,'Committments Dump'!$C:$C,'Category Table'!AB$2,'Committments Dump'!$B:$B,'Category Table'!$A214)</f>
        <v/>
      </c>
      <c r="AC214" s="114">
        <f>SUMIFS('Committments Dump'!$S:$S,'Committments Dump'!$C:$C,'Category Table'!AC$2,'Committments Dump'!$B:$B,'Category Table'!$A214)</f>
        <v/>
      </c>
      <c r="AD214" s="113">
        <f>U214+X214+AA214</f>
        <v/>
      </c>
      <c r="AE214" s="114">
        <f>V214+Y214+AB214</f>
        <v/>
      </c>
      <c r="AF214" s="114">
        <f>W214+Z214+AC214</f>
        <v/>
      </c>
      <c r="AG214" s="113">
        <f>R214+AD214</f>
        <v/>
      </c>
      <c r="AH214" s="114">
        <f>S214+AE214</f>
        <v/>
      </c>
      <c r="AI214" s="114">
        <f>T214+AF214</f>
        <v/>
      </c>
      <c r="AJ214" s="113" t="n"/>
      <c r="AK214" s="114" t="n"/>
      <c r="AL214" s="114" t="n"/>
      <c r="AM214" s="113">
        <f>(O214-AG214)+AJ214</f>
        <v/>
      </c>
      <c r="AN214" s="114">
        <f>(P214-AH214)+AK214</f>
        <v/>
      </c>
      <c r="AO214" s="114">
        <f>(Q214-AI214)+AL214</f>
        <v/>
      </c>
      <c r="AP214" s="2">
        <f>IF(AM214&gt;0, "Under",IF(AM214&lt;0,"Over",""))</f>
        <v/>
      </c>
      <c r="AQ214" s="1">
        <f>IF(AN214&gt;0, "Under",IF(AN214&lt;0,"Over",""))</f>
        <v/>
      </c>
      <c r="AR214" s="1">
        <f>IF(AO214&gt;0, "Under",IF(AO214&lt;0,"Over",""))</f>
        <v/>
      </c>
      <c r="AS214" s="3" t="n"/>
    </row>
    <row r="215">
      <c r="A215" s="90" t="n"/>
      <c r="B215" s="90" t="n"/>
      <c r="C215" s="115" t="n"/>
      <c r="D215" s="116" t="n"/>
      <c r="E215" s="116" t="n"/>
      <c r="F215" s="115" t="n"/>
      <c r="G215" s="116" t="n"/>
      <c r="H215" s="116" t="n"/>
      <c r="I215" s="115" t="n"/>
      <c r="J215" s="116" t="n"/>
      <c r="K215" s="116" t="n"/>
      <c r="L215" s="115" t="n"/>
      <c r="M215" s="116" t="n"/>
      <c r="N215" s="116" t="n"/>
      <c r="O215" s="115">
        <f>L215+I215+F215+C215</f>
        <v/>
      </c>
      <c r="P215" s="116">
        <f>M215+J215+G215+D215</f>
        <v/>
      </c>
      <c r="Q215" s="116">
        <f>N215+K215+H215+E215</f>
        <v/>
      </c>
      <c r="R215" s="115">
        <f>SUMIFS('PO Log'!$E:$E,'PO Log'!$D:$D,'Category Table'!R$2,'PO Log'!$C:$C,'Category Table'!$A215)</f>
        <v/>
      </c>
      <c r="S215" s="116">
        <f>SUMIFS('PO Log'!$E:$E,'PO Log'!$D:$D,'Category Table'!S$2,'PO Log'!$C:$C,'Category Table'!$A215)</f>
        <v/>
      </c>
      <c r="T215" s="116">
        <f>SUMIFS('PO Log'!$E:$E,'PO Log'!$D:$D,'Category Table'!T$2,'PO Log'!$C:$C,'Category Table'!$A215)</f>
        <v/>
      </c>
      <c r="U215" s="115">
        <f>SUMIFS('Committments Dump'!$Q:$Q,'Committments Dump'!$C:$C,'Category Table'!U$2,'Committments Dump'!$B:$B,'Category Table'!$A215)</f>
        <v/>
      </c>
      <c r="V215" s="116">
        <f>SUMIFS('Committments Dump'!$Q:$Q,'Committments Dump'!$C:$C,'Category Table'!V$2,'Committments Dump'!$B:$B,'Category Table'!$A215)</f>
        <v/>
      </c>
      <c r="W215" s="116">
        <f>SUMIFS('Committments Dump'!$Q:$Q,'Committments Dump'!$C:$C,'Category Table'!W$2,'Committments Dump'!$B:$B,'Category Table'!$A215)</f>
        <v/>
      </c>
      <c r="X215" s="115">
        <f>SUMIFS('Committments Dump'!$R:$R,'Committments Dump'!$C:$C,'Category Table'!X$2,'Committments Dump'!$B:$B,'Category Table'!$A215)</f>
        <v/>
      </c>
      <c r="Y215" s="116">
        <f>SUMIFS('Committments Dump'!$R:$R,'Committments Dump'!$C:$C,'Category Table'!Y$2,'Committments Dump'!$B:$B,'Category Table'!$A215)</f>
        <v/>
      </c>
      <c r="Z215" s="116">
        <f>SUMIFS('Committments Dump'!$R:$R,'Committments Dump'!$C:$C,'Category Table'!Z$2,'Committments Dump'!$B:$B,'Category Table'!$A215)</f>
        <v/>
      </c>
      <c r="AA215" s="115">
        <f>SUMIFS('Committments Dump'!$S:$S,'Committments Dump'!$C:$C,'Category Table'!AA$2,'Committments Dump'!$B:$B,'Category Table'!$A215)</f>
        <v/>
      </c>
      <c r="AB215" s="116">
        <f>SUMIFS('Committments Dump'!$S:$S,'Committments Dump'!$C:$C,'Category Table'!AB$2,'Committments Dump'!$B:$B,'Category Table'!$A215)</f>
        <v/>
      </c>
      <c r="AC215" s="116">
        <f>SUMIFS('Committments Dump'!$S:$S,'Committments Dump'!$C:$C,'Category Table'!AC$2,'Committments Dump'!$B:$B,'Category Table'!$A215)</f>
        <v/>
      </c>
      <c r="AD215" s="115">
        <f>U215+X215+AA215</f>
        <v/>
      </c>
      <c r="AE215" s="116">
        <f>V215+Y215+AB215</f>
        <v/>
      </c>
      <c r="AF215" s="116">
        <f>W215+Z215+AC215</f>
        <v/>
      </c>
      <c r="AG215" s="115">
        <f>R215+AD215</f>
        <v/>
      </c>
      <c r="AH215" s="116">
        <f>S215+AE215</f>
        <v/>
      </c>
      <c r="AI215" s="116">
        <f>T215+AF215</f>
        <v/>
      </c>
      <c r="AJ215" s="115" t="n"/>
      <c r="AK215" s="116" t="n"/>
      <c r="AL215" s="116" t="n"/>
      <c r="AM215" s="115">
        <f>(O215-AG215)+AJ215</f>
        <v/>
      </c>
      <c r="AN215" s="116">
        <f>(P215-AH215)+AK215</f>
        <v/>
      </c>
      <c r="AO215" s="116">
        <f>(Q215-AI215)+AL215</f>
        <v/>
      </c>
      <c r="AP215" s="93">
        <f>IF(AM215&gt;0, "Under",IF(AM215&lt;0,"Over",""))</f>
        <v/>
      </c>
      <c r="AQ215" s="94">
        <f>IF(AN215&gt;0, "Under",IF(AN215&lt;0,"Over",""))</f>
        <v/>
      </c>
      <c r="AR215" s="94">
        <f>IF(AO215&gt;0, "Under",IF(AO215&lt;0,"Over",""))</f>
        <v/>
      </c>
      <c r="AS215" s="3" t="n"/>
    </row>
    <row r="216">
      <c r="C216" s="113" t="n"/>
      <c r="D216" s="114" t="n"/>
      <c r="E216" s="114" t="n"/>
      <c r="F216" s="113" t="n"/>
      <c r="G216" s="114" t="n"/>
      <c r="H216" s="114" t="n"/>
      <c r="I216" s="113" t="n"/>
      <c r="J216" s="114" t="n"/>
      <c r="K216" s="114" t="n"/>
      <c r="L216" s="113" t="n"/>
      <c r="M216" s="114" t="n"/>
      <c r="N216" s="114" t="n"/>
      <c r="O216" s="113">
        <f>L216+I216+F216+C216</f>
        <v/>
      </c>
      <c r="P216" s="114">
        <f>M216+J216+G216+D216</f>
        <v/>
      </c>
      <c r="Q216" s="114">
        <f>N216+K216+H216+E216</f>
        <v/>
      </c>
      <c r="R216" s="113">
        <f>SUMIFS('PO Log'!$E:$E,'PO Log'!$D:$D,'Category Table'!R$2,'PO Log'!$C:$C,'Category Table'!$A216)</f>
        <v/>
      </c>
      <c r="S216" s="114">
        <f>SUMIFS('PO Log'!$E:$E,'PO Log'!$D:$D,'Category Table'!S$2,'PO Log'!$C:$C,'Category Table'!$A216)</f>
        <v/>
      </c>
      <c r="T216" s="114">
        <f>SUMIFS('PO Log'!$E:$E,'PO Log'!$D:$D,'Category Table'!T$2,'PO Log'!$C:$C,'Category Table'!$A216)</f>
        <v/>
      </c>
      <c r="U216" s="113">
        <f>SUMIFS('Committments Dump'!$Q:$Q,'Committments Dump'!$C:$C,'Category Table'!U$2,'Committments Dump'!$B:$B,'Category Table'!$A216)</f>
        <v/>
      </c>
      <c r="V216" s="114">
        <f>SUMIFS('Committments Dump'!$Q:$Q,'Committments Dump'!$C:$C,'Category Table'!V$2,'Committments Dump'!$B:$B,'Category Table'!$A216)</f>
        <v/>
      </c>
      <c r="W216" s="114">
        <f>SUMIFS('Committments Dump'!$Q:$Q,'Committments Dump'!$C:$C,'Category Table'!W$2,'Committments Dump'!$B:$B,'Category Table'!$A216)</f>
        <v/>
      </c>
      <c r="X216" s="113">
        <f>SUMIFS('Committments Dump'!$R:$R,'Committments Dump'!$C:$C,'Category Table'!X$2,'Committments Dump'!$B:$B,'Category Table'!$A216)</f>
        <v/>
      </c>
      <c r="Y216" s="114">
        <f>SUMIFS('Committments Dump'!$R:$R,'Committments Dump'!$C:$C,'Category Table'!Y$2,'Committments Dump'!$B:$B,'Category Table'!$A216)</f>
        <v/>
      </c>
      <c r="Z216" s="114">
        <f>SUMIFS('Committments Dump'!$R:$R,'Committments Dump'!$C:$C,'Category Table'!Z$2,'Committments Dump'!$B:$B,'Category Table'!$A216)</f>
        <v/>
      </c>
      <c r="AA216" s="113">
        <f>SUMIFS('Committments Dump'!$S:$S,'Committments Dump'!$C:$C,'Category Table'!AA$2,'Committments Dump'!$B:$B,'Category Table'!$A216)</f>
        <v/>
      </c>
      <c r="AB216" s="114">
        <f>SUMIFS('Committments Dump'!$S:$S,'Committments Dump'!$C:$C,'Category Table'!AB$2,'Committments Dump'!$B:$B,'Category Table'!$A216)</f>
        <v/>
      </c>
      <c r="AC216" s="114">
        <f>SUMIFS('Committments Dump'!$S:$S,'Committments Dump'!$C:$C,'Category Table'!AC$2,'Committments Dump'!$B:$B,'Category Table'!$A216)</f>
        <v/>
      </c>
      <c r="AD216" s="113">
        <f>U216+X216+AA216</f>
        <v/>
      </c>
      <c r="AE216" s="114">
        <f>V216+Y216+AB216</f>
        <v/>
      </c>
      <c r="AF216" s="114">
        <f>W216+Z216+AC216</f>
        <v/>
      </c>
      <c r="AG216" s="113">
        <f>R216+AD216</f>
        <v/>
      </c>
      <c r="AH216" s="114">
        <f>S216+AE216</f>
        <v/>
      </c>
      <c r="AI216" s="114">
        <f>T216+AF216</f>
        <v/>
      </c>
      <c r="AJ216" s="113" t="n"/>
      <c r="AK216" s="114" t="n"/>
      <c r="AL216" s="114" t="n"/>
      <c r="AM216" s="113">
        <f>(O216-AG216)+AJ216</f>
        <v/>
      </c>
      <c r="AN216" s="114">
        <f>(P216-AH216)+AK216</f>
        <v/>
      </c>
      <c r="AO216" s="114">
        <f>(Q216-AI216)+AL216</f>
        <v/>
      </c>
      <c r="AP216" s="2">
        <f>IF(AM216&gt;0, "Under",IF(AM216&lt;0,"Over",""))</f>
        <v/>
      </c>
      <c r="AQ216" s="1">
        <f>IF(AN216&gt;0, "Under",IF(AN216&lt;0,"Over",""))</f>
        <v/>
      </c>
      <c r="AR216" s="1">
        <f>IF(AO216&gt;0, "Under",IF(AO216&lt;0,"Over",""))</f>
        <v/>
      </c>
      <c r="AS216" s="3" t="n"/>
    </row>
    <row r="217">
      <c r="A217" s="90" t="n"/>
      <c r="B217" s="90" t="n"/>
      <c r="C217" s="115" t="n"/>
      <c r="D217" s="116" t="n"/>
      <c r="E217" s="116" t="n"/>
      <c r="F217" s="115" t="n"/>
      <c r="G217" s="116" t="n"/>
      <c r="H217" s="116" t="n"/>
      <c r="I217" s="115" t="n"/>
      <c r="J217" s="116" t="n"/>
      <c r="K217" s="116" t="n"/>
      <c r="L217" s="115" t="n"/>
      <c r="M217" s="116" t="n"/>
      <c r="N217" s="116" t="n"/>
      <c r="O217" s="115">
        <f>L217+I217+F217+C217</f>
        <v/>
      </c>
      <c r="P217" s="116">
        <f>M217+J217+G217+D217</f>
        <v/>
      </c>
      <c r="Q217" s="116">
        <f>N217+K217+H217+E217</f>
        <v/>
      </c>
      <c r="R217" s="115">
        <f>SUMIFS('PO Log'!$E:$E,'PO Log'!$D:$D,'Category Table'!R$2,'PO Log'!$C:$C,'Category Table'!$A217)</f>
        <v/>
      </c>
      <c r="S217" s="116">
        <f>SUMIFS('PO Log'!$E:$E,'PO Log'!$D:$D,'Category Table'!S$2,'PO Log'!$C:$C,'Category Table'!$A217)</f>
        <v/>
      </c>
      <c r="T217" s="116">
        <f>SUMIFS('PO Log'!$E:$E,'PO Log'!$D:$D,'Category Table'!T$2,'PO Log'!$C:$C,'Category Table'!$A217)</f>
        <v/>
      </c>
      <c r="U217" s="115">
        <f>SUMIFS('Committments Dump'!$Q:$Q,'Committments Dump'!$C:$C,'Category Table'!U$2,'Committments Dump'!$B:$B,'Category Table'!$A217)</f>
        <v/>
      </c>
      <c r="V217" s="116">
        <f>SUMIFS('Committments Dump'!$Q:$Q,'Committments Dump'!$C:$C,'Category Table'!V$2,'Committments Dump'!$B:$B,'Category Table'!$A217)</f>
        <v/>
      </c>
      <c r="W217" s="116">
        <f>SUMIFS('Committments Dump'!$Q:$Q,'Committments Dump'!$C:$C,'Category Table'!W$2,'Committments Dump'!$B:$B,'Category Table'!$A217)</f>
        <v/>
      </c>
      <c r="X217" s="115">
        <f>SUMIFS('Committments Dump'!$R:$R,'Committments Dump'!$C:$C,'Category Table'!X$2,'Committments Dump'!$B:$B,'Category Table'!$A217)</f>
        <v/>
      </c>
      <c r="Y217" s="116">
        <f>SUMIFS('Committments Dump'!$R:$R,'Committments Dump'!$C:$C,'Category Table'!Y$2,'Committments Dump'!$B:$B,'Category Table'!$A217)</f>
        <v/>
      </c>
      <c r="Z217" s="116">
        <f>SUMIFS('Committments Dump'!$R:$R,'Committments Dump'!$C:$C,'Category Table'!Z$2,'Committments Dump'!$B:$B,'Category Table'!$A217)</f>
        <v/>
      </c>
      <c r="AA217" s="115">
        <f>SUMIFS('Committments Dump'!$S:$S,'Committments Dump'!$C:$C,'Category Table'!AA$2,'Committments Dump'!$B:$B,'Category Table'!$A217)</f>
        <v/>
      </c>
      <c r="AB217" s="116">
        <f>SUMIFS('Committments Dump'!$S:$S,'Committments Dump'!$C:$C,'Category Table'!AB$2,'Committments Dump'!$B:$B,'Category Table'!$A217)</f>
        <v/>
      </c>
      <c r="AC217" s="116">
        <f>SUMIFS('Committments Dump'!$S:$S,'Committments Dump'!$C:$C,'Category Table'!AC$2,'Committments Dump'!$B:$B,'Category Table'!$A217)</f>
        <v/>
      </c>
      <c r="AD217" s="115">
        <f>U217+X217+AA217</f>
        <v/>
      </c>
      <c r="AE217" s="116">
        <f>V217+Y217+AB217</f>
        <v/>
      </c>
      <c r="AF217" s="116">
        <f>W217+Z217+AC217</f>
        <v/>
      </c>
      <c r="AG217" s="115">
        <f>R217+AD217</f>
        <v/>
      </c>
      <c r="AH217" s="116">
        <f>S217+AE217</f>
        <v/>
      </c>
      <c r="AI217" s="116">
        <f>T217+AF217</f>
        <v/>
      </c>
      <c r="AJ217" s="115" t="n"/>
      <c r="AK217" s="116" t="n"/>
      <c r="AL217" s="116" t="n"/>
      <c r="AM217" s="115">
        <f>(O217-AG217)+AJ217</f>
        <v/>
      </c>
      <c r="AN217" s="116">
        <f>(P217-AH217)+AK217</f>
        <v/>
      </c>
      <c r="AO217" s="116">
        <f>(Q217-AI217)+AL217</f>
        <v/>
      </c>
      <c r="AP217" s="93">
        <f>IF(AM217&gt;0, "Under",IF(AM217&lt;0,"Over",""))</f>
        <v/>
      </c>
      <c r="AQ217" s="94">
        <f>IF(AN217&gt;0, "Under",IF(AN217&lt;0,"Over",""))</f>
        <v/>
      </c>
      <c r="AR217" s="94">
        <f>IF(AO217&gt;0, "Under",IF(AO217&lt;0,"Over",""))</f>
        <v/>
      </c>
      <c r="AS217" s="3" t="n"/>
    </row>
    <row r="218">
      <c r="C218" s="113" t="n"/>
      <c r="D218" s="114" t="n"/>
      <c r="E218" s="114" t="n"/>
      <c r="F218" s="113" t="n"/>
      <c r="G218" s="114" t="n"/>
      <c r="H218" s="114" t="n"/>
      <c r="I218" s="113" t="n"/>
      <c r="J218" s="114" t="n"/>
      <c r="K218" s="114" t="n"/>
      <c r="L218" s="113" t="n"/>
      <c r="M218" s="114" t="n"/>
      <c r="N218" s="114" t="n"/>
      <c r="O218" s="113">
        <f>L218+I218+F218+C218</f>
        <v/>
      </c>
      <c r="P218" s="114">
        <f>M218+J218+G218+D218</f>
        <v/>
      </c>
      <c r="Q218" s="114">
        <f>N218+K218+H218+E218</f>
        <v/>
      </c>
      <c r="R218" s="113">
        <f>SUMIFS('PO Log'!$E:$E,'PO Log'!$D:$D,'Category Table'!R$2,'PO Log'!$C:$C,'Category Table'!$A218)</f>
        <v/>
      </c>
      <c r="S218" s="114">
        <f>SUMIFS('PO Log'!$E:$E,'PO Log'!$D:$D,'Category Table'!S$2,'PO Log'!$C:$C,'Category Table'!$A218)</f>
        <v/>
      </c>
      <c r="T218" s="114">
        <f>SUMIFS('PO Log'!$E:$E,'PO Log'!$D:$D,'Category Table'!T$2,'PO Log'!$C:$C,'Category Table'!$A218)</f>
        <v/>
      </c>
      <c r="U218" s="113">
        <f>SUMIFS('Committments Dump'!$Q:$Q,'Committments Dump'!$C:$C,'Category Table'!U$2,'Committments Dump'!$B:$B,'Category Table'!$A218)</f>
        <v/>
      </c>
      <c r="V218" s="114">
        <f>SUMIFS('Committments Dump'!$Q:$Q,'Committments Dump'!$C:$C,'Category Table'!V$2,'Committments Dump'!$B:$B,'Category Table'!$A218)</f>
        <v/>
      </c>
      <c r="W218" s="114">
        <f>SUMIFS('Committments Dump'!$Q:$Q,'Committments Dump'!$C:$C,'Category Table'!W$2,'Committments Dump'!$B:$B,'Category Table'!$A218)</f>
        <v/>
      </c>
      <c r="X218" s="113">
        <f>SUMIFS('Committments Dump'!$R:$R,'Committments Dump'!$C:$C,'Category Table'!X$2,'Committments Dump'!$B:$B,'Category Table'!$A218)</f>
        <v/>
      </c>
      <c r="Y218" s="114">
        <f>SUMIFS('Committments Dump'!$R:$R,'Committments Dump'!$C:$C,'Category Table'!Y$2,'Committments Dump'!$B:$B,'Category Table'!$A218)</f>
        <v/>
      </c>
      <c r="Z218" s="114">
        <f>SUMIFS('Committments Dump'!$R:$R,'Committments Dump'!$C:$C,'Category Table'!Z$2,'Committments Dump'!$B:$B,'Category Table'!$A218)</f>
        <v/>
      </c>
      <c r="AA218" s="113">
        <f>SUMIFS('Committments Dump'!$S:$S,'Committments Dump'!$C:$C,'Category Table'!AA$2,'Committments Dump'!$B:$B,'Category Table'!$A218)</f>
        <v/>
      </c>
      <c r="AB218" s="114">
        <f>SUMIFS('Committments Dump'!$S:$S,'Committments Dump'!$C:$C,'Category Table'!AB$2,'Committments Dump'!$B:$B,'Category Table'!$A218)</f>
        <v/>
      </c>
      <c r="AC218" s="114">
        <f>SUMIFS('Committments Dump'!$S:$S,'Committments Dump'!$C:$C,'Category Table'!AC$2,'Committments Dump'!$B:$B,'Category Table'!$A218)</f>
        <v/>
      </c>
      <c r="AD218" s="113">
        <f>U218+X218+AA218</f>
        <v/>
      </c>
      <c r="AE218" s="114">
        <f>V218+Y218+AB218</f>
        <v/>
      </c>
      <c r="AF218" s="114">
        <f>W218+Z218+AC218</f>
        <v/>
      </c>
      <c r="AG218" s="113">
        <f>R218+AD218</f>
        <v/>
      </c>
      <c r="AH218" s="114">
        <f>S218+AE218</f>
        <v/>
      </c>
      <c r="AI218" s="114">
        <f>T218+AF218</f>
        <v/>
      </c>
      <c r="AJ218" s="113" t="n"/>
      <c r="AK218" s="114" t="n"/>
      <c r="AL218" s="114" t="n"/>
      <c r="AM218" s="113">
        <f>(O218-AG218)+AJ218</f>
        <v/>
      </c>
      <c r="AN218" s="114">
        <f>(P218-AH218)+AK218</f>
        <v/>
      </c>
      <c r="AO218" s="114">
        <f>(Q218-AI218)+AL218</f>
        <v/>
      </c>
      <c r="AP218" s="2">
        <f>IF(AM218&gt;0, "Under",IF(AM218&lt;0,"Over",""))</f>
        <v/>
      </c>
      <c r="AQ218" s="1">
        <f>IF(AN218&gt;0, "Under",IF(AN218&lt;0,"Over",""))</f>
        <v/>
      </c>
      <c r="AR218" s="1">
        <f>IF(AO218&gt;0, "Under",IF(AO218&lt;0,"Over",""))</f>
        <v/>
      </c>
      <c r="AS218" s="3" t="n"/>
    </row>
    <row r="219">
      <c r="A219" s="90" t="n"/>
      <c r="B219" s="90" t="n"/>
      <c r="C219" s="115" t="n"/>
      <c r="D219" s="116" t="n"/>
      <c r="E219" s="116" t="n"/>
      <c r="F219" s="115" t="n"/>
      <c r="G219" s="116" t="n"/>
      <c r="H219" s="116" t="n"/>
      <c r="I219" s="115" t="n"/>
      <c r="J219" s="116" t="n"/>
      <c r="K219" s="116" t="n"/>
      <c r="L219" s="115" t="n"/>
      <c r="M219" s="116" t="n"/>
      <c r="N219" s="116" t="n"/>
      <c r="O219" s="115">
        <f>L219+I219+F219+C219</f>
        <v/>
      </c>
      <c r="P219" s="116">
        <f>M219+J219+G219+D219</f>
        <v/>
      </c>
      <c r="Q219" s="116">
        <f>N219+K219+H219+E219</f>
        <v/>
      </c>
      <c r="R219" s="115">
        <f>SUMIFS('PO Log'!$E:$E,'PO Log'!$D:$D,'Category Table'!R$2,'PO Log'!$C:$C,'Category Table'!$A219)</f>
        <v/>
      </c>
      <c r="S219" s="116">
        <f>SUMIFS('PO Log'!$E:$E,'PO Log'!$D:$D,'Category Table'!S$2,'PO Log'!$C:$C,'Category Table'!$A219)</f>
        <v/>
      </c>
      <c r="T219" s="116">
        <f>SUMIFS('PO Log'!$E:$E,'PO Log'!$D:$D,'Category Table'!T$2,'PO Log'!$C:$C,'Category Table'!$A219)</f>
        <v/>
      </c>
      <c r="U219" s="115">
        <f>SUMIFS('Committments Dump'!$Q:$Q,'Committments Dump'!$C:$C,'Category Table'!U$2,'Committments Dump'!$B:$B,'Category Table'!$A219)</f>
        <v/>
      </c>
      <c r="V219" s="116">
        <f>SUMIFS('Committments Dump'!$Q:$Q,'Committments Dump'!$C:$C,'Category Table'!V$2,'Committments Dump'!$B:$B,'Category Table'!$A219)</f>
        <v/>
      </c>
      <c r="W219" s="116">
        <f>SUMIFS('Committments Dump'!$Q:$Q,'Committments Dump'!$C:$C,'Category Table'!W$2,'Committments Dump'!$B:$B,'Category Table'!$A219)</f>
        <v/>
      </c>
      <c r="X219" s="115">
        <f>SUMIFS('Committments Dump'!$R:$R,'Committments Dump'!$C:$C,'Category Table'!X$2,'Committments Dump'!$B:$B,'Category Table'!$A219)</f>
        <v/>
      </c>
      <c r="Y219" s="116">
        <f>SUMIFS('Committments Dump'!$R:$R,'Committments Dump'!$C:$C,'Category Table'!Y$2,'Committments Dump'!$B:$B,'Category Table'!$A219)</f>
        <v/>
      </c>
      <c r="Z219" s="116">
        <f>SUMIFS('Committments Dump'!$R:$R,'Committments Dump'!$C:$C,'Category Table'!Z$2,'Committments Dump'!$B:$B,'Category Table'!$A219)</f>
        <v/>
      </c>
      <c r="AA219" s="115">
        <f>SUMIFS('Committments Dump'!$S:$S,'Committments Dump'!$C:$C,'Category Table'!AA$2,'Committments Dump'!$B:$B,'Category Table'!$A219)</f>
        <v/>
      </c>
      <c r="AB219" s="116">
        <f>SUMIFS('Committments Dump'!$S:$S,'Committments Dump'!$C:$C,'Category Table'!AB$2,'Committments Dump'!$B:$B,'Category Table'!$A219)</f>
        <v/>
      </c>
      <c r="AC219" s="116">
        <f>SUMIFS('Committments Dump'!$S:$S,'Committments Dump'!$C:$C,'Category Table'!AC$2,'Committments Dump'!$B:$B,'Category Table'!$A219)</f>
        <v/>
      </c>
      <c r="AD219" s="115">
        <f>U219+X219+AA219</f>
        <v/>
      </c>
      <c r="AE219" s="116">
        <f>V219+Y219+AB219</f>
        <v/>
      </c>
      <c r="AF219" s="116">
        <f>W219+Z219+AC219</f>
        <v/>
      </c>
      <c r="AG219" s="115">
        <f>R219+AD219</f>
        <v/>
      </c>
      <c r="AH219" s="116">
        <f>S219+AE219</f>
        <v/>
      </c>
      <c r="AI219" s="116">
        <f>T219+AF219</f>
        <v/>
      </c>
      <c r="AJ219" s="115" t="n"/>
      <c r="AK219" s="116" t="n"/>
      <c r="AL219" s="116" t="n"/>
      <c r="AM219" s="115">
        <f>(O219-AG219)+AJ219</f>
        <v/>
      </c>
      <c r="AN219" s="116">
        <f>(P219-AH219)+AK219</f>
        <v/>
      </c>
      <c r="AO219" s="116">
        <f>(Q219-AI219)+AL219</f>
        <v/>
      </c>
      <c r="AP219" s="93">
        <f>IF(AM219&gt;0, "Under",IF(AM219&lt;0,"Over",""))</f>
        <v/>
      </c>
      <c r="AQ219" s="94">
        <f>IF(AN219&gt;0, "Under",IF(AN219&lt;0,"Over",""))</f>
        <v/>
      </c>
      <c r="AR219" s="94">
        <f>IF(AO219&gt;0, "Under",IF(AO219&lt;0,"Over",""))</f>
        <v/>
      </c>
      <c r="AS219" s="3" t="n"/>
    </row>
    <row r="220">
      <c r="C220" s="113" t="n"/>
      <c r="D220" s="114" t="n"/>
      <c r="E220" s="114" t="n"/>
      <c r="F220" s="113" t="n"/>
      <c r="G220" s="114" t="n"/>
      <c r="H220" s="114" t="n"/>
      <c r="I220" s="113" t="n"/>
      <c r="J220" s="114" t="n"/>
      <c r="K220" s="114" t="n"/>
      <c r="L220" s="113" t="n"/>
      <c r="M220" s="114" t="n"/>
      <c r="N220" s="114" t="n"/>
      <c r="O220" s="113">
        <f>L220+I220+F220+C220</f>
        <v/>
      </c>
      <c r="P220" s="114">
        <f>M220+J220+G220+D220</f>
        <v/>
      </c>
      <c r="Q220" s="114">
        <f>N220+K220+H220+E220</f>
        <v/>
      </c>
      <c r="R220" s="113">
        <f>SUMIFS('PO Log'!$E:$E,'PO Log'!$D:$D,'Category Table'!R$2,'PO Log'!$C:$C,'Category Table'!$A220)</f>
        <v/>
      </c>
      <c r="S220" s="114">
        <f>SUMIFS('PO Log'!$E:$E,'PO Log'!$D:$D,'Category Table'!S$2,'PO Log'!$C:$C,'Category Table'!$A220)</f>
        <v/>
      </c>
      <c r="T220" s="114">
        <f>SUMIFS('PO Log'!$E:$E,'PO Log'!$D:$D,'Category Table'!T$2,'PO Log'!$C:$C,'Category Table'!$A220)</f>
        <v/>
      </c>
      <c r="U220" s="113">
        <f>SUMIFS('Committments Dump'!$Q:$Q,'Committments Dump'!$C:$C,'Category Table'!U$2,'Committments Dump'!$B:$B,'Category Table'!$A220)</f>
        <v/>
      </c>
      <c r="V220" s="114">
        <f>SUMIFS('Committments Dump'!$Q:$Q,'Committments Dump'!$C:$C,'Category Table'!V$2,'Committments Dump'!$B:$B,'Category Table'!$A220)</f>
        <v/>
      </c>
      <c r="W220" s="114">
        <f>SUMIFS('Committments Dump'!$Q:$Q,'Committments Dump'!$C:$C,'Category Table'!W$2,'Committments Dump'!$B:$B,'Category Table'!$A220)</f>
        <v/>
      </c>
      <c r="X220" s="113">
        <f>SUMIFS('Committments Dump'!$R:$R,'Committments Dump'!$C:$C,'Category Table'!X$2,'Committments Dump'!$B:$B,'Category Table'!$A220)</f>
        <v/>
      </c>
      <c r="Y220" s="114">
        <f>SUMIFS('Committments Dump'!$R:$R,'Committments Dump'!$C:$C,'Category Table'!Y$2,'Committments Dump'!$B:$B,'Category Table'!$A220)</f>
        <v/>
      </c>
      <c r="Z220" s="114">
        <f>SUMIFS('Committments Dump'!$R:$R,'Committments Dump'!$C:$C,'Category Table'!Z$2,'Committments Dump'!$B:$B,'Category Table'!$A220)</f>
        <v/>
      </c>
      <c r="AA220" s="113">
        <f>SUMIFS('Committments Dump'!$S:$S,'Committments Dump'!$C:$C,'Category Table'!AA$2,'Committments Dump'!$B:$B,'Category Table'!$A220)</f>
        <v/>
      </c>
      <c r="AB220" s="114">
        <f>SUMIFS('Committments Dump'!$S:$S,'Committments Dump'!$C:$C,'Category Table'!AB$2,'Committments Dump'!$B:$B,'Category Table'!$A220)</f>
        <v/>
      </c>
      <c r="AC220" s="114">
        <f>SUMIFS('Committments Dump'!$S:$S,'Committments Dump'!$C:$C,'Category Table'!AC$2,'Committments Dump'!$B:$B,'Category Table'!$A220)</f>
        <v/>
      </c>
      <c r="AD220" s="113">
        <f>U220+X220+AA220</f>
        <v/>
      </c>
      <c r="AE220" s="114">
        <f>V220+Y220+AB220</f>
        <v/>
      </c>
      <c r="AF220" s="114">
        <f>W220+Z220+AC220</f>
        <v/>
      </c>
      <c r="AG220" s="113">
        <f>R220+AD220</f>
        <v/>
      </c>
      <c r="AH220" s="114">
        <f>S220+AE220</f>
        <v/>
      </c>
      <c r="AI220" s="114">
        <f>T220+AF220</f>
        <v/>
      </c>
      <c r="AJ220" s="113" t="n"/>
      <c r="AK220" s="114" t="n"/>
      <c r="AL220" s="114" t="n"/>
      <c r="AM220" s="113">
        <f>(O220-AG220)+AJ220</f>
        <v/>
      </c>
      <c r="AN220" s="114">
        <f>(P220-AH220)+AK220</f>
        <v/>
      </c>
      <c r="AO220" s="114">
        <f>(Q220-AI220)+AL220</f>
        <v/>
      </c>
      <c r="AP220" s="2">
        <f>IF(AM220&gt;0, "Under",IF(AM220&lt;0,"Over",""))</f>
        <v/>
      </c>
      <c r="AQ220" s="1">
        <f>IF(AN220&gt;0, "Under",IF(AN220&lt;0,"Over",""))</f>
        <v/>
      </c>
      <c r="AR220" s="1">
        <f>IF(AO220&gt;0, "Under",IF(AO220&lt;0,"Over",""))</f>
        <v/>
      </c>
      <c r="AS220" s="3" t="n"/>
    </row>
    <row r="221">
      <c r="A221" s="90" t="n"/>
      <c r="B221" s="90" t="n"/>
      <c r="C221" s="115" t="n"/>
      <c r="D221" s="116" t="n"/>
      <c r="E221" s="116" t="n"/>
      <c r="F221" s="115" t="n"/>
      <c r="G221" s="116" t="n"/>
      <c r="H221" s="116" t="n"/>
      <c r="I221" s="115" t="n"/>
      <c r="J221" s="116" t="n"/>
      <c r="K221" s="116" t="n"/>
      <c r="L221" s="115" t="n"/>
      <c r="M221" s="116" t="n"/>
      <c r="N221" s="116" t="n"/>
      <c r="O221" s="115">
        <f>L221+I221+F221+C221</f>
        <v/>
      </c>
      <c r="P221" s="116">
        <f>M221+J221+G221+D221</f>
        <v/>
      </c>
      <c r="Q221" s="116">
        <f>N221+K221+H221+E221</f>
        <v/>
      </c>
      <c r="R221" s="115">
        <f>SUMIFS('PO Log'!$E:$E,'PO Log'!$D:$D,'Category Table'!R$2,'PO Log'!$C:$C,'Category Table'!$A221)</f>
        <v/>
      </c>
      <c r="S221" s="116">
        <f>SUMIFS('PO Log'!$E:$E,'PO Log'!$D:$D,'Category Table'!S$2,'PO Log'!$C:$C,'Category Table'!$A221)</f>
        <v/>
      </c>
      <c r="T221" s="116">
        <f>SUMIFS('PO Log'!$E:$E,'PO Log'!$D:$D,'Category Table'!T$2,'PO Log'!$C:$C,'Category Table'!$A221)</f>
        <v/>
      </c>
      <c r="U221" s="115">
        <f>SUMIFS('Committments Dump'!$Q:$Q,'Committments Dump'!$C:$C,'Category Table'!U$2,'Committments Dump'!$B:$B,'Category Table'!$A221)</f>
        <v/>
      </c>
      <c r="V221" s="116">
        <f>SUMIFS('Committments Dump'!$Q:$Q,'Committments Dump'!$C:$C,'Category Table'!V$2,'Committments Dump'!$B:$B,'Category Table'!$A221)</f>
        <v/>
      </c>
      <c r="W221" s="116">
        <f>SUMIFS('Committments Dump'!$Q:$Q,'Committments Dump'!$C:$C,'Category Table'!W$2,'Committments Dump'!$B:$B,'Category Table'!$A221)</f>
        <v/>
      </c>
      <c r="X221" s="115">
        <f>SUMIFS('Committments Dump'!$R:$R,'Committments Dump'!$C:$C,'Category Table'!X$2,'Committments Dump'!$B:$B,'Category Table'!$A221)</f>
        <v/>
      </c>
      <c r="Y221" s="116">
        <f>SUMIFS('Committments Dump'!$R:$R,'Committments Dump'!$C:$C,'Category Table'!Y$2,'Committments Dump'!$B:$B,'Category Table'!$A221)</f>
        <v/>
      </c>
      <c r="Z221" s="116">
        <f>SUMIFS('Committments Dump'!$R:$R,'Committments Dump'!$C:$C,'Category Table'!Z$2,'Committments Dump'!$B:$B,'Category Table'!$A221)</f>
        <v/>
      </c>
      <c r="AA221" s="115">
        <f>SUMIFS('Committments Dump'!$S:$S,'Committments Dump'!$C:$C,'Category Table'!AA$2,'Committments Dump'!$B:$B,'Category Table'!$A221)</f>
        <v/>
      </c>
      <c r="AB221" s="116">
        <f>SUMIFS('Committments Dump'!$S:$S,'Committments Dump'!$C:$C,'Category Table'!AB$2,'Committments Dump'!$B:$B,'Category Table'!$A221)</f>
        <v/>
      </c>
      <c r="AC221" s="116">
        <f>SUMIFS('Committments Dump'!$S:$S,'Committments Dump'!$C:$C,'Category Table'!AC$2,'Committments Dump'!$B:$B,'Category Table'!$A221)</f>
        <v/>
      </c>
      <c r="AD221" s="115">
        <f>U221+X221+AA221</f>
        <v/>
      </c>
      <c r="AE221" s="116">
        <f>V221+Y221+AB221</f>
        <v/>
      </c>
      <c r="AF221" s="116">
        <f>W221+Z221+AC221</f>
        <v/>
      </c>
      <c r="AG221" s="115">
        <f>R221+AD221</f>
        <v/>
      </c>
      <c r="AH221" s="116">
        <f>S221+AE221</f>
        <v/>
      </c>
      <c r="AI221" s="116">
        <f>T221+AF221</f>
        <v/>
      </c>
      <c r="AJ221" s="115" t="n"/>
      <c r="AK221" s="116" t="n"/>
      <c r="AL221" s="116" t="n"/>
      <c r="AM221" s="115">
        <f>(O221-AG221)+AJ221</f>
        <v/>
      </c>
      <c r="AN221" s="116">
        <f>(P221-AH221)+AK221</f>
        <v/>
      </c>
      <c r="AO221" s="116">
        <f>(Q221-AI221)+AL221</f>
        <v/>
      </c>
      <c r="AP221" s="93">
        <f>IF(AM221&gt;0, "Under",IF(AM221&lt;0,"Over",""))</f>
        <v/>
      </c>
      <c r="AQ221" s="94">
        <f>IF(AN221&gt;0, "Under",IF(AN221&lt;0,"Over",""))</f>
        <v/>
      </c>
      <c r="AR221" s="94">
        <f>IF(AO221&gt;0, "Under",IF(AO221&lt;0,"Over",""))</f>
        <v/>
      </c>
      <c r="AS221" s="3" t="n"/>
    </row>
    <row r="222">
      <c r="C222" s="113" t="n"/>
      <c r="D222" s="114" t="n"/>
      <c r="E222" s="114" t="n"/>
      <c r="F222" s="113" t="n"/>
      <c r="G222" s="114" t="n"/>
      <c r="H222" s="114" t="n"/>
      <c r="I222" s="113" t="n"/>
      <c r="J222" s="114" t="n"/>
      <c r="K222" s="114" t="n"/>
      <c r="L222" s="113" t="n"/>
      <c r="M222" s="114" t="n"/>
      <c r="N222" s="114" t="n"/>
      <c r="O222" s="113">
        <f>L222+I222+F222+C222</f>
        <v/>
      </c>
      <c r="P222" s="114">
        <f>M222+J222+G222+D222</f>
        <v/>
      </c>
      <c r="Q222" s="114">
        <f>N222+K222+H222+E222</f>
        <v/>
      </c>
      <c r="R222" s="113">
        <f>SUMIFS('PO Log'!$E:$E,'PO Log'!$D:$D,'Category Table'!R$2,'PO Log'!$C:$C,'Category Table'!$A222)</f>
        <v/>
      </c>
      <c r="S222" s="114">
        <f>SUMIFS('PO Log'!$E:$E,'PO Log'!$D:$D,'Category Table'!S$2,'PO Log'!$C:$C,'Category Table'!$A222)</f>
        <v/>
      </c>
      <c r="T222" s="114">
        <f>SUMIFS('PO Log'!$E:$E,'PO Log'!$D:$D,'Category Table'!T$2,'PO Log'!$C:$C,'Category Table'!$A222)</f>
        <v/>
      </c>
      <c r="U222" s="113">
        <f>SUMIFS('Committments Dump'!$Q:$Q,'Committments Dump'!$C:$C,'Category Table'!U$2,'Committments Dump'!$B:$B,'Category Table'!$A222)</f>
        <v/>
      </c>
      <c r="V222" s="114">
        <f>SUMIFS('Committments Dump'!$Q:$Q,'Committments Dump'!$C:$C,'Category Table'!V$2,'Committments Dump'!$B:$B,'Category Table'!$A222)</f>
        <v/>
      </c>
      <c r="W222" s="114">
        <f>SUMIFS('Committments Dump'!$Q:$Q,'Committments Dump'!$C:$C,'Category Table'!W$2,'Committments Dump'!$B:$B,'Category Table'!$A222)</f>
        <v/>
      </c>
      <c r="X222" s="113">
        <f>SUMIFS('Committments Dump'!$R:$R,'Committments Dump'!$C:$C,'Category Table'!X$2,'Committments Dump'!$B:$B,'Category Table'!$A222)</f>
        <v/>
      </c>
      <c r="Y222" s="114">
        <f>SUMIFS('Committments Dump'!$R:$R,'Committments Dump'!$C:$C,'Category Table'!Y$2,'Committments Dump'!$B:$B,'Category Table'!$A222)</f>
        <v/>
      </c>
      <c r="Z222" s="114">
        <f>SUMIFS('Committments Dump'!$R:$R,'Committments Dump'!$C:$C,'Category Table'!Z$2,'Committments Dump'!$B:$B,'Category Table'!$A222)</f>
        <v/>
      </c>
      <c r="AA222" s="113">
        <f>SUMIFS('Committments Dump'!$S:$S,'Committments Dump'!$C:$C,'Category Table'!AA$2,'Committments Dump'!$B:$B,'Category Table'!$A222)</f>
        <v/>
      </c>
      <c r="AB222" s="114">
        <f>SUMIFS('Committments Dump'!$S:$S,'Committments Dump'!$C:$C,'Category Table'!AB$2,'Committments Dump'!$B:$B,'Category Table'!$A222)</f>
        <v/>
      </c>
      <c r="AC222" s="114">
        <f>SUMIFS('Committments Dump'!$S:$S,'Committments Dump'!$C:$C,'Category Table'!AC$2,'Committments Dump'!$B:$B,'Category Table'!$A222)</f>
        <v/>
      </c>
      <c r="AD222" s="113">
        <f>U222+X222+AA222</f>
        <v/>
      </c>
      <c r="AE222" s="114">
        <f>V222+Y222+AB222</f>
        <v/>
      </c>
      <c r="AF222" s="114">
        <f>W222+Z222+AC222</f>
        <v/>
      </c>
      <c r="AG222" s="113">
        <f>R222+AD222</f>
        <v/>
      </c>
      <c r="AH222" s="114">
        <f>S222+AE222</f>
        <v/>
      </c>
      <c r="AI222" s="114">
        <f>T222+AF222</f>
        <v/>
      </c>
      <c r="AJ222" s="113" t="n"/>
      <c r="AK222" s="114" t="n"/>
      <c r="AL222" s="114" t="n"/>
      <c r="AM222" s="113">
        <f>(O222-AG222)+AJ222</f>
        <v/>
      </c>
      <c r="AN222" s="114">
        <f>(P222-AH222)+AK222</f>
        <v/>
      </c>
      <c r="AO222" s="114">
        <f>(Q222-AI222)+AL222</f>
        <v/>
      </c>
      <c r="AP222" s="2">
        <f>IF(AM222&gt;0, "Under",IF(AM222&lt;0,"Over",""))</f>
        <v/>
      </c>
      <c r="AQ222" s="1">
        <f>IF(AN222&gt;0, "Under",IF(AN222&lt;0,"Over",""))</f>
        <v/>
      </c>
      <c r="AR222" s="1">
        <f>IF(AO222&gt;0, "Under",IF(AO222&lt;0,"Over",""))</f>
        <v/>
      </c>
      <c r="AS222" s="3" t="n"/>
    </row>
    <row r="223">
      <c r="A223" s="90" t="n"/>
      <c r="B223" s="90" t="n"/>
      <c r="C223" s="115" t="n"/>
      <c r="D223" s="116" t="n"/>
      <c r="E223" s="116" t="n"/>
      <c r="F223" s="115" t="n"/>
      <c r="G223" s="116" t="n"/>
      <c r="H223" s="116" t="n"/>
      <c r="I223" s="115" t="n"/>
      <c r="J223" s="116" t="n"/>
      <c r="K223" s="116" t="n"/>
      <c r="L223" s="115" t="n"/>
      <c r="M223" s="116" t="n"/>
      <c r="N223" s="116" t="n"/>
      <c r="O223" s="115">
        <f>L223+I223+F223+C223</f>
        <v/>
      </c>
      <c r="P223" s="116">
        <f>M223+J223+G223+D223</f>
        <v/>
      </c>
      <c r="Q223" s="116">
        <f>N223+K223+H223+E223</f>
        <v/>
      </c>
      <c r="R223" s="115">
        <f>SUMIFS('PO Log'!$E:$E,'PO Log'!$D:$D,'Category Table'!R$2,'PO Log'!$C:$C,'Category Table'!$A223)</f>
        <v/>
      </c>
      <c r="S223" s="116">
        <f>SUMIFS('PO Log'!$E:$E,'PO Log'!$D:$D,'Category Table'!S$2,'PO Log'!$C:$C,'Category Table'!$A223)</f>
        <v/>
      </c>
      <c r="T223" s="116">
        <f>SUMIFS('PO Log'!$E:$E,'PO Log'!$D:$D,'Category Table'!T$2,'PO Log'!$C:$C,'Category Table'!$A223)</f>
        <v/>
      </c>
      <c r="U223" s="115">
        <f>SUMIFS('Committments Dump'!$Q:$Q,'Committments Dump'!$C:$C,'Category Table'!U$2,'Committments Dump'!$B:$B,'Category Table'!$A223)</f>
        <v/>
      </c>
      <c r="V223" s="116">
        <f>SUMIFS('Committments Dump'!$Q:$Q,'Committments Dump'!$C:$C,'Category Table'!V$2,'Committments Dump'!$B:$B,'Category Table'!$A223)</f>
        <v/>
      </c>
      <c r="W223" s="116">
        <f>SUMIFS('Committments Dump'!$Q:$Q,'Committments Dump'!$C:$C,'Category Table'!W$2,'Committments Dump'!$B:$B,'Category Table'!$A223)</f>
        <v/>
      </c>
      <c r="X223" s="115">
        <f>SUMIFS('Committments Dump'!$R:$R,'Committments Dump'!$C:$C,'Category Table'!X$2,'Committments Dump'!$B:$B,'Category Table'!$A223)</f>
        <v/>
      </c>
      <c r="Y223" s="116">
        <f>SUMIFS('Committments Dump'!$R:$R,'Committments Dump'!$C:$C,'Category Table'!Y$2,'Committments Dump'!$B:$B,'Category Table'!$A223)</f>
        <v/>
      </c>
      <c r="Z223" s="116">
        <f>SUMIFS('Committments Dump'!$R:$R,'Committments Dump'!$C:$C,'Category Table'!Z$2,'Committments Dump'!$B:$B,'Category Table'!$A223)</f>
        <v/>
      </c>
      <c r="AA223" s="115">
        <f>SUMIFS('Committments Dump'!$S:$S,'Committments Dump'!$C:$C,'Category Table'!AA$2,'Committments Dump'!$B:$B,'Category Table'!$A223)</f>
        <v/>
      </c>
      <c r="AB223" s="116">
        <f>SUMIFS('Committments Dump'!$S:$S,'Committments Dump'!$C:$C,'Category Table'!AB$2,'Committments Dump'!$B:$B,'Category Table'!$A223)</f>
        <v/>
      </c>
      <c r="AC223" s="116">
        <f>SUMIFS('Committments Dump'!$S:$S,'Committments Dump'!$C:$C,'Category Table'!AC$2,'Committments Dump'!$B:$B,'Category Table'!$A223)</f>
        <v/>
      </c>
      <c r="AD223" s="115">
        <f>U223+X223+AA223</f>
        <v/>
      </c>
      <c r="AE223" s="116">
        <f>V223+Y223+AB223</f>
        <v/>
      </c>
      <c r="AF223" s="116">
        <f>W223+Z223+AC223</f>
        <v/>
      </c>
      <c r="AG223" s="115">
        <f>R223+AD223</f>
        <v/>
      </c>
      <c r="AH223" s="116">
        <f>S223+AE223</f>
        <v/>
      </c>
      <c r="AI223" s="116">
        <f>T223+AF223</f>
        <v/>
      </c>
      <c r="AJ223" s="115" t="n"/>
      <c r="AK223" s="116" t="n"/>
      <c r="AL223" s="116" t="n"/>
      <c r="AM223" s="115">
        <f>(O223-AG223)+AJ223</f>
        <v/>
      </c>
      <c r="AN223" s="116">
        <f>(P223-AH223)+AK223</f>
        <v/>
      </c>
      <c r="AO223" s="116">
        <f>(Q223-AI223)+AL223</f>
        <v/>
      </c>
      <c r="AP223" s="93">
        <f>IF(AM223&gt;0, "Under",IF(AM223&lt;0,"Over",""))</f>
        <v/>
      </c>
      <c r="AQ223" s="94">
        <f>IF(AN223&gt;0, "Under",IF(AN223&lt;0,"Over",""))</f>
        <v/>
      </c>
      <c r="AR223" s="94">
        <f>IF(AO223&gt;0, "Under",IF(AO223&lt;0,"Over",""))</f>
        <v/>
      </c>
      <c r="AS223" s="3" t="n"/>
    </row>
    <row r="224">
      <c r="C224" s="113" t="n"/>
      <c r="D224" s="114" t="n"/>
      <c r="E224" s="114" t="n"/>
      <c r="F224" s="113" t="n"/>
      <c r="G224" s="114" t="n"/>
      <c r="H224" s="114" t="n"/>
      <c r="I224" s="113" t="n"/>
      <c r="J224" s="114" t="n"/>
      <c r="K224" s="114" t="n"/>
      <c r="L224" s="113" t="n"/>
      <c r="M224" s="114" t="n"/>
      <c r="N224" s="114" t="n"/>
      <c r="O224" s="113">
        <f>L224+I224+F224+C224</f>
        <v/>
      </c>
      <c r="P224" s="114">
        <f>M224+J224+G224+D224</f>
        <v/>
      </c>
      <c r="Q224" s="114">
        <f>N224+K224+H224+E224</f>
        <v/>
      </c>
      <c r="R224" s="113">
        <f>SUMIFS('PO Log'!$E:$E,'PO Log'!$D:$D,'Category Table'!R$2,'PO Log'!$C:$C,'Category Table'!$A224)</f>
        <v/>
      </c>
      <c r="S224" s="114">
        <f>SUMIFS('PO Log'!$E:$E,'PO Log'!$D:$D,'Category Table'!S$2,'PO Log'!$C:$C,'Category Table'!$A224)</f>
        <v/>
      </c>
      <c r="T224" s="114">
        <f>SUMIFS('PO Log'!$E:$E,'PO Log'!$D:$D,'Category Table'!T$2,'PO Log'!$C:$C,'Category Table'!$A224)</f>
        <v/>
      </c>
      <c r="U224" s="113">
        <f>SUMIFS('Committments Dump'!$Q:$Q,'Committments Dump'!$C:$C,'Category Table'!U$2,'Committments Dump'!$B:$B,'Category Table'!$A224)</f>
        <v/>
      </c>
      <c r="V224" s="114">
        <f>SUMIFS('Committments Dump'!$Q:$Q,'Committments Dump'!$C:$C,'Category Table'!V$2,'Committments Dump'!$B:$B,'Category Table'!$A224)</f>
        <v/>
      </c>
      <c r="W224" s="114">
        <f>SUMIFS('Committments Dump'!$Q:$Q,'Committments Dump'!$C:$C,'Category Table'!W$2,'Committments Dump'!$B:$B,'Category Table'!$A224)</f>
        <v/>
      </c>
      <c r="X224" s="113">
        <f>SUMIFS('Committments Dump'!$R:$R,'Committments Dump'!$C:$C,'Category Table'!X$2,'Committments Dump'!$B:$B,'Category Table'!$A224)</f>
        <v/>
      </c>
      <c r="Y224" s="114">
        <f>SUMIFS('Committments Dump'!$R:$R,'Committments Dump'!$C:$C,'Category Table'!Y$2,'Committments Dump'!$B:$B,'Category Table'!$A224)</f>
        <v/>
      </c>
      <c r="Z224" s="114">
        <f>SUMIFS('Committments Dump'!$R:$R,'Committments Dump'!$C:$C,'Category Table'!Z$2,'Committments Dump'!$B:$B,'Category Table'!$A224)</f>
        <v/>
      </c>
      <c r="AA224" s="113">
        <f>SUMIFS('Committments Dump'!$S:$S,'Committments Dump'!$C:$C,'Category Table'!AA$2,'Committments Dump'!$B:$B,'Category Table'!$A224)</f>
        <v/>
      </c>
      <c r="AB224" s="114">
        <f>SUMIFS('Committments Dump'!$S:$S,'Committments Dump'!$C:$C,'Category Table'!AB$2,'Committments Dump'!$B:$B,'Category Table'!$A224)</f>
        <v/>
      </c>
      <c r="AC224" s="114">
        <f>SUMIFS('Committments Dump'!$S:$S,'Committments Dump'!$C:$C,'Category Table'!AC$2,'Committments Dump'!$B:$B,'Category Table'!$A224)</f>
        <v/>
      </c>
      <c r="AD224" s="113">
        <f>U224+X224+AA224</f>
        <v/>
      </c>
      <c r="AE224" s="114">
        <f>V224+Y224+AB224</f>
        <v/>
      </c>
      <c r="AF224" s="114">
        <f>W224+Z224+AC224</f>
        <v/>
      </c>
      <c r="AG224" s="113">
        <f>R224+AD224</f>
        <v/>
      </c>
      <c r="AH224" s="114">
        <f>S224+AE224</f>
        <v/>
      </c>
      <c r="AI224" s="114">
        <f>T224+AF224</f>
        <v/>
      </c>
      <c r="AJ224" s="113" t="n"/>
      <c r="AK224" s="114" t="n"/>
      <c r="AL224" s="114" t="n"/>
      <c r="AM224" s="113">
        <f>(O224-AG224)+AJ224</f>
        <v/>
      </c>
      <c r="AN224" s="114">
        <f>(P224-AH224)+AK224</f>
        <v/>
      </c>
      <c r="AO224" s="114">
        <f>(Q224-AI224)+AL224</f>
        <v/>
      </c>
      <c r="AP224" s="2">
        <f>IF(AM224&gt;0, "Under",IF(AM224&lt;0,"Over",""))</f>
        <v/>
      </c>
      <c r="AQ224" s="1">
        <f>IF(AN224&gt;0, "Under",IF(AN224&lt;0,"Over",""))</f>
        <v/>
      </c>
      <c r="AR224" s="1">
        <f>IF(AO224&gt;0, "Under",IF(AO224&lt;0,"Over",""))</f>
        <v/>
      </c>
      <c r="AS224" s="3" t="n"/>
    </row>
    <row r="225">
      <c r="A225" s="90" t="n"/>
      <c r="B225" s="90" t="n"/>
      <c r="C225" s="115" t="n"/>
      <c r="D225" s="116" t="n"/>
      <c r="E225" s="116" t="n"/>
      <c r="F225" s="115" t="n"/>
      <c r="G225" s="116" t="n"/>
      <c r="H225" s="116" t="n"/>
      <c r="I225" s="115" t="n"/>
      <c r="J225" s="116" t="n"/>
      <c r="K225" s="116" t="n"/>
      <c r="L225" s="115" t="n"/>
      <c r="M225" s="116" t="n"/>
      <c r="N225" s="116" t="n"/>
      <c r="O225" s="115">
        <f>L225+I225+F225+C225</f>
        <v/>
      </c>
      <c r="P225" s="116">
        <f>M225+J225+G225+D225</f>
        <v/>
      </c>
      <c r="Q225" s="116">
        <f>N225+K225+H225+E225</f>
        <v/>
      </c>
      <c r="R225" s="115">
        <f>SUMIFS('PO Log'!$E:$E,'PO Log'!$D:$D,'Category Table'!R$2,'PO Log'!$C:$C,'Category Table'!$A225)</f>
        <v/>
      </c>
      <c r="S225" s="116">
        <f>SUMIFS('PO Log'!$E:$E,'PO Log'!$D:$D,'Category Table'!S$2,'PO Log'!$C:$C,'Category Table'!$A225)</f>
        <v/>
      </c>
      <c r="T225" s="116">
        <f>SUMIFS('PO Log'!$E:$E,'PO Log'!$D:$D,'Category Table'!T$2,'PO Log'!$C:$C,'Category Table'!$A225)</f>
        <v/>
      </c>
      <c r="U225" s="115">
        <f>SUMIFS('Committments Dump'!$Q:$Q,'Committments Dump'!$C:$C,'Category Table'!U$2,'Committments Dump'!$B:$B,'Category Table'!$A225)</f>
        <v/>
      </c>
      <c r="V225" s="116">
        <f>SUMIFS('Committments Dump'!$Q:$Q,'Committments Dump'!$C:$C,'Category Table'!V$2,'Committments Dump'!$B:$B,'Category Table'!$A225)</f>
        <v/>
      </c>
      <c r="W225" s="116">
        <f>SUMIFS('Committments Dump'!$Q:$Q,'Committments Dump'!$C:$C,'Category Table'!W$2,'Committments Dump'!$B:$B,'Category Table'!$A225)</f>
        <v/>
      </c>
      <c r="X225" s="115">
        <f>SUMIFS('Committments Dump'!$R:$R,'Committments Dump'!$C:$C,'Category Table'!X$2,'Committments Dump'!$B:$B,'Category Table'!$A225)</f>
        <v/>
      </c>
      <c r="Y225" s="116">
        <f>SUMIFS('Committments Dump'!$R:$R,'Committments Dump'!$C:$C,'Category Table'!Y$2,'Committments Dump'!$B:$B,'Category Table'!$A225)</f>
        <v/>
      </c>
      <c r="Z225" s="116">
        <f>SUMIFS('Committments Dump'!$R:$R,'Committments Dump'!$C:$C,'Category Table'!Z$2,'Committments Dump'!$B:$B,'Category Table'!$A225)</f>
        <v/>
      </c>
      <c r="AA225" s="115">
        <f>SUMIFS('Committments Dump'!$S:$S,'Committments Dump'!$C:$C,'Category Table'!AA$2,'Committments Dump'!$B:$B,'Category Table'!$A225)</f>
        <v/>
      </c>
      <c r="AB225" s="116">
        <f>SUMIFS('Committments Dump'!$S:$S,'Committments Dump'!$C:$C,'Category Table'!AB$2,'Committments Dump'!$B:$B,'Category Table'!$A225)</f>
        <v/>
      </c>
      <c r="AC225" s="116">
        <f>SUMIFS('Committments Dump'!$S:$S,'Committments Dump'!$C:$C,'Category Table'!AC$2,'Committments Dump'!$B:$B,'Category Table'!$A225)</f>
        <v/>
      </c>
      <c r="AD225" s="115">
        <f>U225+X225+AA225</f>
        <v/>
      </c>
      <c r="AE225" s="116">
        <f>V225+Y225+AB225</f>
        <v/>
      </c>
      <c r="AF225" s="116">
        <f>W225+Z225+AC225</f>
        <v/>
      </c>
      <c r="AG225" s="115">
        <f>R225+AD225</f>
        <v/>
      </c>
      <c r="AH225" s="116">
        <f>S225+AE225</f>
        <v/>
      </c>
      <c r="AI225" s="116">
        <f>T225+AF225</f>
        <v/>
      </c>
      <c r="AJ225" s="115" t="n"/>
      <c r="AK225" s="116" t="n"/>
      <c r="AL225" s="116" t="n"/>
      <c r="AM225" s="115">
        <f>(O225-AG225)+AJ225</f>
        <v/>
      </c>
      <c r="AN225" s="116">
        <f>(P225-AH225)+AK225</f>
        <v/>
      </c>
      <c r="AO225" s="116">
        <f>(Q225-AI225)+AL225</f>
        <v/>
      </c>
      <c r="AP225" s="93">
        <f>IF(AM225&gt;0, "Under",IF(AM225&lt;0,"Over",""))</f>
        <v/>
      </c>
      <c r="AQ225" s="94">
        <f>IF(AN225&gt;0, "Under",IF(AN225&lt;0,"Over",""))</f>
        <v/>
      </c>
      <c r="AR225" s="94">
        <f>IF(AO225&gt;0, "Under",IF(AO225&lt;0,"Over",""))</f>
        <v/>
      </c>
      <c r="AS225" s="3" t="n"/>
    </row>
    <row r="226">
      <c r="C226" s="113" t="n"/>
      <c r="D226" s="114" t="n"/>
      <c r="E226" s="114" t="n"/>
      <c r="F226" s="113" t="n"/>
      <c r="G226" s="114" t="n"/>
      <c r="H226" s="114" t="n"/>
      <c r="I226" s="113" t="n"/>
      <c r="J226" s="114" t="n"/>
      <c r="K226" s="114" t="n"/>
      <c r="L226" s="113" t="n"/>
      <c r="M226" s="114" t="n"/>
      <c r="N226" s="114" t="n"/>
      <c r="O226" s="113">
        <f>L226+I226+F226+C226</f>
        <v/>
      </c>
      <c r="P226" s="114">
        <f>M226+J226+G226+D226</f>
        <v/>
      </c>
      <c r="Q226" s="114">
        <f>N226+K226+H226+E226</f>
        <v/>
      </c>
      <c r="R226" s="113">
        <f>SUMIFS('PO Log'!$E:$E,'PO Log'!$D:$D,'Category Table'!R$2,'PO Log'!$C:$C,'Category Table'!$A226)</f>
        <v/>
      </c>
      <c r="S226" s="114">
        <f>SUMIFS('PO Log'!$E:$E,'PO Log'!$D:$D,'Category Table'!S$2,'PO Log'!$C:$C,'Category Table'!$A226)</f>
        <v/>
      </c>
      <c r="T226" s="114">
        <f>SUMIFS('PO Log'!$E:$E,'PO Log'!$D:$D,'Category Table'!T$2,'PO Log'!$C:$C,'Category Table'!$A226)</f>
        <v/>
      </c>
      <c r="U226" s="113">
        <f>SUMIFS('Committments Dump'!$Q:$Q,'Committments Dump'!$C:$C,'Category Table'!U$2,'Committments Dump'!$B:$B,'Category Table'!$A226)</f>
        <v/>
      </c>
      <c r="V226" s="114">
        <f>SUMIFS('Committments Dump'!$Q:$Q,'Committments Dump'!$C:$C,'Category Table'!V$2,'Committments Dump'!$B:$B,'Category Table'!$A226)</f>
        <v/>
      </c>
      <c r="W226" s="114">
        <f>SUMIFS('Committments Dump'!$Q:$Q,'Committments Dump'!$C:$C,'Category Table'!W$2,'Committments Dump'!$B:$B,'Category Table'!$A226)</f>
        <v/>
      </c>
      <c r="X226" s="113">
        <f>SUMIFS('Committments Dump'!$R:$R,'Committments Dump'!$C:$C,'Category Table'!X$2,'Committments Dump'!$B:$B,'Category Table'!$A226)</f>
        <v/>
      </c>
      <c r="Y226" s="114">
        <f>SUMIFS('Committments Dump'!$R:$R,'Committments Dump'!$C:$C,'Category Table'!Y$2,'Committments Dump'!$B:$B,'Category Table'!$A226)</f>
        <v/>
      </c>
      <c r="Z226" s="114">
        <f>SUMIFS('Committments Dump'!$R:$R,'Committments Dump'!$C:$C,'Category Table'!Z$2,'Committments Dump'!$B:$B,'Category Table'!$A226)</f>
        <v/>
      </c>
      <c r="AA226" s="113">
        <f>SUMIFS('Committments Dump'!$S:$S,'Committments Dump'!$C:$C,'Category Table'!AA$2,'Committments Dump'!$B:$B,'Category Table'!$A226)</f>
        <v/>
      </c>
      <c r="AB226" s="114">
        <f>SUMIFS('Committments Dump'!$S:$S,'Committments Dump'!$C:$C,'Category Table'!AB$2,'Committments Dump'!$B:$B,'Category Table'!$A226)</f>
        <v/>
      </c>
      <c r="AC226" s="114">
        <f>SUMIFS('Committments Dump'!$S:$S,'Committments Dump'!$C:$C,'Category Table'!AC$2,'Committments Dump'!$B:$B,'Category Table'!$A226)</f>
        <v/>
      </c>
      <c r="AD226" s="113">
        <f>U226+X226+AA226</f>
        <v/>
      </c>
      <c r="AE226" s="114">
        <f>V226+Y226+AB226</f>
        <v/>
      </c>
      <c r="AF226" s="114">
        <f>W226+Z226+AC226</f>
        <v/>
      </c>
      <c r="AG226" s="113">
        <f>R226+AD226</f>
        <v/>
      </c>
      <c r="AH226" s="114">
        <f>S226+AE226</f>
        <v/>
      </c>
      <c r="AI226" s="114">
        <f>T226+AF226</f>
        <v/>
      </c>
      <c r="AJ226" s="113" t="n"/>
      <c r="AK226" s="114" t="n"/>
      <c r="AL226" s="114" t="n"/>
      <c r="AM226" s="113">
        <f>(O226-AG226)+AJ226</f>
        <v/>
      </c>
      <c r="AN226" s="114">
        <f>(P226-AH226)+AK226</f>
        <v/>
      </c>
      <c r="AO226" s="114">
        <f>(Q226-AI226)+AL226</f>
        <v/>
      </c>
      <c r="AP226" s="2">
        <f>IF(AM226&gt;0, "Under",IF(AM226&lt;0,"Over",""))</f>
        <v/>
      </c>
      <c r="AQ226" s="1">
        <f>IF(AN226&gt;0, "Under",IF(AN226&lt;0,"Over",""))</f>
        <v/>
      </c>
      <c r="AR226" s="1">
        <f>IF(AO226&gt;0, "Under",IF(AO226&lt;0,"Over",""))</f>
        <v/>
      </c>
      <c r="AS226" s="3" t="n"/>
    </row>
    <row r="227">
      <c r="A227" s="90" t="n"/>
      <c r="B227" s="90" t="n"/>
      <c r="C227" s="115" t="n"/>
      <c r="D227" s="116" t="n"/>
      <c r="E227" s="116" t="n"/>
      <c r="F227" s="115" t="n"/>
      <c r="G227" s="116" t="n"/>
      <c r="H227" s="116" t="n"/>
      <c r="I227" s="115" t="n"/>
      <c r="J227" s="116" t="n"/>
      <c r="K227" s="116" t="n"/>
      <c r="L227" s="115" t="n"/>
      <c r="M227" s="116" t="n"/>
      <c r="N227" s="116" t="n"/>
      <c r="O227" s="115">
        <f>L227+I227+F227+C227</f>
        <v/>
      </c>
      <c r="P227" s="116">
        <f>M227+J227+G227+D227</f>
        <v/>
      </c>
      <c r="Q227" s="116">
        <f>N227+K227+H227+E227</f>
        <v/>
      </c>
      <c r="R227" s="115">
        <f>SUMIFS('PO Log'!$E:$E,'PO Log'!$D:$D,'Category Table'!R$2,'PO Log'!$C:$C,'Category Table'!$A227)</f>
        <v/>
      </c>
      <c r="S227" s="116">
        <f>SUMIFS('PO Log'!$E:$E,'PO Log'!$D:$D,'Category Table'!S$2,'PO Log'!$C:$C,'Category Table'!$A227)</f>
        <v/>
      </c>
      <c r="T227" s="116">
        <f>SUMIFS('PO Log'!$E:$E,'PO Log'!$D:$D,'Category Table'!T$2,'PO Log'!$C:$C,'Category Table'!$A227)</f>
        <v/>
      </c>
      <c r="U227" s="115">
        <f>SUMIFS('Committments Dump'!$Q:$Q,'Committments Dump'!$C:$C,'Category Table'!U$2,'Committments Dump'!$B:$B,'Category Table'!$A227)</f>
        <v/>
      </c>
      <c r="V227" s="116">
        <f>SUMIFS('Committments Dump'!$Q:$Q,'Committments Dump'!$C:$C,'Category Table'!V$2,'Committments Dump'!$B:$B,'Category Table'!$A227)</f>
        <v/>
      </c>
      <c r="W227" s="116">
        <f>SUMIFS('Committments Dump'!$Q:$Q,'Committments Dump'!$C:$C,'Category Table'!W$2,'Committments Dump'!$B:$B,'Category Table'!$A227)</f>
        <v/>
      </c>
      <c r="X227" s="115">
        <f>SUMIFS('Committments Dump'!$R:$R,'Committments Dump'!$C:$C,'Category Table'!X$2,'Committments Dump'!$B:$B,'Category Table'!$A227)</f>
        <v/>
      </c>
      <c r="Y227" s="116">
        <f>SUMIFS('Committments Dump'!$R:$R,'Committments Dump'!$C:$C,'Category Table'!Y$2,'Committments Dump'!$B:$B,'Category Table'!$A227)</f>
        <v/>
      </c>
      <c r="Z227" s="116">
        <f>SUMIFS('Committments Dump'!$R:$R,'Committments Dump'!$C:$C,'Category Table'!Z$2,'Committments Dump'!$B:$B,'Category Table'!$A227)</f>
        <v/>
      </c>
      <c r="AA227" s="115">
        <f>SUMIFS('Committments Dump'!$S:$S,'Committments Dump'!$C:$C,'Category Table'!AA$2,'Committments Dump'!$B:$B,'Category Table'!$A227)</f>
        <v/>
      </c>
      <c r="AB227" s="116">
        <f>SUMIFS('Committments Dump'!$S:$S,'Committments Dump'!$C:$C,'Category Table'!AB$2,'Committments Dump'!$B:$B,'Category Table'!$A227)</f>
        <v/>
      </c>
      <c r="AC227" s="116">
        <f>SUMIFS('Committments Dump'!$S:$S,'Committments Dump'!$C:$C,'Category Table'!AC$2,'Committments Dump'!$B:$B,'Category Table'!$A227)</f>
        <v/>
      </c>
      <c r="AD227" s="115">
        <f>U227+X227+AA227</f>
        <v/>
      </c>
      <c r="AE227" s="116">
        <f>V227+Y227+AB227</f>
        <v/>
      </c>
      <c r="AF227" s="116">
        <f>W227+Z227+AC227</f>
        <v/>
      </c>
      <c r="AG227" s="115">
        <f>R227+AD227</f>
        <v/>
      </c>
      <c r="AH227" s="116">
        <f>S227+AE227</f>
        <v/>
      </c>
      <c r="AI227" s="116">
        <f>T227+AF227</f>
        <v/>
      </c>
      <c r="AJ227" s="115" t="n"/>
      <c r="AK227" s="116" t="n"/>
      <c r="AL227" s="116" t="n"/>
      <c r="AM227" s="115">
        <f>(O227-AG227)+AJ227</f>
        <v/>
      </c>
      <c r="AN227" s="116">
        <f>(P227-AH227)+AK227</f>
        <v/>
      </c>
      <c r="AO227" s="116">
        <f>(Q227-AI227)+AL227</f>
        <v/>
      </c>
      <c r="AP227" s="93">
        <f>IF(AM227&gt;0, "Under",IF(AM227&lt;0,"Over",""))</f>
        <v/>
      </c>
      <c r="AQ227" s="94">
        <f>IF(AN227&gt;0, "Under",IF(AN227&lt;0,"Over",""))</f>
        <v/>
      </c>
      <c r="AR227" s="94">
        <f>IF(AO227&gt;0, "Under",IF(AO227&lt;0,"Over",""))</f>
        <v/>
      </c>
      <c r="AS227" s="3" t="n"/>
    </row>
    <row r="228">
      <c r="C228" s="113" t="n"/>
      <c r="D228" s="114" t="n"/>
      <c r="E228" s="114" t="n"/>
      <c r="F228" s="113" t="n"/>
      <c r="G228" s="114" t="n"/>
      <c r="H228" s="114" t="n"/>
      <c r="I228" s="113" t="n"/>
      <c r="J228" s="114" t="n"/>
      <c r="K228" s="114" t="n"/>
      <c r="L228" s="113" t="n"/>
      <c r="M228" s="114" t="n"/>
      <c r="N228" s="114" t="n"/>
      <c r="O228" s="113">
        <f>L228+I228+F228+C228</f>
        <v/>
      </c>
      <c r="P228" s="114">
        <f>M228+J228+G228+D228</f>
        <v/>
      </c>
      <c r="Q228" s="114">
        <f>N228+K228+H228+E228</f>
        <v/>
      </c>
      <c r="R228" s="113">
        <f>SUMIFS('PO Log'!$E:$E,'PO Log'!$D:$D,'Category Table'!R$2,'PO Log'!$C:$C,'Category Table'!$A228)</f>
        <v/>
      </c>
      <c r="S228" s="114">
        <f>SUMIFS('PO Log'!$E:$E,'PO Log'!$D:$D,'Category Table'!S$2,'PO Log'!$C:$C,'Category Table'!$A228)</f>
        <v/>
      </c>
      <c r="T228" s="114">
        <f>SUMIFS('PO Log'!$E:$E,'PO Log'!$D:$D,'Category Table'!T$2,'PO Log'!$C:$C,'Category Table'!$A228)</f>
        <v/>
      </c>
      <c r="U228" s="113">
        <f>SUMIFS('Committments Dump'!$Q:$Q,'Committments Dump'!$C:$C,'Category Table'!U$2,'Committments Dump'!$B:$B,'Category Table'!$A228)</f>
        <v/>
      </c>
      <c r="V228" s="114">
        <f>SUMIFS('Committments Dump'!$Q:$Q,'Committments Dump'!$C:$C,'Category Table'!V$2,'Committments Dump'!$B:$B,'Category Table'!$A228)</f>
        <v/>
      </c>
      <c r="W228" s="114">
        <f>SUMIFS('Committments Dump'!$Q:$Q,'Committments Dump'!$C:$C,'Category Table'!W$2,'Committments Dump'!$B:$B,'Category Table'!$A228)</f>
        <v/>
      </c>
      <c r="X228" s="113">
        <f>SUMIFS('Committments Dump'!$R:$R,'Committments Dump'!$C:$C,'Category Table'!X$2,'Committments Dump'!$B:$B,'Category Table'!$A228)</f>
        <v/>
      </c>
      <c r="Y228" s="114">
        <f>SUMIFS('Committments Dump'!$R:$R,'Committments Dump'!$C:$C,'Category Table'!Y$2,'Committments Dump'!$B:$B,'Category Table'!$A228)</f>
        <v/>
      </c>
      <c r="Z228" s="114">
        <f>SUMIFS('Committments Dump'!$R:$R,'Committments Dump'!$C:$C,'Category Table'!Z$2,'Committments Dump'!$B:$B,'Category Table'!$A228)</f>
        <v/>
      </c>
      <c r="AA228" s="113">
        <f>SUMIFS('Committments Dump'!$S:$S,'Committments Dump'!$C:$C,'Category Table'!AA$2,'Committments Dump'!$B:$B,'Category Table'!$A228)</f>
        <v/>
      </c>
      <c r="AB228" s="114">
        <f>SUMIFS('Committments Dump'!$S:$S,'Committments Dump'!$C:$C,'Category Table'!AB$2,'Committments Dump'!$B:$B,'Category Table'!$A228)</f>
        <v/>
      </c>
      <c r="AC228" s="114">
        <f>SUMIFS('Committments Dump'!$S:$S,'Committments Dump'!$C:$C,'Category Table'!AC$2,'Committments Dump'!$B:$B,'Category Table'!$A228)</f>
        <v/>
      </c>
      <c r="AD228" s="113">
        <f>U228+X228+AA228</f>
        <v/>
      </c>
      <c r="AE228" s="114">
        <f>V228+Y228+AB228</f>
        <v/>
      </c>
      <c r="AF228" s="114">
        <f>W228+Z228+AC228</f>
        <v/>
      </c>
      <c r="AG228" s="113">
        <f>R228+AD228</f>
        <v/>
      </c>
      <c r="AH228" s="114">
        <f>S228+AE228</f>
        <v/>
      </c>
      <c r="AI228" s="114">
        <f>T228+AF228</f>
        <v/>
      </c>
      <c r="AJ228" s="113" t="n"/>
      <c r="AK228" s="114" t="n"/>
      <c r="AL228" s="114" t="n"/>
      <c r="AM228" s="113">
        <f>(O228-AG228)+AJ228</f>
        <v/>
      </c>
      <c r="AN228" s="114">
        <f>(P228-AH228)+AK228</f>
        <v/>
      </c>
      <c r="AO228" s="114">
        <f>(Q228-AI228)+AL228</f>
        <v/>
      </c>
      <c r="AP228" s="2">
        <f>IF(AM228&gt;0, "Under",IF(AM228&lt;0,"Over",""))</f>
        <v/>
      </c>
      <c r="AQ228" s="1">
        <f>IF(AN228&gt;0, "Under",IF(AN228&lt;0,"Over",""))</f>
        <v/>
      </c>
      <c r="AR228" s="1">
        <f>IF(AO228&gt;0, "Under",IF(AO228&lt;0,"Over",""))</f>
        <v/>
      </c>
      <c r="AS228" s="3" t="n"/>
    </row>
    <row r="229">
      <c r="A229" s="90" t="n"/>
      <c r="B229" s="90" t="n"/>
      <c r="C229" s="115" t="n"/>
      <c r="D229" s="116" t="n"/>
      <c r="E229" s="116" t="n"/>
      <c r="F229" s="115" t="n"/>
      <c r="G229" s="116" t="n"/>
      <c r="H229" s="116" t="n"/>
      <c r="I229" s="115" t="n"/>
      <c r="J229" s="116" t="n"/>
      <c r="K229" s="116" t="n"/>
      <c r="L229" s="115" t="n"/>
      <c r="M229" s="116" t="n"/>
      <c r="N229" s="116" t="n"/>
      <c r="O229" s="115">
        <f>L229+I229+F229+C229</f>
        <v/>
      </c>
      <c r="P229" s="116">
        <f>M229+J229+G229+D229</f>
        <v/>
      </c>
      <c r="Q229" s="116">
        <f>N229+K229+H229+E229</f>
        <v/>
      </c>
      <c r="R229" s="115">
        <f>SUMIFS('PO Log'!$E:$E,'PO Log'!$D:$D,'Category Table'!R$2,'PO Log'!$C:$C,'Category Table'!$A229)</f>
        <v/>
      </c>
      <c r="S229" s="116">
        <f>SUMIFS('PO Log'!$E:$E,'PO Log'!$D:$D,'Category Table'!S$2,'PO Log'!$C:$C,'Category Table'!$A229)</f>
        <v/>
      </c>
      <c r="T229" s="116">
        <f>SUMIFS('PO Log'!$E:$E,'PO Log'!$D:$D,'Category Table'!T$2,'PO Log'!$C:$C,'Category Table'!$A229)</f>
        <v/>
      </c>
      <c r="U229" s="115">
        <f>SUMIFS('Committments Dump'!$Q:$Q,'Committments Dump'!$C:$C,'Category Table'!U$2,'Committments Dump'!$B:$B,'Category Table'!$A229)</f>
        <v/>
      </c>
      <c r="V229" s="116">
        <f>SUMIFS('Committments Dump'!$Q:$Q,'Committments Dump'!$C:$C,'Category Table'!V$2,'Committments Dump'!$B:$B,'Category Table'!$A229)</f>
        <v/>
      </c>
      <c r="W229" s="116">
        <f>SUMIFS('Committments Dump'!$Q:$Q,'Committments Dump'!$C:$C,'Category Table'!W$2,'Committments Dump'!$B:$B,'Category Table'!$A229)</f>
        <v/>
      </c>
      <c r="X229" s="115">
        <f>SUMIFS('Committments Dump'!$R:$R,'Committments Dump'!$C:$C,'Category Table'!X$2,'Committments Dump'!$B:$B,'Category Table'!$A229)</f>
        <v/>
      </c>
      <c r="Y229" s="116">
        <f>SUMIFS('Committments Dump'!$R:$R,'Committments Dump'!$C:$C,'Category Table'!Y$2,'Committments Dump'!$B:$B,'Category Table'!$A229)</f>
        <v/>
      </c>
      <c r="Z229" s="116">
        <f>SUMIFS('Committments Dump'!$R:$R,'Committments Dump'!$C:$C,'Category Table'!Z$2,'Committments Dump'!$B:$B,'Category Table'!$A229)</f>
        <v/>
      </c>
      <c r="AA229" s="115">
        <f>SUMIFS('Committments Dump'!$S:$S,'Committments Dump'!$C:$C,'Category Table'!AA$2,'Committments Dump'!$B:$B,'Category Table'!$A229)</f>
        <v/>
      </c>
      <c r="AB229" s="116">
        <f>SUMIFS('Committments Dump'!$S:$S,'Committments Dump'!$C:$C,'Category Table'!AB$2,'Committments Dump'!$B:$B,'Category Table'!$A229)</f>
        <v/>
      </c>
      <c r="AC229" s="116">
        <f>SUMIFS('Committments Dump'!$S:$S,'Committments Dump'!$C:$C,'Category Table'!AC$2,'Committments Dump'!$B:$B,'Category Table'!$A229)</f>
        <v/>
      </c>
      <c r="AD229" s="115">
        <f>U229+X229+AA229</f>
        <v/>
      </c>
      <c r="AE229" s="116">
        <f>V229+Y229+AB229</f>
        <v/>
      </c>
      <c r="AF229" s="116">
        <f>W229+Z229+AC229</f>
        <v/>
      </c>
      <c r="AG229" s="115">
        <f>R229+AD229</f>
        <v/>
      </c>
      <c r="AH229" s="116">
        <f>S229+AE229</f>
        <v/>
      </c>
      <c r="AI229" s="116">
        <f>T229+AF229</f>
        <v/>
      </c>
      <c r="AJ229" s="115" t="n"/>
      <c r="AK229" s="116" t="n"/>
      <c r="AL229" s="116" t="n"/>
      <c r="AM229" s="115">
        <f>(O229-AG229)+AJ229</f>
        <v/>
      </c>
      <c r="AN229" s="116">
        <f>(P229-AH229)+AK229</f>
        <v/>
      </c>
      <c r="AO229" s="116">
        <f>(Q229-AI229)+AL229</f>
        <v/>
      </c>
      <c r="AP229" s="93">
        <f>IF(AM229&gt;0, "Under",IF(AM229&lt;0,"Over",""))</f>
        <v/>
      </c>
      <c r="AQ229" s="94">
        <f>IF(AN229&gt;0, "Under",IF(AN229&lt;0,"Over",""))</f>
        <v/>
      </c>
      <c r="AR229" s="94">
        <f>IF(AO229&gt;0, "Under",IF(AO229&lt;0,"Over",""))</f>
        <v/>
      </c>
      <c r="AS229" s="3" t="n"/>
    </row>
    <row r="230">
      <c r="C230" s="113" t="n"/>
      <c r="D230" s="114" t="n"/>
      <c r="E230" s="114" t="n"/>
      <c r="F230" s="113" t="n"/>
      <c r="G230" s="114" t="n"/>
      <c r="H230" s="114" t="n"/>
      <c r="I230" s="113" t="n"/>
      <c r="J230" s="114" t="n"/>
      <c r="K230" s="114" t="n"/>
      <c r="L230" s="113" t="n"/>
      <c r="M230" s="114" t="n"/>
      <c r="N230" s="114" t="n"/>
      <c r="O230" s="113">
        <f>L230+I230+F230+C230</f>
        <v/>
      </c>
      <c r="P230" s="114">
        <f>M230+J230+G230+D230</f>
        <v/>
      </c>
      <c r="Q230" s="114">
        <f>N230+K230+H230+E230</f>
        <v/>
      </c>
      <c r="R230" s="113">
        <f>SUMIFS('PO Log'!$E:$E,'PO Log'!$D:$D,'Category Table'!R$2,'PO Log'!$C:$C,'Category Table'!$A230)</f>
        <v/>
      </c>
      <c r="S230" s="114">
        <f>SUMIFS('PO Log'!$E:$E,'PO Log'!$D:$D,'Category Table'!S$2,'PO Log'!$C:$C,'Category Table'!$A230)</f>
        <v/>
      </c>
      <c r="T230" s="114">
        <f>SUMIFS('PO Log'!$E:$E,'PO Log'!$D:$D,'Category Table'!T$2,'PO Log'!$C:$C,'Category Table'!$A230)</f>
        <v/>
      </c>
      <c r="U230" s="113">
        <f>SUMIFS('Committments Dump'!$Q:$Q,'Committments Dump'!$C:$C,'Category Table'!U$2,'Committments Dump'!$B:$B,'Category Table'!$A230)</f>
        <v/>
      </c>
      <c r="V230" s="114">
        <f>SUMIFS('Committments Dump'!$Q:$Q,'Committments Dump'!$C:$C,'Category Table'!V$2,'Committments Dump'!$B:$B,'Category Table'!$A230)</f>
        <v/>
      </c>
      <c r="W230" s="114">
        <f>SUMIFS('Committments Dump'!$Q:$Q,'Committments Dump'!$C:$C,'Category Table'!W$2,'Committments Dump'!$B:$B,'Category Table'!$A230)</f>
        <v/>
      </c>
      <c r="X230" s="113">
        <f>SUMIFS('Committments Dump'!$R:$R,'Committments Dump'!$C:$C,'Category Table'!X$2,'Committments Dump'!$B:$B,'Category Table'!$A230)</f>
        <v/>
      </c>
      <c r="Y230" s="114">
        <f>SUMIFS('Committments Dump'!$R:$R,'Committments Dump'!$C:$C,'Category Table'!Y$2,'Committments Dump'!$B:$B,'Category Table'!$A230)</f>
        <v/>
      </c>
      <c r="Z230" s="114">
        <f>SUMIFS('Committments Dump'!$R:$R,'Committments Dump'!$C:$C,'Category Table'!Z$2,'Committments Dump'!$B:$B,'Category Table'!$A230)</f>
        <v/>
      </c>
      <c r="AA230" s="113">
        <f>SUMIFS('Committments Dump'!$S:$S,'Committments Dump'!$C:$C,'Category Table'!AA$2,'Committments Dump'!$B:$B,'Category Table'!$A230)</f>
        <v/>
      </c>
      <c r="AB230" s="114">
        <f>SUMIFS('Committments Dump'!$S:$S,'Committments Dump'!$C:$C,'Category Table'!AB$2,'Committments Dump'!$B:$B,'Category Table'!$A230)</f>
        <v/>
      </c>
      <c r="AC230" s="114">
        <f>SUMIFS('Committments Dump'!$S:$S,'Committments Dump'!$C:$C,'Category Table'!AC$2,'Committments Dump'!$B:$B,'Category Table'!$A230)</f>
        <v/>
      </c>
      <c r="AD230" s="113">
        <f>U230+X230+AA230</f>
        <v/>
      </c>
      <c r="AE230" s="114">
        <f>V230+Y230+AB230</f>
        <v/>
      </c>
      <c r="AF230" s="114">
        <f>W230+Z230+AC230</f>
        <v/>
      </c>
      <c r="AG230" s="113">
        <f>R230+AD230</f>
        <v/>
      </c>
      <c r="AH230" s="114">
        <f>S230+AE230</f>
        <v/>
      </c>
      <c r="AI230" s="114">
        <f>T230+AF230</f>
        <v/>
      </c>
      <c r="AJ230" s="113" t="n"/>
      <c r="AK230" s="114" t="n"/>
      <c r="AL230" s="114" t="n"/>
      <c r="AM230" s="113">
        <f>(O230-AG230)+AJ230</f>
        <v/>
      </c>
      <c r="AN230" s="114">
        <f>(P230-AH230)+AK230</f>
        <v/>
      </c>
      <c r="AO230" s="114">
        <f>(Q230-AI230)+AL230</f>
        <v/>
      </c>
      <c r="AP230" s="2">
        <f>IF(AM230&gt;0, "Under",IF(AM230&lt;0,"Over",""))</f>
        <v/>
      </c>
      <c r="AQ230" s="1">
        <f>IF(AN230&gt;0, "Under",IF(AN230&lt;0,"Over",""))</f>
        <v/>
      </c>
      <c r="AR230" s="1">
        <f>IF(AO230&gt;0, "Under",IF(AO230&lt;0,"Over",""))</f>
        <v/>
      </c>
      <c r="AS230" s="3" t="n"/>
    </row>
    <row r="231">
      <c r="A231" s="90" t="n"/>
      <c r="B231" s="90" t="n"/>
      <c r="C231" s="115" t="n"/>
      <c r="D231" s="116" t="n"/>
      <c r="E231" s="116" t="n"/>
      <c r="F231" s="115" t="n"/>
      <c r="G231" s="116" t="n"/>
      <c r="H231" s="116" t="n"/>
      <c r="I231" s="115" t="n"/>
      <c r="J231" s="116" t="n"/>
      <c r="K231" s="116" t="n"/>
      <c r="L231" s="115" t="n"/>
      <c r="M231" s="116" t="n"/>
      <c r="N231" s="116" t="n"/>
      <c r="O231" s="115">
        <f>L231+I231+F231+C231</f>
        <v/>
      </c>
      <c r="P231" s="116">
        <f>M231+J231+G231+D231</f>
        <v/>
      </c>
      <c r="Q231" s="116">
        <f>N231+K231+H231+E231</f>
        <v/>
      </c>
      <c r="R231" s="115">
        <f>SUMIFS('PO Log'!$E:$E,'PO Log'!$D:$D,'Category Table'!R$2,'PO Log'!$C:$C,'Category Table'!$A231)</f>
        <v/>
      </c>
      <c r="S231" s="116">
        <f>SUMIFS('PO Log'!$E:$E,'PO Log'!$D:$D,'Category Table'!S$2,'PO Log'!$C:$C,'Category Table'!$A231)</f>
        <v/>
      </c>
      <c r="T231" s="116">
        <f>SUMIFS('PO Log'!$E:$E,'PO Log'!$D:$D,'Category Table'!T$2,'PO Log'!$C:$C,'Category Table'!$A231)</f>
        <v/>
      </c>
      <c r="U231" s="115">
        <f>SUMIFS('Committments Dump'!$Q:$Q,'Committments Dump'!$C:$C,'Category Table'!U$2,'Committments Dump'!$B:$B,'Category Table'!$A231)</f>
        <v/>
      </c>
      <c r="V231" s="116">
        <f>SUMIFS('Committments Dump'!$Q:$Q,'Committments Dump'!$C:$C,'Category Table'!V$2,'Committments Dump'!$B:$B,'Category Table'!$A231)</f>
        <v/>
      </c>
      <c r="W231" s="116">
        <f>SUMIFS('Committments Dump'!$Q:$Q,'Committments Dump'!$C:$C,'Category Table'!W$2,'Committments Dump'!$B:$B,'Category Table'!$A231)</f>
        <v/>
      </c>
      <c r="X231" s="115">
        <f>SUMIFS('Committments Dump'!$R:$R,'Committments Dump'!$C:$C,'Category Table'!X$2,'Committments Dump'!$B:$B,'Category Table'!$A231)</f>
        <v/>
      </c>
      <c r="Y231" s="116">
        <f>SUMIFS('Committments Dump'!$R:$R,'Committments Dump'!$C:$C,'Category Table'!Y$2,'Committments Dump'!$B:$B,'Category Table'!$A231)</f>
        <v/>
      </c>
      <c r="Z231" s="116">
        <f>SUMIFS('Committments Dump'!$R:$R,'Committments Dump'!$C:$C,'Category Table'!Z$2,'Committments Dump'!$B:$B,'Category Table'!$A231)</f>
        <v/>
      </c>
      <c r="AA231" s="115">
        <f>SUMIFS('Committments Dump'!$S:$S,'Committments Dump'!$C:$C,'Category Table'!AA$2,'Committments Dump'!$B:$B,'Category Table'!$A231)</f>
        <v/>
      </c>
      <c r="AB231" s="116">
        <f>SUMIFS('Committments Dump'!$S:$S,'Committments Dump'!$C:$C,'Category Table'!AB$2,'Committments Dump'!$B:$B,'Category Table'!$A231)</f>
        <v/>
      </c>
      <c r="AC231" s="116">
        <f>SUMIFS('Committments Dump'!$S:$S,'Committments Dump'!$C:$C,'Category Table'!AC$2,'Committments Dump'!$B:$B,'Category Table'!$A231)</f>
        <v/>
      </c>
      <c r="AD231" s="115">
        <f>U231+X231+AA231</f>
        <v/>
      </c>
      <c r="AE231" s="116">
        <f>V231+Y231+AB231</f>
        <v/>
      </c>
      <c r="AF231" s="116">
        <f>W231+Z231+AC231</f>
        <v/>
      </c>
      <c r="AG231" s="115">
        <f>R231+AD231</f>
        <v/>
      </c>
      <c r="AH231" s="116">
        <f>S231+AE231</f>
        <v/>
      </c>
      <c r="AI231" s="116">
        <f>T231+AF231</f>
        <v/>
      </c>
      <c r="AJ231" s="115" t="n"/>
      <c r="AK231" s="116" t="n"/>
      <c r="AL231" s="116" t="n"/>
      <c r="AM231" s="115">
        <f>(O231-AG231)+AJ231</f>
        <v/>
      </c>
      <c r="AN231" s="116">
        <f>(P231-AH231)+AK231</f>
        <v/>
      </c>
      <c r="AO231" s="116">
        <f>(Q231-AI231)+AL231</f>
        <v/>
      </c>
      <c r="AP231" s="93">
        <f>IF(AM231&gt;0, "Under",IF(AM231&lt;0,"Over",""))</f>
        <v/>
      </c>
      <c r="AQ231" s="94">
        <f>IF(AN231&gt;0, "Under",IF(AN231&lt;0,"Over",""))</f>
        <v/>
      </c>
      <c r="AR231" s="94">
        <f>IF(AO231&gt;0, "Under",IF(AO231&lt;0,"Over",""))</f>
        <v/>
      </c>
      <c r="AS231" s="3" t="n"/>
    </row>
    <row r="232">
      <c r="C232" s="113" t="n"/>
      <c r="D232" s="114" t="n"/>
      <c r="E232" s="114" t="n"/>
      <c r="F232" s="113" t="n"/>
      <c r="G232" s="114" t="n"/>
      <c r="H232" s="114" t="n"/>
      <c r="I232" s="113" t="n"/>
      <c r="J232" s="114" t="n"/>
      <c r="K232" s="114" t="n"/>
      <c r="L232" s="113" t="n"/>
      <c r="M232" s="114" t="n"/>
      <c r="N232" s="114" t="n"/>
      <c r="O232" s="113">
        <f>L232+I232+F232+C232</f>
        <v/>
      </c>
      <c r="P232" s="114">
        <f>M232+J232+G232+D232</f>
        <v/>
      </c>
      <c r="Q232" s="114">
        <f>N232+K232+H232+E232</f>
        <v/>
      </c>
      <c r="R232" s="113">
        <f>SUMIFS('PO Log'!$E:$E,'PO Log'!$D:$D,'Category Table'!R$2,'PO Log'!$C:$C,'Category Table'!$A232)</f>
        <v/>
      </c>
      <c r="S232" s="114">
        <f>SUMIFS('PO Log'!$E:$E,'PO Log'!$D:$D,'Category Table'!S$2,'PO Log'!$C:$C,'Category Table'!$A232)</f>
        <v/>
      </c>
      <c r="T232" s="114">
        <f>SUMIFS('PO Log'!$E:$E,'PO Log'!$D:$D,'Category Table'!T$2,'PO Log'!$C:$C,'Category Table'!$A232)</f>
        <v/>
      </c>
      <c r="U232" s="113">
        <f>SUMIFS('Committments Dump'!$Q:$Q,'Committments Dump'!$C:$C,'Category Table'!U$2,'Committments Dump'!$B:$B,'Category Table'!$A232)</f>
        <v/>
      </c>
      <c r="V232" s="114">
        <f>SUMIFS('Committments Dump'!$Q:$Q,'Committments Dump'!$C:$C,'Category Table'!V$2,'Committments Dump'!$B:$B,'Category Table'!$A232)</f>
        <v/>
      </c>
      <c r="W232" s="114">
        <f>SUMIFS('Committments Dump'!$Q:$Q,'Committments Dump'!$C:$C,'Category Table'!W$2,'Committments Dump'!$B:$B,'Category Table'!$A232)</f>
        <v/>
      </c>
      <c r="X232" s="113">
        <f>SUMIFS('Committments Dump'!$R:$R,'Committments Dump'!$C:$C,'Category Table'!X$2,'Committments Dump'!$B:$B,'Category Table'!$A232)</f>
        <v/>
      </c>
      <c r="Y232" s="114">
        <f>SUMIFS('Committments Dump'!$R:$R,'Committments Dump'!$C:$C,'Category Table'!Y$2,'Committments Dump'!$B:$B,'Category Table'!$A232)</f>
        <v/>
      </c>
      <c r="Z232" s="114">
        <f>SUMIFS('Committments Dump'!$R:$R,'Committments Dump'!$C:$C,'Category Table'!Z$2,'Committments Dump'!$B:$B,'Category Table'!$A232)</f>
        <v/>
      </c>
      <c r="AA232" s="113">
        <f>SUMIFS('Committments Dump'!$S:$S,'Committments Dump'!$C:$C,'Category Table'!AA$2,'Committments Dump'!$B:$B,'Category Table'!$A232)</f>
        <v/>
      </c>
      <c r="AB232" s="114">
        <f>SUMIFS('Committments Dump'!$S:$S,'Committments Dump'!$C:$C,'Category Table'!AB$2,'Committments Dump'!$B:$B,'Category Table'!$A232)</f>
        <v/>
      </c>
      <c r="AC232" s="114">
        <f>SUMIFS('Committments Dump'!$S:$S,'Committments Dump'!$C:$C,'Category Table'!AC$2,'Committments Dump'!$B:$B,'Category Table'!$A232)</f>
        <v/>
      </c>
      <c r="AD232" s="113">
        <f>U232+X232+AA232</f>
        <v/>
      </c>
      <c r="AE232" s="114">
        <f>V232+Y232+AB232</f>
        <v/>
      </c>
      <c r="AF232" s="114">
        <f>W232+Z232+AC232</f>
        <v/>
      </c>
      <c r="AG232" s="113">
        <f>R232+AD232</f>
        <v/>
      </c>
      <c r="AH232" s="114">
        <f>S232+AE232</f>
        <v/>
      </c>
      <c r="AI232" s="114">
        <f>T232+AF232</f>
        <v/>
      </c>
      <c r="AJ232" s="113" t="n"/>
      <c r="AK232" s="114" t="n"/>
      <c r="AL232" s="114" t="n"/>
      <c r="AM232" s="113">
        <f>(O232-AG232)+AJ232</f>
        <v/>
      </c>
      <c r="AN232" s="114">
        <f>(P232-AH232)+AK232</f>
        <v/>
      </c>
      <c r="AO232" s="114">
        <f>(Q232-AI232)+AL232</f>
        <v/>
      </c>
      <c r="AP232" s="2">
        <f>IF(AM232&gt;0, "Under",IF(AM232&lt;0,"Over",""))</f>
        <v/>
      </c>
      <c r="AQ232" s="1">
        <f>IF(AN232&gt;0, "Under",IF(AN232&lt;0,"Over",""))</f>
        <v/>
      </c>
      <c r="AR232" s="1">
        <f>IF(AO232&gt;0, "Under",IF(AO232&lt;0,"Over",""))</f>
        <v/>
      </c>
      <c r="AS232" s="3" t="n"/>
    </row>
    <row r="233">
      <c r="A233" s="90" t="n"/>
      <c r="B233" s="90" t="n"/>
      <c r="C233" s="115" t="n"/>
      <c r="D233" s="116" t="n"/>
      <c r="E233" s="116" t="n"/>
      <c r="F233" s="115" t="n"/>
      <c r="G233" s="116" t="n"/>
      <c r="H233" s="116" t="n"/>
      <c r="I233" s="115" t="n"/>
      <c r="J233" s="116" t="n"/>
      <c r="K233" s="116" t="n"/>
      <c r="L233" s="115" t="n"/>
      <c r="M233" s="116" t="n"/>
      <c r="N233" s="116" t="n"/>
      <c r="O233" s="115">
        <f>L233+I233+F233+C233</f>
        <v/>
      </c>
      <c r="P233" s="116">
        <f>M233+J233+G233+D233</f>
        <v/>
      </c>
      <c r="Q233" s="116">
        <f>N233+K233+H233+E233</f>
        <v/>
      </c>
      <c r="R233" s="115">
        <f>SUMIFS('PO Log'!$E:$E,'PO Log'!$D:$D,'Category Table'!R$2,'PO Log'!$C:$C,'Category Table'!$A233)</f>
        <v/>
      </c>
      <c r="S233" s="116">
        <f>SUMIFS('PO Log'!$E:$E,'PO Log'!$D:$D,'Category Table'!S$2,'PO Log'!$C:$C,'Category Table'!$A233)</f>
        <v/>
      </c>
      <c r="T233" s="116">
        <f>SUMIFS('PO Log'!$E:$E,'PO Log'!$D:$D,'Category Table'!T$2,'PO Log'!$C:$C,'Category Table'!$A233)</f>
        <v/>
      </c>
      <c r="U233" s="115">
        <f>SUMIFS('Committments Dump'!$Q:$Q,'Committments Dump'!$C:$C,'Category Table'!U$2,'Committments Dump'!$B:$B,'Category Table'!$A233)</f>
        <v/>
      </c>
      <c r="V233" s="116">
        <f>SUMIFS('Committments Dump'!$Q:$Q,'Committments Dump'!$C:$C,'Category Table'!V$2,'Committments Dump'!$B:$B,'Category Table'!$A233)</f>
        <v/>
      </c>
      <c r="W233" s="116">
        <f>SUMIFS('Committments Dump'!$Q:$Q,'Committments Dump'!$C:$C,'Category Table'!W$2,'Committments Dump'!$B:$B,'Category Table'!$A233)</f>
        <v/>
      </c>
      <c r="X233" s="115">
        <f>SUMIFS('Committments Dump'!$R:$R,'Committments Dump'!$C:$C,'Category Table'!X$2,'Committments Dump'!$B:$B,'Category Table'!$A233)</f>
        <v/>
      </c>
      <c r="Y233" s="116">
        <f>SUMIFS('Committments Dump'!$R:$R,'Committments Dump'!$C:$C,'Category Table'!Y$2,'Committments Dump'!$B:$B,'Category Table'!$A233)</f>
        <v/>
      </c>
      <c r="Z233" s="116">
        <f>SUMIFS('Committments Dump'!$R:$R,'Committments Dump'!$C:$C,'Category Table'!Z$2,'Committments Dump'!$B:$B,'Category Table'!$A233)</f>
        <v/>
      </c>
      <c r="AA233" s="115">
        <f>SUMIFS('Committments Dump'!$S:$S,'Committments Dump'!$C:$C,'Category Table'!AA$2,'Committments Dump'!$B:$B,'Category Table'!$A233)</f>
        <v/>
      </c>
      <c r="AB233" s="116">
        <f>SUMIFS('Committments Dump'!$S:$S,'Committments Dump'!$C:$C,'Category Table'!AB$2,'Committments Dump'!$B:$B,'Category Table'!$A233)</f>
        <v/>
      </c>
      <c r="AC233" s="116">
        <f>SUMIFS('Committments Dump'!$S:$S,'Committments Dump'!$C:$C,'Category Table'!AC$2,'Committments Dump'!$B:$B,'Category Table'!$A233)</f>
        <v/>
      </c>
      <c r="AD233" s="115">
        <f>U233+X233+AA233</f>
        <v/>
      </c>
      <c r="AE233" s="116">
        <f>V233+Y233+AB233</f>
        <v/>
      </c>
      <c r="AF233" s="116">
        <f>W233+Z233+AC233</f>
        <v/>
      </c>
      <c r="AG233" s="115">
        <f>R233+AD233</f>
        <v/>
      </c>
      <c r="AH233" s="116">
        <f>S233+AE233</f>
        <v/>
      </c>
      <c r="AI233" s="116">
        <f>T233+AF233</f>
        <v/>
      </c>
      <c r="AJ233" s="115" t="n"/>
      <c r="AK233" s="116" t="n"/>
      <c r="AL233" s="116" t="n"/>
      <c r="AM233" s="115">
        <f>(O233-AG233)+AJ233</f>
        <v/>
      </c>
      <c r="AN233" s="116">
        <f>(P233-AH233)+AK233</f>
        <v/>
      </c>
      <c r="AO233" s="116">
        <f>(Q233-AI233)+AL233</f>
        <v/>
      </c>
      <c r="AP233" s="93">
        <f>IF(AM233&gt;0, "Under",IF(AM233&lt;0,"Over",""))</f>
        <v/>
      </c>
      <c r="AQ233" s="94">
        <f>IF(AN233&gt;0, "Under",IF(AN233&lt;0,"Over",""))</f>
        <v/>
      </c>
      <c r="AR233" s="94">
        <f>IF(AO233&gt;0, "Under",IF(AO233&lt;0,"Over",""))</f>
        <v/>
      </c>
      <c r="AS233" s="3" t="n"/>
    </row>
    <row r="234">
      <c r="C234" s="113" t="n"/>
      <c r="D234" s="114" t="n"/>
      <c r="E234" s="114" t="n"/>
      <c r="F234" s="113" t="n"/>
      <c r="G234" s="114" t="n"/>
      <c r="H234" s="114" t="n"/>
      <c r="I234" s="113" t="n"/>
      <c r="J234" s="114" t="n"/>
      <c r="K234" s="114" t="n"/>
      <c r="L234" s="113" t="n"/>
      <c r="M234" s="114" t="n"/>
      <c r="N234" s="114" t="n"/>
      <c r="O234" s="113">
        <f>L234+I234+F234+C234</f>
        <v/>
      </c>
      <c r="P234" s="114">
        <f>M234+J234+G234+D234</f>
        <v/>
      </c>
      <c r="Q234" s="114">
        <f>N234+K234+H234+E234</f>
        <v/>
      </c>
      <c r="R234" s="113">
        <f>SUMIFS('PO Log'!$E:$E,'PO Log'!$D:$D,'Category Table'!R$2,'PO Log'!$C:$C,'Category Table'!$A234)</f>
        <v/>
      </c>
      <c r="S234" s="114">
        <f>SUMIFS('PO Log'!$E:$E,'PO Log'!$D:$D,'Category Table'!S$2,'PO Log'!$C:$C,'Category Table'!$A234)</f>
        <v/>
      </c>
      <c r="T234" s="114">
        <f>SUMIFS('PO Log'!$E:$E,'PO Log'!$D:$D,'Category Table'!T$2,'PO Log'!$C:$C,'Category Table'!$A234)</f>
        <v/>
      </c>
      <c r="U234" s="113">
        <f>SUMIFS('Committments Dump'!$Q:$Q,'Committments Dump'!$C:$C,'Category Table'!U$2,'Committments Dump'!$B:$B,'Category Table'!$A234)</f>
        <v/>
      </c>
      <c r="V234" s="114">
        <f>SUMIFS('Committments Dump'!$Q:$Q,'Committments Dump'!$C:$C,'Category Table'!V$2,'Committments Dump'!$B:$B,'Category Table'!$A234)</f>
        <v/>
      </c>
      <c r="W234" s="114">
        <f>SUMIFS('Committments Dump'!$Q:$Q,'Committments Dump'!$C:$C,'Category Table'!W$2,'Committments Dump'!$B:$B,'Category Table'!$A234)</f>
        <v/>
      </c>
      <c r="X234" s="113">
        <f>SUMIFS('Committments Dump'!$R:$R,'Committments Dump'!$C:$C,'Category Table'!X$2,'Committments Dump'!$B:$B,'Category Table'!$A234)</f>
        <v/>
      </c>
      <c r="Y234" s="114">
        <f>SUMIFS('Committments Dump'!$R:$R,'Committments Dump'!$C:$C,'Category Table'!Y$2,'Committments Dump'!$B:$B,'Category Table'!$A234)</f>
        <v/>
      </c>
      <c r="Z234" s="114">
        <f>SUMIFS('Committments Dump'!$R:$R,'Committments Dump'!$C:$C,'Category Table'!Z$2,'Committments Dump'!$B:$B,'Category Table'!$A234)</f>
        <v/>
      </c>
      <c r="AA234" s="113">
        <f>SUMIFS('Committments Dump'!$S:$S,'Committments Dump'!$C:$C,'Category Table'!AA$2,'Committments Dump'!$B:$B,'Category Table'!$A234)</f>
        <v/>
      </c>
      <c r="AB234" s="114">
        <f>SUMIFS('Committments Dump'!$S:$S,'Committments Dump'!$C:$C,'Category Table'!AB$2,'Committments Dump'!$B:$B,'Category Table'!$A234)</f>
        <v/>
      </c>
      <c r="AC234" s="114">
        <f>SUMIFS('Committments Dump'!$S:$S,'Committments Dump'!$C:$C,'Category Table'!AC$2,'Committments Dump'!$B:$B,'Category Table'!$A234)</f>
        <v/>
      </c>
      <c r="AD234" s="113">
        <f>U234+X234+AA234</f>
        <v/>
      </c>
      <c r="AE234" s="114">
        <f>V234+Y234+AB234</f>
        <v/>
      </c>
      <c r="AF234" s="114">
        <f>W234+Z234+AC234</f>
        <v/>
      </c>
      <c r="AG234" s="113">
        <f>R234+AD234</f>
        <v/>
      </c>
      <c r="AH234" s="114">
        <f>S234+AE234</f>
        <v/>
      </c>
      <c r="AI234" s="114">
        <f>T234+AF234</f>
        <v/>
      </c>
      <c r="AJ234" s="113" t="n"/>
      <c r="AK234" s="114" t="n"/>
      <c r="AL234" s="114" t="n"/>
      <c r="AM234" s="113">
        <f>(O234-AG234)+AJ234</f>
        <v/>
      </c>
      <c r="AN234" s="114">
        <f>(P234-AH234)+AK234</f>
        <v/>
      </c>
      <c r="AO234" s="114">
        <f>(Q234-AI234)+AL234</f>
        <v/>
      </c>
      <c r="AP234" s="2">
        <f>IF(AM234&gt;0, "Under",IF(AM234&lt;0,"Over",""))</f>
        <v/>
      </c>
      <c r="AQ234" s="1">
        <f>IF(AN234&gt;0, "Under",IF(AN234&lt;0,"Over",""))</f>
        <v/>
      </c>
      <c r="AR234" s="1">
        <f>IF(AO234&gt;0, "Under",IF(AO234&lt;0,"Over",""))</f>
        <v/>
      </c>
      <c r="AS234" s="3" t="n"/>
    </row>
    <row r="235">
      <c r="A235" s="90" t="n"/>
      <c r="B235" s="90" t="n"/>
      <c r="C235" s="115" t="n"/>
      <c r="D235" s="116" t="n"/>
      <c r="E235" s="116" t="n"/>
      <c r="F235" s="115" t="n"/>
      <c r="G235" s="116" t="n"/>
      <c r="H235" s="116" t="n"/>
      <c r="I235" s="115" t="n"/>
      <c r="J235" s="116" t="n"/>
      <c r="K235" s="116" t="n"/>
      <c r="L235" s="115" t="n"/>
      <c r="M235" s="116" t="n"/>
      <c r="N235" s="116" t="n"/>
      <c r="O235" s="115">
        <f>L235+I235+F235+C235</f>
        <v/>
      </c>
      <c r="P235" s="116">
        <f>M235+J235+G235+D235</f>
        <v/>
      </c>
      <c r="Q235" s="116">
        <f>N235+K235+H235+E235</f>
        <v/>
      </c>
      <c r="R235" s="115">
        <f>SUMIFS('PO Log'!$E:$E,'PO Log'!$D:$D,'Category Table'!R$2,'PO Log'!$C:$C,'Category Table'!$A235)</f>
        <v/>
      </c>
      <c r="S235" s="116">
        <f>SUMIFS('PO Log'!$E:$E,'PO Log'!$D:$D,'Category Table'!S$2,'PO Log'!$C:$C,'Category Table'!$A235)</f>
        <v/>
      </c>
      <c r="T235" s="116">
        <f>SUMIFS('PO Log'!$E:$E,'PO Log'!$D:$D,'Category Table'!T$2,'PO Log'!$C:$C,'Category Table'!$A235)</f>
        <v/>
      </c>
      <c r="U235" s="115">
        <f>SUMIFS('Committments Dump'!$Q:$Q,'Committments Dump'!$C:$C,'Category Table'!U$2,'Committments Dump'!$B:$B,'Category Table'!$A235)</f>
        <v/>
      </c>
      <c r="V235" s="116">
        <f>SUMIFS('Committments Dump'!$Q:$Q,'Committments Dump'!$C:$C,'Category Table'!V$2,'Committments Dump'!$B:$B,'Category Table'!$A235)</f>
        <v/>
      </c>
      <c r="W235" s="116">
        <f>SUMIFS('Committments Dump'!$Q:$Q,'Committments Dump'!$C:$C,'Category Table'!W$2,'Committments Dump'!$B:$B,'Category Table'!$A235)</f>
        <v/>
      </c>
      <c r="X235" s="115">
        <f>SUMIFS('Committments Dump'!$R:$R,'Committments Dump'!$C:$C,'Category Table'!X$2,'Committments Dump'!$B:$B,'Category Table'!$A235)</f>
        <v/>
      </c>
      <c r="Y235" s="116">
        <f>SUMIFS('Committments Dump'!$R:$R,'Committments Dump'!$C:$C,'Category Table'!Y$2,'Committments Dump'!$B:$B,'Category Table'!$A235)</f>
        <v/>
      </c>
      <c r="Z235" s="116">
        <f>SUMIFS('Committments Dump'!$R:$R,'Committments Dump'!$C:$C,'Category Table'!Z$2,'Committments Dump'!$B:$B,'Category Table'!$A235)</f>
        <v/>
      </c>
      <c r="AA235" s="115">
        <f>SUMIFS('Committments Dump'!$S:$S,'Committments Dump'!$C:$C,'Category Table'!AA$2,'Committments Dump'!$B:$B,'Category Table'!$A235)</f>
        <v/>
      </c>
      <c r="AB235" s="116">
        <f>SUMIFS('Committments Dump'!$S:$S,'Committments Dump'!$C:$C,'Category Table'!AB$2,'Committments Dump'!$B:$B,'Category Table'!$A235)</f>
        <v/>
      </c>
      <c r="AC235" s="116">
        <f>SUMIFS('Committments Dump'!$S:$S,'Committments Dump'!$C:$C,'Category Table'!AC$2,'Committments Dump'!$B:$B,'Category Table'!$A235)</f>
        <v/>
      </c>
      <c r="AD235" s="115">
        <f>U235+X235+AA235</f>
        <v/>
      </c>
      <c r="AE235" s="116">
        <f>V235+Y235+AB235</f>
        <v/>
      </c>
      <c r="AF235" s="116">
        <f>W235+Z235+AC235</f>
        <v/>
      </c>
      <c r="AG235" s="115">
        <f>R235+AD235</f>
        <v/>
      </c>
      <c r="AH235" s="116">
        <f>S235+AE235</f>
        <v/>
      </c>
      <c r="AI235" s="116">
        <f>T235+AF235</f>
        <v/>
      </c>
      <c r="AJ235" s="115" t="n"/>
      <c r="AK235" s="116" t="n"/>
      <c r="AL235" s="116" t="n"/>
      <c r="AM235" s="115">
        <f>(O235-AG235)+AJ235</f>
        <v/>
      </c>
      <c r="AN235" s="116">
        <f>(P235-AH235)+AK235</f>
        <v/>
      </c>
      <c r="AO235" s="116">
        <f>(Q235-AI235)+AL235</f>
        <v/>
      </c>
      <c r="AP235" s="93">
        <f>IF(AM235&gt;0, "Under",IF(AM235&lt;0,"Over",""))</f>
        <v/>
      </c>
      <c r="AQ235" s="94">
        <f>IF(AN235&gt;0, "Under",IF(AN235&lt;0,"Over",""))</f>
        <v/>
      </c>
      <c r="AR235" s="94">
        <f>IF(AO235&gt;0, "Under",IF(AO235&lt;0,"Over",""))</f>
        <v/>
      </c>
      <c r="AS235" s="3" t="n"/>
    </row>
    <row r="236">
      <c r="C236" s="113" t="n"/>
      <c r="D236" s="114" t="n"/>
      <c r="E236" s="114" t="n"/>
      <c r="F236" s="113" t="n"/>
      <c r="G236" s="114" t="n"/>
      <c r="H236" s="114" t="n"/>
      <c r="I236" s="113" t="n"/>
      <c r="J236" s="114" t="n"/>
      <c r="K236" s="114" t="n"/>
      <c r="L236" s="113" t="n"/>
      <c r="M236" s="114" t="n"/>
      <c r="N236" s="114" t="n"/>
      <c r="O236" s="113">
        <f>L236+I236+F236+C236</f>
        <v/>
      </c>
      <c r="P236" s="114">
        <f>M236+J236+G236+D236</f>
        <v/>
      </c>
      <c r="Q236" s="114">
        <f>N236+K236+H236+E236</f>
        <v/>
      </c>
      <c r="R236" s="113">
        <f>SUMIFS('PO Log'!$E:$E,'PO Log'!$D:$D,'Category Table'!R$2,'PO Log'!$C:$C,'Category Table'!$A236)</f>
        <v/>
      </c>
      <c r="S236" s="114">
        <f>SUMIFS('PO Log'!$E:$E,'PO Log'!$D:$D,'Category Table'!S$2,'PO Log'!$C:$C,'Category Table'!$A236)</f>
        <v/>
      </c>
      <c r="T236" s="114">
        <f>SUMIFS('PO Log'!$E:$E,'PO Log'!$D:$D,'Category Table'!T$2,'PO Log'!$C:$C,'Category Table'!$A236)</f>
        <v/>
      </c>
      <c r="U236" s="113">
        <f>SUMIFS('Committments Dump'!$Q:$Q,'Committments Dump'!$C:$C,'Category Table'!U$2,'Committments Dump'!$B:$B,'Category Table'!$A236)</f>
        <v/>
      </c>
      <c r="V236" s="114">
        <f>SUMIFS('Committments Dump'!$Q:$Q,'Committments Dump'!$C:$C,'Category Table'!V$2,'Committments Dump'!$B:$B,'Category Table'!$A236)</f>
        <v/>
      </c>
      <c r="W236" s="114">
        <f>SUMIFS('Committments Dump'!$Q:$Q,'Committments Dump'!$C:$C,'Category Table'!W$2,'Committments Dump'!$B:$B,'Category Table'!$A236)</f>
        <v/>
      </c>
      <c r="X236" s="113">
        <f>SUMIFS('Committments Dump'!$R:$R,'Committments Dump'!$C:$C,'Category Table'!X$2,'Committments Dump'!$B:$B,'Category Table'!$A236)</f>
        <v/>
      </c>
      <c r="Y236" s="114">
        <f>SUMIFS('Committments Dump'!$R:$R,'Committments Dump'!$C:$C,'Category Table'!Y$2,'Committments Dump'!$B:$B,'Category Table'!$A236)</f>
        <v/>
      </c>
      <c r="Z236" s="114">
        <f>SUMIFS('Committments Dump'!$R:$R,'Committments Dump'!$C:$C,'Category Table'!Z$2,'Committments Dump'!$B:$B,'Category Table'!$A236)</f>
        <v/>
      </c>
      <c r="AA236" s="113">
        <f>SUMIFS('Committments Dump'!$S:$S,'Committments Dump'!$C:$C,'Category Table'!AA$2,'Committments Dump'!$B:$B,'Category Table'!$A236)</f>
        <v/>
      </c>
      <c r="AB236" s="114">
        <f>SUMIFS('Committments Dump'!$S:$S,'Committments Dump'!$C:$C,'Category Table'!AB$2,'Committments Dump'!$B:$B,'Category Table'!$A236)</f>
        <v/>
      </c>
      <c r="AC236" s="114">
        <f>SUMIFS('Committments Dump'!$S:$S,'Committments Dump'!$C:$C,'Category Table'!AC$2,'Committments Dump'!$B:$B,'Category Table'!$A236)</f>
        <v/>
      </c>
      <c r="AD236" s="113">
        <f>U236+X236+AA236</f>
        <v/>
      </c>
      <c r="AE236" s="114">
        <f>V236+Y236+AB236</f>
        <v/>
      </c>
      <c r="AF236" s="114">
        <f>W236+Z236+AC236</f>
        <v/>
      </c>
      <c r="AG236" s="113">
        <f>R236+AD236</f>
        <v/>
      </c>
      <c r="AH236" s="114">
        <f>S236+AE236</f>
        <v/>
      </c>
      <c r="AI236" s="114">
        <f>T236+AF236</f>
        <v/>
      </c>
      <c r="AJ236" s="113" t="n"/>
      <c r="AK236" s="114" t="n"/>
      <c r="AL236" s="114" t="n"/>
      <c r="AM236" s="113">
        <f>(O236-AG236)+AJ236</f>
        <v/>
      </c>
      <c r="AN236" s="114">
        <f>(P236-AH236)+AK236</f>
        <v/>
      </c>
      <c r="AO236" s="114">
        <f>(Q236-AI236)+AL236</f>
        <v/>
      </c>
      <c r="AP236" s="2">
        <f>IF(AM236&gt;0, "Under",IF(AM236&lt;0,"Over",""))</f>
        <v/>
      </c>
      <c r="AQ236" s="1">
        <f>IF(AN236&gt;0, "Under",IF(AN236&lt;0,"Over",""))</f>
        <v/>
      </c>
      <c r="AR236" s="1">
        <f>IF(AO236&gt;0, "Under",IF(AO236&lt;0,"Over",""))</f>
        <v/>
      </c>
      <c r="AS236" s="3" t="n"/>
    </row>
    <row r="237">
      <c r="A237" s="90" t="n"/>
      <c r="B237" s="90" t="n"/>
      <c r="C237" s="115" t="n"/>
      <c r="D237" s="116" t="n"/>
      <c r="E237" s="116" t="n"/>
      <c r="F237" s="115" t="n"/>
      <c r="G237" s="116" t="n"/>
      <c r="H237" s="116" t="n"/>
      <c r="I237" s="115" t="n"/>
      <c r="J237" s="116" t="n"/>
      <c r="K237" s="116" t="n"/>
      <c r="L237" s="115" t="n"/>
      <c r="M237" s="116" t="n"/>
      <c r="N237" s="116" t="n"/>
      <c r="O237" s="115">
        <f>L237+I237+F237+C237</f>
        <v/>
      </c>
      <c r="P237" s="116">
        <f>M237+J237+G237+D237</f>
        <v/>
      </c>
      <c r="Q237" s="116">
        <f>N237+K237+H237+E237</f>
        <v/>
      </c>
      <c r="R237" s="115">
        <f>SUMIFS('PO Log'!$E:$E,'PO Log'!$D:$D,'Category Table'!R$2,'PO Log'!$C:$C,'Category Table'!$A237)</f>
        <v/>
      </c>
      <c r="S237" s="116">
        <f>SUMIFS('PO Log'!$E:$E,'PO Log'!$D:$D,'Category Table'!S$2,'PO Log'!$C:$C,'Category Table'!$A237)</f>
        <v/>
      </c>
      <c r="T237" s="116">
        <f>SUMIFS('PO Log'!$E:$E,'PO Log'!$D:$D,'Category Table'!T$2,'PO Log'!$C:$C,'Category Table'!$A237)</f>
        <v/>
      </c>
      <c r="U237" s="115">
        <f>SUMIFS('Committments Dump'!$Q:$Q,'Committments Dump'!$C:$C,'Category Table'!U$2,'Committments Dump'!$B:$B,'Category Table'!$A237)</f>
        <v/>
      </c>
      <c r="V237" s="116">
        <f>SUMIFS('Committments Dump'!$Q:$Q,'Committments Dump'!$C:$C,'Category Table'!V$2,'Committments Dump'!$B:$B,'Category Table'!$A237)</f>
        <v/>
      </c>
      <c r="W237" s="116">
        <f>SUMIFS('Committments Dump'!$Q:$Q,'Committments Dump'!$C:$C,'Category Table'!W$2,'Committments Dump'!$B:$B,'Category Table'!$A237)</f>
        <v/>
      </c>
      <c r="X237" s="115">
        <f>SUMIFS('Committments Dump'!$R:$R,'Committments Dump'!$C:$C,'Category Table'!X$2,'Committments Dump'!$B:$B,'Category Table'!$A237)</f>
        <v/>
      </c>
      <c r="Y237" s="116">
        <f>SUMIFS('Committments Dump'!$R:$R,'Committments Dump'!$C:$C,'Category Table'!Y$2,'Committments Dump'!$B:$B,'Category Table'!$A237)</f>
        <v/>
      </c>
      <c r="Z237" s="116">
        <f>SUMIFS('Committments Dump'!$R:$R,'Committments Dump'!$C:$C,'Category Table'!Z$2,'Committments Dump'!$B:$B,'Category Table'!$A237)</f>
        <v/>
      </c>
      <c r="AA237" s="115">
        <f>SUMIFS('Committments Dump'!$S:$S,'Committments Dump'!$C:$C,'Category Table'!AA$2,'Committments Dump'!$B:$B,'Category Table'!$A237)</f>
        <v/>
      </c>
      <c r="AB237" s="116">
        <f>SUMIFS('Committments Dump'!$S:$S,'Committments Dump'!$C:$C,'Category Table'!AB$2,'Committments Dump'!$B:$B,'Category Table'!$A237)</f>
        <v/>
      </c>
      <c r="AC237" s="116">
        <f>SUMIFS('Committments Dump'!$S:$S,'Committments Dump'!$C:$C,'Category Table'!AC$2,'Committments Dump'!$B:$B,'Category Table'!$A237)</f>
        <v/>
      </c>
      <c r="AD237" s="115">
        <f>U237+X237+AA237</f>
        <v/>
      </c>
      <c r="AE237" s="116">
        <f>V237+Y237+AB237</f>
        <v/>
      </c>
      <c r="AF237" s="116">
        <f>W237+Z237+AC237</f>
        <v/>
      </c>
      <c r="AG237" s="115">
        <f>R237+AD237</f>
        <v/>
      </c>
      <c r="AH237" s="116">
        <f>S237+AE237</f>
        <v/>
      </c>
      <c r="AI237" s="116">
        <f>T237+AF237</f>
        <v/>
      </c>
      <c r="AJ237" s="115" t="n"/>
      <c r="AK237" s="116" t="n"/>
      <c r="AL237" s="116" t="n"/>
      <c r="AM237" s="115">
        <f>(O237-AG237)+AJ237</f>
        <v/>
      </c>
      <c r="AN237" s="116">
        <f>(P237-AH237)+AK237</f>
        <v/>
      </c>
      <c r="AO237" s="116">
        <f>(Q237-AI237)+AL237</f>
        <v/>
      </c>
      <c r="AP237" s="93">
        <f>IF(AM237&gt;0, "Under",IF(AM237&lt;0,"Over",""))</f>
        <v/>
      </c>
      <c r="AQ237" s="94">
        <f>IF(AN237&gt;0, "Under",IF(AN237&lt;0,"Over",""))</f>
        <v/>
      </c>
      <c r="AR237" s="94">
        <f>IF(AO237&gt;0, "Under",IF(AO237&lt;0,"Over",""))</f>
        <v/>
      </c>
      <c r="AS237" s="3" t="n"/>
    </row>
    <row r="238">
      <c r="C238" s="113" t="n"/>
      <c r="D238" s="114" t="n"/>
      <c r="E238" s="114" t="n"/>
      <c r="F238" s="113" t="n"/>
      <c r="G238" s="114" t="n"/>
      <c r="H238" s="114" t="n"/>
      <c r="I238" s="113" t="n"/>
      <c r="J238" s="114" t="n"/>
      <c r="K238" s="114" t="n"/>
      <c r="L238" s="113" t="n"/>
      <c r="M238" s="114" t="n"/>
      <c r="N238" s="114" t="n"/>
      <c r="O238" s="113">
        <f>L238+I238+F238+C238</f>
        <v/>
      </c>
      <c r="P238" s="114">
        <f>M238+J238+G238+D238</f>
        <v/>
      </c>
      <c r="Q238" s="114">
        <f>N238+K238+H238+E238</f>
        <v/>
      </c>
      <c r="R238" s="113">
        <f>SUMIFS('PO Log'!$E:$E,'PO Log'!$D:$D,'Category Table'!R$2,'PO Log'!$C:$C,'Category Table'!$A238)</f>
        <v/>
      </c>
      <c r="S238" s="114">
        <f>SUMIFS('PO Log'!$E:$E,'PO Log'!$D:$D,'Category Table'!S$2,'PO Log'!$C:$C,'Category Table'!$A238)</f>
        <v/>
      </c>
      <c r="T238" s="114">
        <f>SUMIFS('PO Log'!$E:$E,'PO Log'!$D:$D,'Category Table'!T$2,'PO Log'!$C:$C,'Category Table'!$A238)</f>
        <v/>
      </c>
      <c r="U238" s="113">
        <f>SUMIFS('Committments Dump'!$Q:$Q,'Committments Dump'!$C:$C,'Category Table'!U$2,'Committments Dump'!$B:$B,'Category Table'!$A238)</f>
        <v/>
      </c>
      <c r="V238" s="114">
        <f>SUMIFS('Committments Dump'!$Q:$Q,'Committments Dump'!$C:$C,'Category Table'!V$2,'Committments Dump'!$B:$B,'Category Table'!$A238)</f>
        <v/>
      </c>
      <c r="W238" s="114">
        <f>SUMIFS('Committments Dump'!$Q:$Q,'Committments Dump'!$C:$C,'Category Table'!W$2,'Committments Dump'!$B:$B,'Category Table'!$A238)</f>
        <v/>
      </c>
      <c r="X238" s="113">
        <f>SUMIFS('Committments Dump'!$R:$R,'Committments Dump'!$C:$C,'Category Table'!X$2,'Committments Dump'!$B:$B,'Category Table'!$A238)</f>
        <v/>
      </c>
      <c r="Y238" s="114">
        <f>SUMIFS('Committments Dump'!$R:$R,'Committments Dump'!$C:$C,'Category Table'!Y$2,'Committments Dump'!$B:$B,'Category Table'!$A238)</f>
        <v/>
      </c>
      <c r="Z238" s="114">
        <f>SUMIFS('Committments Dump'!$R:$R,'Committments Dump'!$C:$C,'Category Table'!Z$2,'Committments Dump'!$B:$B,'Category Table'!$A238)</f>
        <v/>
      </c>
      <c r="AA238" s="113">
        <f>SUMIFS('Committments Dump'!$S:$S,'Committments Dump'!$C:$C,'Category Table'!AA$2,'Committments Dump'!$B:$B,'Category Table'!$A238)</f>
        <v/>
      </c>
      <c r="AB238" s="114">
        <f>SUMIFS('Committments Dump'!$S:$S,'Committments Dump'!$C:$C,'Category Table'!AB$2,'Committments Dump'!$B:$B,'Category Table'!$A238)</f>
        <v/>
      </c>
      <c r="AC238" s="114">
        <f>SUMIFS('Committments Dump'!$S:$S,'Committments Dump'!$C:$C,'Category Table'!AC$2,'Committments Dump'!$B:$B,'Category Table'!$A238)</f>
        <v/>
      </c>
      <c r="AD238" s="113">
        <f>U238+X238+AA238</f>
        <v/>
      </c>
      <c r="AE238" s="114">
        <f>V238+Y238+AB238</f>
        <v/>
      </c>
      <c r="AF238" s="114">
        <f>W238+Z238+AC238</f>
        <v/>
      </c>
      <c r="AG238" s="113">
        <f>R238+AD238</f>
        <v/>
      </c>
      <c r="AH238" s="114">
        <f>S238+AE238</f>
        <v/>
      </c>
      <c r="AI238" s="114">
        <f>T238+AF238</f>
        <v/>
      </c>
      <c r="AJ238" s="113" t="n"/>
      <c r="AK238" s="114" t="n"/>
      <c r="AL238" s="114" t="n"/>
      <c r="AM238" s="113">
        <f>(O238-AG238)+AJ238</f>
        <v/>
      </c>
      <c r="AN238" s="114">
        <f>(P238-AH238)+AK238</f>
        <v/>
      </c>
      <c r="AO238" s="114">
        <f>(Q238-AI238)+AL238</f>
        <v/>
      </c>
      <c r="AP238" s="2">
        <f>IF(AM238&gt;0, "Under",IF(AM238&lt;0,"Over",""))</f>
        <v/>
      </c>
      <c r="AQ238" s="1">
        <f>IF(AN238&gt;0, "Under",IF(AN238&lt;0,"Over",""))</f>
        <v/>
      </c>
      <c r="AR238" s="1">
        <f>IF(AO238&gt;0, "Under",IF(AO238&lt;0,"Over",""))</f>
        <v/>
      </c>
      <c r="AS238" s="3" t="n"/>
    </row>
    <row r="239">
      <c r="A239" s="90" t="n"/>
      <c r="B239" s="90" t="n"/>
      <c r="C239" s="115" t="n"/>
      <c r="D239" s="116" t="n"/>
      <c r="E239" s="116" t="n"/>
      <c r="F239" s="115" t="n"/>
      <c r="G239" s="116" t="n"/>
      <c r="H239" s="116" t="n"/>
      <c r="I239" s="115" t="n"/>
      <c r="J239" s="116" t="n"/>
      <c r="K239" s="116" t="n"/>
      <c r="L239" s="115" t="n"/>
      <c r="M239" s="116" t="n"/>
      <c r="N239" s="116" t="n"/>
      <c r="O239" s="115">
        <f>L239+I239+F239+C239</f>
        <v/>
      </c>
      <c r="P239" s="116">
        <f>M239+J239+G239+D239</f>
        <v/>
      </c>
      <c r="Q239" s="116">
        <f>N239+K239+H239+E239</f>
        <v/>
      </c>
      <c r="R239" s="115">
        <f>SUMIFS('PO Log'!$E:$E,'PO Log'!$D:$D,'Category Table'!R$2,'PO Log'!$C:$C,'Category Table'!$A239)</f>
        <v/>
      </c>
      <c r="S239" s="116">
        <f>SUMIFS('PO Log'!$E:$E,'PO Log'!$D:$D,'Category Table'!S$2,'PO Log'!$C:$C,'Category Table'!$A239)</f>
        <v/>
      </c>
      <c r="T239" s="116">
        <f>SUMIFS('PO Log'!$E:$E,'PO Log'!$D:$D,'Category Table'!T$2,'PO Log'!$C:$C,'Category Table'!$A239)</f>
        <v/>
      </c>
      <c r="U239" s="115">
        <f>SUMIFS('Committments Dump'!$Q:$Q,'Committments Dump'!$C:$C,'Category Table'!U$2,'Committments Dump'!$B:$B,'Category Table'!$A239)</f>
        <v/>
      </c>
      <c r="V239" s="116">
        <f>SUMIFS('Committments Dump'!$Q:$Q,'Committments Dump'!$C:$C,'Category Table'!V$2,'Committments Dump'!$B:$B,'Category Table'!$A239)</f>
        <v/>
      </c>
      <c r="W239" s="116">
        <f>SUMIFS('Committments Dump'!$Q:$Q,'Committments Dump'!$C:$C,'Category Table'!W$2,'Committments Dump'!$B:$B,'Category Table'!$A239)</f>
        <v/>
      </c>
      <c r="X239" s="115">
        <f>SUMIFS('Committments Dump'!$R:$R,'Committments Dump'!$C:$C,'Category Table'!X$2,'Committments Dump'!$B:$B,'Category Table'!$A239)</f>
        <v/>
      </c>
      <c r="Y239" s="116">
        <f>SUMIFS('Committments Dump'!$R:$R,'Committments Dump'!$C:$C,'Category Table'!Y$2,'Committments Dump'!$B:$B,'Category Table'!$A239)</f>
        <v/>
      </c>
      <c r="Z239" s="116">
        <f>SUMIFS('Committments Dump'!$R:$R,'Committments Dump'!$C:$C,'Category Table'!Z$2,'Committments Dump'!$B:$B,'Category Table'!$A239)</f>
        <v/>
      </c>
      <c r="AA239" s="115">
        <f>SUMIFS('Committments Dump'!$S:$S,'Committments Dump'!$C:$C,'Category Table'!AA$2,'Committments Dump'!$B:$B,'Category Table'!$A239)</f>
        <v/>
      </c>
      <c r="AB239" s="116">
        <f>SUMIFS('Committments Dump'!$S:$S,'Committments Dump'!$C:$C,'Category Table'!AB$2,'Committments Dump'!$B:$B,'Category Table'!$A239)</f>
        <v/>
      </c>
      <c r="AC239" s="116">
        <f>SUMIFS('Committments Dump'!$S:$S,'Committments Dump'!$C:$C,'Category Table'!AC$2,'Committments Dump'!$B:$B,'Category Table'!$A239)</f>
        <v/>
      </c>
      <c r="AD239" s="115">
        <f>U239+X239+AA239</f>
        <v/>
      </c>
      <c r="AE239" s="116">
        <f>V239+Y239+AB239</f>
        <v/>
      </c>
      <c r="AF239" s="116">
        <f>W239+Z239+AC239</f>
        <v/>
      </c>
      <c r="AG239" s="115">
        <f>R239+AD239</f>
        <v/>
      </c>
      <c r="AH239" s="116">
        <f>S239+AE239</f>
        <v/>
      </c>
      <c r="AI239" s="116">
        <f>T239+AF239</f>
        <v/>
      </c>
      <c r="AJ239" s="115" t="n"/>
      <c r="AK239" s="116" t="n"/>
      <c r="AL239" s="116" t="n"/>
      <c r="AM239" s="115">
        <f>(O239-AG239)+AJ239</f>
        <v/>
      </c>
      <c r="AN239" s="116">
        <f>(P239-AH239)+AK239</f>
        <v/>
      </c>
      <c r="AO239" s="116">
        <f>(Q239-AI239)+AL239</f>
        <v/>
      </c>
      <c r="AP239" s="93">
        <f>IF(AM239&gt;0, "Under",IF(AM239&lt;0,"Over",""))</f>
        <v/>
      </c>
      <c r="AQ239" s="94">
        <f>IF(AN239&gt;0, "Under",IF(AN239&lt;0,"Over",""))</f>
        <v/>
      </c>
      <c r="AR239" s="94">
        <f>IF(AO239&gt;0, "Under",IF(AO239&lt;0,"Over",""))</f>
        <v/>
      </c>
      <c r="AS239" s="3" t="n"/>
    </row>
    <row r="240">
      <c r="C240" s="113" t="n"/>
      <c r="D240" s="114" t="n"/>
      <c r="E240" s="114" t="n"/>
      <c r="F240" s="113" t="n"/>
      <c r="G240" s="114" t="n"/>
      <c r="H240" s="114" t="n"/>
      <c r="I240" s="113" t="n"/>
      <c r="J240" s="114" t="n"/>
      <c r="K240" s="114" t="n"/>
      <c r="L240" s="113" t="n"/>
      <c r="M240" s="114" t="n"/>
      <c r="N240" s="114" t="n"/>
      <c r="O240" s="113">
        <f>L240+I240+F240+C240</f>
        <v/>
      </c>
      <c r="P240" s="114">
        <f>M240+J240+G240+D240</f>
        <v/>
      </c>
      <c r="Q240" s="114">
        <f>N240+K240+H240+E240</f>
        <v/>
      </c>
      <c r="R240" s="113">
        <f>SUMIFS('PO Log'!$E:$E,'PO Log'!$D:$D,'Category Table'!R$2,'PO Log'!$C:$C,'Category Table'!$A240)</f>
        <v/>
      </c>
      <c r="S240" s="114">
        <f>SUMIFS('PO Log'!$E:$E,'PO Log'!$D:$D,'Category Table'!S$2,'PO Log'!$C:$C,'Category Table'!$A240)</f>
        <v/>
      </c>
      <c r="T240" s="114">
        <f>SUMIFS('PO Log'!$E:$E,'PO Log'!$D:$D,'Category Table'!T$2,'PO Log'!$C:$C,'Category Table'!$A240)</f>
        <v/>
      </c>
      <c r="U240" s="113">
        <f>SUMIFS('Committments Dump'!$Q:$Q,'Committments Dump'!$C:$C,'Category Table'!U$2,'Committments Dump'!$B:$B,'Category Table'!$A240)</f>
        <v/>
      </c>
      <c r="V240" s="114">
        <f>SUMIFS('Committments Dump'!$Q:$Q,'Committments Dump'!$C:$C,'Category Table'!V$2,'Committments Dump'!$B:$B,'Category Table'!$A240)</f>
        <v/>
      </c>
      <c r="W240" s="114">
        <f>SUMIFS('Committments Dump'!$Q:$Q,'Committments Dump'!$C:$C,'Category Table'!W$2,'Committments Dump'!$B:$B,'Category Table'!$A240)</f>
        <v/>
      </c>
      <c r="X240" s="113">
        <f>SUMIFS('Committments Dump'!$R:$R,'Committments Dump'!$C:$C,'Category Table'!X$2,'Committments Dump'!$B:$B,'Category Table'!$A240)</f>
        <v/>
      </c>
      <c r="Y240" s="114">
        <f>SUMIFS('Committments Dump'!$R:$R,'Committments Dump'!$C:$C,'Category Table'!Y$2,'Committments Dump'!$B:$B,'Category Table'!$A240)</f>
        <v/>
      </c>
      <c r="Z240" s="114">
        <f>SUMIFS('Committments Dump'!$R:$R,'Committments Dump'!$C:$C,'Category Table'!Z$2,'Committments Dump'!$B:$B,'Category Table'!$A240)</f>
        <v/>
      </c>
      <c r="AA240" s="113">
        <f>SUMIFS('Committments Dump'!$S:$S,'Committments Dump'!$C:$C,'Category Table'!AA$2,'Committments Dump'!$B:$B,'Category Table'!$A240)</f>
        <v/>
      </c>
      <c r="AB240" s="114">
        <f>SUMIFS('Committments Dump'!$S:$S,'Committments Dump'!$C:$C,'Category Table'!AB$2,'Committments Dump'!$B:$B,'Category Table'!$A240)</f>
        <v/>
      </c>
      <c r="AC240" s="114">
        <f>SUMIFS('Committments Dump'!$S:$S,'Committments Dump'!$C:$C,'Category Table'!AC$2,'Committments Dump'!$B:$B,'Category Table'!$A240)</f>
        <v/>
      </c>
      <c r="AD240" s="113">
        <f>U240+X240+AA240</f>
        <v/>
      </c>
      <c r="AE240" s="114">
        <f>V240+Y240+AB240</f>
        <v/>
      </c>
      <c r="AF240" s="114">
        <f>W240+Z240+AC240</f>
        <v/>
      </c>
      <c r="AG240" s="113">
        <f>R240+AD240</f>
        <v/>
      </c>
      <c r="AH240" s="114">
        <f>S240+AE240</f>
        <v/>
      </c>
      <c r="AI240" s="114">
        <f>T240+AF240</f>
        <v/>
      </c>
      <c r="AJ240" s="113" t="n"/>
      <c r="AK240" s="114" t="n"/>
      <c r="AL240" s="114" t="n"/>
      <c r="AM240" s="113">
        <f>(O240-AG240)+AJ240</f>
        <v/>
      </c>
      <c r="AN240" s="114">
        <f>(P240-AH240)+AK240</f>
        <v/>
      </c>
      <c r="AO240" s="114">
        <f>(Q240-AI240)+AL240</f>
        <v/>
      </c>
      <c r="AP240" s="2">
        <f>IF(AM240&gt;0, "Under",IF(AM240&lt;0,"Over",""))</f>
        <v/>
      </c>
      <c r="AQ240" s="1">
        <f>IF(AN240&gt;0, "Under",IF(AN240&lt;0,"Over",""))</f>
        <v/>
      </c>
      <c r="AR240" s="1">
        <f>IF(AO240&gt;0, "Under",IF(AO240&lt;0,"Over",""))</f>
        <v/>
      </c>
      <c r="AS240" s="3" t="n"/>
    </row>
    <row r="241">
      <c r="A241" s="90" t="n"/>
      <c r="B241" s="90" t="n"/>
      <c r="C241" s="115" t="n"/>
      <c r="D241" s="116" t="n"/>
      <c r="E241" s="116" t="n"/>
      <c r="F241" s="115" t="n"/>
      <c r="G241" s="116" t="n"/>
      <c r="H241" s="116" t="n"/>
      <c r="I241" s="115" t="n"/>
      <c r="J241" s="116" t="n"/>
      <c r="K241" s="116" t="n"/>
      <c r="L241" s="115" t="n"/>
      <c r="M241" s="116" t="n"/>
      <c r="N241" s="116" t="n"/>
      <c r="O241" s="115">
        <f>L241+I241+F241+C241</f>
        <v/>
      </c>
      <c r="P241" s="116">
        <f>M241+J241+G241+D241</f>
        <v/>
      </c>
      <c r="Q241" s="116">
        <f>N241+K241+H241+E241</f>
        <v/>
      </c>
      <c r="R241" s="115">
        <f>SUMIFS('PO Log'!$E:$E,'PO Log'!$D:$D,'Category Table'!R$2,'PO Log'!$C:$C,'Category Table'!$A241)</f>
        <v/>
      </c>
      <c r="S241" s="116">
        <f>SUMIFS('PO Log'!$E:$E,'PO Log'!$D:$D,'Category Table'!S$2,'PO Log'!$C:$C,'Category Table'!$A241)</f>
        <v/>
      </c>
      <c r="T241" s="116">
        <f>SUMIFS('PO Log'!$E:$E,'PO Log'!$D:$D,'Category Table'!T$2,'PO Log'!$C:$C,'Category Table'!$A241)</f>
        <v/>
      </c>
      <c r="U241" s="115">
        <f>SUMIFS('Committments Dump'!$Q:$Q,'Committments Dump'!$C:$C,'Category Table'!U$2,'Committments Dump'!$B:$B,'Category Table'!$A241)</f>
        <v/>
      </c>
      <c r="V241" s="116">
        <f>SUMIFS('Committments Dump'!$Q:$Q,'Committments Dump'!$C:$C,'Category Table'!V$2,'Committments Dump'!$B:$B,'Category Table'!$A241)</f>
        <v/>
      </c>
      <c r="W241" s="116">
        <f>SUMIFS('Committments Dump'!$Q:$Q,'Committments Dump'!$C:$C,'Category Table'!W$2,'Committments Dump'!$B:$B,'Category Table'!$A241)</f>
        <v/>
      </c>
      <c r="X241" s="115">
        <f>SUMIFS('Committments Dump'!$R:$R,'Committments Dump'!$C:$C,'Category Table'!X$2,'Committments Dump'!$B:$B,'Category Table'!$A241)</f>
        <v/>
      </c>
      <c r="Y241" s="116">
        <f>SUMIFS('Committments Dump'!$R:$R,'Committments Dump'!$C:$C,'Category Table'!Y$2,'Committments Dump'!$B:$B,'Category Table'!$A241)</f>
        <v/>
      </c>
      <c r="Z241" s="116">
        <f>SUMIFS('Committments Dump'!$R:$R,'Committments Dump'!$C:$C,'Category Table'!Z$2,'Committments Dump'!$B:$B,'Category Table'!$A241)</f>
        <v/>
      </c>
      <c r="AA241" s="115">
        <f>SUMIFS('Committments Dump'!$S:$S,'Committments Dump'!$C:$C,'Category Table'!AA$2,'Committments Dump'!$B:$B,'Category Table'!$A241)</f>
        <v/>
      </c>
      <c r="AB241" s="116">
        <f>SUMIFS('Committments Dump'!$S:$S,'Committments Dump'!$C:$C,'Category Table'!AB$2,'Committments Dump'!$B:$B,'Category Table'!$A241)</f>
        <v/>
      </c>
      <c r="AC241" s="116">
        <f>SUMIFS('Committments Dump'!$S:$S,'Committments Dump'!$C:$C,'Category Table'!AC$2,'Committments Dump'!$B:$B,'Category Table'!$A241)</f>
        <v/>
      </c>
      <c r="AD241" s="115">
        <f>U241+X241+AA241</f>
        <v/>
      </c>
      <c r="AE241" s="116">
        <f>V241+Y241+AB241</f>
        <v/>
      </c>
      <c r="AF241" s="116">
        <f>W241+Z241+AC241</f>
        <v/>
      </c>
      <c r="AG241" s="115">
        <f>R241+AD241</f>
        <v/>
      </c>
      <c r="AH241" s="116">
        <f>S241+AE241</f>
        <v/>
      </c>
      <c r="AI241" s="116">
        <f>T241+AF241</f>
        <v/>
      </c>
      <c r="AJ241" s="115" t="n"/>
      <c r="AK241" s="116" t="n"/>
      <c r="AL241" s="116" t="n"/>
      <c r="AM241" s="115">
        <f>(O241-AG241)+AJ241</f>
        <v/>
      </c>
      <c r="AN241" s="116">
        <f>(P241-AH241)+AK241</f>
        <v/>
      </c>
      <c r="AO241" s="116">
        <f>(Q241-AI241)+AL241</f>
        <v/>
      </c>
      <c r="AP241" s="93">
        <f>IF(AM241&gt;0, "Under",IF(AM241&lt;0,"Over",""))</f>
        <v/>
      </c>
      <c r="AQ241" s="94">
        <f>IF(AN241&gt;0, "Under",IF(AN241&lt;0,"Over",""))</f>
        <v/>
      </c>
      <c r="AR241" s="94">
        <f>IF(AO241&gt;0, "Under",IF(AO241&lt;0,"Over",""))</f>
        <v/>
      </c>
      <c r="AS241" s="3" t="n"/>
    </row>
    <row r="242">
      <c r="C242" s="113" t="n"/>
      <c r="D242" s="114" t="n"/>
      <c r="E242" s="114" t="n"/>
      <c r="F242" s="113" t="n"/>
      <c r="G242" s="114" t="n"/>
      <c r="H242" s="114" t="n"/>
      <c r="I242" s="113" t="n"/>
      <c r="J242" s="114" t="n"/>
      <c r="K242" s="114" t="n"/>
      <c r="L242" s="113" t="n"/>
      <c r="M242" s="114" t="n"/>
      <c r="N242" s="114" t="n"/>
      <c r="O242" s="113">
        <f>L242+I242+F242+C242</f>
        <v/>
      </c>
      <c r="P242" s="114">
        <f>M242+J242+G242+D242</f>
        <v/>
      </c>
      <c r="Q242" s="114">
        <f>N242+K242+H242+E242</f>
        <v/>
      </c>
      <c r="R242" s="113">
        <f>SUMIFS('PO Log'!$E:$E,'PO Log'!$D:$D,'Category Table'!R$2,'PO Log'!$C:$C,'Category Table'!$A242)</f>
        <v/>
      </c>
      <c r="S242" s="114">
        <f>SUMIFS('PO Log'!$E:$E,'PO Log'!$D:$D,'Category Table'!S$2,'PO Log'!$C:$C,'Category Table'!$A242)</f>
        <v/>
      </c>
      <c r="T242" s="114">
        <f>SUMIFS('PO Log'!$E:$E,'PO Log'!$D:$D,'Category Table'!T$2,'PO Log'!$C:$C,'Category Table'!$A242)</f>
        <v/>
      </c>
      <c r="U242" s="113">
        <f>SUMIFS('Committments Dump'!$Q:$Q,'Committments Dump'!$C:$C,'Category Table'!U$2,'Committments Dump'!$B:$B,'Category Table'!$A242)</f>
        <v/>
      </c>
      <c r="V242" s="114">
        <f>SUMIFS('Committments Dump'!$Q:$Q,'Committments Dump'!$C:$C,'Category Table'!V$2,'Committments Dump'!$B:$B,'Category Table'!$A242)</f>
        <v/>
      </c>
      <c r="W242" s="114">
        <f>SUMIFS('Committments Dump'!$Q:$Q,'Committments Dump'!$C:$C,'Category Table'!W$2,'Committments Dump'!$B:$B,'Category Table'!$A242)</f>
        <v/>
      </c>
      <c r="X242" s="113">
        <f>SUMIFS('Committments Dump'!$R:$R,'Committments Dump'!$C:$C,'Category Table'!X$2,'Committments Dump'!$B:$B,'Category Table'!$A242)</f>
        <v/>
      </c>
      <c r="Y242" s="114">
        <f>SUMIFS('Committments Dump'!$R:$R,'Committments Dump'!$C:$C,'Category Table'!Y$2,'Committments Dump'!$B:$B,'Category Table'!$A242)</f>
        <v/>
      </c>
      <c r="Z242" s="114">
        <f>SUMIFS('Committments Dump'!$R:$R,'Committments Dump'!$C:$C,'Category Table'!Z$2,'Committments Dump'!$B:$B,'Category Table'!$A242)</f>
        <v/>
      </c>
      <c r="AA242" s="113">
        <f>SUMIFS('Committments Dump'!$S:$S,'Committments Dump'!$C:$C,'Category Table'!AA$2,'Committments Dump'!$B:$B,'Category Table'!$A242)</f>
        <v/>
      </c>
      <c r="AB242" s="114">
        <f>SUMIFS('Committments Dump'!$S:$S,'Committments Dump'!$C:$C,'Category Table'!AB$2,'Committments Dump'!$B:$B,'Category Table'!$A242)</f>
        <v/>
      </c>
      <c r="AC242" s="114">
        <f>SUMIFS('Committments Dump'!$S:$S,'Committments Dump'!$C:$C,'Category Table'!AC$2,'Committments Dump'!$B:$B,'Category Table'!$A242)</f>
        <v/>
      </c>
      <c r="AD242" s="113">
        <f>U242+X242+AA242</f>
        <v/>
      </c>
      <c r="AE242" s="114">
        <f>V242+Y242+AB242</f>
        <v/>
      </c>
      <c r="AF242" s="114">
        <f>W242+Z242+AC242</f>
        <v/>
      </c>
      <c r="AG242" s="113">
        <f>R242+AD242</f>
        <v/>
      </c>
      <c r="AH242" s="114">
        <f>S242+AE242</f>
        <v/>
      </c>
      <c r="AI242" s="114">
        <f>T242+AF242</f>
        <v/>
      </c>
      <c r="AJ242" s="113" t="n"/>
      <c r="AK242" s="114" t="n"/>
      <c r="AL242" s="114" t="n"/>
      <c r="AM242" s="113">
        <f>(O242-AG242)+AJ242</f>
        <v/>
      </c>
      <c r="AN242" s="114">
        <f>(P242-AH242)+AK242</f>
        <v/>
      </c>
      <c r="AO242" s="114">
        <f>(Q242-AI242)+AL242</f>
        <v/>
      </c>
      <c r="AP242" s="2">
        <f>IF(AM242&gt;0, "Under",IF(AM242&lt;0,"Over",""))</f>
        <v/>
      </c>
      <c r="AQ242" s="1">
        <f>IF(AN242&gt;0, "Under",IF(AN242&lt;0,"Over",""))</f>
        <v/>
      </c>
      <c r="AR242" s="1">
        <f>IF(AO242&gt;0, "Under",IF(AO242&lt;0,"Over",""))</f>
        <v/>
      </c>
      <c r="AS242" s="3" t="n"/>
    </row>
    <row r="243">
      <c r="A243" s="90" t="n"/>
      <c r="B243" s="90" t="n"/>
      <c r="C243" s="115" t="n"/>
      <c r="D243" s="116" t="n"/>
      <c r="E243" s="116" t="n"/>
      <c r="F243" s="115" t="n"/>
      <c r="G243" s="116" t="n"/>
      <c r="H243" s="116" t="n"/>
      <c r="I243" s="115" t="n"/>
      <c r="J243" s="116" t="n"/>
      <c r="K243" s="116" t="n"/>
      <c r="L243" s="115" t="n"/>
      <c r="M243" s="116" t="n"/>
      <c r="N243" s="116" t="n"/>
      <c r="O243" s="115">
        <f>L243+I243+F243+C243</f>
        <v/>
      </c>
      <c r="P243" s="116">
        <f>M243+J243+G243+D243</f>
        <v/>
      </c>
      <c r="Q243" s="116">
        <f>N243+K243+H243+E243</f>
        <v/>
      </c>
      <c r="R243" s="115">
        <f>SUMIFS('PO Log'!$E:$E,'PO Log'!$D:$D,'Category Table'!R$2,'PO Log'!$C:$C,'Category Table'!$A243)</f>
        <v/>
      </c>
      <c r="S243" s="116">
        <f>SUMIFS('PO Log'!$E:$E,'PO Log'!$D:$D,'Category Table'!S$2,'PO Log'!$C:$C,'Category Table'!$A243)</f>
        <v/>
      </c>
      <c r="T243" s="116">
        <f>SUMIFS('PO Log'!$E:$E,'PO Log'!$D:$D,'Category Table'!T$2,'PO Log'!$C:$C,'Category Table'!$A243)</f>
        <v/>
      </c>
      <c r="U243" s="115">
        <f>SUMIFS('Committments Dump'!$Q:$Q,'Committments Dump'!$C:$C,'Category Table'!U$2,'Committments Dump'!$B:$B,'Category Table'!$A243)</f>
        <v/>
      </c>
      <c r="V243" s="116">
        <f>SUMIFS('Committments Dump'!$Q:$Q,'Committments Dump'!$C:$C,'Category Table'!V$2,'Committments Dump'!$B:$B,'Category Table'!$A243)</f>
        <v/>
      </c>
      <c r="W243" s="116">
        <f>SUMIFS('Committments Dump'!$Q:$Q,'Committments Dump'!$C:$C,'Category Table'!W$2,'Committments Dump'!$B:$B,'Category Table'!$A243)</f>
        <v/>
      </c>
      <c r="X243" s="115">
        <f>SUMIFS('Committments Dump'!$R:$R,'Committments Dump'!$C:$C,'Category Table'!X$2,'Committments Dump'!$B:$B,'Category Table'!$A243)</f>
        <v/>
      </c>
      <c r="Y243" s="116">
        <f>SUMIFS('Committments Dump'!$R:$R,'Committments Dump'!$C:$C,'Category Table'!Y$2,'Committments Dump'!$B:$B,'Category Table'!$A243)</f>
        <v/>
      </c>
      <c r="Z243" s="116">
        <f>SUMIFS('Committments Dump'!$R:$R,'Committments Dump'!$C:$C,'Category Table'!Z$2,'Committments Dump'!$B:$B,'Category Table'!$A243)</f>
        <v/>
      </c>
      <c r="AA243" s="115">
        <f>SUMIFS('Committments Dump'!$S:$S,'Committments Dump'!$C:$C,'Category Table'!AA$2,'Committments Dump'!$B:$B,'Category Table'!$A243)</f>
        <v/>
      </c>
      <c r="AB243" s="116">
        <f>SUMIFS('Committments Dump'!$S:$S,'Committments Dump'!$C:$C,'Category Table'!AB$2,'Committments Dump'!$B:$B,'Category Table'!$A243)</f>
        <v/>
      </c>
      <c r="AC243" s="116">
        <f>SUMIFS('Committments Dump'!$S:$S,'Committments Dump'!$C:$C,'Category Table'!AC$2,'Committments Dump'!$B:$B,'Category Table'!$A243)</f>
        <v/>
      </c>
      <c r="AD243" s="115">
        <f>U243+X243+AA243</f>
        <v/>
      </c>
      <c r="AE243" s="116">
        <f>V243+Y243+AB243</f>
        <v/>
      </c>
      <c r="AF243" s="116">
        <f>W243+Z243+AC243</f>
        <v/>
      </c>
      <c r="AG243" s="115">
        <f>R243+AD243</f>
        <v/>
      </c>
      <c r="AH243" s="116">
        <f>S243+AE243</f>
        <v/>
      </c>
      <c r="AI243" s="116">
        <f>T243+AF243</f>
        <v/>
      </c>
      <c r="AJ243" s="115" t="n"/>
      <c r="AK243" s="116" t="n"/>
      <c r="AL243" s="116" t="n"/>
      <c r="AM243" s="115">
        <f>(O243-AG243)+AJ243</f>
        <v/>
      </c>
      <c r="AN243" s="116">
        <f>(P243-AH243)+AK243</f>
        <v/>
      </c>
      <c r="AO243" s="116">
        <f>(Q243-AI243)+AL243</f>
        <v/>
      </c>
      <c r="AP243" s="93">
        <f>IF(AM243&gt;0, "Under",IF(AM243&lt;0,"Over",""))</f>
        <v/>
      </c>
      <c r="AQ243" s="94">
        <f>IF(AN243&gt;0, "Under",IF(AN243&lt;0,"Over",""))</f>
        <v/>
      </c>
      <c r="AR243" s="94">
        <f>IF(AO243&gt;0, "Under",IF(AO243&lt;0,"Over",""))</f>
        <v/>
      </c>
      <c r="AS243" s="3" t="n"/>
    </row>
    <row r="244">
      <c r="C244" s="113" t="n"/>
      <c r="D244" s="114" t="n"/>
      <c r="E244" s="114" t="n"/>
      <c r="F244" s="113" t="n"/>
      <c r="G244" s="114" t="n"/>
      <c r="H244" s="114" t="n"/>
      <c r="I244" s="113" t="n"/>
      <c r="J244" s="114" t="n"/>
      <c r="K244" s="114" t="n"/>
      <c r="L244" s="113" t="n"/>
      <c r="M244" s="114" t="n"/>
      <c r="N244" s="114" t="n"/>
      <c r="O244" s="113">
        <f>L244+I244+F244+C244</f>
        <v/>
      </c>
      <c r="P244" s="114">
        <f>M244+J244+G244+D244</f>
        <v/>
      </c>
      <c r="Q244" s="114">
        <f>N244+K244+H244+E244</f>
        <v/>
      </c>
      <c r="R244" s="113">
        <f>SUMIFS('PO Log'!$E:$E,'PO Log'!$D:$D,'Category Table'!R$2,'PO Log'!$C:$C,'Category Table'!$A244)</f>
        <v/>
      </c>
      <c r="S244" s="114">
        <f>SUMIFS('PO Log'!$E:$E,'PO Log'!$D:$D,'Category Table'!S$2,'PO Log'!$C:$C,'Category Table'!$A244)</f>
        <v/>
      </c>
      <c r="T244" s="114">
        <f>SUMIFS('PO Log'!$E:$E,'PO Log'!$D:$D,'Category Table'!T$2,'PO Log'!$C:$C,'Category Table'!$A244)</f>
        <v/>
      </c>
      <c r="U244" s="113">
        <f>SUMIFS('Committments Dump'!$Q:$Q,'Committments Dump'!$C:$C,'Category Table'!U$2,'Committments Dump'!$B:$B,'Category Table'!$A244)</f>
        <v/>
      </c>
      <c r="V244" s="114">
        <f>SUMIFS('Committments Dump'!$Q:$Q,'Committments Dump'!$C:$C,'Category Table'!V$2,'Committments Dump'!$B:$B,'Category Table'!$A244)</f>
        <v/>
      </c>
      <c r="W244" s="114">
        <f>SUMIFS('Committments Dump'!$Q:$Q,'Committments Dump'!$C:$C,'Category Table'!W$2,'Committments Dump'!$B:$B,'Category Table'!$A244)</f>
        <v/>
      </c>
      <c r="X244" s="113">
        <f>SUMIFS('Committments Dump'!$R:$R,'Committments Dump'!$C:$C,'Category Table'!X$2,'Committments Dump'!$B:$B,'Category Table'!$A244)</f>
        <v/>
      </c>
      <c r="Y244" s="114">
        <f>SUMIFS('Committments Dump'!$R:$R,'Committments Dump'!$C:$C,'Category Table'!Y$2,'Committments Dump'!$B:$B,'Category Table'!$A244)</f>
        <v/>
      </c>
      <c r="Z244" s="114">
        <f>SUMIFS('Committments Dump'!$R:$R,'Committments Dump'!$C:$C,'Category Table'!Z$2,'Committments Dump'!$B:$B,'Category Table'!$A244)</f>
        <v/>
      </c>
      <c r="AA244" s="113">
        <f>SUMIFS('Committments Dump'!$S:$S,'Committments Dump'!$C:$C,'Category Table'!AA$2,'Committments Dump'!$B:$B,'Category Table'!$A244)</f>
        <v/>
      </c>
      <c r="AB244" s="114">
        <f>SUMIFS('Committments Dump'!$S:$S,'Committments Dump'!$C:$C,'Category Table'!AB$2,'Committments Dump'!$B:$B,'Category Table'!$A244)</f>
        <v/>
      </c>
      <c r="AC244" s="114">
        <f>SUMIFS('Committments Dump'!$S:$S,'Committments Dump'!$C:$C,'Category Table'!AC$2,'Committments Dump'!$B:$B,'Category Table'!$A244)</f>
        <v/>
      </c>
      <c r="AD244" s="113">
        <f>U244+X244+AA244</f>
        <v/>
      </c>
      <c r="AE244" s="114">
        <f>V244+Y244+AB244</f>
        <v/>
      </c>
      <c r="AF244" s="114">
        <f>W244+Z244+AC244</f>
        <v/>
      </c>
      <c r="AG244" s="113">
        <f>R244+AD244</f>
        <v/>
      </c>
      <c r="AH244" s="114">
        <f>S244+AE244</f>
        <v/>
      </c>
      <c r="AI244" s="114">
        <f>T244+AF244</f>
        <v/>
      </c>
      <c r="AJ244" s="113" t="n"/>
      <c r="AK244" s="114" t="n"/>
      <c r="AL244" s="114" t="n"/>
      <c r="AM244" s="113">
        <f>(O244-AG244)+AJ244</f>
        <v/>
      </c>
      <c r="AN244" s="114">
        <f>(P244-AH244)+AK244</f>
        <v/>
      </c>
      <c r="AO244" s="114">
        <f>(Q244-AI244)+AL244</f>
        <v/>
      </c>
      <c r="AP244" s="2">
        <f>IF(AM244&gt;0, "Under",IF(AM244&lt;0,"Over",""))</f>
        <v/>
      </c>
      <c r="AQ244" s="1">
        <f>IF(AN244&gt;0, "Under",IF(AN244&lt;0,"Over",""))</f>
        <v/>
      </c>
      <c r="AR244" s="1">
        <f>IF(AO244&gt;0, "Under",IF(AO244&lt;0,"Over",""))</f>
        <v/>
      </c>
      <c r="AS244" s="3" t="n"/>
    </row>
    <row r="245">
      <c r="A245" s="90" t="n"/>
      <c r="B245" s="90" t="n"/>
      <c r="C245" s="115" t="n"/>
      <c r="D245" s="116" t="n"/>
      <c r="E245" s="116" t="n"/>
      <c r="F245" s="115" t="n"/>
      <c r="G245" s="116" t="n"/>
      <c r="H245" s="116" t="n"/>
      <c r="I245" s="115" t="n"/>
      <c r="J245" s="116" t="n"/>
      <c r="K245" s="116" t="n"/>
      <c r="L245" s="115" t="n"/>
      <c r="M245" s="116" t="n"/>
      <c r="N245" s="116" t="n"/>
      <c r="O245" s="115">
        <f>L245+I245+F245+C245</f>
        <v/>
      </c>
      <c r="P245" s="116">
        <f>M245+J245+G245+D245</f>
        <v/>
      </c>
      <c r="Q245" s="116">
        <f>N245+K245+H245+E245</f>
        <v/>
      </c>
      <c r="R245" s="115">
        <f>SUMIFS('PO Log'!$E:$E,'PO Log'!$D:$D,'Category Table'!R$2,'PO Log'!$C:$C,'Category Table'!$A245)</f>
        <v/>
      </c>
      <c r="S245" s="116">
        <f>SUMIFS('PO Log'!$E:$E,'PO Log'!$D:$D,'Category Table'!S$2,'PO Log'!$C:$C,'Category Table'!$A245)</f>
        <v/>
      </c>
      <c r="T245" s="116">
        <f>SUMIFS('PO Log'!$E:$E,'PO Log'!$D:$D,'Category Table'!T$2,'PO Log'!$C:$C,'Category Table'!$A245)</f>
        <v/>
      </c>
      <c r="U245" s="115">
        <f>SUMIFS('Committments Dump'!$Q:$Q,'Committments Dump'!$C:$C,'Category Table'!U$2,'Committments Dump'!$B:$B,'Category Table'!$A245)</f>
        <v/>
      </c>
      <c r="V245" s="116">
        <f>SUMIFS('Committments Dump'!$Q:$Q,'Committments Dump'!$C:$C,'Category Table'!V$2,'Committments Dump'!$B:$B,'Category Table'!$A245)</f>
        <v/>
      </c>
      <c r="W245" s="116">
        <f>SUMIFS('Committments Dump'!$Q:$Q,'Committments Dump'!$C:$C,'Category Table'!W$2,'Committments Dump'!$B:$B,'Category Table'!$A245)</f>
        <v/>
      </c>
      <c r="X245" s="115">
        <f>SUMIFS('Committments Dump'!$R:$R,'Committments Dump'!$C:$C,'Category Table'!X$2,'Committments Dump'!$B:$B,'Category Table'!$A245)</f>
        <v/>
      </c>
      <c r="Y245" s="116">
        <f>SUMIFS('Committments Dump'!$R:$R,'Committments Dump'!$C:$C,'Category Table'!Y$2,'Committments Dump'!$B:$B,'Category Table'!$A245)</f>
        <v/>
      </c>
      <c r="Z245" s="116">
        <f>SUMIFS('Committments Dump'!$R:$R,'Committments Dump'!$C:$C,'Category Table'!Z$2,'Committments Dump'!$B:$B,'Category Table'!$A245)</f>
        <v/>
      </c>
      <c r="AA245" s="115">
        <f>SUMIFS('Committments Dump'!$S:$S,'Committments Dump'!$C:$C,'Category Table'!AA$2,'Committments Dump'!$B:$B,'Category Table'!$A245)</f>
        <v/>
      </c>
      <c r="AB245" s="116">
        <f>SUMIFS('Committments Dump'!$S:$S,'Committments Dump'!$C:$C,'Category Table'!AB$2,'Committments Dump'!$B:$B,'Category Table'!$A245)</f>
        <v/>
      </c>
      <c r="AC245" s="116">
        <f>SUMIFS('Committments Dump'!$S:$S,'Committments Dump'!$C:$C,'Category Table'!AC$2,'Committments Dump'!$B:$B,'Category Table'!$A245)</f>
        <v/>
      </c>
      <c r="AD245" s="115">
        <f>U245+X245+AA245</f>
        <v/>
      </c>
      <c r="AE245" s="116">
        <f>V245+Y245+AB245</f>
        <v/>
      </c>
      <c r="AF245" s="116">
        <f>W245+Z245+AC245</f>
        <v/>
      </c>
      <c r="AG245" s="115">
        <f>R245+AD245</f>
        <v/>
      </c>
      <c r="AH245" s="116">
        <f>S245+AE245</f>
        <v/>
      </c>
      <c r="AI245" s="116">
        <f>T245+AF245</f>
        <v/>
      </c>
      <c r="AJ245" s="115" t="n"/>
      <c r="AK245" s="116" t="n"/>
      <c r="AL245" s="116" t="n"/>
      <c r="AM245" s="115">
        <f>(O245-AG245)+AJ245</f>
        <v/>
      </c>
      <c r="AN245" s="116">
        <f>(P245-AH245)+AK245</f>
        <v/>
      </c>
      <c r="AO245" s="116">
        <f>(Q245-AI245)+AL245</f>
        <v/>
      </c>
      <c r="AP245" s="93">
        <f>IF(AM245&gt;0, "Under",IF(AM245&lt;0,"Over",""))</f>
        <v/>
      </c>
      <c r="AQ245" s="94">
        <f>IF(AN245&gt;0, "Under",IF(AN245&lt;0,"Over",""))</f>
        <v/>
      </c>
      <c r="AR245" s="94">
        <f>IF(AO245&gt;0, "Under",IF(AO245&lt;0,"Over",""))</f>
        <v/>
      </c>
      <c r="AS245" s="3" t="n"/>
    </row>
    <row r="246">
      <c r="C246" s="113" t="n"/>
      <c r="D246" s="114" t="n"/>
      <c r="E246" s="114" t="n"/>
      <c r="F246" s="113" t="n"/>
      <c r="G246" s="114" t="n"/>
      <c r="H246" s="114" t="n"/>
      <c r="I246" s="113" t="n"/>
      <c r="J246" s="114" t="n"/>
      <c r="K246" s="114" t="n"/>
      <c r="L246" s="113" t="n"/>
      <c r="M246" s="114" t="n"/>
      <c r="N246" s="114" t="n"/>
      <c r="O246" s="113">
        <f>L246+I246+F246+C246</f>
        <v/>
      </c>
      <c r="P246" s="114">
        <f>M246+J246+G246+D246</f>
        <v/>
      </c>
      <c r="Q246" s="114">
        <f>N246+K246+H246+E246</f>
        <v/>
      </c>
      <c r="R246" s="113">
        <f>SUMIFS('PO Log'!$E:$E,'PO Log'!$D:$D,'Category Table'!R$2,'PO Log'!$C:$C,'Category Table'!$A246)</f>
        <v/>
      </c>
      <c r="S246" s="114">
        <f>SUMIFS('PO Log'!$E:$E,'PO Log'!$D:$D,'Category Table'!S$2,'PO Log'!$C:$C,'Category Table'!$A246)</f>
        <v/>
      </c>
      <c r="T246" s="114">
        <f>SUMIFS('PO Log'!$E:$E,'PO Log'!$D:$D,'Category Table'!T$2,'PO Log'!$C:$C,'Category Table'!$A246)</f>
        <v/>
      </c>
      <c r="U246" s="113">
        <f>SUMIFS('Committments Dump'!$Q:$Q,'Committments Dump'!$C:$C,'Category Table'!U$2,'Committments Dump'!$B:$B,'Category Table'!$A246)</f>
        <v/>
      </c>
      <c r="V246" s="114">
        <f>SUMIFS('Committments Dump'!$Q:$Q,'Committments Dump'!$C:$C,'Category Table'!V$2,'Committments Dump'!$B:$B,'Category Table'!$A246)</f>
        <v/>
      </c>
      <c r="W246" s="114">
        <f>SUMIFS('Committments Dump'!$Q:$Q,'Committments Dump'!$C:$C,'Category Table'!W$2,'Committments Dump'!$B:$B,'Category Table'!$A246)</f>
        <v/>
      </c>
      <c r="X246" s="113">
        <f>SUMIFS('Committments Dump'!$R:$R,'Committments Dump'!$C:$C,'Category Table'!X$2,'Committments Dump'!$B:$B,'Category Table'!$A246)</f>
        <v/>
      </c>
      <c r="Y246" s="114">
        <f>SUMIFS('Committments Dump'!$R:$R,'Committments Dump'!$C:$C,'Category Table'!Y$2,'Committments Dump'!$B:$B,'Category Table'!$A246)</f>
        <v/>
      </c>
      <c r="Z246" s="114">
        <f>SUMIFS('Committments Dump'!$R:$R,'Committments Dump'!$C:$C,'Category Table'!Z$2,'Committments Dump'!$B:$B,'Category Table'!$A246)</f>
        <v/>
      </c>
      <c r="AA246" s="113">
        <f>SUMIFS('Committments Dump'!$S:$S,'Committments Dump'!$C:$C,'Category Table'!AA$2,'Committments Dump'!$B:$B,'Category Table'!$A246)</f>
        <v/>
      </c>
      <c r="AB246" s="114">
        <f>SUMIFS('Committments Dump'!$S:$S,'Committments Dump'!$C:$C,'Category Table'!AB$2,'Committments Dump'!$B:$B,'Category Table'!$A246)</f>
        <v/>
      </c>
      <c r="AC246" s="114">
        <f>SUMIFS('Committments Dump'!$S:$S,'Committments Dump'!$C:$C,'Category Table'!AC$2,'Committments Dump'!$B:$B,'Category Table'!$A246)</f>
        <v/>
      </c>
      <c r="AD246" s="113">
        <f>U246+X246+AA246</f>
        <v/>
      </c>
      <c r="AE246" s="114">
        <f>V246+Y246+AB246</f>
        <v/>
      </c>
      <c r="AF246" s="114">
        <f>W246+Z246+AC246</f>
        <v/>
      </c>
      <c r="AG246" s="113">
        <f>R246+AD246</f>
        <v/>
      </c>
      <c r="AH246" s="114">
        <f>S246+AE246</f>
        <v/>
      </c>
      <c r="AI246" s="114">
        <f>T246+AF246</f>
        <v/>
      </c>
      <c r="AJ246" s="113" t="n"/>
      <c r="AK246" s="114" t="n"/>
      <c r="AL246" s="114" t="n"/>
      <c r="AM246" s="113">
        <f>(O246-AG246)+AJ246</f>
        <v/>
      </c>
      <c r="AN246" s="114">
        <f>(P246-AH246)+AK246</f>
        <v/>
      </c>
      <c r="AO246" s="114">
        <f>(Q246-AI246)+AL246</f>
        <v/>
      </c>
      <c r="AP246" s="2">
        <f>IF(AM246&gt;0, "Under",IF(AM246&lt;0,"Over",""))</f>
        <v/>
      </c>
      <c r="AQ246" s="1">
        <f>IF(AN246&gt;0, "Under",IF(AN246&lt;0,"Over",""))</f>
        <v/>
      </c>
      <c r="AR246" s="1">
        <f>IF(AO246&gt;0, "Under",IF(AO246&lt;0,"Over",""))</f>
        <v/>
      </c>
      <c r="AS246" s="3" t="n"/>
    </row>
    <row r="247">
      <c r="A247" s="90" t="n"/>
      <c r="B247" s="90" t="n"/>
      <c r="C247" s="115" t="n"/>
      <c r="D247" s="116" t="n"/>
      <c r="E247" s="116" t="n"/>
      <c r="F247" s="115" t="n"/>
      <c r="G247" s="116" t="n"/>
      <c r="H247" s="116" t="n"/>
      <c r="I247" s="115" t="n"/>
      <c r="J247" s="116" t="n"/>
      <c r="K247" s="116" t="n"/>
      <c r="L247" s="115" t="n"/>
      <c r="M247" s="116" t="n"/>
      <c r="N247" s="116" t="n"/>
      <c r="O247" s="115">
        <f>L247+I247+F247+C247</f>
        <v/>
      </c>
      <c r="P247" s="116">
        <f>M247+J247+G247+D247</f>
        <v/>
      </c>
      <c r="Q247" s="116">
        <f>N247+K247+H247+E247</f>
        <v/>
      </c>
      <c r="R247" s="115">
        <f>SUMIFS('PO Log'!$E:$E,'PO Log'!$D:$D,'Category Table'!R$2,'PO Log'!$C:$C,'Category Table'!$A247)</f>
        <v/>
      </c>
      <c r="S247" s="116">
        <f>SUMIFS('PO Log'!$E:$E,'PO Log'!$D:$D,'Category Table'!S$2,'PO Log'!$C:$C,'Category Table'!$A247)</f>
        <v/>
      </c>
      <c r="T247" s="116">
        <f>SUMIFS('PO Log'!$E:$E,'PO Log'!$D:$D,'Category Table'!T$2,'PO Log'!$C:$C,'Category Table'!$A247)</f>
        <v/>
      </c>
      <c r="U247" s="115">
        <f>SUMIFS('Committments Dump'!$Q:$Q,'Committments Dump'!$C:$C,'Category Table'!U$2,'Committments Dump'!$B:$B,'Category Table'!$A247)</f>
        <v/>
      </c>
      <c r="V247" s="116">
        <f>SUMIFS('Committments Dump'!$Q:$Q,'Committments Dump'!$C:$C,'Category Table'!V$2,'Committments Dump'!$B:$B,'Category Table'!$A247)</f>
        <v/>
      </c>
      <c r="W247" s="116">
        <f>SUMIFS('Committments Dump'!$Q:$Q,'Committments Dump'!$C:$C,'Category Table'!W$2,'Committments Dump'!$B:$B,'Category Table'!$A247)</f>
        <v/>
      </c>
      <c r="X247" s="115">
        <f>SUMIFS('Committments Dump'!$R:$R,'Committments Dump'!$C:$C,'Category Table'!X$2,'Committments Dump'!$B:$B,'Category Table'!$A247)</f>
        <v/>
      </c>
      <c r="Y247" s="116">
        <f>SUMIFS('Committments Dump'!$R:$R,'Committments Dump'!$C:$C,'Category Table'!Y$2,'Committments Dump'!$B:$B,'Category Table'!$A247)</f>
        <v/>
      </c>
      <c r="Z247" s="116">
        <f>SUMIFS('Committments Dump'!$R:$R,'Committments Dump'!$C:$C,'Category Table'!Z$2,'Committments Dump'!$B:$B,'Category Table'!$A247)</f>
        <v/>
      </c>
      <c r="AA247" s="115">
        <f>SUMIFS('Committments Dump'!$S:$S,'Committments Dump'!$C:$C,'Category Table'!AA$2,'Committments Dump'!$B:$B,'Category Table'!$A247)</f>
        <v/>
      </c>
      <c r="AB247" s="116">
        <f>SUMIFS('Committments Dump'!$S:$S,'Committments Dump'!$C:$C,'Category Table'!AB$2,'Committments Dump'!$B:$B,'Category Table'!$A247)</f>
        <v/>
      </c>
      <c r="AC247" s="116">
        <f>SUMIFS('Committments Dump'!$S:$S,'Committments Dump'!$C:$C,'Category Table'!AC$2,'Committments Dump'!$B:$B,'Category Table'!$A247)</f>
        <v/>
      </c>
      <c r="AD247" s="115">
        <f>U247+X247+AA247</f>
        <v/>
      </c>
      <c r="AE247" s="116">
        <f>V247+Y247+AB247</f>
        <v/>
      </c>
      <c r="AF247" s="116">
        <f>W247+Z247+AC247</f>
        <v/>
      </c>
      <c r="AG247" s="115">
        <f>R247+AD247</f>
        <v/>
      </c>
      <c r="AH247" s="116">
        <f>S247+AE247</f>
        <v/>
      </c>
      <c r="AI247" s="116">
        <f>T247+AF247</f>
        <v/>
      </c>
      <c r="AJ247" s="115" t="n"/>
      <c r="AK247" s="116" t="n"/>
      <c r="AL247" s="116" t="n"/>
      <c r="AM247" s="115">
        <f>(O247-AG247)+AJ247</f>
        <v/>
      </c>
      <c r="AN247" s="116">
        <f>(P247-AH247)+AK247</f>
        <v/>
      </c>
      <c r="AO247" s="116">
        <f>(Q247-AI247)+AL247</f>
        <v/>
      </c>
      <c r="AP247" s="93">
        <f>IF(AM247&gt;0, "Under",IF(AM247&lt;0,"Over",""))</f>
        <v/>
      </c>
      <c r="AQ247" s="94">
        <f>IF(AN247&gt;0, "Under",IF(AN247&lt;0,"Over",""))</f>
        <v/>
      </c>
      <c r="AR247" s="94">
        <f>IF(AO247&gt;0, "Under",IF(AO247&lt;0,"Over",""))</f>
        <v/>
      </c>
      <c r="AS247" s="3" t="n"/>
    </row>
    <row r="248">
      <c r="C248" s="113" t="n"/>
      <c r="D248" s="114" t="n"/>
      <c r="E248" s="114" t="n"/>
      <c r="F248" s="113" t="n"/>
      <c r="G248" s="114" t="n"/>
      <c r="H248" s="114" t="n"/>
      <c r="I248" s="113" t="n"/>
      <c r="J248" s="114" t="n"/>
      <c r="K248" s="114" t="n"/>
      <c r="L248" s="113" t="n"/>
      <c r="M248" s="114" t="n"/>
      <c r="N248" s="114" t="n"/>
      <c r="O248" s="113">
        <f>L248+I248+F248+C248</f>
        <v/>
      </c>
      <c r="P248" s="114">
        <f>M248+J248+G248+D248</f>
        <v/>
      </c>
      <c r="Q248" s="114">
        <f>N248+K248+H248+E248</f>
        <v/>
      </c>
      <c r="R248" s="113">
        <f>SUMIFS('PO Log'!$E:$E,'PO Log'!$D:$D,'Category Table'!R$2,'PO Log'!$C:$C,'Category Table'!$A248)</f>
        <v/>
      </c>
      <c r="S248" s="114">
        <f>SUMIFS('PO Log'!$E:$E,'PO Log'!$D:$D,'Category Table'!S$2,'PO Log'!$C:$C,'Category Table'!$A248)</f>
        <v/>
      </c>
      <c r="T248" s="114">
        <f>SUMIFS('PO Log'!$E:$E,'PO Log'!$D:$D,'Category Table'!T$2,'PO Log'!$C:$C,'Category Table'!$A248)</f>
        <v/>
      </c>
      <c r="U248" s="113">
        <f>SUMIFS('Committments Dump'!$Q:$Q,'Committments Dump'!$C:$C,'Category Table'!U$2,'Committments Dump'!$B:$B,'Category Table'!$A248)</f>
        <v/>
      </c>
      <c r="V248" s="114">
        <f>SUMIFS('Committments Dump'!$Q:$Q,'Committments Dump'!$C:$C,'Category Table'!V$2,'Committments Dump'!$B:$B,'Category Table'!$A248)</f>
        <v/>
      </c>
      <c r="W248" s="114">
        <f>SUMIFS('Committments Dump'!$Q:$Q,'Committments Dump'!$C:$C,'Category Table'!W$2,'Committments Dump'!$B:$B,'Category Table'!$A248)</f>
        <v/>
      </c>
      <c r="X248" s="113">
        <f>SUMIFS('Committments Dump'!$R:$R,'Committments Dump'!$C:$C,'Category Table'!X$2,'Committments Dump'!$B:$B,'Category Table'!$A248)</f>
        <v/>
      </c>
      <c r="Y248" s="114">
        <f>SUMIFS('Committments Dump'!$R:$R,'Committments Dump'!$C:$C,'Category Table'!Y$2,'Committments Dump'!$B:$B,'Category Table'!$A248)</f>
        <v/>
      </c>
      <c r="Z248" s="114">
        <f>SUMIFS('Committments Dump'!$R:$R,'Committments Dump'!$C:$C,'Category Table'!Z$2,'Committments Dump'!$B:$B,'Category Table'!$A248)</f>
        <v/>
      </c>
      <c r="AA248" s="113">
        <f>SUMIFS('Committments Dump'!$S:$S,'Committments Dump'!$C:$C,'Category Table'!AA$2,'Committments Dump'!$B:$B,'Category Table'!$A248)</f>
        <v/>
      </c>
      <c r="AB248" s="114">
        <f>SUMIFS('Committments Dump'!$S:$S,'Committments Dump'!$C:$C,'Category Table'!AB$2,'Committments Dump'!$B:$B,'Category Table'!$A248)</f>
        <v/>
      </c>
      <c r="AC248" s="114">
        <f>SUMIFS('Committments Dump'!$S:$S,'Committments Dump'!$C:$C,'Category Table'!AC$2,'Committments Dump'!$B:$B,'Category Table'!$A248)</f>
        <v/>
      </c>
      <c r="AD248" s="113">
        <f>U248+X248+AA248</f>
        <v/>
      </c>
      <c r="AE248" s="114">
        <f>V248+Y248+AB248</f>
        <v/>
      </c>
      <c r="AF248" s="114">
        <f>W248+Z248+AC248</f>
        <v/>
      </c>
      <c r="AG248" s="113">
        <f>R248+AD248</f>
        <v/>
      </c>
      <c r="AH248" s="114">
        <f>S248+AE248</f>
        <v/>
      </c>
      <c r="AI248" s="114">
        <f>T248+AF248</f>
        <v/>
      </c>
      <c r="AJ248" s="113" t="n"/>
      <c r="AK248" s="114" t="n"/>
      <c r="AL248" s="114" t="n"/>
      <c r="AM248" s="113">
        <f>(O248-AG248)+AJ248</f>
        <v/>
      </c>
      <c r="AN248" s="114">
        <f>(P248-AH248)+AK248</f>
        <v/>
      </c>
      <c r="AO248" s="114">
        <f>(Q248-AI248)+AL248</f>
        <v/>
      </c>
      <c r="AP248" s="2">
        <f>IF(AM248&gt;0, "Under",IF(AM248&lt;0,"Over",""))</f>
        <v/>
      </c>
      <c r="AQ248" s="1">
        <f>IF(AN248&gt;0, "Under",IF(AN248&lt;0,"Over",""))</f>
        <v/>
      </c>
      <c r="AR248" s="1">
        <f>IF(AO248&gt;0, "Under",IF(AO248&lt;0,"Over",""))</f>
        <v/>
      </c>
      <c r="AS248" s="3" t="n"/>
    </row>
    <row r="249">
      <c r="A249" s="90" t="n"/>
      <c r="B249" s="90" t="n"/>
      <c r="C249" s="115" t="n"/>
      <c r="D249" s="116" t="n"/>
      <c r="E249" s="116" t="n"/>
      <c r="F249" s="115" t="n"/>
      <c r="G249" s="116" t="n"/>
      <c r="H249" s="116" t="n"/>
      <c r="I249" s="115" t="n"/>
      <c r="J249" s="116" t="n"/>
      <c r="K249" s="116" t="n"/>
      <c r="L249" s="115" t="n"/>
      <c r="M249" s="116" t="n"/>
      <c r="N249" s="116" t="n"/>
      <c r="O249" s="115">
        <f>L249+I249+F249+C249</f>
        <v/>
      </c>
      <c r="P249" s="116">
        <f>M249+J249+G249+D249</f>
        <v/>
      </c>
      <c r="Q249" s="116">
        <f>N249+K249+H249+E249</f>
        <v/>
      </c>
      <c r="R249" s="115">
        <f>SUMIFS('PO Log'!$E:$E,'PO Log'!$D:$D,'Category Table'!R$2,'PO Log'!$C:$C,'Category Table'!$A249)</f>
        <v/>
      </c>
      <c r="S249" s="116">
        <f>SUMIFS('PO Log'!$E:$E,'PO Log'!$D:$D,'Category Table'!S$2,'PO Log'!$C:$C,'Category Table'!$A249)</f>
        <v/>
      </c>
      <c r="T249" s="116">
        <f>SUMIFS('PO Log'!$E:$E,'PO Log'!$D:$D,'Category Table'!T$2,'PO Log'!$C:$C,'Category Table'!$A249)</f>
        <v/>
      </c>
      <c r="U249" s="115">
        <f>SUMIFS('Committments Dump'!$Q:$Q,'Committments Dump'!$C:$C,'Category Table'!U$2,'Committments Dump'!$B:$B,'Category Table'!$A249)</f>
        <v/>
      </c>
      <c r="V249" s="116">
        <f>SUMIFS('Committments Dump'!$Q:$Q,'Committments Dump'!$C:$C,'Category Table'!V$2,'Committments Dump'!$B:$B,'Category Table'!$A249)</f>
        <v/>
      </c>
      <c r="W249" s="116">
        <f>SUMIFS('Committments Dump'!$Q:$Q,'Committments Dump'!$C:$C,'Category Table'!W$2,'Committments Dump'!$B:$B,'Category Table'!$A249)</f>
        <v/>
      </c>
      <c r="X249" s="115">
        <f>SUMIFS('Committments Dump'!$R:$R,'Committments Dump'!$C:$C,'Category Table'!X$2,'Committments Dump'!$B:$B,'Category Table'!$A249)</f>
        <v/>
      </c>
      <c r="Y249" s="116">
        <f>SUMIFS('Committments Dump'!$R:$R,'Committments Dump'!$C:$C,'Category Table'!Y$2,'Committments Dump'!$B:$B,'Category Table'!$A249)</f>
        <v/>
      </c>
      <c r="Z249" s="116">
        <f>SUMIFS('Committments Dump'!$R:$R,'Committments Dump'!$C:$C,'Category Table'!Z$2,'Committments Dump'!$B:$B,'Category Table'!$A249)</f>
        <v/>
      </c>
      <c r="AA249" s="115">
        <f>SUMIFS('Committments Dump'!$S:$S,'Committments Dump'!$C:$C,'Category Table'!AA$2,'Committments Dump'!$B:$B,'Category Table'!$A249)</f>
        <v/>
      </c>
      <c r="AB249" s="116">
        <f>SUMIFS('Committments Dump'!$S:$S,'Committments Dump'!$C:$C,'Category Table'!AB$2,'Committments Dump'!$B:$B,'Category Table'!$A249)</f>
        <v/>
      </c>
      <c r="AC249" s="116">
        <f>SUMIFS('Committments Dump'!$S:$S,'Committments Dump'!$C:$C,'Category Table'!AC$2,'Committments Dump'!$B:$B,'Category Table'!$A249)</f>
        <v/>
      </c>
      <c r="AD249" s="115">
        <f>U249+X249+AA249</f>
        <v/>
      </c>
      <c r="AE249" s="116">
        <f>V249+Y249+AB249</f>
        <v/>
      </c>
      <c r="AF249" s="116">
        <f>W249+Z249+AC249</f>
        <v/>
      </c>
      <c r="AG249" s="115">
        <f>R249+AD249</f>
        <v/>
      </c>
      <c r="AH249" s="116">
        <f>S249+AE249</f>
        <v/>
      </c>
      <c r="AI249" s="116">
        <f>T249+AF249</f>
        <v/>
      </c>
      <c r="AJ249" s="115" t="n"/>
      <c r="AK249" s="116" t="n"/>
      <c r="AL249" s="116" t="n"/>
      <c r="AM249" s="115">
        <f>(O249-AG249)+AJ249</f>
        <v/>
      </c>
      <c r="AN249" s="116">
        <f>(P249-AH249)+AK249</f>
        <v/>
      </c>
      <c r="AO249" s="116">
        <f>(Q249-AI249)+AL249</f>
        <v/>
      </c>
      <c r="AP249" s="93">
        <f>IF(AM249&gt;0, "Under",IF(AM249&lt;0,"Over",""))</f>
        <v/>
      </c>
      <c r="AQ249" s="94">
        <f>IF(AN249&gt;0, "Under",IF(AN249&lt;0,"Over",""))</f>
        <v/>
      </c>
      <c r="AR249" s="94">
        <f>IF(AO249&gt;0, "Under",IF(AO249&lt;0,"Over",""))</f>
        <v/>
      </c>
      <c r="AS249" s="3" t="n"/>
    </row>
    <row r="250">
      <c r="C250" s="113" t="n"/>
      <c r="D250" s="114" t="n"/>
      <c r="E250" s="114" t="n"/>
      <c r="F250" s="113" t="n"/>
      <c r="G250" s="114" t="n"/>
      <c r="H250" s="114" t="n"/>
      <c r="I250" s="113" t="n"/>
      <c r="J250" s="114" t="n"/>
      <c r="K250" s="114" t="n"/>
      <c r="L250" s="113" t="n"/>
      <c r="M250" s="114" t="n"/>
      <c r="N250" s="114" t="n"/>
      <c r="O250" s="113">
        <f>L250+I250+F250+C250</f>
        <v/>
      </c>
      <c r="P250" s="114">
        <f>M250+J250+G250+D250</f>
        <v/>
      </c>
      <c r="Q250" s="114">
        <f>N250+K250+H250+E250</f>
        <v/>
      </c>
      <c r="R250" s="113">
        <f>SUMIFS('PO Log'!$E:$E,'PO Log'!$D:$D,'Category Table'!R$2,'PO Log'!$C:$C,'Category Table'!$A250)</f>
        <v/>
      </c>
      <c r="S250" s="114">
        <f>SUMIFS('PO Log'!$E:$E,'PO Log'!$D:$D,'Category Table'!S$2,'PO Log'!$C:$C,'Category Table'!$A250)</f>
        <v/>
      </c>
      <c r="T250" s="114">
        <f>SUMIFS('PO Log'!$E:$E,'PO Log'!$D:$D,'Category Table'!T$2,'PO Log'!$C:$C,'Category Table'!$A250)</f>
        <v/>
      </c>
      <c r="U250" s="113">
        <f>SUMIFS('Committments Dump'!$Q:$Q,'Committments Dump'!$C:$C,'Category Table'!U$2,'Committments Dump'!$B:$B,'Category Table'!$A250)</f>
        <v/>
      </c>
      <c r="V250" s="114">
        <f>SUMIFS('Committments Dump'!$Q:$Q,'Committments Dump'!$C:$C,'Category Table'!V$2,'Committments Dump'!$B:$B,'Category Table'!$A250)</f>
        <v/>
      </c>
      <c r="W250" s="114">
        <f>SUMIFS('Committments Dump'!$Q:$Q,'Committments Dump'!$C:$C,'Category Table'!W$2,'Committments Dump'!$B:$B,'Category Table'!$A250)</f>
        <v/>
      </c>
      <c r="X250" s="113">
        <f>SUMIFS('Committments Dump'!$R:$R,'Committments Dump'!$C:$C,'Category Table'!X$2,'Committments Dump'!$B:$B,'Category Table'!$A250)</f>
        <v/>
      </c>
      <c r="Y250" s="114">
        <f>SUMIFS('Committments Dump'!$R:$R,'Committments Dump'!$C:$C,'Category Table'!Y$2,'Committments Dump'!$B:$B,'Category Table'!$A250)</f>
        <v/>
      </c>
      <c r="Z250" s="114">
        <f>SUMIFS('Committments Dump'!$R:$R,'Committments Dump'!$C:$C,'Category Table'!Z$2,'Committments Dump'!$B:$B,'Category Table'!$A250)</f>
        <v/>
      </c>
      <c r="AA250" s="113">
        <f>SUMIFS('Committments Dump'!$S:$S,'Committments Dump'!$C:$C,'Category Table'!AA$2,'Committments Dump'!$B:$B,'Category Table'!$A250)</f>
        <v/>
      </c>
      <c r="AB250" s="114">
        <f>SUMIFS('Committments Dump'!$S:$S,'Committments Dump'!$C:$C,'Category Table'!AB$2,'Committments Dump'!$B:$B,'Category Table'!$A250)</f>
        <v/>
      </c>
      <c r="AC250" s="114">
        <f>SUMIFS('Committments Dump'!$S:$S,'Committments Dump'!$C:$C,'Category Table'!AC$2,'Committments Dump'!$B:$B,'Category Table'!$A250)</f>
        <v/>
      </c>
      <c r="AD250" s="113">
        <f>U250+X250+AA250</f>
        <v/>
      </c>
      <c r="AE250" s="114">
        <f>V250+Y250+AB250</f>
        <v/>
      </c>
      <c r="AF250" s="114">
        <f>W250+Z250+AC250</f>
        <v/>
      </c>
      <c r="AG250" s="113">
        <f>R250+AD250</f>
        <v/>
      </c>
      <c r="AH250" s="114">
        <f>S250+AE250</f>
        <v/>
      </c>
      <c r="AI250" s="114">
        <f>T250+AF250</f>
        <v/>
      </c>
      <c r="AJ250" s="113" t="n"/>
      <c r="AK250" s="114" t="n"/>
      <c r="AL250" s="114" t="n"/>
      <c r="AM250" s="113">
        <f>(O250-AG250)+AJ250</f>
        <v/>
      </c>
      <c r="AN250" s="114">
        <f>(P250-AH250)+AK250</f>
        <v/>
      </c>
      <c r="AO250" s="114">
        <f>(Q250-AI250)+AL250</f>
        <v/>
      </c>
      <c r="AP250" s="2">
        <f>IF(AM250&gt;0, "Under",IF(AM250&lt;0,"Over",""))</f>
        <v/>
      </c>
      <c r="AQ250" s="1">
        <f>IF(AN250&gt;0, "Under",IF(AN250&lt;0,"Over",""))</f>
        <v/>
      </c>
      <c r="AR250" s="1">
        <f>IF(AO250&gt;0, "Under",IF(AO250&lt;0,"Over",""))</f>
        <v/>
      </c>
      <c r="AS250" s="3" t="n"/>
    </row>
    <row r="251">
      <c r="A251" s="90" t="n"/>
      <c r="B251" s="90" t="n"/>
      <c r="C251" s="115" t="n"/>
      <c r="D251" s="116" t="n"/>
      <c r="E251" s="116" t="n"/>
      <c r="F251" s="115" t="n"/>
      <c r="G251" s="116" t="n"/>
      <c r="H251" s="116" t="n"/>
      <c r="I251" s="115" t="n"/>
      <c r="J251" s="116" t="n"/>
      <c r="K251" s="116" t="n"/>
      <c r="L251" s="115" t="n"/>
      <c r="M251" s="116" t="n"/>
      <c r="N251" s="116" t="n"/>
      <c r="O251" s="115">
        <f>L251+I251+F251+C251</f>
        <v/>
      </c>
      <c r="P251" s="116">
        <f>M251+J251+G251+D251</f>
        <v/>
      </c>
      <c r="Q251" s="116">
        <f>N251+K251+H251+E251</f>
        <v/>
      </c>
      <c r="R251" s="115">
        <f>SUMIFS('PO Log'!$E:$E,'PO Log'!$D:$D,'Category Table'!R$2,'PO Log'!$C:$C,'Category Table'!$A251)</f>
        <v/>
      </c>
      <c r="S251" s="116">
        <f>SUMIFS('PO Log'!$E:$E,'PO Log'!$D:$D,'Category Table'!S$2,'PO Log'!$C:$C,'Category Table'!$A251)</f>
        <v/>
      </c>
      <c r="T251" s="116">
        <f>SUMIFS('PO Log'!$E:$E,'PO Log'!$D:$D,'Category Table'!T$2,'PO Log'!$C:$C,'Category Table'!$A251)</f>
        <v/>
      </c>
      <c r="U251" s="115">
        <f>SUMIFS('Committments Dump'!$Q:$Q,'Committments Dump'!$C:$C,'Category Table'!U$2,'Committments Dump'!$B:$B,'Category Table'!$A251)</f>
        <v/>
      </c>
      <c r="V251" s="116">
        <f>SUMIFS('Committments Dump'!$Q:$Q,'Committments Dump'!$C:$C,'Category Table'!V$2,'Committments Dump'!$B:$B,'Category Table'!$A251)</f>
        <v/>
      </c>
      <c r="W251" s="116">
        <f>SUMIFS('Committments Dump'!$Q:$Q,'Committments Dump'!$C:$C,'Category Table'!W$2,'Committments Dump'!$B:$B,'Category Table'!$A251)</f>
        <v/>
      </c>
      <c r="X251" s="115">
        <f>SUMIFS('Committments Dump'!$R:$R,'Committments Dump'!$C:$C,'Category Table'!X$2,'Committments Dump'!$B:$B,'Category Table'!$A251)</f>
        <v/>
      </c>
      <c r="Y251" s="116">
        <f>SUMIFS('Committments Dump'!$R:$R,'Committments Dump'!$C:$C,'Category Table'!Y$2,'Committments Dump'!$B:$B,'Category Table'!$A251)</f>
        <v/>
      </c>
      <c r="Z251" s="116">
        <f>SUMIFS('Committments Dump'!$R:$R,'Committments Dump'!$C:$C,'Category Table'!Z$2,'Committments Dump'!$B:$B,'Category Table'!$A251)</f>
        <v/>
      </c>
      <c r="AA251" s="115">
        <f>SUMIFS('Committments Dump'!$S:$S,'Committments Dump'!$C:$C,'Category Table'!AA$2,'Committments Dump'!$B:$B,'Category Table'!$A251)</f>
        <v/>
      </c>
      <c r="AB251" s="116">
        <f>SUMIFS('Committments Dump'!$S:$S,'Committments Dump'!$C:$C,'Category Table'!AB$2,'Committments Dump'!$B:$B,'Category Table'!$A251)</f>
        <v/>
      </c>
      <c r="AC251" s="116">
        <f>SUMIFS('Committments Dump'!$S:$S,'Committments Dump'!$C:$C,'Category Table'!AC$2,'Committments Dump'!$B:$B,'Category Table'!$A251)</f>
        <v/>
      </c>
      <c r="AD251" s="115">
        <f>U251+X251+AA251</f>
        <v/>
      </c>
      <c r="AE251" s="116">
        <f>V251+Y251+AB251</f>
        <v/>
      </c>
      <c r="AF251" s="116">
        <f>W251+Z251+AC251</f>
        <v/>
      </c>
      <c r="AG251" s="115">
        <f>R251+AD251</f>
        <v/>
      </c>
      <c r="AH251" s="116">
        <f>S251+AE251</f>
        <v/>
      </c>
      <c r="AI251" s="116">
        <f>T251+AF251</f>
        <v/>
      </c>
      <c r="AJ251" s="115" t="n"/>
      <c r="AK251" s="116" t="n"/>
      <c r="AL251" s="116" t="n"/>
      <c r="AM251" s="115">
        <f>(O251-AG251)+AJ251</f>
        <v/>
      </c>
      <c r="AN251" s="116">
        <f>(P251-AH251)+AK251</f>
        <v/>
      </c>
      <c r="AO251" s="116">
        <f>(Q251-AI251)+AL251</f>
        <v/>
      </c>
      <c r="AP251" s="93">
        <f>IF(AM251&gt;0, "Under",IF(AM251&lt;0,"Over",""))</f>
        <v/>
      </c>
      <c r="AQ251" s="94">
        <f>IF(AN251&gt;0, "Under",IF(AN251&lt;0,"Over",""))</f>
        <v/>
      </c>
      <c r="AR251" s="94">
        <f>IF(AO251&gt;0, "Under",IF(AO251&lt;0,"Over",""))</f>
        <v/>
      </c>
      <c r="AS251" s="3" t="n"/>
    </row>
    <row r="252">
      <c r="C252" s="113" t="n"/>
      <c r="D252" s="114" t="n"/>
      <c r="E252" s="114" t="n"/>
      <c r="F252" s="113" t="n"/>
      <c r="G252" s="114" t="n"/>
      <c r="H252" s="114" t="n"/>
      <c r="I252" s="113" t="n"/>
      <c r="J252" s="114" t="n"/>
      <c r="K252" s="114" t="n"/>
      <c r="L252" s="113" t="n"/>
      <c r="M252" s="114" t="n"/>
      <c r="N252" s="114" t="n"/>
      <c r="O252" s="113">
        <f>L252+I252+F252+C252</f>
        <v/>
      </c>
      <c r="P252" s="114">
        <f>M252+J252+G252+D252</f>
        <v/>
      </c>
      <c r="Q252" s="114">
        <f>N252+K252+H252+E252</f>
        <v/>
      </c>
      <c r="R252" s="113">
        <f>SUMIFS('PO Log'!$E:$E,'PO Log'!$D:$D,'Category Table'!R$2,'PO Log'!$C:$C,'Category Table'!$A252)</f>
        <v/>
      </c>
      <c r="S252" s="114">
        <f>SUMIFS('PO Log'!$E:$E,'PO Log'!$D:$D,'Category Table'!S$2,'PO Log'!$C:$C,'Category Table'!$A252)</f>
        <v/>
      </c>
      <c r="T252" s="114">
        <f>SUMIFS('PO Log'!$E:$E,'PO Log'!$D:$D,'Category Table'!T$2,'PO Log'!$C:$C,'Category Table'!$A252)</f>
        <v/>
      </c>
      <c r="U252" s="113">
        <f>SUMIFS('Committments Dump'!$Q:$Q,'Committments Dump'!$C:$C,'Category Table'!U$2,'Committments Dump'!$B:$B,'Category Table'!$A252)</f>
        <v/>
      </c>
      <c r="V252" s="114">
        <f>SUMIFS('Committments Dump'!$Q:$Q,'Committments Dump'!$C:$C,'Category Table'!V$2,'Committments Dump'!$B:$B,'Category Table'!$A252)</f>
        <v/>
      </c>
      <c r="W252" s="114">
        <f>SUMIFS('Committments Dump'!$Q:$Q,'Committments Dump'!$C:$C,'Category Table'!W$2,'Committments Dump'!$B:$B,'Category Table'!$A252)</f>
        <v/>
      </c>
      <c r="X252" s="113">
        <f>SUMIFS('Committments Dump'!$R:$R,'Committments Dump'!$C:$C,'Category Table'!X$2,'Committments Dump'!$B:$B,'Category Table'!$A252)</f>
        <v/>
      </c>
      <c r="Y252" s="114">
        <f>SUMIFS('Committments Dump'!$R:$R,'Committments Dump'!$C:$C,'Category Table'!Y$2,'Committments Dump'!$B:$B,'Category Table'!$A252)</f>
        <v/>
      </c>
      <c r="Z252" s="114">
        <f>SUMIFS('Committments Dump'!$R:$R,'Committments Dump'!$C:$C,'Category Table'!Z$2,'Committments Dump'!$B:$B,'Category Table'!$A252)</f>
        <v/>
      </c>
      <c r="AA252" s="113">
        <f>SUMIFS('Committments Dump'!$S:$S,'Committments Dump'!$C:$C,'Category Table'!AA$2,'Committments Dump'!$B:$B,'Category Table'!$A252)</f>
        <v/>
      </c>
      <c r="AB252" s="114">
        <f>SUMIFS('Committments Dump'!$S:$S,'Committments Dump'!$C:$C,'Category Table'!AB$2,'Committments Dump'!$B:$B,'Category Table'!$A252)</f>
        <v/>
      </c>
      <c r="AC252" s="114">
        <f>SUMIFS('Committments Dump'!$S:$S,'Committments Dump'!$C:$C,'Category Table'!AC$2,'Committments Dump'!$B:$B,'Category Table'!$A252)</f>
        <v/>
      </c>
      <c r="AD252" s="113">
        <f>U252+X252+AA252</f>
        <v/>
      </c>
      <c r="AE252" s="114">
        <f>V252+Y252+AB252</f>
        <v/>
      </c>
      <c r="AF252" s="114">
        <f>W252+Z252+AC252</f>
        <v/>
      </c>
      <c r="AG252" s="113">
        <f>R252+AD252</f>
        <v/>
      </c>
      <c r="AH252" s="114">
        <f>S252+AE252</f>
        <v/>
      </c>
      <c r="AI252" s="114">
        <f>T252+AF252</f>
        <v/>
      </c>
      <c r="AJ252" s="113" t="n"/>
      <c r="AK252" s="114" t="n"/>
      <c r="AL252" s="114" t="n"/>
      <c r="AM252" s="113">
        <f>(O252-AG252)+AJ252</f>
        <v/>
      </c>
      <c r="AN252" s="114">
        <f>(P252-AH252)+AK252</f>
        <v/>
      </c>
      <c r="AO252" s="114">
        <f>(Q252-AI252)+AL252</f>
        <v/>
      </c>
      <c r="AP252" s="2">
        <f>IF(AM252&gt;0, "Under",IF(AM252&lt;0,"Over",""))</f>
        <v/>
      </c>
      <c r="AQ252" s="1">
        <f>IF(AN252&gt;0, "Under",IF(AN252&lt;0,"Over",""))</f>
        <v/>
      </c>
      <c r="AR252" s="1">
        <f>IF(AO252&gt;0, "Under",IF(AO252&lt;0,"Over",""))</f>
        <v/>
      </c>
      <c r="AS252" s="3" t="n"/>
    </row>
    <row r="253">
      <c r="A253" s="90" t="n"/>
      <c r="B253" s="90" t="n"/>
      <c r="C253" s="115" t="n"/>
      <c r="D253" s="116" t="n"/>
      <c r="E253" s="116" t="n"/>
      <c r="F253" s="115" t="n"/>
      <c r="G253" s="116" t="n"/>
      <c r="H253" s="116" t="n"/>
      <c r="I253" s="115" t="n"/>
      <c r="J253" s="116" t="n"/>
      <c r="K253" s="116" t="n"/>
      <c r="L253" s="115" t="n"/>
      <c r="M253" s="116" t="n"/>
      <c r="N253" s="116" t="n"/>
      <c r="O253" s="115">
        <f>L253+I253+F253+C253</f>
        <v/>
      </c>
      <c r="P253" s="116">
        <f>M253+J253+G253+D253</f>
        <v/>
      </c>
      <c r="Q253" s="116">
        <f>N253+K253+H253+E253</f>
        <v/>
      </c>
      <c r="R253" s="115">
        <f>SUMIFS('PO Log'!$E:$E,'PO Log'!$D:$D,'Category Table'!R$2,'PO Log'!$C:$C,'Category Table'!$A253)</f>
        <v/>
      </c>
      <c r="S253" s="116">
        <f>SUMIFS('PO Log'!$E:$E,'PO Log'!$D:$D,'Category Table'!S$2,'PO Log'!$C:$C,'Category Table'!$A253)</f>
        <v/>
      </c>
      <c r="T253" s="116">
        <f>SUMIFS('PO Log'!$E:$E,'PO Log'!$D:$D,'Category Table'!T$2,'PO Log'!$C:$C,'Category Table'!$A253)</f>
        <v/>
      </c>
      <c r="U253" s="115">
        <f>SUMIFS('Committments Dump'!$Q:$Q,'Committments Dump'!$C:$C,'Category Table'!U$2,'Committments Dump'!$B:$B,'Category Table'!$A253)</f>
        <v/>
      </c>
      <c r="V253" s="116">
        <f>SUMIFS('Committments Dump'!$Q:$Q,'Committments Dump'!$C:$C,'Category Table'!V$2,'Committments Dump'!$B:$B,'Category Table'!$A253)</f>
        <v/>
      </c>
      <c r="W253" s="116">
        <f>SUMIFS('Committments Dump'!$Q:$Q,'Committments Dump'!$C:$C,'Category Table'!W$2,'Committments Dump'!$B:$B,'Category Table'!$A253)</f>
        <v/>
      </c>
      <c r="X253" s="115">
        <f>SUMIFS('Committments Dump'!$R:$R,'Committments Dump'!$C:$C,'Category Table'!X$2,'Committments Dump'!$B:$B,'Category Table'!$A253)</f>
        <v/>
      </c>
      <c r="Y253" s="116">
        <f>SUMIFS('Committments Dump'!$R:$R,'Committments Dump'!$C:$C,'Category Table'!Y$2,'Committments Dump'!$B:$B,'Category Table'!$A253)</f>
        <v/>
      </c>
      <c r="Z253" s="116">
        <f>SUMIFS('Committments Dump'!$R:$R,'Committments Dump'!$C:$C,'Category Table'!Z$2,'Committments Dump'!$B:$B,'Category Table'!$A253)</f>
        <v/>
      </c>
      <c r="AA253" s="115">
        <f>SUMIFS('Committments Dump'!$S:$S,'Committments Dump'!$C:$C,'Category Table'!AA$2,'Committments Dump'!$B:$B,'Category Table'!$A253)</f>
        <v/>
      </c>
      <c r="AB253" s="116">
        <f>SUMIFS('Committments Dump'!$S:$S,'Committments Dump'!$C:$C,'Category Table'!AB$2,'Committments Dump'!$B:$B,'Category Table'!$A253)</f>
        <v/>
      </c>
      <c r="AC253" s="116">
        <f>SUMIFS('Committments Dump'!$S:$S,'Committments Dump'!$C:$C,'Category Table'!AC$2,'Committments Dump'!$B:$B,'Category Table'!$A253)</f>
        <v/>
      </c>
      <c r="AD253" s="115">
        <f>U253+X253+AA253</f>
        <v/>
      </c>
      <c r="AE253" s="116">
        <f>V253+Y253+AB253</f>
        <v/>
      </c>
      <c r="AF253" s="116">
        <f>W253+Z253+AC253</f>
        <v/>
      </c>
      <c r="AG253" s="115">
        <f>R253+AD253</f>
        <v/>
      </c>
      <c r="AH253" s="116">
        <f>S253+AE253</f>
        <v/>
      </c>
      <c r="AI253" s="116">
        <f>T253+AF253</f>
        <v/>
      </c>
      <c r="AJ253" s="115" t="n"/>
      <c r="AK253" s="116" t="n"/>
      <c r="AL253" s="116" t="n"/>
      <c r="AM253" s="115">
        <f>(O253-AG253)+AJ253</f>
        <v/>
      </c>
      <c r="AN253" s="116">
        <f>(P253-AH253)+AK253</f>
        <v/>
      </c>
      <c r="AO253" s="116">
        <f>(Q253-AI253)+AL253</f>
        <v/>
      </c>
      <c r="AP253" s="93">
        <f>IF(AM253&gt;0, "Under",IF(AM253&lt;0,"Over",""))</f>
        <v/>
      </c>
      <c r="AQ253" s="94">
        <f>IF(AN253&gt;0, "Under",IF(AN253&lt;0,"Over",""))</f>
        <v/>
      </c>
      <c r="AR253" s="94">
        <f>IF(AO253&gt;0, "Under",IF(AO253&lt;0,"Over",""))</f>
        <v/>
      </c>
      <c r="AS253" s="3" t="n"/>
    </row>
    <row r="254">
      <c r="C254" s="113" t="n"/>
      <c r="D254" s="114" t="n"/>
      <c r="E254" s="114" t="n"/>
      <c r="F254" s="113" t="n"/>
      <c r="G254" s="114" t="n"/>
      <c r="H254" s="114" t="n"/>
      <c r="I254" s="113" t="n"/>
      <c r="J254" s="114" t="n"/>
      <c r="K254" s="114" t="n"/>
      <c r="L254" s="113" t="n"/>
      <c r="M254" s="114" t="n"/>
      <c r="N254" s="114" t="n"/>
      <c r="O254" s="113">
        <f>L254+I254+F254+C254</f>
        <v/>
      </c>
      <c r="P254" s="114">
        <f>M254+J254+G254+D254</f>
        <v/>
      </c>
      <c r="Q254" s="114">
        <f>N254+K254+H254+E254</f>
        <v/>
      </c>
      <c r="R254" s="113">
        <f>SUMIFS('PO Log'!$E:$E,'PO Log'!$D:$D,'Category Table'!R$2,'PO Log'!$C:$C,'Category Table'!$A254)</f>
        <v/>
      </c>
      <c r="S254" s="114">
        <f>SUMIFS('PO Log'!$E:$E,'PO Log'!$D:$D,'Category Table'!S$2,'PO Log'!$C:$C,'Category Table'!$A254)</f>
        <v/>
      </c>
      <c r="T254" s="114">
        <f>SUMIFS('PO Log'!$E:$E,'PO Log'!$D:$D,'Category Table'!T$2,'PO Log'!$C:$C,'Category Table'!$A254)</f>
        <v/>
      </c>
      <c r="U254" s="113">
        <f>SUMIFS('Committments Dump'!$Q:$Q,'Committments Dump'!$C:$C,'Category Table'!U$2,'Committments Dump'!$B:$B,'Category Table'!$A254)</f>
        <v/>
      </c>
      <c r="V254" s="114">
        <f>SUMIFS('Committments Dump'!$Q:$Q,'Committments Dump'!$C:$C,'Category Table'!V$2,'Committments Dump'!$B:$B,'Category Table'!$A254)</f>
        <v/>
      </c>
      <c r="W254" s="114">
        <f>SUMIFS('Committments Dump'!$Q:$Q,'Committments Dump'!$C:$C,'Category Table'!W$2,'Committments Dump'!$B:$B,'Category Table'!$A254)</f>
        <v/>
      </c>
      <c r="X254" s="113">
        <f>SUMIFS('Committments Dump'!$R:$R,'Committments Dump'!$C:$C,'Category Table'!X$2,'Committments Dump'!$B:$B,'Category Table'!$A254)</f>
        <v/>
      </c>
      <c r="Y254" s="114">
        <f>SUMIFS('Committments Dump'!$R:$R,'Committments Dump'!$C:$C,'Category Table'!Y$2,'Committments Dump'!$B:$B,'Category Table'!$A254)</f>
        <v/>
      </c>
      <c r="Z254" s="114">
        <f>SUMIFS('Committments Dump'!$R:$R,'Committments Dump'!$C:$C,'Category Table'!Z$2,'Committments Dump'!$B:$B,'Category Table'!$A254)</f>
        <v/>
      </c>
      <c r="AA254" s="113">
        <f>SUMIFS('Committments Dump'!$S:$S,'Committments Dump'!$C:$C,'Category Table'!AA$2,'Committments Dump'!$B:$B,'Category Table'!$A254)</f>
        <v/>
      </c>
      <c r="AB254" s="114">
        <f>SUMIFS('Committments Dump'!$S:$S,'Committments Dump'!$C:$C,'Category Table'!AB$2,'Committments Dump'!$B:$B,'Category Table'!$A254)</f>
        <v/>
      </c>
      <c r="AC254" s="114">
        <f>SUMIFS('Committments Dump'!$S:$S,'Committments Dump'!$C:$C,'Category Table'!AC$2,'Committments Dump'!$B:$B,'Category Table'!$A254)</f>
        <v/>
      </c>
      <c r="AD254" s="113">
        <f>U254+X254+AA254</f>
        <v/>
      </c>
      <c r="AE254" s="114">
        <f>V254+Y254+AB254</f>
        <v/>
      </c>
      <c r="AF254" s="114">
        <f>W254+Z254+AC254</f>
        <v/>
      </c>
      <c r="AG254" s="113">
        <f>R254+AD254</f>
        <v/>
      </c>
      <c r="AH254" s="114">
        <f>S254+AE254</f>
        <v/>
      </c>
      <c r="AI254" s="114">
        <f>T254+AF254</f>
        <v/>
      </c>
      <c r="AJ254" s="113" t="n"/>
      <c r="AK254" s="114" t="n"/>
      <c r="AL254" s="114" t="n"/>
      <c r="AM254" s="113">
        <f>(O254-AG254)+AJ254</f>
        <v/>
      </c>
      <c r="AN254" s="114">
        <f>(P254-AH254)+AK254</f>
        <v/>
      </c>
      <c r="AO254" s="114">
        <f>(Q254-AI254)+AL254</f>
        <v/>
      </c>
      <c r="AP254" s="2">
        <f>IF(AM254&gt;0, "Under",IF(AM254&lt;0,"Over",""))</f>
        <v/>
      </c>
      <c r="AQ254" s="1">
        <f>IF(AN254&gt;0, "Under",IF(AN254&lt;0,"Over",""))</f>
        <v/>
      </c>
      <c r="AR254" s="1">
        <f>IF(AO254&gt;0, "Under",IF(AO254&lt;0,"Over",""))</f>
        <v/>
      </c>
      <c r="AS254" s="3" t="n"/>
    </row>
    <row r="255">
      <c r="A255" s="90" t="n"/>
      <c r="B255" s="90" t="n"/>
      <c r="C255" s="115" t="n"/>
      <c r="D255" s="116" t="n"/>
      <c r="E255" s="116" t="n"/>
      <c r="F255" s="115" t="n"/>
      <c r="G255" s="116" t="n"/>
      <c r="H255" s="116" t="n"/>
      <c r="I255" s="115" t="n"/>
      <c r="J255" s="116" t="n"/>
      <c r="K255" s="116" t="n"/>
      <c r="L255" s="115" t="n"/>
      <c r="M255" s="116" t="n"/>
      <c r="N255" s="116" t="n"/>
      <c r="O255" s="115">
        <f>L255+I255+F255+C255</f>
        <v/>
      </c>
      <c r="P255" s="116">
        <f>M255+J255+G255+D255</f>
        <v/>
      </c>
      <c r="Q255" s="116">
        <f>N255+K255+H255+E255</f>
        <v/>
      </c>
      <c r="R255" s="115">
        <f>SUMIFS('PO Log'!$E:$E,'PO Log'!$D:$D,'Category Table'!R$2,'PO Log'!$C:$C,'Category Table'!$A255)</f>
        <v/>
      </c>
      <c r="S255" s="116">
        <f>SUMIFS('PO Log'!$E:$E,'PO Log'!$D:$D,'Category Table'!S$2,'PO Log'!$C:$C,'Category Table'!$A255)</f>
        <v/>
      </c>
      <c r="T255" s="116">
        <f>SUMIFS('PO Log'!$E:$E,'PO Log'!$D:$D,'Category Table'!T$2,'PO Log'!$C:$C,'Category Table'!$A255)</f>
        <v/>
      </c>
      <c r="U255" s="115">
        <f>SUMIFS('Committments Dump'!$Q:$Q,'Committments Dump'!$C:$C,'Category Table'!U$2,'Committments Dump'!$B:$B,'Category Table'!$A255)</f>
        <v/>
      </c>
      <c r="V255" s="116">
        <f>SUMIFS('Committments Dump'!$Q:$Q,'Committments Dump'!$C:$C,'Category Table'!V$2,'Committments Dump'!$B:$B,'Category Table'!$A255)</f>
        <v/>
      </c>
      <c r="W255" s="116">
        <f>SUMIFS('Committments Dump'!$Q:$Q,'Committments Dump'!$C:$C,'Category Table'!W$2,'Committments Dump'!$B:$B,'Category Table'!$A255)</f>
        <v/>
      </c>
      <c r="X255" s="115">
        <f>SUMIFS('Committments Dump'!$R:$R,'Committments Dump'!$C:$C,'Category Table'!X$2,'Committments Dump'!$B:$B,'Category Table'!$A255)</f>
        <v/>
      </c>
      <c r="Y255" s="116">
        <f>SUMIFS('Committments Dump'!$R:$R,'Committments Dump'!$C:$C,'Category Table'!Y$2,'Committments Dump'!$B:$B,'Category Table'!$A255)</f>
        <v/>
      </c>
      <c r="Z255" s="116">
        <f>SUMIFS('Committments Dump'!$R:$R,'Committments Dump'!$C:$C,'Category Table'!Z$2,'Committments Dump'!$B:$B,'Category Table'!$A255)</f>
        <v/>
      </c>
      <c r="AA255" s="115">
        <f>SUMIFS('Committments Dump'!$S:$S,'Committments Dump'!$C:$C,'Category Table'!AA$2,'Committments Dump'!$B:$B,'Category Table'!$A255)</f>
        <v/>
      </c>
      <c r="AB255" s="116">
        <f>SUMIFS('Committments Dump'!$S:$S,'Committments Dump'!$C:$C,'Category Table'!AB$2,'Committments Dump'!$B:$B,'Category Table'!$A255)</f>
        <v/>
      </c>
      <c r="AC255" s="116">
        <f>SUMIFS('Committments Dump'!$S:$S,'Committments Dump'!$C:$C,'Category Table'!AC$2,'Committments Dump'!$B:$B,'Category Table'!$A255)</f>
        <v/>
      </c>
      <c r="AD255" s="115">
        <f>U255+X255+AA255</f>
        <v/>
      </c>
      <c r="AE255" s="116">
        <f>V255+Y255+AB255</f>
        <v/>
      </c>
      <c r="AF255" s="116">
        <f>W255+Z255+AC255</f>
        <v/>
      </c>
      <c r="AG255" s="115">
        <f>R255+AD255</f>
        <v/>
      </c>
      <c r="AH255" s="116">
        <f>S255+AE255</f>
        <v/>
      </c>
      <c r="AI255" s="116">
        <f>T255+AF255</f>
        <v/>
      </c>
      <c r="AJ255" s="115" t="n"/>
      <c r="AK255" s="116" t="n"/>
      <c r="AL255" s="116" t="n"/>
      <c r="AM255" s="115">
        <f>(O255-AG255)+AJ255</f>
        <v/>
      </c>
      <c r="AN255" s="116">
        <f>(P255-AH255)+AK255</f>
        <v/>
      </c>
      <c r="AO255" s="116">
        <f>(Q255-AI255)+AL255</f>
        <v/>
      </c>
      <c r="AP255" s="93">
        <f>IF(AM255&gt;0, "Under",IF(AM255&lt;0,"Over",""))</f>
        <v/>
      </c>
      <c r="AQ255" s="94">
        <f>IF(AN255&gt;0, "Under",IF(AN255&lt;0,"Over",""))</f>
        <v/>
      </c>
      <c r="AR255" s="94">
        <f>IF(AO255&gt;0, "Under",IF(AO255&lt;0,"Over",""))</f>
        <v/>
      </c>
      <c r="AS255" s="3" t="n"/>
    </row>
    <row r="256">
      <c r="C256" s="113" t="n"/>
      <c r="D256" s="114" t="n"/>
      <c r="E256" s="114" t="n"/>
      <c r="F256" s="113" t="n"/>
      <c r="G256" s="114" t="n"/>
      <c r="H256" s="114" t="n"/>
      <c r="I256" s="113" t="n"/>
      <c r="J256" s="114" t="n"/>
      <c r="K256" s="114" t="n"/>
      <c r="L256" s="113" t="n"/>
      <c r="M256" s="114" t="n"/>
      <c r="N256" s="114" t="n"/>
      <c r="O256" s="113">
        <f>L256+I256+F256+C256</f>
        <v/>
      </c>
      <c r="P256" s="114">
        <f>M256+J256+G256+D256</f>
        <v/>
      </c>
      <c r="Q256" s="114">
        <f>N256+K256+H256+E256</f>
        <v/>
      </c>
      <c r="R256" s="113">
        <f>SUMIFS('PO Log'!$E:$E,'PO Log'!$D:$D,'Category Table'!R$2,'PO Log'!$C:$C,'Category Table'!$A256)</f>
        <v/>
      </c>
      <c r="S256" s="114">
        <f>SUMIFS('PO Log'!$E:$E,'PO Log'!$D:$D,'Category Table'!S$2,'PO Log'!$C:$C,'Category Table'!$A256)</f>
        <v/>
      </c>
      <c r="T256" s="114">
        <f>SUMIFS('PO Log'!$E:$E,'PO Log'!$D:$D,'Category Table'!T$2,'PO Log'!$C:$C,'Category Table'!$A256)</f>
        <v/>
      </c>
      <c r="U256" s="113">
        <f>SUMIFS('Committments Dump'!$Q:$Q,'Committments Dump'!$C:$C,'Category Table'!U$2,'Committments Dump'!$B:$B,'Category Table'!$A256)</f>
        <v/>
      </c>
      <c r="V256" s="114">
        <f>SUMIFS('Committments Dump'!$Q:$Q,'Committments Dump'!$C:$C,'Category Table'!V$2,'Committments Dump'!$B:$B,'Category Table'!$A256)</f>
        <v/>
      </c>
      <c r="W256" s="114">
        <f>SUMIFS('Committments Dump'!$Q:$Q,'Committments Dump'!$C:$C,'Category Table'!W$2,'Committments Dump'!$B:$B,'Category Table'!$A256)</f>
        <v/>
      </c>
      <c r="X256" s="113">
        <f>SUMIFS('Committments Dump'!$R:$R,'Committments Dump'!$C:$C,'Category Table'!X$2,'Committments Dump'!$B:$B,'Category Table'!$A256)</f>
        <v/>
      </c>
      <c r="Y256" s="114">
        <f>SUMIFS('Committments Dump'!$R:$R,'Committments Dump'!$C:$C,'Category Table'!Y$2,'Committments Dump'!$B:$B,'Category Table'!$A256)</f>
        <v/>
      </c>
      <c r="Z256" s="114">
        <f>SUMIFS('Committments Dump'!$R:$R,'Committments Dump'!$C:$C,'Category Table'!Z$2,'Committments Dump'!$B:$B,'Category Table'!$A256)</f>
        <v/>
      </c>
      <c r="AA256" s="113">
        <f>SUMIFS('Committments Dump'!$S:$S,'Committments Dump'!$C:$C,'Category Table'!AA$2,'Committments Dump'!$B:$B,'Category Table'!$A256)</f>
        <v/>
      </c>
      <c r="AB256" s="114">
        <f>SUMIFS('Committments Dump'!$S:$S,'Committments Dump'!$C:$C,'Category Table'!AB$2,'Committments Dump'!$B:$B,'Category Table'!$A256)</f>
        <v/>
      </c>
      <c r="AC256" s="114">
        <f>SUMIFS('Committments Dump'!$S:$S,'Committments Dump'!$C:$C,'Category Table'!AC$2,'Committments Dump'!$B:$B,'Category Table'!$A256)</f>
        <v/>
      </c>
      <c r="AD256" s="113">
        <f>U256+X256+AA256</f>
        <v/>
      </c>
      <c r="AE256" s="114">
        <f>V256+Y256+AB256</f>
        <v/>
      </c>
      <c r="AF256" s="114">
        <f>W256+Z256+AC256</f>
        <v/>
      </c>
      <c r="AG256" s="113">
        <f>R256+AD256</f>
        <v/>
      </c>
      <c r="AH256" s="114">
        <f>S256+AE256</f>
        <v/>
      </c>
      <c r="AI256" s="114">
        <f>T256+AF256</f>
        <v/>
      </c>
      <c r="AJ256" s="113" t="n"/>
      <c r="AK256" s="114" t="n"/>
      <c r="AL256" s="114" t="n"/>
      <c r="AM256" s="113">
        <f>(O256-AG256)+AJ256</f>
        <v/>
      </c>
      <c r="AN256" s="114">
        <f>(P256-AH256)+AK256</f>
        <v/>
      </c>
      <c r="AO256" s="114">
        <f>(Q256-AI256)+AL256</f>
        <v/>
      </c>
      <c r="AP256" s="2">
        <f>IF(AM256&gt;0, "Under",IF(AM256&lt;0,"Over",""))</f>
        <v/>
      </c>
      <c r="AQ256" s="1">
        <f>IF(AN256&gt;0, "Under",IF(AN256&lt;0,"Over",""))</f>
        <v/>
      </c>
      <c r="AR256" s="1">
        <f>IF(AO256&gt;0, "Under",IF(AO256&lt;0,"Over",""))</f>
        <v/>
      </c>
      <c r="AS256" s="3" t="n"/>
    </row>
    <row r="257">
      <c r="A257" s="90" t="n"/>
      <c r="B257" s="90" t="n"/>
      <c r="C257" s="115" t="n"/>
      <c r="D257" s="116" t="n"/>
      <c r="E257" s="116" t="n"/>
      <c r="F257" s="115" t="n"/>
      <c r="G257" s="116" t="n"/>
      <c r="H257" s="116" t="n"/>
      <c r="I257" s="115" t="n"/>
      <c r="J257" s="116" t="n"/>
      <c r="K257" s="116" t="n"/>
      <c r="L257" s="115" t="n"/>
      <c r="M257" s="116" t="n"/>
      <c r="N257" s="116" t="n"/>
      <c r="O257" s="115">
        <f>L257+I257+F257+C257</f>
        <v/>
      </c>
      <c r="P257" s="116">
        <f>M257+J257+G257+D257</f>
        <v/>
      </c>
      <c r="Q257" s="116">
        <f>N257+K257+H257+E257</f>
        <v/>
      </c>
      <c r="R257" s="115">
        <f>SUMIFS('PO Log'!$E:$E,'PO Log'!$D:$D,'Category Table'!R$2,'PO Log'!$C:$C,'Category Table'!$A257)</f>
        <v/>
      </c>
      <c r="S257" s="116">
        <f>SUMIFS('PO Log'!$E:$E,'PO Log'!$D:$D,'Category Table'!S$2,'PO Log'!$C:$C,'Category Table'!$A257)</f>
        <v/>
      </c>
      <c r="T257" s="116">
        <f>SUMIFS('PO Log'!$E:$E,'PO Log'!$D:$D,'Category Table'!T$2,'PO Log'!$C:$C,'Category Table'!$A257)</f>
        <v/>
      </c>
      <c r="U257" s="115">
        <f>SUMIFS('Committments Dump'!$Q:$Q,'Committments Dump'!$C:$C,'Category Table'!U$2,'Committments Dump'!$B:$B,'Category Table'!$A257)</f>
        <v/>
      </c>
      <c r="V257" s="116">
        <f>SUMIFS('Committments Dump'!$Q:$Q,'Committments Dump'!$C:$C,'Category Table'!V$2,'Committments Dump'!$B:$B,'Category Table'!$A257)</f>
        <v/>
      </c>
      <c r="W257" s="116">
        <f>SUMIFS('Committments Dump'!$Q:$Q,'Committments Dump'!$C:$C,'Category Table'!W$2,'Committments Dump'!$B:$B,'Category Table'!$A257)</f>
        <v/>
      </c>
      <c r="X257" s="115">
        <f>SUMIFS('Committments Dump'!$R:$R,'Committments Dump'!$C:$C,'Category Table'!X$2,'Committments Dump'!$B:$B,'Category Table'!$A257)</f>
        <v/>
      </c>
      <c r="Y257" s="116">
        <f>SUMIFS('Committments Dump'!$R:$R,'Committments Dump'!$C:$C,'Category Table'!Y$2,'Committments Dump'!$B:$B,'Category Table'!$A257)</f>
        <v/>
      </c>
      <c r="Z257" s="116">
        <f>SUMIFS('Committments Dump'!$R:$R,'Committments Dump'!$C:$C,'Category Table'!Z$2,'Committments Dump'!$B:$B,'Category Table'!$A257)</f>
        <v/>
      </c>
      <c r="AA257" s="115">
        <f>SUMIFS('Committments Dump'!$S:$S,'Committments Dump'!$C:$C,'Category Table'!AA$2,'Committments Dump'!$B:$B,'Category Table'!$A257)</f>
        <v/>
      </c>
      <c r="AB257" s="116">
        <f>SUMIFS('Committments Dump'!$S:$S,'Committments Dump'!$C:$C,'Category Table'!AB$2,'Committments Dump'!$B:$B,'Category Table'!$A257)</f>
        <v/>
      </c>
      <c r="AC257" s="116">
        <f>SUMIFS('Committments Dump'!$S:$S,'Committments Dump'!$C:$C,'Category Table'!AC$2,'Committments Dump'!$B:$B,'Category Table'!$A257)</f>
        <v/>
      </c>
      <c r="AD257" s="115">
        <f>U257+X257+AA257</f>
        <v/>
      </c>
      <c r="AE257" s="116">
        <f>V257+Y257+AB257</f>
        <v/>
      </c>
      <c r="AF257" s="116">
        <f>W257+Z257+AC257</f>
        <v/>
      </c>
      <c r="AG257" s="115">
        <f>R257+AD257</f>
        <v/>
      </c>
      <c r="AH257" s="116">
        <f>S257+AE257</f>
        <v/>
      </c>
      <c r="AI257" s="116">
        <f>T257+AF257</f>
        <v/>
      </c>
      <c r="AJ257" s="115" t="n"/>
      <c r="AK257" s="116" t="n"/>
      <c r="AL257" s="116" t="n"/>
      <c r="AM257" s="115">
        <f>(O257-AG257)+AJ257</f>
        <v/>
      </c>
      <c r="AN257" s="116">
        <f>(P257-AH257)+AK257</f>
        <v/>
      </c>
      <c r="AO257" s="116">
        <f>(Q257-AI257)+AL257</f>
        <v/>
      </c>
      <c r="AP257" s="93">
        <f>IF(AM257&gt;0, "Under",IF(AM257&lt;0,"Over",""))</f>
        <v/>
      </c>
      <c r="AQ257" s="94">
        <f>IF(AN257&gt;0, "Under",IF(AN257&lt;0,"Over",""))</f>
        <v/>
      </c>
      <c r="AR257" s="94">
        <f>IF(AO257&gt;0, "Under",IF(AO257&lt;0,"Over",""))</f>
        <v/>
      </c>
      <c r="AS257" s="3" t="n"/>
    </row>
    <row r="258">
      <c r="C258" s="113" t="n"/>
      <c r="D258" s="114" t="n"/>
      <c r="E258" s="114" t="n"/>
      <c r="F258" s="113" t="n"/>
      <c r="G258" s="114" t="n"/>
      <c r="H258" s="114" t="n"/>
      <c r="I258" s="113" t="n"/>
      <c r="J258" s="114" t="n"/>
      <c r="K258" s="114" t="n"/>
      <c r="L258" s="113" t="n"/>
      <c r="M258" s="114" t="n"/>
      <c r="N258" s="114" t="n"/>
      <c r="O258" s="113">
        <f>L258+I258+F258+C258</f>
        <v/>
      </c>
      <c r="P258" s="114">
        <f>M258+J258+G258+D258</f>
        <v/>
      </c>
      <c r="Q258" s="114">
        <f>N258+K258+H258+E258</f>
        <v/>
      </c>
      <c r="R258" s="113">
        <f>SUMIFS('PO Log'!$E:$E,'PO Log'!$D:$D,'Category Table'!R$2,'PO Log'!$C:$C,'Category Table'!$A258)</f>
        <v/>
      </c>
      <c r="S258" s="114">
        <f>SUMIFS('PO Log'!$E:$E,'PO Log'!$D:$D,'Category Table'!S$2,'PO Log'!$C:$C,'Category Table'!$A258)</f>
        <v/>
      </c>
      <c r="T258" s="114">
        <f>SUMIFS('PO Log'!$E:$E,'PO Log'!$D:$D,'Category Table'!T$2,'PO Log'!$C:$C,'Category Table'!$A258)</f>
        <v/>
      </c>
      <c r="U258" s="113">
        <f>SUMIFS('Committments Dump'!$Q:$Q,'Committments Dump'!$C:$C,'Category Table'!U$2,'Committments Dump'!$B:$B,'Category Table'!$A258)</f>
        <v/>
      </c>
      <c r="V258" s="114">
        <f>SUMIFS('Committments Dump'!$Q:$Q,'Committments Dump'!$C:$C,'Category Table'!V$2,'Committments Dump'!$B:$B,'Category Table'!$A258)</f>
        <v/>
      </c>
      <c r="W258" s="114">
        <f>SUMIFS('Committments Dump'!$Q:$Q,'Committments Dump'!$C:$C,'Category Table'!W$2,'Committments Dump'!$B:$B,'Category Table'!$A258)</f>
        <v/>
      </c>
      <c r="X258" s="113">
        <f>SUMIFS('Committments Dump'!$R:$R,'Committments Dump'!$C:$C,'Category Table'!X$2,'Committments Dump'!$B:$B,'Category Table'!$A258)</f>
        <v/>
      </c>
      <c r="Y258" s="114">
        <f>SUMIFS('Committments Dump'!$R:$R,'Committments Dump'!$C:$C,'Category Table'!Y$2,'Committments Dump'!$B:$B,'Category Table'!$A258)</f>
        <v/>
      </c>
      <c r="Z258" s="114">
        <f>SUMIFS('Committments Dump'!$R:$R,'Committments Dump'!$C:$C,'Category Table'!Z$2,'Committments Dump'!$B:$B,'Category Table'!$A258)</f>
        <v/>
      </c>
      <c r="AA258" s="113">
        <f>SUMIFS('Committments Dump'!$S:$S,'Committments Dump'!$C:$C,'Category Table'!AA$2,'Committments Dump'!$B:$B,'Category Table'!$A258)</f>
        <v/>
      </c>
      <c r="AB258" s="114">
        <f>SUMIFS('Committments Dump'!$S:$S,'Committments Dump'!$C:$C,'Category Table'!AB$2,'Committments Dump'!$B:$B,'Category Table'!$A258)</f>
        <v/>
      </c>
      <c r="AC258" s="114">
        <f>SUMIFS('Committments Dump'!$S:$S,'Committments Dump'!$C:$C,'Category Table'!AC$2,'Committments Dump'!$B:$B,'Category Table'!$A258)</f>
        <v/>
      </c>
      <c r="AD258" s="113">
        <f>U258+X258+AA258</f>
        <v/>
      </c>
      <c r="AE258" s="114">
        <f>V258+Y258+AB258</f>
        <v/>
      </c>
      <c r="AF258" s="114">
        <f>W258+Z258+AC258</f>
        <v/>
      </c>
      <c r="AG258" s="113">
        <f>R258+AD258</f>
        <v/>
      </c>
      <c r="AH258" s="114">
        <f>S258+AE258</f>
        <v/>
      </c>
      <c r="AI258" s="114">
        <f>T258+AF258</f>
        <v/>
      </c>
      <c r="AJ258" s="113" t="n"/>
      <c r="AK258" s="114" t="n"/>
      <c r="AL258" s="114" t="n"/>
      <c r="AM258" s="113">
        <f>(O258-AG258)+AJ258</f>
        <v/>
      </c>
      <c r="AN258" s="114">
        <f>(P258-AH258)+AK258</f>
        <v/>
      </c>
      <c r="AO258" s="114">
        <f>(Q258-AI258)+AL258</f>
        <v/>
      </c>
      <c r="AP258" s="2">
        <f>IF(AM258&gt;0, "Under",IF(AM258&lt;0,"Over",""))</f>
        <v/>
      </c>
      <c r="AQ258" s="1">
        <f>IF(AN258&gt;0, "Under",IF(AN258&lt;0,"Over",""))</f>
        <v/>
      </c>
      <c r="AR258" s="1">
        <f>IF(AO258&gt;0, "Under",IF(AO258&lt;0,"Over",""))</f>
        <v/>
      </c>
      <c r="AS258" s="3" t="n"/>
    </row>
    <row r="259">
      <c r="A259" s="90" t="n"/>
      <c r="B259" s="90" t="n"/>
      <c r="C259" s="115" t="n"/>
      <c r="D259" s="116" t="n"/>
      <c r="E259" s="116" t="n"/>
      <c r="F259" s="115" t="n"/>
      <c r="G259" s="116" t="n"/>
      <c r="H259" s="116" t="n"/>
      <c r="I259" s="115" t="n"/>
      <c r="J259" s="116" t="n"/>
      <c r="K259" s="116" t="n"/>
      <c r="L259" s="115" t="n"/>
      <c r="M259" s="116" t="n"/>
      <c r="N259" s="116" t="n"/>
      <c r="O259" s="115">
        <f>L259+I259+F259+C259</f>
        <v/>
      </c>
      <c r="P259" s="116">
        <f>M259+J259+G259+D259</f>
        <v/>
      </c>
      <c r="Q259" s="116">
        <f>N259+K259+H259+E259</f>
        <v/>
      </c>
      <c r="R259" s="115">
        <f>SUMIFS('PO Log'!$E:$E,'PO Log'!$D:$D,'Category Table'!R$2,'PO Log'!$C:$C,'Category Table'!$A259)</f>
        <v/>
      </c>
      <c r="S259" s="116">
        <f>SUMIFS('PO Log'!$E:$E,'PO Log'!$D:$D,'Category Table'!S$2,'PO Log'!$C:$C,'Category Table'!$A259)</f>
        <v/>
      </c>
      <c r="T259" s="116">
        <f>SUMIFS('PO Log'!$E:$E,'PO Log'!$D:$D,'Category Table'!T$2,'PO Log'!$C:$C,'Category Table'!$A259)</f>
        <v/>
      </c>
      <c r="U259" s="115">
        <f>SUMIFS('Committments Dump'!$Q:$Q,'Committments Dump'!$C:$C,'Category Table'!U$2,'Committments Dump'!$B:$B,'Category Table'!$A259)</f>
        <v/>
      </c>
      <c r="V259" s="116">
        <f>SUMIFS('Committments Dump'!$Q:$Q,'Committments Dump'!$C:$C,'Category Table'!V$2,'Committments Dump'!$B:$B,'Category Table'!$A259)</f>
        <v/>
      </c>
      <c r="W259" s="116">
        <f>SUMIFS('Committments Dump'!$Q:$Q,'Committments Dump'!$C:$C,'Category Table'!W$2,'Committments Dump'!$B:$B,'Category Table'!$A259)</f>
        <v/>
      </c>
      <c r="X259" s="115">
        <f>SUMIFS('Committments Dump'!$R:$R,'Committments Dump'!$C:$C,'Category Table'!X$2,'Committments Dump'!$B:$B,'Category Table'!$A259)</f>
        <v/>
      </c>
      <c r="Y259" s="116">
        <f>SUMIFS('Committments Dump'!$R:$R,'Committments Dump'!$C:$C,'Category Table'!Y$2,'Committments Dump'!$B:$B,'Category Table'!$A259)</f>
        <v/>
      </c>
      <c r="Z259" s="116">
        <f>SUMIFS('Committments Dump'!$R:$R,'Committments Dump'!$C:$C,'Category Table'!Z$2,'Committments Dump'!$B:$B,'Category Table'!$A259)</f>
        <v/>
      </c>
      <c r="AA259" s="115">
        <f>SUMIFS('Committments Dump'!$S:$S,'Committments Dump'!$C:$C,'Category Table'!AA$2,'Committments Dump'!$B:$B,'Category Table'!$A259)</f>
        <v/>
      </c>
      <c r="AB259" s="116">
        <f>SUMIFS('Committments Dump'!$S:$S,'Committments Dump'!$C:$C,'Category Table'!AB$2,'Committments Dump'!$B:$B,'Category Table'!$A259)</f>
        <v/>
      </c>
      <c r="AC259" s="116">
        <f>SUMIFS('Committments Dump'!$S:$S,'Committments Dump'!$C:$C,'Category Table'!AC$2,'Committments Dump'!$B:$B,'Category Table'!$A259)</f>
        <v/>
      </c>
      <c r="AD259" s="115">
        <f>U259+X259+AA259</f>
        <v/>
      </c>
      <c r="AE259" s="116">
        <f>V259+Y259+AB259</f>
        <v/>
      </c>
      <c r="AF259" s="116">
        <f>W259+Z259+AC259</f>
        <v/>
      </c>
      <c r="AG259" s="115">
        <f>R259+AD259</f>
        <v/>
      </c>
      <c r="AH259" s="116">
        <f>S259+AE259</f>
        <v/>
      </c>
      <c r="AI259" s="116">
        <f>T259+AF259</f>
        <v/>
      </c>
      <c r="AJ259" s="115" t="n"/>
      <c r="AK259" s="116" t="n"/>
      <c r="AL259" s="116" t="n"/>
      <c r="AM259" s="115">
        <f>(O259-AG259)+AJ259</f>
        <v/>
      </c>
      <c r="AN259" s="116">
        <f>(P259-AH259)+AK259</f>
        <v/>
      </c>
      <c r="AO259" s="116">
        <f>(Q259-AI259)+AL259</f>
        <v/>
      </c>
      <c r="AP259" s="93">
        <f>IF(AM259&gt;0, "Under",IF(AM259&lt;0,"Over",""))</f>
        <v/>
      </c>
      <c r="AQ259" s="94">
        <f>IF(AN259&gt;0, "Under",IF(AN259&lt;0,"Over",""))</f>
        <v/>
      </c>
      <c r="AR259" s="94">
        <f>IF(AO259&gt;0, "Under",IF(AO259&lt;0,"Over",""))</f>
        <v/>
      </c>
      <c r="AS259" s="3" t="n"/>
    </row>
    <row r="260">
      <c r="C260" s="113" t="n"/>
      <c r="D260" s="114" t="n"/>
      <c r="E260" s="114" t="n"/>
      <c r="F260" s="113" t="n"/>
      <c r="G260" s="114" t="n"/>
      <c r="H260" s="114" t="n"/>
      <c r="I260" s="113" t="n"/>
      <c r="J260" s="114" t="n"/>
      <c r="K260" s="114" t="n"/>
      <c r="L260" s="113" t="n"/>
      <c r="M260" s="114" t="n"/>
      <c r="N260" s="114" t="n"/>
      <c r="O260" s="113">
        <f>L260+I260+F260+C260</f>
        <v/>
      </c>
      <c r="P260" s="114">
        <f>M260+J260+G260+D260</f>
        <v/>
      </c>
      <c r="Q260" s="114">
        <f>N260+K260+H260+E260</f>
        <v/>
      </c>
      <c r="R260" s="113">
        <f>SUMIFS('PO Log'!$E:$E,'PO Log'!$D:$D,'Category Table'!R$2,'PO Log'!$C:$C,'Category Table'!$A260)</f>
        <v/>
      </c>
      <c r="S260" s="114">
        <f>SUMIFS('PO Log'!$E:$E,'PO Log'!$D:$D,'Category Table'!S$2,'PO Log'!$C:$C,'Category Table'!$A260)</f>
        <v/>
      </c>
      <c r="T260" s="114">
        <f>SUMIFS('PO Log'!$E:$E,'PO Log'!$D:$D,'Category Table'!T$2,'PO Log'!$C:$C,'Category Table'!$A260)</f>
        <v/>
      </c>
      <c r="U260" s="113">
        <f>SUMIFS('Committments Dump'!$Q:$Q,'Committments Dump'!$C:$C,'Category Table'!U$2,'Committments Dump'!$B:$B,'Category Table'!$A260)</f>
        <v/>
      </c>
      <c r="V260" s="114">
        <f>SUMIFS('Committments Dump'!$Q:$Q,'Committments Dump'!$C:$C,'Category Table'!V$2,'Committments Dump'!$B:$B,'Category Table'!$A260)</f>
        <v/>
      </c>
      <c r="W260" s="114">
        <f>SUMIFS('Committments Dump'!$Q:$Q,'Committments Dump'!$C:$C,'Category Table'!W$2,'Committments Dump'!$B:$B,'Category Table'!$A260)</f>
        <v/>
      </c>
      <c r="X260" s="113">
        <f>SUMIFS('Committments Dump'!$R:$R,'Committments Dump'!$C:$C,'Category Table'!X$2,'Committments Dump'!$B:$B,'Category Table'!$A260)</f>
        <v/>
      </c>
      <c r="Y260" s="114">
        <f>SUMIFS('Committments Dump'!$R:$R,'Committments Dump'!$C:$C,'Category Table'!Y$2,'Committments Dump'!$B:$B,'Category Table'!$A260)</f>
        <v/>
      </c>
      <c r="Z260" s="114">
        <f>SUMIFS('Committments Dump'!$R:$R,'Committments Dump'!$C:$C,'Category Table'!Z$2,'Committments Dump'!$B:$B,'Category Table'!$A260)</f>
        <v/>
      </c>
      <c r="AA260" s="113">
        <f>SUMIFS('Committments Dump'!$S:$S,'Committments Dump'!$C:$C,'Category Table'!AA$2,'Committments Dump'!$B:$B,'Category Table'!$A260)</f>
        <v/>
      </c>
      <c r="AB260" s="114">
        <f>SUMIFS('Committments Dump'!$S:$S,'Committments Dump'!$C:$C,'Category Table'!AB$2,'Committments Dump'!$B:$B,'Category Table'!$A260)</f>
        <v/>
      </c>
      <c r="AC260" s="114">
        <f>SUMIFS('Committments Dump'!$S:$S,'Committments Dump'!$C:$C,'Category Table'!AC$2,'Committments Dump'!$B:$B,'Category Table'!$A260)</f>
        <v/>
      </c>
      <c r="AD260" s="113">
        <f>U260+X260+AA260</f>
        <v/>
      </c>
      <c r="AE260" s="114">
        <f>V260+Y260+AB260</f>
        <v/>
      </c>
      <c r="AF260" s="114">
        <f>W260+Z260+AC260</f>
        <v/>
      </c>
      <c r="AG260" s="113">
        <f>R260+AD260</f>
        <v/>
      </c>
      <c r="AH260" s="114">
        <f>S260+AE260</f>
        <v/>
      </c>
      <c r="AI260" s="114">
        <f>T260+AF260</f>
        <v/>
      </c>
      <c r="AJ260" s="113" t="n"/>
      <c r="AK260" s="114" t="n"/>
      <c r="AL260" s="114" t="n"/>
      <c r="AM260" s="113">
        <f>(O260-AG260)+AJ260</f>
        <v/>
      </c>
      <c r="AN260" s="114">
        <f>(P260-AH260)+AK260</f>
        <v/>
      </c>
      <c r="AO260" s="114">
        <f>(Q260-AI260)+AL260</f>
        <v/>
      </c>
      <c r="AP260" s="2">
        <f>IF(AM260&gt;0, "Under",IF(AM260&lt;0,"Over",""))</f>
        <v/>
      </c>
      <c r="AQ260" s="1">
        <f>IF(AN260&gt;0, "Under",IF(AN260&lt;0,"Over",""))</f>
        <v/>
      </c>
      <c r="AR260" s="1">
        <f>IF(AO260&gt;0, "Under",IF(AO260&lt;0,"Over",""))</f>
        <v/>
      </c>
      <c r="AS260" s="3" t="n"/>
    </row>
    <row r="261">
      <c r="A261" s="90" t="n"/>
      <c r="B261" s="90" t="n"/>
      <c r="C261" s="115" t="n"/>
      <c r="D261" s="116" t="n"/>
      <c r="E261" s="116" t="n"/>
      <c r="F261" s="115" t="n"/>
      <c r="G261" s="116" t="n"/>
      <c r="H261" s="116" t="n"/>
      <c r="I261" s="115" t="n"/>
      <c r="J261" s="116" t="n"/>
      <c r="K261" s="116" t="n"/>
      <c r="L261" s="115" t="n"/>
      <c r="M261" s="116" t="n"/>
      <c r="N261" s="116" t="n"/>
      <c r="O261" s="115">
        <f>L261+I261+F261+C261</f>
        <v/>
      </c>
      <c r="P261" s="116">
        <f>M261+J261+G261+D261</f>
        <v/>
      </c>
      <c r="Q261" s="116">
        <f>N261+K261+H261+E261</f>
        <v/>
      </c>
      <c r="R261" s="115">
        <f>SUMIFS('PO Log'!$E:$E,'PO Log'!$D:$D,'Category Table'!R$2,'PO Log'!$C:$C,'Category Table'!$A261)</f>
        <v/>
      </c>
      <c r="S261" s="116">
        <f>SUMIFS('PO Log'!$E:$E,'PO Log'!$D:$D,'Category Table'!S$2,'PO Log'!$C:$C,'Category Table'!$A261)</f>
        <v/>
      </c>
      <c r="T261" s="116">
        <f>SUMIFS('PO Log'!$E:$E,'PO Log'!$D:$D,'Category Table'!T$2,'PO Log'!$C:$C,'Category Table'!$A261)</f>
        <v/>
      </c>
      <c r="U261" s="115">
        <f>SUMIFS('Committments Dump'!$Q:$Q,'Committments Dump'!$C:$C,'Category Table'!U$2,'Committments Dump'!$B:$B,'Category Table'!$A261)</f>
        <v/>
      </c>
      <c r="V261" s="116">
        <f>SUMIFS('Committments Dump'!$Q:$Q,'Committments Dump'!$C:$C,'Category Table'!V$2,'Committments Dump'!$B:$B,'Category Table'!$A261)</f>
        <v/>
      </c>
      <c r="W261" s="116">
        <f>SUMIFS('Committments Dump'!$Q:$Q,'Committments Dump'!$C:$C,'Category Table'!W$2,'Committments Dump'!$B:$B,'Category Table'!$A261)</f>
        <v/>
      </c>
      <c r="X261" s="115">
        <f>SUMIFS('Committments Dump'!$R:$R,'Committments Dump'!$C:$C,'Category Table'!X$2,'Committments Dump'!$B:$B,'Category Table'!$A261)</f>
        <v/>
      </c>
      <c r="Y261" s="116">
        <f>SUMIFS('Committments Dump'!$R:$R,'Committments Dump'!$C:$C,'Category Table'!Y$2,'Committments Dump'!$B:$B,'Category Table'!$A261)</f>
        <v/>
      </c>
      <c r="Z261" s="116">
        <f>SUMIFS('Committments Dump'!$R:$R,'Committments Dump'!$C:$C,'Category Table'!Z$2,'Committments Dump'!$B:$B,'Category Table'!$A261)</f>
        <v/>
      </c>
      <c r="AA261" s="115">
        <f>SUMIFS('Committments Dump'!$S:$S,'Committments Dump'!$C:$C,'Category Table'!AA$2,'Committments Dump'!$B:$B,'Category Table'!$A261)</f>
        <v/>
      </c>
      <c r="AB261" s="116">
        <f>SUMIFS('Committments Dump'!$S:$S,'Committments Dump'!$C:$C,'Category Table'!AB$2,'Committments Dump'!$B:$B,'Category Table'!$A261)</f>
        <v/>
      </c>
      <c r="AC261" s="116">
        <f>SUMIFS('Committments Dump'!$S:$S,'Committments Dump'!$C:$C,'Category Table'!AC$2,'Committments Dump'!$B:$B,'Category Table'!$A261)</f>
        <v/>
      </c>
      <c r="AD261" s="115">
        <f>U261+X261+AA261</f>
        <v/>
      </c>
      <c r="AE261" s="116">
        <f>V261+Y261+AB261</f>
        <v/>
      </c>
      <c r="AF261" s="116">
        <f>W261+Z261+AC261</f>
        <v/>
      </c>
      <c r="AG261" s="115">
        <f>R261+AD261</f>
        <v/>
      </c>
      <c r="AH261" s="116">
        <f>S261+AE261</f>
        <v/>
      </c>
      <c r="AI261" s="116">
        <f>T261+AF261</f>
        <v/>
      </c>
      <c r="AJ261" s="115" t="n"/>
      <c r="AK261" s="116" t="n"/>
      <c r="AL261" s="116" t="n"/>
      <c r="AM261" s="115">
        <f>(O261-AG261)+AJ261</f>
        <v/>
      </c>
      <c r="AN261" s="116">
        <f>(P261-AH261)+AK261</f>
        <v/>
      </c>
      <c r="AO261" s="116">
        <f>(Q261-AI261)+AL261</f>
        <v/>
      </c>
      <c r="AP261" s="93">
        <f>IF(AM261&gt;0, "Under",IF(AM261&lt;0,"Over",""))</f>
        <v/>
      </c>
      <c r="AQ261" s="94">
        <f>IF(AN261&gt;0, "Under",IF(AN261&lt;0,"Over",""))</f>
        <v/>
      </c>
      <c r="AR261" s="94">
        <f>IF(AO261&gt;0, "Under",IF(AO261&lt;0,"Over",""))</f>
        <v/>
      </c>
      <c r="AS261" s="3" t="n"/>
    </row>
    <row r="262">
      <c r="C262" s="113" t="n"/>
      <c r="D262" s="114" t="n"/>
      <c r="E262" s="114" t="n"/>
      <c r="F262" s="113" t="n"/>
      <c r="G262" s="114" t="n"/>
      <c r="H262" s="114" t="n"/>
      <c r="I262" s="113" t="n"/>
      <c r="J262" s="114" t="n"/>
      <c r="K262" s="114" t="n"/>
      <c r="L262" s="113" t="n"/>
      <c r="M262" s="114" t="n"/>
      <c r="N262" s="114" t="n"/>
      <c r="O262" s="113">
        <f>L262+I262+F262+C262</f>
        <v/>
      </c>
      <c r="P262" s="114">
        <f>M262+J262+G262+D262</f>
        <v/>
      </c>
      <c r="Q262" s="114">
        <f>N262+K262+H262+E262</f>
        <v/>
      </c>
      <c r="R262" s="113">
        <f>SUMIFS('PO Log'!$E:$E,'PO Log'!$D:$D,'Category Table'!R$2,'PO Log'!$C:$C,'Category Table'!$A262)</f>
        <v/>
      </c>
      <c r="S262" s="114">
        <f>SUMIFS('PO Log'!$E:$E,'PO Log'!$D:$D,'Category Table'!S$2,'PO Log'!$C:$C,'Category Table'!$A262)</f>
        <v/>
      </c>
      <c r="T262" s="114">
        <f>SUMIFS('PO Log'!$E:$E,'PO Log'!$D:$D,'Category Table'!T$2,'PO Log'!$C:$C,'Category Table'!$A262)</f>
        <v/>
      </c>
      <c r="U262" s="113">
        <f>SUMIFS('Committments Dump'!$Q:$Q,'Committments Dump'!$C:$C,'Category Table'!U$2,'Committments Dump'!$B:$B,'Category Table'!$A262)</f>
        <v/>
      </c>
      <c r="V262" s="114">
        <f>SUMIFS('Committments Dump'!$Q:$Q,'Committments Dump'!$C:$C,'Category Table'!V$2,'Committments Dump'!$B:$B,'Category Table'!$A262)</f>
        <v/>
      </c>
      <c r="W262" s="114">
        <f>SUMIFS('Committments Dump'!$Q:$Q,'Committments Dump'!$C:$C,'Category Table'!W$2,'Committments Dump'!$B:$B,'Category Table'!$A262)</f>
        <v/>
      </c>
      <c r="X262" s="113">
        <f>SUMIFS('Committments Dump'!$R:$R,'Committments Dump'!$C:$C,'Category Table'!X$2,'Committments Dump'!$B:$B,'Category Table'!$A262)</f>
        <v/>
      </c>
      <c r="Y262" s="114">
        <f>SUMIFS('Committments Dump'!$R:$R,'Committments Dump'!$C:$C,'Category Table'!Y$2,'Committments Dump'!$B:$B,'Category Table'!$A262)</f>
        <v/>
      </c>
      <c r="Z262" s="114">
        <f>SUMIFS('Committments Dump'!$R:$R,'Committments Dump'!$C:$C,'Category Table'!Z$2,'Committments Dump'!$B:$B,'Category Table'!$A262)</f>
        <v/>
      </c>
      <c r="AA262" s="113">
        <f>SUMIFS('Committments Dump'!$S:$S,'Committments Dump'!$C:$C,'Category Table'!AA$2,'Committments Dump'!$B:$B,'Category Table'!$A262)</f>
        <v/>
      </c>
      <c r="AB262" s="114">
        <f>SUMIFS('Committments Dump'!$S:$S,'Committments Dump'!$C:$C,'Category Table'!AB$2,'Committments Dump'!$B:$B,'Category Table'!$A262)</f>
        <v/>
      </c>
      <c r="AC262" s="114">
        <f>SUMIFS('Committments Dump'!$S:$S,'Committments Dump'!$C:$C,'Category Table'!AC$2,'Committments Dump'!$B:$B,'Category Table'!$A262)</f>
        <v/>
      </c>
      <c r="AD262" s="113">
        <f>U262+X262+AA262</f>
        <v/>
      </c>
      <c r="AE262" s="114">
        <f>V262+Y262+AB262</f>
        <v/>
      </c>
      <c r="AF262" s="114">
        <f>W262+Z262+AC262</f>
        <v/>
      </c>
      <c r="AG262" s="113">
        <f>R262+AD262</f>
        <v/>
      </c>
      <c r="AH262" s="114">
        <f>S262+AE262</f>
        <v/>
      </c>
      <c r="AI262" s="114">
        <f>T262+AF262</f>
        <v/>
      </c>
      <c r="AJ262" s="113" t="n"/>
      <c r="AK262" s="114" t="n"/>
      <c r="AL262" s="114" t="n"/>
      <c r="AM262" s="113">
        <f>(O262-AG262)+AJ262</f>
        <v/>
      </c>
      <c r="AN262" s="114">
        <f>(P262-AH262)+AK262</f>
        <v/>
      </c>
      <c r="AO262" s="114">
        <f>(Q262-AI262)+AL262</f>
        <v/>
      </c>
      <c r="AP262" s="2">
        <f>IF(AM262&gt;0, "Under",IF(AM262&lt;0,"Over",""))</f>
        <v/>
      </c>
      <c r="AQ262" s="1">
        <f>IF(AN262&gt;0, "Under",IF(AN262&lt;0,"Over",""))</f>
        <v/>
      </c>
      <c r="AR262" s="1">
        <f>IF(AO262&gt;0, "Under",IF(AO262&lt;0,"Over",""))</f>
        <v/>
      </c>
      <c r="AS262" s="3" t="n"/>
    </row>
    <row r="263">
      <c r="A263" s="90" t="n"/>
      <c r="B263" s="90" t="n"/>
      <c r="C263" s="115" t="n"/>
      <c r="D263" s="116" t="n"/>
      <c r="E263" s="116" t="n"/>
      <c r="F263" s="115" t="n"/>
      <c r="G263" s="116" t="n"/>
      <c r="H263" s="116" t="n"/>
      <c r="I263" s="115" t="n"/>
      <c r="J263" s="116" t="n"/>
      <c r="K263" s="116" t="n"/>
      <c r="L263" s="115" t="n"/>
      <c r="M263" s="116" t="n"/>
      <c r="N263" s="116" t="n"/>
      <c r="O263" s="115">
        <f>L263+I263+F263+C263</f>
        <v/>
      </c>
      <c r="P263" s="116">
        <f>M263+J263+G263+D263</f>
        <v/>
      </c>
      <c r="Q263" s="116">
        <f>N263+K263+H263+E263</f>
        <v/>
      </c>
      <c r="R263" s="115">
        <f>SUMIFS('PO Log'!$E:$E,'PO Log'!$D:$D,'Category Table'!R$2,'PO Log'!$C:$C,'Category Table'!$A263)</f>
        <v/>
      </c>
      <c r="S263" s="116">
        <f>SUMIFS('PO Log'!$E:$E,'PO Log'!$D:$D,'Category Table'!S$2,'PO Log'!$C:$C,'Category Table'!$A263)</f>
        <v/>
      </c>
      <c r="T263" s="116">
        <f>SUMIFS('PO Log'!$E:$E,'PO Log'!$D:$D,'Category Table'!T$2,'PO Log'!$C:$C,'Category Table'!$A263)</f>
        <v/>
      </c>
      <c r="U263" s="115">
        <f>SUMIFS('Committments Dump'!$Q:$Q,'Committments Dump'!$C:$C,'Category Table'!U$2,'Committments Dump'!$B:$B,'Category Table'!$A263)</f>
        <v/>
      </c>
      <c r="V263" s="116">
        <f>SUMIFS('Committments Dump'!$Q:$Q,'Committments Dump'!$C:$C,'Category Table'!V$2,'Committments Dump'!$B:$B,'Category Table'!$A263)</f>
        <v/>
      </c>
      <c r="W263" s="116">
        <f>SUMIFS('Committments Dump'!$Q:$Q,'Committments Dump'!$C:$C,'Category Table'!W$2,'Committments Dump'!$B:$B,'Category Table'!$A263)</f>
        <v/>
      </c>
      <c r="X263" s="115">
        <f>SUMIFS('Committments Dump'!$R:$R,'Committments Dump'!$C:$C,'Category Table'!X$2,'Committments Dump'!$B:$B,'Category Table'!$A263)</f>
        <v/>
      </c>
      <c r="Y263" s="116">
        <f>SUMIFS('Committments Dump'!$R:$R,'Committments Dump'!$C:$C,'Category Table'!Y$2,'Committments Dump'!$B:$B,'Category Table'!$A263)</f>
        <v/>
      </c>
      <c r="Z263" s="116">
        <f>SUMIFS('Committments Dump'!$R:$R,'Committments Dump'!$C:$C,'Category Table'!Z$2,'Committments Dump'!$B:$B,'Category Table'!$A263)</f>
        <v/>
      </c>
      <c r="AA263" s="115">
        <f>SUMIFS('Committments Dump'!$S:$S,'Committments Dump'!$C:$C,'Category Table'!AA$2,'Committments Dump'!$B:$B,'Category Table'!$A263)</f>
        <v/>
      </c>
      <c r="AB263" s="116">
        <f>SUMIFS('Committments Dump'!$S:$S,'Committments Dump'!$C:$C,'Category Table'!AB$2,'Committments Dump'!$B:$B,'Category Table'!$A263)</f>
        <v/>
      </c>
      <c r="AC263" s="116">
        <f>SUMIFS('Committments Dump'!$S:$S,'Committments Dump'!$C:$C,'Category Table'!AC$2,'Committments Dump'!$B:$B,'Category Table'!$A263)</f>
        <v/>
      </c>
      <c r="AD263" s="115">
        <f>U263+X263+AA263</f>
        <v/>
      </c>
      <c r="AE263" s="116">
        <f>V263+Y263+AB263</f>
        <v/>
      </c>
      <c r="AF263" s="116">
        <f>W263+Z263+AC263</f>
        <v/>
      </c>
      <c r="AG263" s="115">
        <f>R263+AD263</f>
        <v/>
      </c>
      <c r="AH263" s="116">
        <f>S263+AE263</f>
        <v/>
      </c>
      <c r="AI263" s="116">
        <f>T263+AF263</f>
        <v/>
      </c>
      <c r="AJ263" s="115" t="n"/>
      <c r="AK263" s="116" t="n"/>
      <c r="AL263" s="116" t="n"/>
      <c r="AM263" s="115">
        <f>(O263-AG263)+AJ263</f>
        <v/>
      </c>
      <c r="AN263" s="116">
        <f>(P263-AH263)+AK263</f>
        <v/>
      </c>
      <c r="AO263" s="116">
        <f>(Q263-AI263)+AL263</f>
        <v/>
      </c>
      <c r="AP263" s="93">
        <f>IF(AM263&gt;0, "Under",IF(AM263&lt;0,"Over",""))</f>
        <v/>
      </c>
      <c r="AQ263" s="94">
        <f>IF(AN263&gt;0, "Under",IF(AN263&lt;0,"Over",""))</f>
        <v/>
      </c>
      <c r="AR263" s="94">
        <f>IF(AO263&gt;0, "Under",IF(AO263&lt;0,"Over",""))</f>
        <v/>
      </c>
      <c r="AS263" s="3" t="n"/>
    </row>
    <row r="264">
      <c r="C264" s="113" t="n"/>
      <c r="D264" s="114" t="n"/>
      <c r="E264" s="114" t="n"/>
      <c r="F264" s="113" t="n"/>
      <c r="G264" s="114" t="n"/>
      <c r="H264" s="114" t="n"/>
      <c r="I264" s="113" t="n"/>
      <c r="J264" s="114" t="n"/>
      <c r="K264" s="114" t="n"/>
      <c r="L264" s="113" t="n"/>
      <c r="M264" s="114" t="n"/>
      <c r="N264" s="114" t="n"/>
      <c r="O264" s="113">
        <f>L264+I264+F264+C264</f>
        <v/>
      </c>
      <c r="P264" s="114">
        <f>M264+J264+G264+D264</f>
        <v/>
      </c>
      <c r="Q264" s="114">
        <f>N264+K264+H264+E264</f>
        <v/>
      </c>
      <c r="R264" s="113">
        <f>SUMIFS('PO Log'!$E:$E,'PO Log'!$D:$D,'Category Table'!R$2,'PO Log'!$C:$C,'Category Table'!$A264)</f>
        <v/>
      </c>
      <c r="S264" s="114">
        <f>SUMIFS('PO Log'!$E:$E,'PO Log'!$D:$D,'Category Table'!S$2,'PO Log'!$C:$C,'Category Table'!$A264)</f>
        <v/>
      </c>
      <c r="T264" s="114">
        <f>SUMIFS('PO Log'!$E:$E,'PO Log'!$D:$D,'Category Table'!T$2,'PO Log'!$C:$C,'Category Table'!$A264)</f>
        <v/>
      </c>
      <c r="U264" s="113">
        <f>SUMIFS('Committments Dump'!$Q:$Q,'Committments Dump'!$C:$C,'Category Table'!U$2,'Committments Dump'!$B:$B,'Category Table'!$A264)</f>
        <v/>
      </c>
      <c r="V264" s="114">
        <f>SUMIFS('Committments Dump'!$Q:$Q,'Committments Dump'!$C:$C,'Category Table'!V$2,'Committments Dump'!$B:$B,'Category Table'!$A264)</f>
        <v/>
      </c>
      <c r="W264" s="114">
        <f>SUMIFS('Committments Dump'!$Q:$Q,'Committments Dump'!$C:$C,'Category Table'!W$2,'Committments Dump'!$B:$B,'Category Table'!$A264)</f>
        <v/>
      </c>
      <c r="X264" s="113">
        <f>SUMIFS('Committments Dump'!$R:$R,'Committments Dump'!$C:$C,'Category Table'!X$2,'Committments Dump'!$B:$B,'Category Table'!$A264)</f>
        <v/>
      </c>
      <c r="Y264" s="114">
        <f>SUMIFS('Committments Dump'!$R:$R,'Committments Dump'!$C:$C,'Category Table'!Y$2,'Committments Dump'!$B:$B,'Category Table'!$A264)</f>
        <v/>
      </c>
      <c r="Z264" s="114">
        <f>SUMIFS('Committments Dump'!$R:$R,'Committments Dump'!$C:$C,'Category Table'!Z$2,'Committments Dump'!$B:$B,'Category Table'!$A264)</f>
        <v/>
      </c>
      <c r="AA264" s="113">
        <f>SUMIFS('Committments Dump'!$S:$S,'Committments Dump'!$C:$C,'Category Table'!AA$2,'Committments Dump'!$B:$B,'Category Table'!$A264)</f>
        <v/>
      </c>
      <c r="AB264" s="114">
        <f>SUMIFS('Committments Dump'!$S:$S,'Committments Dump'!$C:$C,'Category Table'!AB$2,'Committments Dump'!$B:$B,'Category Table'!$A264)</f>
        <v/>
      </c>
      <c r="AC264" s="114">
        <f>SUMIFS('Committments Dump'!$S:$S,'Committments Dump'!$C:$C,'Category Table'!AC$2,'Committments Dump'!$B:$B,'Category Table'!$A264)</f>
        <v/>
      </c>
      <c r="AD264" s="113">
        <f>U264+X264+AA264</f>
        <v/>
      </c>
      <c r="AE264" s="114">
        <f>V264+Y264+AB264</f>
        <v/>
      </c>
      <c r="AF264" s="114">
        <f>W264+Z264+AC264</f>
        <v/>
      </c>
      <c r="AG264" s="113">
        <f>R264+AD264</f>
        <v/>
      </c>
      <c r="AH264" s="114">
        <f>S264+AE264</f>
        <v/>
      </c>
      <c r="AI264" s="114">
        <f>T264+AF264</f>
        <v/>
      </c>
      <c r="AJ264" s="113" t="n"/>
      <c r="AK264" s="114" t="n"/>
      <c r="AL264" s="114" t="n"/>
      <c r="AM264" s="113">
        <f>(O264-AG264)+AJ264</f>
        <v/>
      </c>
      <c r="AN264" s="114">
        <f>(P264-AH264)+AK264</f>
        <v/>
      </c>
      <c r="AO264" s="114">
        <f>(Q264-AI264)+AL264</f>
        <v/>
      </c>
      <c r="AP264" s="2">
        <f>IF(AM264&gt;0, "Under",IF(AM264&lt;0,"Over",""))</f>
        <v/>
      </c>
      <c r="AQ264" s="1">
        <f>IF(AN264&gt;0, "Under",IF(AN264&lt;0,"Over",""))</f>
        <v/>
      </c>
      <c r="AR264" s="1">
        <f>IF(AO264&gt;0, "Under",IF(AO264&lt;0,"Over",""))</f>
        <v/>
      </c>
      <c r="AS264" s="3" t="n"/>
    </row>
    <row r="265">
      <c r="A265" s="90" t="n"/>
      <c r="B265" s="90" t="n"/>
      <c r="C265" s="115" t="n"/>
      <c r="D265" s="116" t="n"/>
      <c r="E265" s="116" t="n"/>
      <c r="F265" s="115" t="n"/>
      <c r="G265" s="116" t="n"/>
      <c r="H265" s="116" t="n"/>
      <c r="I265" s="115" t="n"/>
      <c r="J265" s="116" t="n"/>
      <c r="K265" s="116" t="n"/>
      <c r="L265" s="115" t="n"/>
      <c r="M265" s="116" t="n"/>
      <c r="N265" s="116" t="n"/>
      <c r="O265" s="115">
        <f>L265+I265+F265+C265</f>
        <v/>
      </c>
      <c r="P265" s="116">
        <f>M265+J265+G265+D265</f>
        <v/>
      </c>
      <c r="Q265" s="116">
        <f>N265+K265+H265+E265</f>
        <v/>
      </c>
      <c r="R265" s="115">
        <f>SUMIFS('PO Log'!$E:$E,'PO Log'!$D:$D,'Category Table'!R$2,'PO Log'!$C:$C,'Category Table'!$A265)</f>
        <v/>
      </c>
      <c r="S265" s="116">
        <f>SUMIFS('PO Log'!$E:$E,'PO Log'!$D:$D,'Category Table'!S$2,'PO Log'!$C:$C,'Category Table'!$A265)</f>
        <v/>
      </c>
      <c r="T265" s="116">
        <f>SUMIFS('PO Log'!$E:$E,'PO Log'!$D:$D,'Category Table'!T$2,'PO Log'!$C:$C,'Category Table'!$A265)</f>
        <v/>
      </c>
      <c r="U265" s="115">
        <f>SUMIFS('Committments Dump'!$Q:$Q,'Committments Dump'!$C:$C,'Category Table'!U$2,'Committments Dump'!$B:$B,'Category Table'!$A265)</f>
        <v/>
      </c>
      <c r="V265" s="116">
        <f>SUMIFS('Committments Dump'!$Q:$Q,'Committments Dump'!$C:$C,'Category Table'!V$2,'Committments Dump'!$B:$B,'Category Table'!$A265)</f>
        <v/>
      </c>
      <c r="W265" s="116">
        <f>SUMIFS('Committments Dump'!$Q:$Q,'Committments Dump'!$C:$C,'Category Table'!W$2,'Committments Dump'!$B:$B,'Category Table'!$A265)</f>
        <v/>
      </c>
      <c r="X265" s="115">
        <f>SUMIFS('Committments Dump'!$R:$R,'Committments Dump'!$C:$C,'Category Table'!X$2,'Committments Dump'!$B:$B,'Category Table'!$A265)</f>
        <v/>
      </c>
      <c r="Y265" s="116">
        <f>SUMIFS('Committments Dump'!$R:$R,'Committments Dump'!$C:$C,'Category Table'!Y$2,'Committments Dump'!$B:$B,'Category Table'!$A265)</f>
        <v/>
      </c>
      <c r="Z265" s="116">
        <f>SUMIFS('Committments Dump'!$R:$R,'Committments Dump'!$C:$C,'Category Table'!Z$2,'Committments Dump'!$B:$B,'Category Table'!$A265)</f>
        <v/>
      </c>
      <c r="AA265" s="115">
        <f>SUMIFS('Committments Dump'!$S:$S,'Committments Dump'!$C:$C,'Category Table'!AA$2,'Committments Dump'!$B:$B,'Category Table'!$A265)</f>
        <v/>
      </c>
      <c r="AB265" s="116">
        <f>SUMIFS('Committments Dump'!$S:$S,'Committments Dump'!$C:$C,'Category Table'!AB$2,'Committments Dump'!$B:$B,'Category Table'!$A265)</f>
        <v/>
      </c>
      <c r="AC265" s="116">
        <f>SUMIFS('Committments Dump'!$S:$S,'Committments Dump'!$C:$C,'Category Table'!AC$2,'Committments Dump'!$B:$B,'Category Table'!$A265)</f>
        <v/>
      </c>
      <c r="AD265" s="115">
        <f>U265+X265+AA265</f>
        <v/>
      </c>
      <c r="AE265" s="116">
        <f>V265+Y265+AB265</f>
        <v/>
      </c>
      <c r="AF265" s="116">
        <f>W265+Z265+AC265</f>
        <v/>
      </c>
      <c r="AG265" s="115">
        <f>R265+AD265</f>
        <v/>
      </c>
      <c r="AH265" s="116">
        <f>S265+AE265</f>
        <v/>
      </c>
      <c r="AI265" s="116">
        <f>T265+AF265</f>
        <v/>
      </c>
      <c r="AJ265" s="115" t="n"/>
      <c r="AK265" s="116" t="n"/>
      <c r="AL265" s="116" t="n"/>
      <c r="AM265" s="115">
        <f>(O265-AG265)+AJ265</f>
        <v/>
      </c>
      <c r="AN265" s="116">
        <f>(P265-AH265)+AK265</f>
        <v/>
      </c>
      <c r="AO265" s="116">
        <f>(Q265-AI265)+AL265</f>
        <v/>
      </c>
      <c r="AP265" s="93">
        <f>IF(AM265&gt;0, "Under",IF(AM265&lt;0,"Over",""))</f>
        <v/>
      </c>
      <c r="AQ265" s="94">
        <f>IF(AN265&gt;0, "Under",IF(AN265&lt;0,"Over",""))</f>
        <v/>
      </c>
      <c r="AR265" s="94">
        <f>IF(AO265&gt;0, "Under",IF(AO265&lt;0,"Over",""))</f>
        <v/>
      </c>
      <c r="AS265" s="3" t="n"/>
    </row>
    <row r="266">
      <c r="C266" s="113" t="n"/>
      <c r="D266" s="114" t="n"/>
      <c r="E266" s="114" t="n"/>
      <c r="F266" s="113" t="n"/>
      <c r="G266" s="114" t="n"/>
      <c r="H266" s="114" t="n"/>
      <c r="I266" s="113" t="n"/>
      <c r="J266" s="114" t="n"/>
      <c r="K266" s="114" t="n"/>
      <c r="L266" s="113" t="n"/>
      <c r="M266" s="114" t="n"/>
      <c r="N266" s="114" t="n"/>
      <c r="O266" s="113">
        <f>L266+I266+F266+C266</f>
        <v/>
      </c>
      <c r="P266" s="114">
        <f>M266+J266+G266+D266</f>
        <v/>
      </c>
      <c r="Q266" s="114">
        <f>N266+K266+H266+E266</f>
        <v/>
      </c>
      <c r="R266" s="113">
        <f>SUMIFS('PO Log'!$E:$E,'PO Log'!$D:$D,'Category Table'!R$2,'PO Log'!$C:$C,'Category Table'!$A266)</f>
        <v/>
      </c>
      <c r="S266" s="114">
        <f>SUMIFS('PO Log'!$E:$E,'PO Log'!$D:$D,'Category Table'!S$2,'PO Log'!$C:$C,'Category Table'!$A266)</f>
        <v/>
      </c>
      <c r="T266" s="114">
        <f>SUMIFS('PO Log'!$E:$E,'PO Log'!$D:$D,'Category Table'!T$2,'PO Log'!$C:$C,'Category Table'!$A266)</f>
        <v/>
      </c>
      <c r="U266" s="113">
        <f>SUMIFS('Committments Dump'!$Q:$Q,'Committments Dump'!$C:$C,'Category Table'!U$2,'Committments Dump'!$B:$B,'Category Table'!$A266)</f>
        <v/>
      </c>
      <c r="V266" s="114">
        <f>SUMIFS('Committments Dump'!$Q:$Q,'Committments Dump'!$C:$C,'Category Table'!V$2,'Committments Dump'!$B:$B,'Category Table'!$A266)</f>
        <v/>
      </c>
      <c r="W266" s="114">
        <f>SUMIFS('Committments Dump'!$Q:$Q,'Committments Dump'!$C:$C,'Category Table'!W$2,'Committments Dump'!$B:$B,'Category Table'!$A266)</f>
        <v/>
      </c>
      <c r="X266" s="113">
        <f>SUMIFS('Committments Dump'!$R:$R,'Committments Dump'!$C:$C,'Category Table'!X$2,'Committments Dump'!$B:$B,'Category Table'!$A266)</f>
        <v/>
      </c>
      <c r="Y266" s="114">
        <f>SUMIFS('Committments Dump'!$R:$R,'Committments Dump'!$C:$C,'Category Table'!Y$2,'Committments Dump'!$B:$B,'Category Table'!$A266)</f>
        <v/>
      </c>
      <c r="Z266" s="114">
        <f>SUMIFS('Committments Dump'!$R:$R,'Committments Dump'!$C:$C,'Category Table'!Z$2,'Committments Dump'!$B:$B,'Category Table'!$A266)</f>
        <v/>
      </c>
      <c r="AA266" s="113">
        <f>SUMIFS('Committments Dump'!$S:$S,'Committments Dump'!$C:$C,'Category Table'!AA$2,'Committments Dump'!$B:$B,'Category Table'!$A266)</f>
        <v/>
      </c>
      <c r="AB266" s="114">
        <f>SUMIFS('Committments Dump'!$S:$S,'Committments Dump'!$C:$C,'Category Table'!AB$2,'Committments Dump'!$B:$B,'Category Table'!$A266)</f>
        <v/>
      </c>
      <c r="AC266" s="114">
        <f>SUMIFS('Committments Dump'!$S:$S,'Committments Dump'!$C:$C,'Category Table'!AC$2,'Committments Dump'!$B:$B,'Category Table'!$A266)</f>
        <v/>
      </c>
      <c r="AD266" s="113">
        <f>U266+X266+AA266</f>
        <v/>
      </c>
      <c r="AE266" s="114">
        <f>V266+Y266+AB266</f>
        <v/>
      </c>
      <c r="AF266" s="114">
        <f>W266+Z266+AC266</f>
        <v/>
      </c>
      <c r="AG266" s="113">
        <f>R266+AD266</f>
        <v/>
      </c>
      <c r="AH266" s="114">
        <f>S266+AE266</f>
        <v/>
      </c>
      <c r="AI266" s="114">
        <f>T266+AF266</f>
        <v/>
      </c>
      <c r="AJ266" s="113" t="n"/>
      <c r="AK266" s="114" t="n"/>
      <c r="AL266" s="114" t="n"/>
      <c r="AM266" s="113">
        <f>(O266-AG266)+AJ266</f>
        <v/>
      </c>
      <c r="AN266" s="114">
        <f>(P266-AH266)+AK266</f>
        <v/>
      </c>
      <c r="AO266" s="114">
        <f>(Q266-AI266)+AL266</f>
        <v/>
      </c>
      <c r="AP266" s="2">
        <f>IF(AM266&gt;0, "Under",IF(AM266&lt;0,"Over",""))</f>
        <v/>
      </c>
      <c r="AQ266" s="1">
        <f>IF(AN266&gt;0, "Under",IF(AN266&lt;0,"Over",""))</f>
        <v/>
      </c>
      <c r="AR266" s="1">
        <f>IF(AO266&gt;0, "Under",IF(AO266&lt;0,"Over",""))</f>
        <v/>
      </c>
      <c r="AS266" s="3" t="n"/>
    </row>
    <row r="267">
      <c r="A267" s="90" t="n"/>
      <c r="B267" s="90" t="n"/>
      <c r="C267" s="115" t="n"/>
      <c r="D267" s="116" t="n"/>
      <c r="E267" s="116" t="n"/>
      <c r="F267" s="115" t="n"/>
      <c r="G267" s="116" t="n"/>
      <c r="H267" s="116" t="n"/>
      <c r="I267" s="115" t="n"/>
      <c r="J267" s="116" t="n"/>
      <c r="K267" s="116" t="n"/>
      <c r="L267" s="115" t="n"/>
      <c r="M267" s="116" t="n"/>
      <c r="N267" s="116" t="n"/>
      <c r="O267" s="115">
        <f>L267+I267+F267+C267</f>
        <v/>
      </c>
      <c r="P267" s="116">
        <f>M267+J267+G267+D267</f>
        <v/>
      </c>
      <c r="Q267" s="116">
        <f>N267+K267+H267+E267</f>
        <v/>
      </c>
      <c r="R267" s="115">
        <f>SUMIFS('PO Log'!$E:$E,'PO Log'!$D:$D,'Category Table'!R$2,'PO Log'!$C:$C,'Category Table'!$A267)</f>
        <v/>
      </c>
      <c r="S267" s="116">
        <f>SUMIFS('PO Log'!$E:$E,'PO Log'!$D:$D,'Category Table'!S$2,'PO Log'!$C:$C,'Category Table'!$A267)</f>
        <v/>
      </c>
      <c r="T267" s="116">
        <f>SUMIFS('PO Log'!$E:$E,'PO Log'!$D:$D,'Category Table'!T$2,'PO Log'!$C:$C,'Category Table'!$A267)</f>
        <v/>
      </c>
      <c r="U267" s="115">
        <f>SUMIFS('Committments Dump'!$Q:$Q,'Committments Dump'!$C:$C,'Category Table'!U$2,'Committments Dump'!$B:$B,'Category Table'!$A267)</f>
        <v/>
      </c>
      <c r="V267" s="116">
        <f>SUMIFS('Committments Dump'!$Q:$Q,'Committments Dump'!$C:$C,'Category Table'!V$2,'Committments Dump'!$B:$B,'Category Table'!$A267)</f>
        <v/>
      </c>
      <c r="W267" s="116">
        <f>SUMIFS('Committments Dump'!$Q:$Q,'Committments Dump'!$C:$C,'Category Table'!W$2,'Committments Dump'!$B:$B,'Category Table'!$A267)</f>
        <v/>
      </c>
      <c r="X267" s="115">
        <f>SUMIFS('Committments Dump'!$R:$R,'Committments Dump'!$C:$C,'Category Table'!X$2,'Committments Dump'!$B:$B,'Category Table'!$A267)</f>
        <v/>
      </c>
      <c r="Y267" s="116">
        <f>SUMIFS('Committments Dump'!$R:$R,'Committments Dump'!$C:$C,'Category Table'!Y$2,'Committments Dump'!$B:$B,'Category Table'!$A267)</f>
        <v/>
      </c>
      <c r="Z267" s="116">
        <f>SUMIFS('Committments Dump'!$R:$R,'Committments Dump'!$C:$C,'Category Table'!Z$2,'Committments Dump'!$B:$B,'Category Table'!$A267)</f>
        <v/>
      </c>
      <c r="AA267" s="115">
        <f>SUMIFS('Committments Dump'!$S:$S,'Committments Dump'!$C:$C,'Category Table'!AA$2,'Committments Dump'!$B:$B,'Category Table'!$A267)</f>
        <v/>
      </c>
      <c r="AB267" s="116">
        <f>SUMIFS('Committments Dump'!$S:$S,'Committments Dump'!$C:$C,'Category Table'!AB$2,'Committments Dump'!$B:$B,'Category Table'!$A267)</f>
        <v/>
      </c>
      <c r="AC267" s="116">
        <f>SUMIFS('Committments Dump'!$S:$S,'Committments Dump'!$C:$C,'Category Table'!AC$2,'Committments Dump'!$B:$B,'Category Table'!$A267)</f>
        <v/>
      </c>
      <c r="AD267" s="115">
        <f>U267+X267+AA267</f>
        <v/>
      </c>
      <c r="AE267" s="116">
        <f>V267+Y267+AB267</f>
        <v/>
      </c>
      <c r="AF267" s="116">
        <f>W267+Z267+AC267</f>
        <v/>
      </c>
      <c r="AG267" s="115">
        <f>R267+AD267</f>
        <v/>
      </c>
      <c r="AH267" s="116">
        <f>S267+AE267</f>
        <v/>
      </c>
      <c r="AI267" s="116">
        <f>T267+AF267</f>
        <v/>
      </c>
      <c r="AJ267" s="115" t="n"/>
      <c r="AK267" s="116" t="n"/>
      <c r="AL267" s="116" t="n"/>
      <c r="AM267" s="115">
        <f>(O267-AG267)+AJ267</f>
        <v/>
      </c>
      <c r="AN267" s="116">
        <f>(P267-AH267)+AK267</f>
        <v/>
      </c>
      <c r="AO267" s="116">
        <f>(Q267-AI267)+AL267</f>
        <v/>
      </c>
      <c r="AP267" s="93">
        <f>IF(AM267&gt;0, "Under",IF(AM267&lt;0,"Over",""))</f>
        <v/>
      </c>
      <c r="AQ267" s="94">
        <f>IF(AN267&gt;0, "Under",IF(AN267&lt;0,"Over",""))</f>
        <v/>
      </c>
      <c r="AR267" s="94">
        <f>IF(AO267&gt;0, "Under",IF(AO267&lt;0,"Over",""))</f>
        <v/>
      </c>
      <c r="AS267" s="3" t="n"/>
    </row>
    <row r="268">
      <c r="C268" s="113" t="n"/>
      <c r="D268" s="114" t="n"/>
      <c r="E268" s="114" t="n"/>
      <c r="F268" s="113" t="n"/>
      <c r="G268" s="114" t="n"/>
      <c r="H268" s="114" t="n"/>
      <c r="I268" s="113" t="n"/>
      <c r="J268" s="114" t="n"/>
      <c r="K268" s="114" t="n"/>
      <c r="L268" s="113" t="n"/>
      <c r="M268" s="114" t="n"/>
      <c r="N268" s="114" t="n"/>
      <c r="O268" s="113">
        <f>L268+I268+F268+C268</f>
        <v/>
      </c>
      <c r="P268" s="114">
        <f>M268+J268+G268+D268</f>
        <v/>
      </c>
      <c r="Q268" s="114">
        <f>N268+K268+H268+E268</f>
        <v/>
      </c>
      <c r="R268" s="113">
        <f>SUMIFS('PO Log'!$E:$E,'PO Log'!$D:$D,'Category Table'!R$2,'PO Log'!$C:$C,'Category Table'!$A268)</f>
        <v/>
      </c>
      <c r="S268" s="114">
        <f>SUMIFS('PO Log'!$E:$E,'PO Log'!$D:$D,'Category Table'!S$2,'PO Log'!$C:$C,'Category Table'!$A268)</f>
        <v/>
      </c>
      <c r="T268" s="114">
        <f>SUMIFS('PO Log'!$E:$E,'PO Log'!$D:$D,'Category Table'!T$2,'PO Log'!$C:$C,'Category Table'!$A268)</f>
        <v/>
      </c>
      <c r="U268" s="113">
        <f>SUMIFS('Committments Dump'!$Q:$Q,'Committments Dump'!$C:$C,'Category Table'!U$2,'Committments Dump'!$B:$B,'Category Table'!$A268)</f>
        <v/>
      </c>
      <c r="V268" s="114">
        <f>SUMIFS('Committments Dump'!$Q:$Q,'Committments Dump'!$C:$C,'Category Table'!V$2,'Committments Dump'!$B:$B,'Category Table'!$A268)</f>
        <v/>
      </c>
      <c r="W268" s="114">
        <f>SUMIFS('Committments Dump'!$Q:$Q,'Committments Dump'!$C:$C,'Category Table'!W$2,'Committments Dump'!$B:$B,'Category Table'!$A268)</f>
        <v/>
      </c>
      <c r="X268" s="113">
        <f>SUMIFS('Committments Dump'!$R:$R,'Committments Dump'!$C:$C,'Category Table'!X$2,'Committments Dump'!$B:$B,'Category Table'!$A268)</f>
        <v/>
      </c>
      <c r="Y268" s="114">
        <f>SUMIFS('Committments Dump'!$R:$R,'Committments Dump'!$C:$C,'Category Table'!Y$2,'Committments Dump'!$B:$B,'Category Table'!$A268)</f>
        <v/>
      </c>
      <c r="Z268" s="114">
        <f>SUMIFS('Committments Dump'!$R:$R,'Committments Dump'!$C:$C,'Category Table'!Z$2,'Committments Dump'!$B:$B,'Category Table'!$A268)</f>
        <v/>
      </c>
      <c r="AA268" s="113">
        <f>SUMIFS('Committments Dump'!$S:$S,'Committments Dump'!$C:$C,'Category Table'!AA$2,'Committments Dump'!$B:$B,'Category Table'!$A268)</f>
        <v/>
      </c>
      <c r="AB268" s="114">
        <f>SUMIFS('Committments Dump'!$S:$S,'Committments Dump'!$C:$C,'Category Table'!AB$2,'Committments Dump'!$B:$B,'Category Table'!$A268)</f>
        <v/>
      </c>
      <c r="AC268" s="114">
        <f>SUMIFS('Committments Dump'!$S:$S,'Committments Dump'!$C:$C,'Category Table'!AC$2,'Committments Dump'!$B:$B,'Category Table'!$A268)</f>
        <v/>
      </c>
      <c r="AD268" s="113">
        <f>U268+X268+AA268</f>
        <v/>
      </c>
      <c r="AE268" s="114">
        <f>V268+Y268+AB268</f>
        <v/>
      </c>
      <c r="AF268" s="114">
        <f>W268+Z268+AC268</f>
        <v/>
      </c>
      <c r="AG268" s="113">
        <f>R268+AD268</f>
        <v/>
      </c>
      <c r="AH268" s="114">
        <f>S268+AE268</f>
        <v/>
      </c>
      <c r="AI268" s="114">
        <f>T268+AF268</f>
        <v/>
      </c>
      <c r="AJ268" s="113" t="n"/>
      <c r="AK268" s="114" t="n"/>
      <c r="AL268" s="114" t="n"/>
      <c r="AM268" s="113">
        <f>(O268-AG268)+AJ268</f>
        <v/>
      </c>
      <c r="AN268" s="114">
        <f>(P268-AH268)+AK268</f>
        <v/>
      </c>
      <c r="AO268" s="114">
        <f>(Q268-AI268)+AL268</f>
        <v/>
      </c>
      <c r="AP268" s="2">
        <f>IF(AM268&gt;0, "Under",IF(AM268&lt;0,"Over",""))</f>
        <v/>
      </c>
      <c r="AQ268" s="1">
        <f>IF(AN268&gt;0, "Under",IF(AN268&lt;0,"Over",""))</f>
        <v/>
      </c>
      <c r="AR268" s="1">
        <f>IF(AO268&gt;0, "Under",IF(AO268&lt;0,"Over",""))</f>
        <v/>
      </c>
      <c r="AS268" s="3" t="n"/>
    </row>
    <row r="269">
      <c r="A269" s="90" t="n"/>
      <c r="B269" s="90" t="n"/>
      <c r="C269" s="115" t="n"/>
      <c r="D269" s="116" t="n"/>
      <c r="E269" s="116" t="n"/>
      <c r="F269" s="115" t="n"/>
      <c r="G269" s="116" t="n"/>
      <c r="H269" s="116" t="n"/>
      <c r="I269" s="115" t="n"/>
      <c r="J269" s="116" t="n"/>
      <c r="K269" s="116" t="n"/>
      <c r="L269" s="115" t="n"/>
      <c r="M269" s="116" t="n"/>
      <c r="N269" s="116" t="n"/>
      <c r="O269" s="115">
        <f>L269+I269+F269+C269</f>
        <v/>
      </c>
      <c r="P269" s="116">
        <f>M269+J269+G269+D269</f>
        <v/>
      </c>
      <c r="Q269" s="116">
        <f>N269+K269+H269+E269</f>
        <v/>
      </c>
      <c r="R269" s="115">
        <f>SUMIFS('PO Log'!$E:$E,'PO Log'!$D:$D,'Category Table'!R$2,'PO Log'!$C:$C,'Category Table'!$A269)</f>
        <v/>
      </c>
      <c r="S269" s="116">
        <f>SUMIFS('PO Log'!$E:$E,'PO Log'!$D:$D,'Category Table'!S$2,'PO Log'!$C:$C,'Category Table'!$A269)</f>
        <v/>
      </c>
      <c r="T269" s="116">
        <f>SUMIFS('PO Log'!$E:$E,'PO Log'!$D:$D,'Category Table'!T$2,'PO Log'!$C:$C,'Category Table'!$A269)</f>
        <v/>
      </c>
      <c r="U269" s="115">
        <f>SUMIFS('Committments Dump'!$Q:$Q,'Committments Dump'!$C:$C,'Category Table'!U$2,'Committments Dump'!$B:$B,'Category Table'!$A269)</f>
        <v/>
      </c>
      <c r="V269" s="116">
        <f>SUMIFS('Committments Dump'!$Q:$Q,'Committments Dump'!$C:$C,'Category Table'!V$2,'Committments Dump'!$B:$B,'Category Table'!$A269)</f>
        <v/>
      </c>
      <c r="W269" s="116">
        <f>SUMIFS('Committments Dump'!$Q:$Q,'Committments Dump'!$C:$C,'Category Table'!W$2,'Committments Dump'!$B:$B,'Category Table'!$A269)</f>
        <v/>
      </c>
      <c r="X269" s="115">
        <f>SUMIFS('Committments Dump'!$R:$R,'Committments Dump'!$C:$C,'Category Table'!X$2,'Committments Dump'!$B:$B,'Category Table'!$A269)</f>
        <v/>
      </c>
      <c r="Y269" s="116">
        <f>SUMIFS('Committments Dump'!$R:$R,'Committments Dump'!$C:$C,'Category Table'!Y$2,'Committments Dump'!$B:$B,'Category Table'!$A269)</f>
        <v/>
      </c>
      <c r="Z269" s="116">
        <f>SUMIFS('Committments Dump'!$R:$R,'Committments Dump'!$C:$C,'Category Table'!Z$2,'Committments Dump'!$B:$B,'Category Table'!$A269)</f>
        <v/>
      </c>
      <c r="AA269" s="115">
        <f>SUMIFS('Committments Dump'!$S:$S,'Committments Dump'!$C:$C,'Category Table'!AA$2,'Committments Dump'!$B:$B,'Category Table'!$A269)</f>
        <v/>
      </c>
      <c r="AB269" s="116">
        <f>SUMIFS('Committments Dump'!$S:$S,'Committments Dump'!$C:$C,'Category Table'!AB$2,'Committments Dump'!$B:$B,'Category Table'!$A269)</f>
        <v/>
      </c>
      <c r="AC269" s="116">
        <f>SUMIFS('Committments Dump'!$S:$S,'Committments Dump'!$C:$C,'Category Table'!AC$2,'Committments Dump'!$B:$B,'Category Table'!$A269)</f>
        <v/>
      </c>
      <c r="AD269" s="115">
        <f>U269+X269+AA269</f>
        <v/>
      </c>
      <c r="AE269" s="116">
        <f>V269+Y269+AB269</f>
        <v/>
      </c>
      <c r="AF269" s="116">
        <f>W269+Z269+AC269</f>
        <v/>
      </c>
      <c r="AG269" s="115">
        <f>R269+AD269</f>
        <v/>
      </c>
      <c r="AH269" s="116">
        <f>S269+AE269</f>
        <v/>
      </c>
      <c r="AI269" s="116">
        <f>T269+AF269</f>
        <v/>
      </c>
      <c r="AJ269" s="115" t="n"/>
      <c r="AK269" s="116" t="n"/>
      <c r="AL269" s="116" t="n"/>
      <c r="AM269" s="115">
        <f>(O269-AG269)+AJ269</f>
        <v/>
      </c>
      <c r="AN269" s="116">
        <f>(P269-AH269)+AK269</f>
        <v/>
      </c>
      <c r="AO269" s="116">
        <f>(Q269-AI269)+AL269</f>
        <v/>
      </c>
      <c r="AP269" s="93">
        <f>IF(AM269&gt;0, "Under",IF(AM269&lt;0,"Over",""))</f>
        <v/>
      </c>
      <c r="AQ269" s="94">
        <f>IF(AN269&gt;0, "Under",IF(AN269&lt;0,"Over",""))</f>
        <v/>
      </c>
      <c r="AR269" s="94">
        <f>IF(AO269&gt;0, "Under",IF(AO269&lt;0,"Over",""))</f>
        <v/>
      </c>
      <c r="AS269" s="3" t="n"/>
    </row>
    <row r="270">
      <c r="C270" s="113" t="n"/>
      <c r="D270" s="114" t="n"/>
      <c r="E270" s="114" t="n"/>
      <c r="F270" s="113" t="n"/>
      <c r="G270" s="114" t="n"/>
      <c r="H270" s="114" t="n"/>
      <c r="I270" s="113" t="n"/>
      <c r="J270" s="114" t="n"/>
      <c r="K270" s="114" t="n"/>
      <c r="L270" s="113" t="n"/>
      <c r="M270" s="114" t="n"/>
      <c r="N270" s="114" t="n"/>
      <c r="O270" s="113">
        <f>L270+I270+F270+C270</f>
        <v/>
      </c>
      <c r="P270" s="114">
        <f>M270+J270+G270+D270</f>
        <v/>
      </c>
      <c r="Q270" s="114">
        <f>N270+K270+H270+E270</f>
        <v/>
      </c>
      <c r="R270" s="113">
        <f>SUMIFS('PO Log'!$E:$E,'PO Log'!$D:$D,'Category Table'!R$2,'PO Log'!$C:$C,'Category Table'!$A270)</f>
        <v/>
      </c>
      <c r="S270" s="114">
        <f>SUMIFS('PO Log'!$E:$E,'PO Log'!$D:$D,'Category Table'!S$2,'PO Log'!$C:$C,'Category Table'!$A270)</f>
        <v/>
      </c>
      <c r="T270" s="114">
        <f>SUMIFS('PO Log'!$E:$E,'PO Log'!$D:$D,'Category Table'!T$2,'PO Log'!$C:$C,'Category Table'!$A270)</f>
        <v/>
      </c>
      <c r="U270" s="113">
        <f>SUMIFS('Committments Dump'!$Q:$Q,'Committments Dump'!$C:$C,'Category Table'!U$2,'Committments Dump'!$B:$B,'Category Table'!$A270)</f>
        <v/>
      </c>
      <c r="V270" s="114">
        <f>SUMIFS('Committments Dump'!$Q:$Q,'Committments Dump'!$C:$C,'Category Table'!V$2,'Committments Dump'!$B:$B,'Category Table'!$A270)</f>
        <v/>
      </c>
      <c r="W270" s="114">
        <f>SUMIFS('Committments Dump'!$Q:$Q,'Committments Dump'!$C:$C,'Category Table'!W$2,'Committments Dump'!$B:$B,'Category Table'!$A270)</f>
        <v/>
      </c>
      <c r="X270" s="113">
        <f>SUMIFS('Committments Dump'!$R:$R,'Committments Dump'!$C:$C,'Category Table'!X$2,'Committments Dump'!$B:$B,'Category Table'!$A270)</f>
        <v/>
      </c>
      <c r="Y270" s="114">
        <f>SUMIFS('Committments Dump'!$R:$R,'Committments Dump'!$C:$C,'Category Table'!Y$2,'Committments Dump'!$B:$B,'Category Table'!$A270)</f>
        <v/>
      </c>
      <c r="Z270" s="114">
        <f>SUMIFS('Committments Dump'!$R:$R,'Committments Dump'!$C:$C,'Category Table'!Z$2,'Committments Dump'!$B:$B,'Category Table'!$A270)</f>
        <v/>
      </c>
      <c r="AA270" s="113">
        <f>SUMIFS('Committments Dump'!$S:$S,'Committments Dump'!$C:$C,'Category Table'!AA$2,'Committments Dump'!$B:$B,'Category Table'!$A270)</f>
        <v/>
      </c>
      <c r="AB270" s="114">
        <f>SUMIFS('Committments Dump'!$S:$S,'Committments Dump'!$C:$C,'Category Table'!AB$2,'Committments Dump'!$B:$B,'Category Table'!$A270)</f>
        <v/>
      </c>
      <c r="AC270" s="114">
        <f>SUMIFS('Committments Dump'!$S:$S,'Committments Dump'!$C:$C,'Category Table'!AC$2,'Committments Dump'!$B:$B,'Category Table'!$A270)</f>
        <v/>
      </c>
      <c r="AD270" s="113">
        <f>U270+X270+AA270</f>
        <v/>
      </c>
      <c r="AE270" s="114">
        <f>V270+Y270+AB270</f>
        <v/>
      </c>
      <c r="AF270" s="114">
        <f>W270+Z270+AC270</f>
        <v/>
      </c>
      <c r="AG270" s="113">
        <f>R270+AD270</f>
        <v/>
      </c>
      <c r="AH270" s="114">
        <f>S270+AE270</f>
        <v/>
      </c>
      <c r="AI270" s="114">
        <f>T270+AF270</f>
        <v/>
      </c>
      <c r="AJ270" s="113" t="n"/>
      <c r="AK270" s="114" t="n"/>
      <c r="AL270" s="114" t="n"/>
      <c r="AM270" s="113">
        <f>(O270-AG270)+AJ270</f>
        <v/>
      </c>
      <c r="AN270" s="114">
        <f>(P270-AH270)+AK270</f>
        <v/>
      </c>
      <c r="AO270" s="114">
        <f>(Q270-AI270)+AL270</f>
        <v/>
      </c>
      <c r="AP270" s="2">
        <f>IF(AM270&gt;0, "Under",IF(AM270&lt;0,"Over",""))</f>
        <v/>
      </c>
      <c r="AQ270" s="1">
        <f>IF(AN270&gt;0, "Under",IF(AN270&lt;0,"Over",""))</f>
        <v/>
      </c>
      <c r="AR270" s="1">
        <f>IF(AO270&gt;0, "Under",IF(AO270&lt;0,"Over",""))</f>
        <v/>
      </c>
      <c r="AS270" s="3" t="n"/>
    </row>
    <row r="271">
      <c r="A271" s="90" t="n"/>
      <c r="B271" s="90" t="n"/>
      <c r="C271" s="115" t="n"/>
      <c r="D271" s="116" t="n"/>
      <c r="E271" s="116" t="n"/>
      <c r="F271" s="115" t="n"/>
      <c r="G271" s="116" t="n"/>
      <c r="H271" s="116" t="n"/>
      <c r="I271" s="115" t="n"/>
      <c r="J271" s="116" t="n"/>
      <c r="K271" s="116" t="n"/>
      <c r="L271" s="115" t="n"/>
      <c r="M271" s="116" t="n"/>
      <c r="N271" s="116" t="n"/>
      <c r="O271" s="115">
        <f>L271+I271+F271+C271</f>
        <v/>
      </c>
      <c r="P271" s="116">
        <f>M271+J271+G271+D271</f>
        <v/>
      </c>
      <c r="Q271" s="116">
        <f>N271+K271+H271+E271</f>
        <v/>
      </c>
      <c r="R271" s="115">
        <f>SUMIFS('PO Log'!$E:$E,'PO Log'!$D:$D,'Category Table'!R$2,'PO Log'!$C:$C,'Category Table'!$A271)</f>
        <v/>
      </c>
      <c r="S271" s="116">
        <f>SUMIFS('PO Log'!$E:$E,'PO Log'!$D:$D,'Category Table'!S$2,'PO Log'!$C:$C,'Category Table'!$A271)</f>
        <v/>
      </c>
      <c r="T271" s="116">
        <f>SUMIFS('PO Log'!$E:$E,'PO Log'!$D:$D,'Category Table'!T$2,'PO Log'!$C:$C,'Category Table'!$A271)</f>
        <v/>
      </c>
      <c r="U271" s="115">
        <f>SUMIFS('Committments Dump'!$Q:$Q,'Committments Dump'!$C:$C,'Category Table'!U$2,'Committments Dump'!$B:$B,'Category Table'!$A271)</f>
        <v/>
      </c>
      <c r="V271" s="116">
        <f>SUMIFS('Committments Dump'!$Q:$Q,'Committments Dump'!$C:$C,'Category Table'!V$2,'Committments Dump'!$B:$B,'Category Table'!$A271)</f>
        <v/>
      </c>
      <c r="W271" s="116">
        <f>SUMIFS('Committments Dump'!$Q:$Q,'Committments Dump'!$C:$C,'Category Table'!W$2,'Committments Dump'!$B:$B,'Category Table'!$A271)</f>
        <v/>
      </c>
      <c r="X271" s="115">
        <f>SUMIFS('Committments Dump'!$R:$R,'Committments Dump'!$C:$C,'Category Table'!X$2,'Committments Dump'!$B:$B,'Category Table'!$A271)</f>
        <v/>
      </c>
      <c r="Y271" s="116">
        <f>SUMIFS('Committments Dump'!$R:$R,'Committments Dump'!$C:$C,'Category Table'!Y$2,'Committments Dump'!$B:$B,'Category Table'!$A271)</f>
        <v/>
      </c>
      <c r="Z271" s="116">
        <f>SUMIFS('Committments Dump'!$R:$R,'Committments Dump'!$C:$C,'Category Table'!Z$2,'Committments Dump'!$B:$B,'Category Table'!$A271)</f>
        <v/>
      </c>
      <c r="AA271" s="115">
        <f>SUMIFS('Committments Dump'!$S:$S,'Committments Dump'!$C:$C,'Category Table'!AA$2,'Committments Dump'!$B:$B,'Category Table'!$A271)</f>
        <v/>
      </c>
      <c r="AB271" s="116">
        <f>SUMIFS('Committments Dump'!$S:$S,'Committments Dump'!$C:$C,'Category Table'!AB$2,'Committments Dump'!$B:$B,'Category Table'!$A271)</f>
        <v/>
      </c>
      <c r="AC271" s="116">
        <f>SUMIFS('Committments Dump'!$S:$S,'Committments Dump'!$C:$C,'Category Table'!AC$2,'Committments Dump'!$B:$B,'Category Table'!$A271)</f>
        <v/>
      </c>
      <c r="AD271" s="115">
        <f>U271+X271+AA271</f>
        <v/>
      </c>
      <c r="AE271" s="116">
        <f>V271+Y271+AB271</f>
        <v/>
      </c>
      <c r="AF271" s="116">
        <f>W271+Z271+AC271</f>
        <v/>
      </c>
      <c r="AG271" s="115">
        <f>R271+AD271</f>
        <v/>
      </c>
      <c r="AH271" s="116">
        <f>S271+AE271</f>
        <v/>
      </c>
      <c r="AI271" s="116">
        <f>T271+AF271</f>
        <v/>
      </c>
      <c r="AJ271" s="115" t="n"/>
      <c r="AK271" s="116" t="n"/>
      <c r="AL271" s="116" t="n"/>
      <c r="AM271" s="115">
        <f>(O271-AG271)+AJ271</f>
        <v/>
      </c>
      <c r="AN271" s="116">
        <f>(P271-AH271)+AK271</f>
        <v/>
      </c>
      <c r="AO271" s="116">
        <f>(Q271-AI271)+AL271</f>
        <v/>
      </c>
      <c r="AP271" s="93">
        <f>IF(AM271&gt;0, "Under",IF(AM271&lt;0,"Over",""))</f>
        <v/>
      </c>
      <c r="AQ271" s="94">
        <f>IF(AN271&gt;0, "Under",IF(AN271&lt;0,"Over",""))</f>
        <v/>
      </c>
      <c r="AR271" s="94">
        <f>IF(AO271&gt;0, "Under",IF(AO271&lt;0,"Over",""))</f>
        <v/>
      </c>
      <c r="AS271" s="3" t="n"/>
    </row>
    <row r="272">
      <c r="C272" s="113" t="n"/>
      <c r="D272" s="114" t="n"/>
      <c r="E272" s="114" t="n"/>
      <c r="F272" s="113" t="n"/>
      <c r="G272" s="114" t="n"/>
      <c r="H272" s="114" t="n"/>
      <c r="I272" s="113" t="n"/>
      <c r="J272" s="114" t="n"/>
      <c r="K272" s="114" t="n"/>
      <c r="L272" s="113" t="n"/>
      <c r="M272" s="114" t="n"/>
      <c r="N272" s="114" t="n"/>
      <c r="O272" s="113">
        <f>L272+I272+F272+C272</f>
        <v/>
      </c>
      <c r="P272" s="114">
        <f>M272+J272+G272+D272</f>
        <v/>
      </c>
      <c r="Q272" s="114">
        <f>N272+K272+H272+E272</f>
        <v/>
      </c>
      <c r="R272" s="113">
        <f>SUMIFS('PO Log'!$E:$E,'PO Log'!$D:$D,'Category Table'!R$2,'PO Log'!$C:$C,'Category Table'!$A272)</f>
        <v/>
      </c>
      <c r="S272" s="114">
        <f>SUMIFS('PO Log'!$E:$E,'PO Log'!$D:$D,'Category Table'!S$2,'PO Log'!$C:$C,'Category Table'!$A272)</f>
        <v/>
      </c>
      <c r="T272" s="114">
        <f>SUMIFS('PO Log'!$E:$E,'PO Log'!$D:$D,'Category Table'!T$2,'PO Log'!$C:$C,'Category Table'!$A272)</f>
        <v/>
      </c>
      <c r="U272" s="113">
        <f>SUMIFS('Committments Dump'!$Q:$Q,'Committments Dump'!$C:$C,'Category Table'!U$2,'Committments Dump'!$B:$B,'Category Table'!$A272)</f>
        <v/>
      </c>
      <c r="V272" s="114">
        <f>SUMIFS('Committments Dump'!$Q:$Q,'Committments Dump'!$C:$C,'Category Table'!V$2,'Committments Dump'!$B:$B,'Category Table'!$A272)</f>
        <v/>
      </c>
      <c r="W272" s="114">
        <f>SUMIFS('Committments Dump'!$Q:$Q,'Committments Dump'!$C:$C,'Category Table'!W$2,'Committments Dump'!$B:$B,'Category Table'!$A272)</f>
        <v/>
      </c>
      <c r="X272" s="113">
        <f>SUMIFS('Committments Dump'!$R:$R,'Committments Dump'!$C:$C,'Category Table'!X$2,'Committments Dump'!$B:$B,'Category Table'!$A272)</f>
        <v/>
      </c>
      <c r="Y272" s="114">
        <f>SUMIFS('Committments Dump'!$R:$R,'Committments Dump'!$C:$C,'Category Table'!Y$2,'Committments Dump'!$B:$B,'Category Table'!$A272)</f>
        <v/>
      </c>
      <c r="Z272" s="114">
        <f>SUMIFS('Committments Dump'!$R:$R,'Committments Dump'!$C:$C,'Category Table'!Z$2,'Committments Dump'!$B:$B,'Category Table'!$A272)</f>
        <v/>
      </c>
      <c r="AA272" s="113">
        <f>SUMIFS('Committments Dump'!$S:$S,'Committments Dump'!$C:$C,'Category Table'!AA$2,'Committments Dump'!$B:$B,'Category Table'!$A272)</f>
        <v/>
      </c>
      <c r="AB272" s="114">
        <f>SUMIFS('Committments Dump'!$S:$S,'Committments Dump'!$C:$C,'Category Table'!AB$2,'Committments Dump'!$B:$B,'Category Table'!$A272)</f>
        <v/>
      </c>
      <c r="AC272" s="114">
        <f>SUMIFS('Committments Dump'!$S:$S,'Committments Dump'!$C:$C,'Category Table'!AC$2,'Committments Dump'!$B:$B,'Category Table'!$A272)</f>
        <v/>
      </c>
      <c r="AD272" s="113">
        <f>U272+X272+AA272</f>
        <v/>
      </c>
      <c r="AE272" s="114">
        <f>V272+Y272+AB272</f>
        <v/>
      </c>
      <c r="AF272" s="114">
        <f>W272+Z272+AC272</f>
        <v/>
      </c>
      <c r="AG272" s="113">
        <f>R272+AD272</f>
        <v/>
      </c>
      <c r="AH272" s="114">
        <f>S272+AE272</f>
        <v/>
      </c>
      <c r="AI272" s="114">
        <f>T272+AF272</f>
        <v/>
      </c>
      <c r="AJ272" s="113" t="n"/>
      <c r="AK272" s="114" t="n"/>
      <c r="AL272" s="114" t="n"/>
      <c r="AM272" s="113">
        <f>(O272-AG272)+AJ272</f>
        <v/>
      </c>
      <c r="AN272" s="114">
        <f>(P272-AH272)+AK272</f>
        <v/>
      </c>
      <c r="AO272" s="114">
        <f>(Q272-AI272)+AL272</f>
        <v/>
      </c>
      <c r="AP272" s="2">
        <f>IF(AM272&gt;0, "Under",IF(AM272&lt;0,"Over",""))</f>
        <v/>
      </c>
      <c r="AQ272" s="1">
        <f>IF(AN272&gt;0, "Under",IF(AN272&lt;0,"Over",""))</f>
        <v/>
      </c>
      <c r="AR272" s="1">
        <f>IF(AO272&gt;0, "Under",IF(AO272&lt;0,"Over",""))</f>
        <v/>
      </c>
      <c r="AS272" s="3" t="n"/>
    </row>
    <row r="273">
      <c r="A273" s="90" t="n"/>
      <c r="B273" s="90" t="n"/>
      <c r="C273" s="115" t="n"/>
      <c r="D273" s="116" t="n"/>
      <c r="E273" s="116" t="n"/>
      <c r="F273" s="115" t="n"/>
      <c r="G273" s="116" t="n"/>
      <c r="H273" s="116" t="n"/>
      <c r="I273" s="115" t="n"/>
      <c r="J273" s="116" t="n"/>
      <c r="K273" s="116" t="n"/>
      <c r="L273" s="115" t="n"/>
      <c r="M273" s="116" t="n"/>
      <c r="N273" s="116" t="n"/>
      <c r="O273" s="115">
        <f>L273+I273+F273+C273</f>
        <v/>
      </c>
      <c r="P273" s="116">
        <f>M273+J273+G273+D273</f>
        <v/>
      </c>
      <c r="Q273" s="116">
        <f>N273+K273+H273+E273</f>
        <v/>
      </c>
      <c r="R273" s="115">
        <f>SUMIFS('PO Log'!$E:$E,'PO Log'!$D:$D,'Category Table'!R$2,'PO Log'!$C:$C,'Category Table'!$A273)</f>
        <v/>
      </c>
      <c r="S273" s="116">
        <f>SUMIFS('PO Log'!$E:$E,'PO Log'!$D:$D,'Category Table'!S$2,'PO Log'!$C:$C,'Category Table'!$A273)</f>
        <v/>
      </c>
      <c r="T273" s="116">
        <f>SUMIFS('PO Log'!$E:$E,'PO Log'!$D:$D,'Category Table'!T$2,'PO Log'!$C:$C,'Category Table'!$A273)</f>
        <v/>
      </c>
      <c r="U273" s="115">
        <f>SUMIFS('Committments Dump'!$Q:$Q,'Committments Dump'!$C:$C,'Category Table'!U$2,'Committments Dump'!$B:$B,'Category Table'!$A273)</f>
        <v/>
      </c>
      <c r="V273" s="116">
        <f>SUMIFS('Committments Dump'!$Q:$Q,'Committments Dump'!$C:$C,'Category Table'!V$2,'Committments Dump'!$B:$B,'Category Table'!$A273)</f>
        <v/>
      </c>
      <c r="W273" s="116">
        <f>SUMIFS('Committments Dump'!$Q:$Q,'Committments Dump'!$C:$C,'Category Table'!W$2,'Committments Dump'!$B:$B,'Category Table'!$A273)</f>
        <v/>
      </c>
      <c r="X273" s="115">
        <f>SUMIFS('Committments Dump'!$R:$R,'Committments Dump'!$C:$C,'Category Table'!X$2,'Committments Dump'!$B:$B,'Category Table'!$A273)</f>
        <v/>
      </c>
      <c r="Y273" s="116">
        <f>SUMIFS('Committments Dump'!$R:$R,'Committments Dump'!$C:$C,'Category Table'!Y$2,'Committments Dump'!$B:$B,'Category Table'!$A273)</f>
        <v/>
      </c>
      <c r="Z273" s="116">
        <f>SUMIFS('Committments Dump'!$R:$R,'Committments Dump'!$C:$C,'Category Table'!Z$2,'Committments Dump'!$B:$B,'Category Table'!$A273)</f>
        <v/>
      </c>
      <c r="AA273" s="115">
        <f>SUMIFS('Committments Dump'!$S:$S,'Committments Dump'!$C:$C,'Category Table'!AA$2,'Committments Dump'!$B:$B,'Category Table'!$A273)</f>
        <v/>
      </c>
      <c r="AB273" s="116">
        <f>SUMIFS('Committments Dump'!$S:$S,'Committments Dump'!$C:$C,'Category Table'!AB$2,'Committments Dump'!$B:$B,'Category Table'!$A273)</f>
        <v/>
      </c>
      <c r="AC273" s="116">
        <f>SUMIFS('Committments Dump'!$S:$S,'Committments Dump'!$C:$C,'Category Table'!AC$2,'Committments Dump'!$B:$B,'Category Table'!$A273)</f>
        <v/>
      </c>
      <c r="AD273" s="115">
        <f>U273+X273+AA273</f>
        <v/>
      </c>
      <c r="AE273" s="116">
        <f>V273+Y273+AB273</f>
        <v/>
      </c>
      <c r="AF273" s="116">
        <f>W273+Z273+AC273</f>
        <v/>
      </c>
      <c r="AG273" s="115">
        <f>R273+AD273</f>
        <v/>
      </c>
      <c r="AH273" s="116">
        <f>S273+AE273</f>
        <v/>
      </c>
      <c r="AI273" s="116">
        <f>T273+AF273</f>
        <v/>
      </c>
      <c r="AJ273" s="115" t="n"/>
      <c r="AK273" s="116" t="n"/>
      <c r="AL273" s="116" t="n"/>
      <c r="AM273" s="115">
        <f>(O273-AG273)+AJ273</f>
        <v/>
      </c>
      <c r="AN273" s="116">
        <f>(P273-AH273)+AK273</f>
        <v/>
      </c>
      <c r="AO273" s="116">
        <f>(Q273-AI273)+AL273</f>
        <v/>
      </c>
      <c r="AP273" s="93">
        <f>IF(AM273&gt;0, "Under",IF(AM273&lt;0,"Over",""))</f>
        <v/>
      </c>
      <c r="AQ273" s="94">
        <f>IF(AN273&gt;0, "Under",IF(AN273&lt;0,"Over",""))</f>
        <v/>
      </c>
      <c r="AR273" s="94">
        <f>IF(AO273&gt;0, "Under",IF(AO273&lt;0,"Over",""))</f>
        <v/>
      </c>
      <c r="AS273" s="3" t="n"/>
    </row>
    <row r="274">
      <c r="C274" s="113" t="n"/>
      <c r="D274" s="114" t="n"/>
      <c r="E274" s="114" t="n"/>
      <c r="F274" s="113" t="n"/>
      <c r="G274" s="114" t="n"/>
      <c r="H274" s="114" t="n"/>
      <c r="I274" s="113" t="n"/>
      <c r="J274" s="114" t="n"/>
      <c r="K274" s="114" t="n"/>
      <c r="L274" s="113" t="n"/>
      <c r="M274" s="114" t="n"/>
      <c r="N274" s="114" t="n"/>
      <c r="O274" s="113">
        <f>L274+I274+F274+C274</f>
        <v/>
      </c>
      <c r="P274" s="114">
        <f>M274+J274+G274+D274</f>
        <v/>
      </c>
      <c r="Q274" s="114">
        <f>N274+K274+H274+E274</f>
        <v/>
      </c>
      <c r="R274" s="113">
        <f>SUMIFS('PO Log'!$E:$E,'PO Log'!$D:$D,'Category Table'!R$2,'PO Log'!$C:$C,'Category Table'!$A274)</f>
        <v/>
      </c>
      <c r="S274" s="114">
        <f>SUMIFS('PO Log'!$E:$E,'PO Log'!$D:$D,'Category Table'!S$2,'PO Log'!$C:$C,'Category Table'!$A274)</f>
        <v/>
      </c>
      <c r="T274" s="114">
        <f>SUMIFS('PO Log'!$E:$E,'PO Log'!$D:$D,'Category Table'!T$2,'PO Log'!$C:$C,'Category Table'!$A274)</f>
        <v/>
      </c>
      <c r="U274" s="113">
        <f>SUMIFS('Committments Dump'!$Q:$Q,'Committments Dump'!$C:$C,'Category Table'!U$2,'Committments Dump'!$B:$B,'Category Table'!$A274)</f>
        <v/>
      </c>
      <c r="V274" s="114">
        <f>SUMIFS('Committments Dump'!$Q:$Q,'Committments Dump'!$C:$C,'Category Table'!V$2,'Committments Dump'!$B:$B,'Category Table'!$A274)</f>
        <v/>
      </c>
      <c r="W274" s="114">
        <f>SUMIFS('Committments Dump'!$Q:$Q,'Committments Dump'!$C:$C,'Category Table'!W$2,'Committments Dump'!$B:$B,'Category Table'!$A274)</f>
        <v/>
      </c>
      <c r="X274" s="113">
        <f>SUMIFS('Committments Dump'!$R:$R,'Committments Dump'!$C:$C,'Category Table'!X$2,'Committments Dump'!$B:$B,'Category Table'!$A274)</f>
        <v/>
      </c>
      <c r="Y274" s="114">
        <f>SUMIFS('Committments Dump'!$R:$R,'Committments Dump'!$C:$C,'Category Table'!Y$2,'Committments Dump'!$B:$B,'Category Table'!$A274)</f>
        <v/>
      </c>
      <c r="Z274" s="114">
        <f>SUMIFS('Committments Dump'!$R:$R,'Committments Dump'!$C:$C,'Category Table'!Z$2,'Committments Dump'!$B:$B,'Category Table'!$A274)</f>
        <v/>
      </c>
      <c r="AA274" s="113">
        <f>SUMIFS('Committments Dump'!$S:$S,'Committments Dump'!$C:$C,'Category Table'!AA$2,'Committments Dump'!$B:$B,'Category Table'!$A274)</f>
        <v/>
      </c>
      <c r="AB274" s="114">
        <f>SUMIFS('Committments Dump'!$S:$S,'Committments Dump'!$C:$C,'Category Table'!AB$2,'Committments Dump'!$B:$B,'Category Table'!$A274)</f>
        <v/>
      </c>
      <c r="AC274" s="114">
        <f>SUMIFS('Committments Dump'!$S:$S,'Committments Dump'!$C:$C,'Category Table'!AC$2,'Committments Dump'!$B:$B,'Category Table'!$A274)</f>
        <v/>
      </c>
      <c r="AD274" s="113">
        <f>U274+X274+AA274</f>
        <v/>
      </c>
      <c r="AE274" s="114">
        <f>V274+Y274+AB274</f>
        <v/>
      </c>
      <c r="AF274" s="114">
        <f>W274+Z274+AC274</f>
        <v/>
      </c>
      <c r="AG274" s="113">
        <f>R274+AD274</f>
        <v/>
      </c>
      <c r="AH274" s="114">
        <f>S274+AE274</f>
        <v/>
      </c>
      <c r="AI274" s="114">
        <f>T274+AF274</f>
        <v/>
      </c>
      <c r="AJ274" s="113" t="n"/>
      <c r="AK274" s="114" t="n"/>
      <c r="AL274" s="114" t="n"/>
      <c r="AM274" s="113">
        <f>(O274-AG274)+AJ274</f>
        <v/>
      </c>
      <c r="AN274" s="114">
        <f>(P274-AH274)+AK274</f>
        <v/>
      </c>
      <c r="AO274" s="114">
        <f>(Q274-AI274)+AL274</f>
        <v/>
      </c>
      <c r="AP274" s="2">
        <f>IF(AM274&gt;0, "Under",IF(AM274&lt;0,"Over",""))</f>
        <v/>
      </c>
      <c r="AQ274" s="1">
        <f>IF(AN274&gt;0, "Under",IF(AN274&lt;0,"Over",""))</f>
        <v/>
      </c>
      <c r="AR274" s="1">
        <f>IF(AO274&gt;0, "Under",IF(AO274&lt;0,"Over",""))</f>
        <v/>
      </c>
      <c r="AS274" s="3" t="n"/>
    </row>
    <row r="275">
      <c r="A275" s="90" t="n"/>
      <c r="B275" s="90" t="n"/>
      <c r="C275" s="115" t="n"/>
      <c r="D275" s="116" t="n"/>
      <c r="E275" s="116" t="n"/>
      <c r="F275" s="115" t="n"/>
      <c r="G275" s="116" t="n"/>
      <c r="H275" s="116" t="n"/>
      <c r="I275" s="115" t="n"/>
      <c r="J275" s="116" t="n"/>
      <c r="K275" s="116" t="n"/>
      <c r="L275" s="115" t="n"/>
      <c r="M275" s="116" t="n"/>
      <c r="N275" s="116" t="n"/>
      <c r="O275" s="115">
        <f>L275+I275+F275+C275</f>
        <v/>
      </c>
      <c r="P275" s="116">
        <f>M275+J275+G275+D275</f>
        <v/>
      </c>
      <c r="Q275" s="116">
        <f>N275+K275+H275+E275</f>
        <v/>
      </c>
      <c r="R275" s="115">
        <f>SUMIFS('PO Log'!$E:$E,'PO Log'!$D:$D,'Category Table'!R$2,'PO Log'!$C:$C,'Category Table'!$A275)</f>
        <v/>
      </c>
      <c r="S275" s="116">
        <f>SUMIFS('PO Log'!$E:$E,'PO Log'!$D:$D,'Category Table'!S$2,'PO Log'!$C:$C,'Category Table'!$A275)</f>
        <v/>
      </c>
      <c r="T275" s="116">
        <f>SUMIFS('PO Log'!$E:$E,'PO Log'!$D:$D,'Category Table'!T$2,'PO Log'!$C:$C,'Category Table'!$A275)</f>
        <v/>
      </c>
      <c r="U275" s="115">
        <f>SUMIFS('Committments Dump'!$Q:$Q,'Committments Dump'!$C:$C,'Category Table'!U$2,'Committments Dump'!$B:$B,'Category Table'!$A275)</f>
        <v/>
      </c>
      <c r="V275" s="116">
        <f>SUMIFS('Committments Dump'!$Q:$Q,'Committments Dump'!$C:$C,'Category Table'!V$2,'Committments Dump'!$B:$B,'Category Table'!$A275)</f>
        <v/>
      </c>
      <c r="W275" s="116">
        <f>SUMIFS('Committments Dump'!$Q:$Q,'Committments Dump'!$C:$C,'Category Table'!W$2,'Committments Dump'!$B:$B,'Category Table'!$A275)</f>
        <v/>
      </c>
      <c r="X275" s="115">
        <f>SUMIFS('Committments Dump'!$R:$R,'Committments Dump'!$C:$C,'Category Table'!X$2,'Committments Dump'!$B:$B,'Category Table'!$A275)</f>
        <v/>
      </c>
      <c r="Y275" s="116">
        <f>SUMIFS('Committments Dump'!$R:$R,'Committments Dump'!$C:$C,'Category Table'!Y$2,'Committments Dump'!$B:$B,'Category Table'!$A275)</f>
        <v/>
      </c>
      <c r="Z275" s="116">
        <f>SUMIFS('Committments Dump'!$R:$R,'Committments Dump'!$C:$C,'Category Table'!Z$2,'Committments Dump'!$B:$B,'Category Table'!$A275)</f>
        <v/>
      </c>
      <c r="AA275" s="115">
        <f>SUMIFS('Committments Dump'!$S:$S,'Committments Dump'!$C:$C,'Category Table'!AA$2,'Committments Dump'!$B:$B,'Category Table'!$A275)</f>
        <v/>
      </c>
      <c r="AB275" s="116">
        <f>SUMIFS('Committments Dump'!$S:$S,'Committments Dump'!$C:$C,'Category Table'!AB$2,'Committments Dump'!$B:$B,'Category Table'!$A275)</f>
        <v/>
      </c>
      <c r="AC275" s="116">
        <f>SUMIFS('Committments Dump'!$S:$S,'Committments Dump'!$C:$C,'Category Table'!AC$2,'Committments Dump'!$B:$B,'Category Table'!$A275)</f>
        <v/>
      </c>
      <c r="AD275" s="115">
        <f>U275+X275+AA275</f>
        <v/>
      </c>
      <c r="AE275" s="116">
        <f>V275+Y275+AB275</f>
        <v/>
      </c>
      <c r="AF275" s="116">
        <f>W275+Z275+AC275</f>
        <v/>
      </c>
      <c r="AG275" s="115">
        <f>R275+AD275</f>
        <v/>
      </c>
      <c r="AH275" s="116">
        <f>S275+AE275</f>
        <v/>
      </c>
      <c r="AI275" s="116">
        <f>T275+AF275</f>
        <v/>
      </c>
      <c r="AJ275" s="115" t="n"/>
      <c r="AK275" s="116" t="n"/>
      <c r="AL275" s="116" t="n"/>
      <c r="AM275" s="115">
        <f>(O275-AG275)+AJ275</f>
        <v/>
      </c>
      <c r="AN275" s="116">
        <f>(P275-AH275)+AK275</f>
        <v/>
      </c>
      <c r="AO275" s="116">
        <f>(Q275-AI275)+AL275</f>
        <v/>
      </c>
      <c r="AP275" s="93">
        <f>IF(AM275&gt;0, "Under",IF(AM275&lt;0,"Over",""))</f>
        <v/>
      </c>
      <c r="AQ275" s="94">
        <f>IF(AN275&gt;0, "Under",IF(AN275&lt;0,"Over",""))</f>
        <v/>
      </c>
      <c r="AR275" s="94">
        <f>IF(AO275&gt;0, "Under",IF(AO275&lt;0,"Over",""))</f>
        <v/>
      </c>
      <c r="AS275" s="3" t="n"/>
    </row>
    <row r="276">
      <c r="C276" s="113" t="n"/>
      <c r="D276" s="114" t="n"/>
      <c r="E276" s="114" t="n"/>
      <c r="F276" s="113" t="n"/>
      <c r="G276" s="114" t="n"/>
      <c r="H276" s="114" t="n"/>
      <c r="I276" s="113" t="n"/>
      <c r="J276" s="114" t="n"/>
      <c r="K276" s="114" t="n"/>
      <c r="L276" s="113" t="n"/>
      <c r="M276" s="114" t="n"/>
      <c r="N276" s="114" t="n"/>
      <c r="O276" s="113">
        <f>L276+I276+F276+C276</f>
        <v/>
      </c>
      <c r="P276" s="114">
        <f>M276+J276+G276+D276</f>
        <v/>
      </c>
      <c r="Q276" s="114">
        <f>N276+K276+H276+E276</f>
        <v/>
      </c>
      <c r="R276" s="113">
        <f>SUMIFS('PO Log'!$E:$E,'PO Log'!$D:$D,'Category Table'!R$2,'PO Log'!$C:$C,'Category Table'!$A276)</f>
        <v/>
      </c>
      <c r="S276" s="114">
        <f>SUMIFS('PO Log'!$E:$E,'PO Log'!$D:$D,'Category Table'!S$2,'PO Log'!$C:$C,'Category Table'!$A276)</f>
        <v/>
      </c>
      <c r="T276" s="114">
        <f>SUMIFS('PO Log'!$E:$E,'PO Log'!$D:$D,'Category Table'!T$2,'PO Log'!$C:$C,'Category Table'!$A276)</f>
        <v/>
      </c>
      <c r="U276" s="113">
        <f>SUMIFS('Committments Dump'!$Q:$Q,'Committments Dump'!$C:$C,'Category Table'!U$2,'Committments Dump'!$B:$B,'Category Table'!$A276)</f>
        <v/>
      </c>
      <c r="V276" s="114">
        <f>SUMIFS('Committments Dump'!$Q:$Q,'Committments Dump'!$C:$C,'Category Table'!V$2,'Committments Dump'!$B:$B,'Category Table'!$A276)</f>
        <v/>
      </c>
      <c r="W276" s="114">
        <f>SUMIFS('Committments Dump'!$Q:$Q,'Committments Dump'!$C:$C,'Category Table'!W$2,'Committments Dump'!$B:$B,'Category Table'!$A276)</f>
        <v/>
      </c>
      <c r="X276" s="113">
        <f>SUMIFS('Committments Dump'!$R:$R,'Committments Dump'!$C:$C,'Category Table'!X$2,'Committments Dump'!$B:$B,'Category Table'!$A276)</f>
        <v/>
      </c>
      <c r="Y276" s="114">
        <f>SUMIFS('Committments Dump'!$R:$R,'Committments Dump'!$C:$C,'Category Table'!Y$2,'Committments Dump'!$B:$B,'Category Table'!$A276)</f>
        <v/>
      </c>
      <c r="Z276" s="114">
        <f>SUMIFS('Committments Dump'!$R:$R,'Committments Dump'!$C:$C,'Category Table'!Z$2,'Committments Dump'!$B:$B,'Category Table'!$A276)</f>
        <v/>
      </c>
      <c r="AA276" s="113">
        <f>SUMIFS('Committments Dump'!$S:$S,'Committments Dump'!$C:$C,'Category Table'!AA$2,'Committments Dump'!$B:$B,'Category Table'!$A276)</f>
        <v/>
      </c>
      <c r="AB276" s="114">
        <f>SUMIFS('Committments Dump'!$S:$S,'Committments Dump'!$C:$C,'Category Table'!AB$2,'Committments Dump'!$B:$B,'Category Table'!$A276)</f>
        <v/>
      </c>
      <c r="AC276" s="114">
        <f>SUMIFS('Committments Dump'!$S:$S,'Committments Dump'!$C:$C,'Category Table'!AC$2,'Committments Dump'!$B:$B,'Category Table'!$A276)</f>
        <v/>
      </c>
      <c r="AD276" s="113">
        <f>U276+X276+AA276</f>
        <v/>
      </c>
      <c r="AE276" s="114">
        <f>V276+Y276+AB276</f>
        <v/>
      </c>
      <c r="AF276" s="114">
        <f>W276+Z276+AC276</f>
        <v/>
      </c>
      <c r="AG276" s="113">
        <f>R276+AD276</f>
        <v/>
      </c>
      <c r="AH276" s="114">
        <f>S276+AE276</f>
        <v/>
      </c>
      <c r="AI276" s="114">
        <f>T276+AF276</f>
        <v/>
      </c>
      <c r="AJ276" s="113" t="n"/>
      <c r="AK276" s="114" t="n"/>
      <c r="AL276" s="114" t="n"/>
      <c r="AM276" s="113">
        <f>(O276-AG276)+AJ276</f>
        <v/>
      </c>
      <c r="AN276" s="114">
        <f>(P276-AH276)+AK276</f>
        <v/>
      </c>
      <c r="AO276" s="114">
        <f>(Q276-AI276)+AL276</f>
        <v/>
      </c>
      <c r="AP276" s="2">
        <f>IF(AM276&gt;0, "Under",IF(AM276&lt;0,"Over",""))</f>
        <v/>
      </c>
      <c r="AQ276" s="1">
        <f>IF(AN276&gt;0, "Under",IF(AN276&lt;0,"Over",""))</f>
        <v/>
      </c>
      <c r="AR276" s="1">
        <f>IF(AO276&gt;0, "Under",IF(AO276&lt;0,"Over",""))</f>
        <v/>
      </c>
      <c r="AS276" s="3" t="n"/>
    </row>
    <row r="277">
      <c r="A277" s="90" t="n"/>
      <c r="B277" s="90" t="n"/>
      <c r="C277" s="115" t="n"/>
      <c r="D277" s="116" t="n"/>
      <c r="E277" s="116" t="n"/>
      <c r="F277" s="115" t="n"/>
      <c r="G277" s="116" t="n"/>
      <c r="H277" s="116" t="n"/>
      <c r="I277" s="115" t="n"/>
      <c r="J277" s="116" t="n"/>
      <c r="K277" s="116" t="n"/>
      <c r="L277" s="115" t="n"/>
      <c r="M277" s="116" t="n"/>
      <c r="N277" s="116" t="n"/>
      <c r="O277" s="115">
        <f>L277+I277+F277+C277</f>
        <v/>
      </c>
      <c r="P277" s="116">
        <f>M277+J277+G277+D277</f>
        <v/>
      </c>
      <c r="Q277" s="116">
        <f>N277+K277+H277+E277</f>
        <v/>
      </c>
      <c r="R277" s="115">
        <f>SUMIFS('PO Log'!$E:$E,'PO Log'!$D:$D,'Category Table'!R$2,'PO Log'!$C:$C,'Category Table'!$A277)</f>
        <v/>
      </c>
      <c r="S277" s="116">
        <f>SUMIFS('PO Log'!$E:$E,'PO Log'!$D:$D,'Category Table'!S$2,'PO Log'!$C:$C,'Category Table'!$A277)</f>
        <v/>
      </c>
      <c r="T277" s="116">
        <f>SUMIFS('PO Log'!$E:$E,'PO Log'!$D:$D,'Category Table'!T$2,'PO Log'!$C:$C,'Category Table'!$A277)</f>
        <v/>
      </c>
      <c r="U277" s="115">
        <f>SUMIFS('Committments Dump'!$Q:$Q,'Committments Dump'!$C:$C,'Category Table'!U$2,'Committments Dump'!$B:$B,'Category Table'!$A277)</f>
        <v/>
      </c>
      <c r="V277" s="116">
        <f>SUMIFS('Committments Dump'!$Q:$Q,'Committments Dump'!$C:$C,'Category Table'!V$2,'Committments Dump'!$B:$B,'Category Table'!$A277)</f>
        <v/>
      </c>
      <c r="W277" s="116">
        <f>SUMIFS('Committments Dump'!$Q:$Q,'Committments Dump'!$C:$C,'Category Table'!W$2,'Committments Dump'!$B:$B,'Category Table'!$A277)</f>
        <v/>
      </c>
      <c r="X277" s="115">
        <f>SUMIFS('Committments Dump'!$R:$R,'Committments Dump'!$C:$C,'Category Table'!X$2,'Committments Dump'!$B:$B,'Category Table'!$A277)</f>
        <v/>
      </c>
      <c r="Y277" s="116">
        <f>SUMIFS('Committments Dump'!$R:$R,'Committments Dump'!$C:$C,'Category Table'!Y$2,'Committments Dump'!$B:$B,'Category Table'!$A277)</f>
        <v/>
      </c>
      <c r="Z277" s="116">
        <f>SUMIFS('Committments Dump'!$R:$R,'Committments Dump'!$C:$C,'Category Table'!Z$2,'Committments Dump'!$B:$B,'Category Table'!$A277)</f>
        <v/>
      </c>
      <c r="AA277" s="115">
        <f>SUMIFS('Committments Dump'!$S:$S,'Committments Dump'!$C:$C,'Category Table'!AA$2,'Committments Dump'!$B:$B,'Category Table'!$A277)</f>
        <v/>
      </c>
      <c r="AB277" s="116">
        <f>SUMIFS('Committments Dump'!$S:$S,'Committments Dump'!$C:$C,'Category Table'!AB$2,'Committments Dump'!$B:$B,'Category Table'!$A277)</f>
        <v/>
      </c>
      <c r="AC277" s="116">
        <f>SUMIFS('Committments Dump'!$S:$S,'Committments Dump'!$C:$C,'Category Table'!AC$2,'Committments Dump'!$B:$B,'Category Table'!$A277)</f>
        <v/>
      </c>
      <c r="AD277" s="115">
        <f>U277+X277+AA277</f>
        <v/>
      </c>
      <c r="AE277" s="116">
        <f>V277+Y277+AB277</f>
        <v/>
      </c>
      <c r="AF277" s="116">
        <f>W277+Z277+AC277</f>
        <v/>
      </c>
      <c r="AG277" s="115">
        <f>R277+AD277</f>
        <v/>
      </c>
      <c r="AH277" s="116">
        <f>S277+AE277</f>
        <v/>
      </c>
      <c r="AI277" s="116">
        <f>T277+AF277</f>
        <v/>
      </c>
      <c r="AJ277" s="115" t="n"/>
      <c r="AK277" s="116" t="n"/>
      <c r="AL277" s="116" t="n"/>
      <c r="AM277" s="115">
        <f>(O277-AG277)+AJ277</f>
        <v/>
      </c>
      <c r="AN277" s="116">
        <f>(P277-AH277)+AK277</f>
        <v/>
      </c>
      <c r="AO277" s="116">
        <f>(Q277-AI277)+AL277</f>
        <v/>
      </c>
      <c r="AP277" s="93">
        <f>IF(AM277&gt;0, "Under",IF(AM277&lt;0,"Over",""))</f>
        <v/>
      </c>
      <c r="AQ277" s="94">
        <f>IF(AN277&gt;0, "Under",IF(AN277&lt;0,"Over",""))</f>
        <v/>
      </c>
      <c r="AR277" s="94">
        <f>IF(AO277&gt;0, "Under",IF(AO277&lt;0,"Over",""))</f>
        <v/>
      </c>
      <c r="AS277" s="3" t="n"/>
    </row>
    <row r="278">
      <c r="C278" s="113" t="n"/>
      <c r="D278" s="114" t="n"/>
      <c r="E278" s="114" t="n"/>
      <c r="F278" s="113" t="n"/>
      <c r="G278" s="114" t="n"/>
      <c r="H278" s="114" t="n"/>
      <c r="I278" s="113" t="n"/>
      <c r="J278" s="114" t="n"/>
      <c r="K278" s="114" t="n"/>
      <c r="L278" s="113" t="n"/>
      <c r="M278" s="114" t="n"/>
      <c r="N278" s="114" t="n"/>
      <c r="O278" s="113">
        <f>L278+I278+F278+C278</f>
        <v/>
      </c>
      <c r="P278" s="114">
        <f>M278+J278+G278+D278</f>
        <v/>
      </c>
      <c r="Q278" s="114">
        <f>N278+K278+H278+E278</f>
        <v/>
      </c>
      <c r="R278" s="113">
        <f>SUMIFS('PO Log'!$E:$E,'PO Log'!$D:$D,'Category Table'!R$2,'PO Log'!$C:$C,'Category Table'!$A278)</f>
        <v/>
      </c>
      <c r="S278" s="114">
        <f>SUMIFS('PO Log'!$E:$E,'PO Log'!$D:$D,'Category Table'!S$2,'PO Log'!$C:$C,'Category Table'!$A278)</f>
        <v/>
      </c>
      <c r="T278" s="114">
        <f>SUMIFS('PO Log'!$E:$E,'PO Log'!$D:$D,'Category Table'!T$2,'PO Log'!$C:$C,'Category Table'!$A278)</f>
        <v/>
      </c>
      <c r="U278" s="113">
        <f>SUMIFS('Committments Dump'!$Q:$Q,'Committments Dump'!$C:$C,'Category Table'!U$2,'Committments Dump'!$B:$B,'Category Table'!$A278)</f>
        <v/>
      </c>
      <c r="V278" s="114">
        <f>SUMIFS('Committments Dump'!$Q:$Q,'Committments Dump'!$C:$C,'Category Table'!V$2,'Committments Dump'!$B:$B,'Category Table'!$A278)</f>
        <v/>
      </c>
      <c r="W278" s="114">
        <f>SUMIFS('Committments Dump'!$Q:$Q,'Committments Dump'!$C:$C,'Category Table'!W$2,'Committments Dump'!$B:$B,'Category Table'!$A278)</f>
        <v/>
      </c>
      <c r="X278" s="113">
        <f>SUMIFS('Committments Dump'!$R:$R,'Committments Dump'!$C:$C,'Category Table'!X$2,'Committments Dump'!$B:$B,'Category Table'!$A278)</f>
        <v/>
      </c>
      <c r="Y278" s="114">
        <f>SUMIFS('Committments Dump'!$R:$R,'Committments Dump'!$C:$C,'Category Table'!Y$2,'Committments Dump'!$B:$B,'Category Table'!$A278)</f>
        <v/>
      </c>
      <c r="Z278" s="114">
        <f>SUMIFS('Committments Dump'!$R:$R,'Committments Dump'!$C:$C,'Category Table'!Z$2,'Committments Dump'!$B:$B,'Category Table'!$A278)</f>
        <v/>
      </c>
      <c r="AA278" s="113">
        <f>SUMIFS('Committments Dump'!$S:$S,'Committments Dump'!$C:$C,'Category Table'!AA$2,'Committments Dump'!$B:$B,'Category Table'!$A278)</f>
        <v/>
      </c>
      <c r="AB278" s="114">
        <f>SUMIFS('Committments Dump'!$S:$S,'Committments Dump'!$C:$C,'Category Table'!AB$2,'Committments Dump'!$B:$B,'Category Table'!$A278)</f>
        <v/>
      </c>
      <c r="AC278" s="114">
        <f>SUMIFS('Committments Dump'!$S:$S,'Committments Dump'!$C:$C,'Category Table'!AC$2,'Committments Dump'!$B:$B,'Category Table'!$A278)</f>
        <v/>
      </c>
      <c r="AD278" s="113">
        <f>U278+X278+AA278</f>
        <v/>
      </c>
      <c r="AE278" s="114">
        <f>V278+Y278+AB278</f>
        <v/>
      </c>
      <c r="AF278" s="114">
        <f>W278+Z278+AC278</f>
        <v/>
      </c>
      <c r="AG278" s="113">
        <f>R278+AD278</f>
        <v/>
      </c>
      <c r="AH278" s="114">
        <f>S278+AE278</f>
        <v/>
      </c>
      <c r="AI278" s="114">
        <f>T278+AF278</f>
        <v/>
      </c>
      <c r="AJ278" s="113" t="n"/>
      <c r="AK278" s="114" t="n"/>
      <c r="AL278" s="114" t="n"/>
      <c r="AM278" s="113">
        <f>(O278-AG278)+AJ278</f>
        <v/>
      </c>
      <c r="AN278" s="114">
        <f>(P278-AH278)+AK278</f>
        <v/>
      </c>
      <c r="AO278" s="114">
        <f>(Q278-AI278)+AL278</f>
        <v/>
      </c>
      <c r="AP278" s="2">
        <f>IF(AM278&gt;0, "Under",IF(AM278&lt;0,"Over",""))</f>
        <v/>
      </c>
      <c r="AQ278" s="1">
        <f>IF(AN278&gt;0, "Under",IF(AN278&lt;0,"Over",""))</f>
        <v/>
      </c>
      <c r="AR278" s="1">
        <f>IF(AO278&gt;0, "Under",IF(AO278&lt;0,"Over",""))</f>
        <v/>
      </c>
      <c r="AS278" s="3" t="n"/>
    </row>
    <row r="279">
      <c r="A279" s="90" t="n"/>
      <c r="B279" s="90" t="n"/>
      <c r="C279" s="115" t="n"/>
      <c r="D279" s="116" t="n"/>
      <c r="E279" s="116" t="n"/>
      <c r="F279" s="115" t="n"/>
      <c r="G279" s="116" t="n"/>
      <c r="H279" s="116" t="n"/>
      <c r="I279" s="115" t="n"/>
      <c r="J279" s="116" t="n"/>
      <c r="K279" s="116" t="n"/>
      <c r="L279" s="115" t="n"/>
      <c r="M279" s="116" t="n"/>
      <c r="N279" s="116" t="n"/>
      <c r="O279" s="115">
        <f>L279+I279+F279+C279</f>
        <v/>
      </c>
      <c r="P279" s="116">
        <f>M279+J279+G279+D279</f>
        <v/>
      </c>
      <c r="Q279" s="116">
        <f>N279+K279+H279+E279</f>
        <v/>
      </c>
      <c r="R279" s="115">
        <f>SUMIFS('PO Log'!$E:$E,'PO Log'!$D:$D,'Category Table'!R$2,'PO Log'!$C:$C,'Category Table'!$A279)</f>
        <v/>
      </c>
      <c r="S279" s="116">
        <f>SUMIFS('PO Log'!$E:$E,'PO Log'!$D:$D,'Category Table'!S$2,'PO Log'!$C:$C,'Category Table'!$A279)</f>
        <v/>
      </c>
      <c r="T279" s="116">
        <f>SUMIFS('PO Log'!$E:$E,'PO Log'!$D:$D,'Category Table'!T$2,'PO Log'!$C:$C,'Category Table'!$A279)</f>
        <v/>
      </c>
      <c r="U279" s="115">
        <f>SUMIFS('Committments Dump'!$Q:$Q,'Committments Dump'!$C:$C,'Category Table'!U$2,'Committments Dump'!$B:$B,'Category Table'!$A279)</f>
        <v/>
      </c>
      <c r="V279" s="116">
        <f>SUMIFS('Committments Dump'!$Q:$Q,'Committments Dump'!$C:$C,'Category Table'!V$2,'Committments Dump'!$B:$B,'Category Table'!$A279)</f>
        <v/>
      </c>
      <c r="W279" s="116">
        <f>SUMIFS('Committments Dump'!$Q:$Q,'Committments Dump'!$C:$C,'Category Table'!W$2,'Committments Dump'!$B:$B,'Category Table'!$A279)</f>
        <v/>
      </c>
      <c r="X279" s="115">
        <f>SUMIFS('Committments Dump'!$R:$R,'Committments Dump'!$C:$C,'Category Table'!X$2,'Committments Dump'!$B:$B,'Category Table'!$A279)</f>
        <v/>
      </c>
      <c r="Y279" s="116">
        <f>SUMIFS('Committments Dump'!$R:$R,'Committments Dump'!$C:$C,'Category Table'!Y$2,'Committments Dump'!$B:$B,'Category Table'!$A279)</f>
        <v/>
      </c>
      <c r="Z279" s="116">
        <f>SUMIFS('Committments Dump'!$R:$R,'Committments Dump'!$C:$C,'Category Table'!Z$2,'Committments Dump'!$B:$B,'Category Table'!$A279)</f>
        <v/>
      </c>
      <c r="AA279" s="115">
        <f>SUMIFS('Committments Dump'!$S:$S,'Committments Dump'!$C:$C,'Category Table'!AA$2,'Committments Dump'!$B:$B,'Category Table'!$A279)</f>
        <v/>
      </c>
      <c r="AB279" s="116">
        <f>SUMIFS('Committments Dump'!$S:$S,'Committments Dump'!$C:$C,'Category Table'!AB$2,'Committments Dump'!$B:$B,'Category Table'!$A279)</f>
        <v/>
      </c>
      <c r="AC279" s="116">
        <f>SUMIFS('Committments Dump'!$S:$S,'Committments Dump'!$C:$C,'Category Table'!AC$2,'Committments Dump'!$B:$B,'Category Table'!$A279)</f>
        <v/>
      </c>
      <c r="AD279" s="115">
        <f>U279+X279+AA279</f>
        <v/>
      </c>
      <c r="AE279" s="116">
        <f>V279+Y279+AB279</f>
        <v/>
      </c>
      <c r="AF279" s="116">
        <f>W279+Z279+AC279</f>
        <v/>
      </c>
      <c r="AG279" s="115">
        <f>R279+AD279</f>
        <v/>
      </c>
      <c r="AH279" s="116">
        <f>S279+AE279</f>
        <v/>
      </c>
      <c r="AI279" s="116">
        <f>T279+AF279</f>
        <v/>
      </c>
      <c r="AJ279" s="115" t="n"/>
      <c r="AK279" s="116" t="n"/>
      <c r="AL279" s="116" t="n"/>
      <c r="AM279" s="115">
        <f>(O279-AG279)+AJ279</f>
        <v/>
      </c>
      <c r="AN279" s="116">
        <f>(P279-AH279)+AK279</f>
        <v/>
      </c>
      <c r="AO279" s="116">
        <f>(Q279-AI279)+AL279</f>
        <v/>
      </c>
      <c r="AP279" s="93">
        <f>IF(AM279&gt;0, "Under",IF(AM279&lt;0,"Over",""))</f>
        <v/>
      </c>
      <c r="AQ279" s="94">
        <f>IF(AN279&gt;0, "Under",IF(AN279&lt;0,"Over",""))</f>
        <v/>
      </c>
      <c r="AR279" s="94">
        <f>IF(AO279&gt;0, "Under",IF(AO279&lt;0,"Over",""))</f>
        <v/>
      </c>
      <c r="AS279" s="3" t="n"/>
    </row>
    <row r="280">
      <c r="C280" s="113" t="n"/>
      <c r="D280" s="114" t="n"/>
      <c r="E280" s="114" t="n"/>
      <c r="F280" s="113" t="n"/>
      <c r="G280" s="114" t="n"/>
      <c r="H280" s="114" t="n"/>
      <c r="I280" s="113" t="n"/>
      <c r="J280" s="114" t="n"/>
      <c r="K280" s="114" t="n"/>
      <c r="L280" s="113" t="n"/>
      <c r="M280" s="114" t="n"/>
      <c r="N280" s="114" t="n"/>
      <c r="O280" s="113">
        <f>L280+I280+F280+C280</f>
        <v/>
      </c>
      <c r="P280" s="114">
        <f>M280+J280+G280+D280</f>
        <v/>
      </c>
      <c r="Q280" s="114">
        <f>N280+K280+H280+E280</f>
        <v/>
      </c>
      <c r="R280" s="113">
        <f>SUMIFS('PO Log'!$E:$E,'PO Log'!$D:$D,'Category Table'!R$2,'PO Log'!$C:$C,'Category Table'!$A280)</f>
        <v/>
      </c>
      <c r="S280" s="114">
        <f>SUMIFS('PO Log'!$E:$E,'PO Log'!$D:$D,'Category Table'!S$2,'PO Log'!$C:$C,'Category Table'!$A280)</f>
        <v/>
      </c>
      <c r="T280" s="114">
        <f>SUMIFS('PO Log'!$E:$E,'PO Log'!$D:$D,'Category Table'!T$2,'PO Log'!$C:$C,'Category Table'!$A280)</f>
        <v/>
      </c>
      <c r="U280" s="113">
        <f>SUMIFS('Committments Dump'!$Q:$Q,'Committments Dump'!$C:$C,'Category Table'!U$2,'Committments Dump'!$B:$B,'Category Table'!$A280)</f>
        <v/>
      </c>
      <c r="V280" s="114">
        <f>SUMIFS('Committments Dump'!$Q:$Q,'Committments Dump'!$C:$C,'Category Table'!V$2,'Committments Dump'!$B:$B,'Category Table'!$A280)</f>
        <v/>
      </c>
      <c r="W280" s="114">
        <f>SUMIFS('Committments Dump'!$Q:$Q,'Committments Dump'!$C:$C,'Category Table'!W$2,'Committments Dump'!$B:$B,'Category Table'!$A280)</f>
        <v/>
      </c>
      <c r="X280" s="113">
        <f>SUMIFS('Committments Dump'!$R:$R,'Committments Dump'!$C:$C,'Category Table'!X$2,'Committments Dump'!$B:$B,'Category Table'!$A280)</f>
        <v/>
      </c>
      <c r="Y280" s="114">
        <f>SUMIFS('Committments Dump'!$R:$R,'Committments Dump'!$C:$C,'Category Table'!Y$2,'Committments Dump'!$B:$B,'Category Table'!$A280)</f>
        <v/>
      </c>
      <c r="Z280" s="114">
        <f>SUMIFS('Committments Dump'!$R:$R,'Committments Dump'!$C:$C,'Category Table'!Z$2,'Committments Dump'!$B:$B,'Category Table'!$A280)</f>
        <v/>
      </c>
      <c r="AA280" s="113">
        <f>SUMIFS('Committments Dump'!$S:$S,'Committments Dump'!$C:$C,'Category Table'!AA$2,'Committments Dump'!$B:$B,'Category Table'!$A280)</f>
        <v/>
      </c>
      <c r="AB280" s="114">
        <f>SUMIFS('Committments Dump'!$S:$S,'Committments Dump'!$C:$C,'Category Table'!AB$2,'Committments Dump'!$B:$B,'Category Table'!$A280)</f>
        <v/>
      </c>
      <c r="AC280" s="114">
        <f>SUMIFS('Committments Dump'!$S:$S,'Committments Dump'!$C:$C,'Category Table'!AC$2,'Committments Dump'!$B:$B,'Category Table'!$A280)</f>
        <v/>
      </c>
      <c r="AD280" s="113">
        <f>U280+X280+AA280</f>
        <v/>
      </c>
      <c r="AE280" s="114">
        <f>V280+Y280+AB280</f>
        <v/>
      </c>
      <c r="AF280" s="114">
        <f>W280+Z280+AC280</f>
        <v/>
      </c>
      <c r="AG280" s="113">
        <f>R280+AD280</f>
        <v/>
      </c>
      <c r="AH280" s="114">
        <f>S280+AE280</f>
        <v/>
      </c>
      <c r="AI280" s="114">
        <f>T280+AF280</f>
        <v/>
      </c>
      <c r="AJ280" s="113" t="n"/>
      <c r="AK280" s="114" t="n"/>
      <c r="AL280" s="114" t="n"/>
      <c r="AM280" s="113">
        <f>(O280-AG280)+AJ280</f>
        <v/>
      </c>
      <c r="AN280" s="114">
        <f>(P280-AH280)+AK280</f>
        <v/>
      </c>
      <c r="AO280" s="114">
        <f>(Q280-AI280)+AL280</f>
        <v/>
      </c>
      <c r="AP280" s="2">
        <f>IF(AM280&gt;0, "Under",IF(AM280&lt;0,"Over",""))</f>
        <v/>
      </c>
      <c r="AQ280" s="1">
        <f>IF(AN280&gt;0, "Under",IF(AN280&lt;0,"Over",""))</f>
        <v/>
      </c>
      <c r="AR280" s="1">
        <f>IF(AO280&gt;0, "Under",IF(AO280&lt;0,"Over",""))</f>
        <v/>
      </c>
      <c r="AS280" s="3" t="n"/>
    </row>
    <row r="281">
      <c r="A281" s="90" t="n"/>
      <c r="B281" s="90" t="n"/>
      <c r="C281" s="115" t="n"/>
      <c r="D281" s="116" t="n"/>
      <c r="E281" s="116" t="n"/>
      <c r="F281" s="115" t="n"/>
      <c r="G281" s="116" t="n"/>
      <c r="H281" s="116" t="n"/>
      <c r="I281" s="115" t="n"/>
      <c r="J281" s="116" t="n"/>
      <c r="K281" s="116" t="n"/>
      <c r="L281" s="115" t="n"/>
      <c r="M281" s="116" t="n"/>
      <c r="N281" s="116" t="n"/>
      <c r="O281" s="115">
        <f>L281+I281+F281+C281</f>
        <v/>
      </c>
      <c r="P281" s="116">
        <f>M281+J281+G281+D281</f>
        <v/>
      </c>
      <c r="Q281" s="116">
        <f>N281+K281+H281+E281</f>
        <v/>
      </c>
      <c r="R281" s="115">
        <f>SUMIFS('PO Log'!$E:$E,'PO Log'!$D:$D,'Category Table'!R$2,'PO Log'!$C:$C,'Category Table'!$A281)</f>
        <v/>
      </c>
      <c r="S281" s="116">
        <f>SUMIFS('PO Log'!$E:$E,'PO Log'!$D:$D,'Category Table'!S$2,'PO Log'!$C:$C,'Category Table'!$A281)</f>
        <v/>
      </c>
      <c r="T281" s="116">
        <f>SUMIFS('PO Log'!$E:$E,'PO Log'!$D:$D,'Category Table'!T$2,'PO Log'!$C:$C,'Category Table'!$A281)</f>
        <v/>
      </c>
      <c r="U281" s="115">
        <f>SUMIFS('Committments Dump'!$Q:$Q,'Committments Dump'!$C:$C,'Category Table'!U$2,'Committments Dump'!$B:$B,'Category Table'!$A281)</f>
        <v/>
      </c>
      <c r="V281" s="116">
        <f>SUMIFS('Committments Dump'!$Q:$Q,'Committments Dump'!$C:$C,'Category Table'!V$2,'Committments Dump'!$B:$B,'Category Table'!$A281)</f>
        <v/>
      </c>
      <c r="W281" s="116">
        <f>SUMIFS('Committments Dump'!$Q:$Q,'Committments Dump'!$C:$C,'Category Table'!W$2,'Committments Dump'!$B:$B,'Category Table'!$A281)</f>
        <v/>
      </c>
      <c r="X281" s="115">
        <f>SUMIFS('Committments Dump'!$R:$R,'Committments Dump'!$C:$C,'Category Table'!X$2,'Committments Dump'!$B:$B,'Category Table'!$A281)</f>
        <v/>
      </c>
      <c r="Y281" s="116">
        <f>SUMIFS('Committments Dump'!$R:$R,'Committments Dump'!$C:$C,'Category Table'!Y$2,'Committments Dump'!$B:$B,'Category Table'!$A281)</f>
        <v/>
      </c>
      <c r="Z281" s="116">
        <f>SUMIFS('Committments Dump'!$R:$R,'Committments Dump'!$C:$C,'Category Table'!Z$2,'Committments Dump'!$B:$B,'Category Table'!$A281)</f>
        <v/>
      </c>
      <c r="AA281" s="115">
        <f>SUMIFS('Committments Dump'!$S:$S,'Committments Dump'!$C:$C,'Category Table'!AA$2,'Committments Dump'!$B:$B,'Category Table'!$A281)</f>
        <v/>
      </c>
      <c r="AB281" s="116">
        <f>SUMIFS('Committments Dump'!$S:$S,'Committments Dump'!$C:$C,'Category Table'!AB$2,'Committments Dump'!$B:$B,'Category Table'!$A281)</f>
        <v/>
      </c>
      <c r="AC281" s="116">
        <f>SUMIFS('Committments Dump'!$S:$S,'Committments Dump'!$C:$C,'Category Table'!AC$2,'Committments Dump'!$B:$B,'Category Table'!$A281)</f>
        <v/>
      </c>
      <c r="AD281" s="115">
        <f>U281+X281+AA281</f>
        <v/>
      </c>
      <c r="AE281" s="116">
        <f>V281+Y281+AB281</f>
        <v/>
      </c>
      <c r="AF281" s="116">
        <f>W281+Z281+AC281</f>
        <v/>
      </c>
      <c r="AG281" s="115">
        <f>R281+AD281</f>
        <v/>
      </c>
      <c r="AH281" s="116">
        <f>S281+AE281</f>
        <v/>
      </c>
      <c r="AI281" s="116">
        <f>T281+AF281</f>
        <v/>
      </c>
      <c r="AJ281" s="115" t="n"/>
      <c r="AK281" s="116" t="n"/>
      <c r="AL281" s="116" t="n"/>
      <c r="AM281" s="115">
        <f>(O281-AG281)+AJ281</f>
        <v/>
      </c>
      <c r="AN281" s="116">
        <f>(P281-AH281)+AK281</f>
        <v/>
      </c>
      <c r="AO281" s="116">
        <f>(Q281-AI281)+AL281</f>
        <v/>
      </c>
      <c r="AP281" s="93">
        <f>IF(AM281&gt;0, "Under",IF(AM281&lt;0,"Over",""))</f>
        <v/>
      </c>
      <c r="AQ281" s="94">
        <f>IF(AN281&gt;0, "Under",IF(AN281&lt;0,"Over",""))</f>
        <v/>
      </c>
      <c r="AR281" s="94">
        <f>IF(AO281&gt;0, "Under",IF(AO281&lt;0,"Over",""))</f>
        <v/>
      </c>
      <c r="AS281" s="3" t="n"/>
    </row>
    <row r="282">
      <c r="C282" s="113" t="n"/>
      <c r="D282" s="114" t="n"/>
      <c r="E282" s="114" t="n"/>
      <c r="F282" s="113" t="n"/>
      <c r="G282" s="114" t="n"/>
      <c r="H282" s="114" t="n"/>
      <c r="I282" s="113" t="n"/>
      <c r="J282" s="114" t="n"/>
      <c r="K282" s="114" t="n"/>
      <c r="L282" s="113" t="n"/>
      <c r="M282" s="114" t="n"/>
      <c r="N282" s="114" t="n"/>
      <c r="O282" s="113">
        <f>L282+I282+F282+C282</f>
        <v/>
      </c>
      <c r="P282" s="114">
        <f>M282+J282+G282+D282</f>
        <v/>
      </c>
      <c r="Q282" s="114">
        <f>N282+K282+H282+E282</f>
        <v/>
      </c>
      <c r="R282" s="113">
        <f>SUMIFS('PO Log'!$E:$E,'PO Log'!$D:$D,'Category Table'!R$2,'PO Log'!$C:$C,'Category Table'!$A282)</f>
        <v/>
      </c>
      <c r="S282" s="114">
        <f>SUMIFS('PO Log'!$E:$E,'PO Log'!$D:$D,'Category Table'!S$2,'PO Log'!$C:$C,'Category Table'!$A282)</f>
        <v/>
      </c>
      <c r="T282" s="114">
        <f>SUMIFS('PO Log'!$E:$E,'PO Log'!$D:$D,'Category Table'!T$2,'PO Log'!$C:$C,'Category Table'!$A282)</f>
        <v/>
      </c>
      <c r="U282" s="113">
        <f>SUMIFS('Committments Dump'!$Q:$Q,'Committments Dump'!$C:$C,'Category Table'!U$2,'Committments Dump'!$B:$B,'Category Table'!$A282)</f>
        <v/>
      </c>
      <c r="V282" s="114">
        <f>SUMIFS('Committments Dump'!$Q:$Q,'Committments Dump'!$C:$C,'Category Table'!V$2,'Committments Dump'!$B:$B,'Category Table'!$A282)</f>
        <v/>
      </c>
      <c r="W282" s="114">
        <f>SUMIFS('Committments Dump'!$Q:$Q,'Committments Dump'!$C:$C,'Category Table'!W$2,'Committments Dump'!$B:$B,'Category Table'!$A282)</f>
        <v/>
      </c>
      <c r="X282" s="113">
        <f>SUMIFS('Committments Dump'!$R:$R,'Committments Dump'!$C:$C,'Category Table'!X$2,'Committments Dump'!$B:$B,'Category Table'!$A282)</f>
        <v/>
      </c>
      <c r="Y282" s="114">
        <f>SUMIFS('Committments Dump'!$R:$R,'Committments Dump'!$C:$C,'Category Table'!Y$2,'Committments Dump'!$B:$B,'Category Table'!$A282)</f>
        <v/>
      </c>
      <c r="Z282" s="114">
        <f>SUMIFS('Committments Dump'!$R:$R,'Committments Dump'!$C:$C,'Category Table'!Z$2,'Committments Dump'!$B:$B,'Category Table'!$A282)</f>
        <v/>
      </c>
      <c r="AA282" s="113">
        <f>SUMIFS('Committments Dump'!$S:$S,'Committments Dump'!$C:$C,'Category Table'!AA$2,'Committments Dump'!$B:$B,'Category Table'!$A282)</f>
        <v/>
      </c>
      <c r="AB282" s="114">
        <f>SUMIFS('Committments Dump'!$S:$S,'Committments Dump'!$C:$C,'Category Table'!AB$2,'Committments Dump'!$B:$B,'Category Table'!$A282)</f>
        <v/>
      </c>
      <c r="AC282" s="114">
        <f>SUMIFS('Committments Dump'!$S:$S,'Committments Dump'!$C:$C,'Category Table'!AC$2,'Committments Dump'!$B:$B,'Category Table'!$A282)</f>
        <v/>
      </c>
      <c r="AD282" s="113">
        <f>U282+X282+AA282</f>
        <v/>
      </c>
      <c r="AE282" s="114">
        <f>V282+Y282+AB282</f>
        <v/>
      </c>
      <c r="AF282" s="114">
        <f>W282+Z282+AC282</f>
        <v/>
      </c>
      <c r="AG282" s="113">
        <f>R282+AD282</f>
        <v/>
      </c>
      <c r="AH282" s="114">
        <f>S282+AE282</f>
        <v/>
      </c>
      <c r="AI282" s="114">
        <f>T282+AF282</f>
        <v/>
      </c>
      <c r="AJ282" s="113" t="n"/>
      <c r="AK282" s="114" t="n"/>
      <c r="AL282" s="114" t="n"/>
      <c r="AM282" s="113">
        <f>(O282-AG282)+AJ282</f>
        <v/>
      </c>
      <c r="AN282" s="114">
        <f>(P282-AH282)+AK282</f>
        <v/>
      </c>
      <c r="AO282" s="114">
        <f>(Q282-AI282)+AL282</f>
        <v/>
      </c>
      <c r="AP282" s="2">
        <f>IF(AM282&gt;0, "Under",IF(AM282&lt;0,"Over",""))</f>
        <v/>
      </c>
      <c r="AQ282" s="1">
        <f>IF(AN282&gt;0, "Under",IF(AN282&lt;0,"Over",""))</f>
        <v/>
      </c>
      <c r="AR282" s="1">
        <f>IF(AO282&gt;0, "Under",IF(AO282&lt;0,"Over",""))</f>
        <v/>
      </c>
      <c r="AS282" s="3" t="n"/>
    </row>
    <row r="283">
      <c r="A283" s="90" t="n"/>
      <c r="B283" s="90" t="n"/>
      <c r="C283" s="115" t="n"/>
      <c r="D283" s="116" t="n"/>
      <c r="E283" s="116" t="n"/>
      <c r="F283" s="115" t="n"/>
      <c r="G283" s="116" t="n"/>
      <c r="H283" s="116" t="n"/>
      <c r="I283" s="115" t="n"/>
      <c r="J283" s="116" t="n"/>
      <c r="K283" s="116" t="n"/>
      <c r="L283" s="115" t="n"/>
      <c r="M283" s="116" t="n"/>
      <c r="N283" s="116" t="n"/>
      <c r="O283" s="115">
        <f>L283+I283+F283+C283</f>
        <v/>
      </c>
      <c r="P283" s="116">
        <f>M283+J283+G283+D283</f>
        <v/>
      </c>
      <c r="Q283" s="116">
        <f>N283+K283+H283+E283</f>
        <v/>
      </c>
      <c r="R283" s="115">
        <f>SUMIFS('PO Log'!$E:$E,'PO Log'!$D:$D,'Category Table'!R$2,'PO Log'!$C:$C,'Category Table'!$A283)</f>
        <v/>
      </c>
      <c r="S283" s="116">
        <f>SUMIFS('PO Log'!$E:$E,'PO Log'!$D:$D,'Category Table'!S$2,'PO Log'!$C:$C,'Category Table'!$A283)</f>
        <v/>
      </c>
      <c r="T283" s="116">
        <f>SUMIFS('PO Log'!$E:$E,'PO Log'!$D:$D,'Category Table'!T$2,'PO Log'!$C:$C,'Category Table'!$A283)</f>
        <v/>
      </c>
      <c r="U283" s="115">
        <f>SUMIFS('Committments Dump'!$Q:$Q,'Committments Dump'!$C:$C,'Category Table'!U$2,'Committments Dump'!$B:$B,'Category Table'!$A283)</f>
        <v/>
      </c>
      <c r="V283" s="116">
        <f>SUMIFS('Committments Dump'!$Q:$Q,'Committments Dump'!$C:$C,'Category Table'!V$2,'Committments Dump'!$B:$B,'Category Table'!$A283)</f>
        <v/>
      </c>
      <c r="W283" s="116">
        <f>SUMIFS('Committments Dump'!$Q:$Q,'Committments Dump'!$C:$C,'Category Table'!W$2,'Committments Dump'!$B:$B,'Category Table'!$A283)</f>
        <v/>
      </c>
      <c r="X283" s="115">
        <f>SUMIFS('Committments Dump'!$R:$R,'Committments Dump'!$C:$C,'Category Table'!X$2,'Committments Dump'!$B:$B,'Category Table'!$A283)</f>
        <v/>
      </c>
      <c r="Y283" s="116">
        <f>SUMIFS('Committments Dump'!$R:$R,'Committments Dump'!$C:$C,'Category Table'!Y$2,'Committments Dump'!$B:$B,'Category Table'!$A283)</f>
        <v/>
      </c>
      <c r="Z283" s="116">
        <f>SUMIFS('Committments Dump'!$R:$R,'Committments Dump'!$C:$C,'Category Table'!Z$2,'Committments Dump'!$B:$B,'Category Table'!$A283)</f>
        <v/>
      </c>
      <c r="AA283" s="115">
        <f>SUMIFS('Committments Dump'!$S:$S,'Committments Dump'!$C:$C,'Category Table'!AA$2,'Committments Dump'!$B:$B,'Category Table'!$A283)</f>
        <v/>
      </c>
      <c r="AB283" s="116">
        <f>SUMIFS('Committments Dump'!$S:$S,'Committments Dump'!$C:$C,'Category Table'!AB$2,'Committments Dump'!$B:$B,'Category Table'!$A283)</f>
        <v/>
      </c>
      <c r="AC283" s="116">
        <f>SUMIFS('Committments Dump'!$S:$S,'Committments Dump'!$C:$C,'Category Table'!AC$2,'Committments Dump'!$B:$B,'Category Table'!$A283)</f>
        <v/>
      </c>
      <c r="AD283" s="115">
        <f>U283+X283+AA283</f>
        <v/>
      </c>
      <c r="AE283" s="116">
        <f>V283+Y283+AB283</f>
        <v/>
      </c>
      <c r="AF283" s="116">
        <f>W283+Z283+AC283</f>
        <v/>
      </c>
      <c r="AG283" s="115">
        <f>R283+AD283</f>
        <v/>
      </c>
      <c r="AH283" s="116">
        <f>S283+AE283</f>
        <v/>
      </c>
      <c r="AI283" s="116">
        <f>T283+AF283</f>
        <v/>
      </c>
      <c r="AJ283" s="115" t="n"/>
      <c r="AK283" s="116" t="n"/>
      <c r="AL283" s="116" t="n"/>
      <c r="AM283" s="115">
        <f>(O283-AG283)+AJ283</f>
        <v/>
      </c>
      <c r="AN283" s="116">
        <f>(P283-AH283)+AK283</f>
        <v/>
      </c>
      <c r="AO283" s="116">
        <f>(Q283-AI283)+AL283</f>
        <v/>
      </c>
      <c r="AP283" s="93">
        <f>IF(AM283&gt;0, "Under",IF(AM283&lt;0,"Over",""))</f>
        <v/>
      </c>
      <c r="AQ283" s="94">
        <f>IF(AN283&gt;0, "Under",IF(AN283&lt;0,"Over",""))</f>
        <v/>
      </c>
      <c r="AR283" s="94">
        <f>IF(AO283&gt;0, "Under",IF(AO283&lt;0,"Over",""))</f>
        <v/>
      </c>
      <c r="AS283" s="3" t="n"/>
    </row>
    <row r="284">
      <c r="C284" s="113" t="n"/>
      <c r="D284" s="114" t="n"/>
      <c r="E284" s="114" t="n"/>
      <c r="F284" s="113" t="n"/>
      <c r="G284" s="114" t="n"/>
      <c r="H284" s="114" t="n"/>
      <c r="I284" s="113" t="n"/>
      <c r="J284" s="114" t="n"/>
      <c r="K284" s="114" t="n"/>
      <c r="L284" s="113" t="n"/>
      <c r="M284" s="114" t="n"/>
      <c r="N284" s="114" t="n"/>
      <c r="O284" s="113">
        <f>L284+I284+F284+C284</f>
        <v/>
      </c>
      <c r="P284" s="114">
        <f>M284+J284+G284+D284</f>
        <v/>
      </c>
      <c r="Q284" s="114">
        <f>N284+K284+H284+E284</f>
        <v/>
      </c>
      <c r="R284" s="113">
        <f>SUMIFS('PO Log'!$E:$E,'PO Log'!$D:$D,'Category Table'!R$2,'PO Log'!$C:$C,'Category Table'!$A284)</f>
        <v/>
      </c>
      <c r="S284" s="114">
        <f>SUMIFS('PO Log'!$E:$E,'PO Log'!$D:$D,'Category Table'!S$2,'PO Log'!$C:$C,'Category Table'!$A284)</f>
        <v/>
      </c>
      <c r="T284" s="114">
        <f>SUMIFS('PO Log'!$E:$E,'PO Log'!$D:$D,'Category Table'!T$2,'PO Log'!$C:$C,'Category Table'!$A284)</f>
        <v/>
      </c>
      <c r="U284" s="113">
        <f>SUMIFS('Committments Dump'!$Q:$Q,'Committments Dump'!$C:$C,'Category Table'!U$2,'Committments Dump'!$B:$B,'Category Table'!$A284)</f>
        <v/>
      </c>
      <c r="V284" s="114">
        <f>SUMIFS('Committments Dump'!$Q:$Q,'Committments Dump'!$C:$C,'Category Table'!V$2,'Committments Dump'!$B:$B,'Category Table'!$A284)</f>
        <v/>
      </c>
      <c r="W284" s="114">
        <f>SUMIFS('Committments Dump'!$Q:$Q,'Committments Dump'!$C:$C,'Category Table'!W$2,'Committments Dump'!$B:$B,'Category Table'!$A284)</f>
        <v/>
      </c>
      <c r="X284" s="113">
        <f>SUMIFS('Committments Dump'!$R:$R,'Committments Dump'!$C:$C,'Category Table'!X$2,'Committments Dump'!$B:$B,'Category Table'!$A284)</f>
        <v/>
      </c>
      <c r="Y284" s="114">
        <f>SUMIFS('Committments Dump'!$R:$R,'Committments Dump'!$C:$C,'Category Table'!Y$2,'Committments Dump'!$B:$B,'Category Table'!$A284)</f>
        <v/>
      </c>
      <c r="Z284" s="114">
        <f>SUMIFS('Committments Dump'!$R:$R,'Committments Dump'!$C:$C,'Category Table'!Z$2,'Committments Dump'!$B:$B,'Category Table'!$A284)</f>
        <v/>
      </c>
      <c r="AA284" s="113">
        <f>SUMIFS('Committments Dump'!$S:$S,'Committments Dump'!$C:$C,'Category Table'!AA$2,'Committments Dump'!$B:$B,'Category Table'!$A284)</f>
        <v/>
      </c>
      <c r="AB284" s="114">
        <f>SUMIFS('Committments Dump'!$S:$S,'Committments Dump'!$C:$C,'Category Table'!AB$2,'Committments Dump'!$B:$B,'Category Table'!$A284)</f>
        <v/>
      </c>
      <c r="AC284" s="114">
        <f>SUMIFS('Committments Dump'!$S:$S,'Committments Dump'!$C:$C,'Category Table'!AC$2,'Committments Dump'!$B:$B,'Category Table'!$A284)</f>
        <v/>
      </c>
      <c r="AD284" s="113">
        <f>U284+X284+AA284</f>
        <v/>
      </c>
      <c r="AE284" s="114">
        <f>V284+Y284+AB284</f>
        <v/>
      </c>
      <c r="AF284" s="114">
        <f>W284+Z284+AC284</f>
        <v/>
      </c>
      <c r="AG284" s="113">
        <f>R284+AD284</f>
        <v/>
      </c>
      <c r="AH284" s="114">
        <f>S284+AE284</f>
        <v/>
      </c>
      <c r="AI284" s="114">
        <f>T284+AF284</f>
        <v/>
      </c>
      <c r="AJ284" s="113" t="n"/>
      <c r="AK284" s="114" t="n"/>
      <c r="AL284" s="114" t="n"/>
      <c r="AM284" s="113">
        <f>(O284-AG284)+AJ284</f>
        <v/>
      </c>
      <c r="AN284" s="114">
        <f>(P284-AH284)+AK284</f>
        <v/>
      </c>
      <c r="AO284" s="114">
        <f>(Q284-AI284)+AL284</f>
        <v/>
      </c>
      <c r="AP284" s="2">
        <f>IF(AM284&gt;0, "Under",IF(AM284&lt;0,"Over",""))</f>
        <v/>
      </c>
      <c r="AQ284" s="1">
        <f>IF(AN284&gt;0, "Under",IF(AN284&lt;0,"Over",""))</f>
        <v/>
      </c>
      <c r="AR284" s="1">
        <f>IF(AO284&gt;0, "Under",IF(AO284&lt;0,"Over",""))</f>
        <v/>
      </c>
      <c r="AS284" s="3" t="n"/>
    </row>
    <row r="285">
      <c r="A285" s="90" t="n"/>
      <c r="B285" s="90" t="n"/>
      <c r="C285" s="115" t="n"/>
      <c r="D285" s="116" t="n"/>
      <c r="E285" s="116" t="n"/>
      <c r="F285" s="115" t="n"/>
      <c r="G285" s="116" t="n"/>
      <c r="H285" s="116" t="n"/>
      <c r="I285" s="115" t="n"/>
      <c r="J285" s="116" t="n"/>
      <c r="K285" s="116" t="n"/>
      <c r="L285" s="115" t="n"/>
      <c r="M285" s="116" t="n"/>
      <c r="N285" s="116" t="n"/>
      <c r="O285" s="115">
        <f>L285+I285+F285+C285</f>
        <v/>
      </c>
      <c r="P285" s="116">
        <f>M285+J285+G285+D285</f>
        <v/>
      </c>
      <c r="Q285" s="116">
        <f>N285+K285+H285+E285</f>
        <v/>
      </c>
      <c r="R285" s="115">
        <f>SUMIFS('PO Log'!$E:$E,'PO Log'!$D:$D,'Category Table'!R$2,'PO Log'!$C:$C,'Category Table'!$A285)</f>
        <v/>
      </c>
      <c r="S285" s="116">
        <f>SUMIFS('PO Log'!$E:$E,'PO Log'!$D:$D,'Category Table'!S$2,'PO Log'!$C:$C,'Category Table'!$A285)</f>
        <v/>
      </c>
      <c r="T285" s="116">
        <f>SUMIFS('PO Log'!$E:$E,'PO Log'!$D:$D,'Category Table'!T$2,'PO Log'!$C:$C,'Category Table'!$A285)</f>
        <v/>
      </c>
      <c r="U285" s="115">
        <f>SUMIFS('Committments Dump'!$Q:$Q,'Committments Dump'!$C:$C,'Category Table'!U$2,'Committments Dump'!$B:$B,'Category Table'!$A285)</f>
        <v/>
      </c>
      <c r="V285" s="116">
        <f>SUMIFS('Committments Dump'!$Q:$Q,'Committments Dump'!$C:$C,'Category Table'!V$2,'Committments Dump'!$B:$B,'Category Table'!$A285)</f>
        <v/>
      </c>
      <c r="W285" s="116">
        <f>SUMIFS('Committments Dump'!$Q:$Q,'Committments Dump'!$C:$C,'Category Table'!W$2,'Committments Dump'!$B:$B,'Category Table'!$A285)</f>
        <v/>
      </c>
      <c r="X285" s="115">
        <f>SUMIFS('Committments Dump'!$R:$R,'Committments Dump'!$C:$C,'Category Table'!X$2,'Committments Dump'!$B:$B,'Category Table'!$A285)</f>
        <v/>
      </c>
      <c r="Y285" s="116">
        <f>SUMIFS('Committments Dump'!$R:$R,'Committments Dump'!$C:$C,'Category Table'!Y$2,'Committments Dump'!$B:$B,'Category Table'!$A285)</f>
        <v/>
      </c>
      <c r="Z285" s="116">
        <f>SUMIFS('Committments Dump'!$R:$R,'Committments Dump'!$C:$C,'Category Table'!Z$2,'Committments Dump'!$B:$B,'Category Table'!$A285)</f>
        <v/>
      </c>
      <c r="AA285" s="115">
        <f>SUMIFS('Committments Dump'!$S:$S,'Committments Dump'!$C:$C,'Category Table'!AA$2,'Committments Dump'!$B:$B,'Category Table'!$A285)</f>
        <v/>
      </c>
      <c r="AB285" s="116">
        <f>SUMIFS('Committments Dump'!$S:$S,'Committments Dump'!$C:$C,'Category Table'!AB$2,'Committments Dump'!$B:$B,'Category Table'!$A285)</f>
        <v/>
      </c>
      <c r="AC285" s="116">
        <f>SUMIFS('Committments Dump'!$S:$S,'Committments Dump'!$C:$C,'Category Table'!AC$2,'Committments Dump'!$B:$B,'Category Table'!$A285)</f>
        <v/>
      </c>
      <c r="AD285" s="115">
        <f>U285+X285+AA285</f>
        <v/>
      </c>
      <c r="AE285" s="116">
        <f>V285+Y285+AB285</f>
        <v/>
      </c>
      <c r="AF285" s="116">
        <f>W285+Z285+AC285</f>
        <v/>
      </c>
      <c r="AG285" s="115">
        <f>R285+AD285</f>
        <v/>
      </c>
      <c r="AH285" s="116">
        <f>S285+AE285</f>
        <v/>
      </c>
      <c r="AI285" s="116">
        <f>T285+AF285</f>
        <v/>
      </c>
      <c r="AJ285" s="115" t="n"/>
      <c r="AK285" s="116" t="n"/>
      <c r="AL285" s="116" t="n"/>
      <c r="AM285" s="115">
        <f>(O285-AG285)+AJ285</f>
        <v/>
      </c>
      <c r="AN285" s="116">
        <f>(P285-AH285)+AK285</f>
        <v/>
      </c>
      <c r="AO285" s="116">
        <f>(Q285-AI285)+AL285</f>
        <v/>
      </c>
      <c r="AP285" s="93">
        <f>IF(AM285&gt;0, "Under",IF(AM285&lt;0,"Over",""))</f>
        <v/>
      </c>
      <c r="AQ285" s="94">
        <f>IF(AN285&gt;0, "Under",IF(AN285&lt;0,"Over",""))</f>
        <v/>
      </c>
      <c r="AR285" s="94">
        <f>IF(AO285&gt;0, "Under",IF(AO285&lt;0,"Over",""))</f>
        <v/>
      </c>
      <c r="AS285" s="3" t="n"/>
    </row>
    <row r="286">
      <c r="C286" s="113" t="n"/>
      <c r="D286" s="114" t="n"/>
      <c r="E286" s="114" t="n"/>
      <c r="F286" s="113" t="n"/>
      <c r="G286" s="114" t="n"/>
      <c r="H286" s="114" t="n"/>
      <c r="I286" s="113" t="n"/>
      <c r="J286" s="114" t="n"/>
      <c r="K286" s="114" t="n"/>
      <c r="L286" s="113" t="n"/>
      <c r="M286" s="114" t="n"/>
      <c r="N286" s="114" t="n"/>
      <c r="O286" s="113">
        <f>L286+I286+F286+C286</f>
        <v/>
      </c>
      <c r="P286" s="114">
        <f>M286+J286+G286+D286</f>
        <v/>
      </c>
      <c r="Q286" s="114">
        <f>N286+K286+H286+E286</f>
        <v/>
      </c>
      <c r="R286" s="113">
        <f>SUMIFS('PO Log'!$E:$E,'PO Log'!$D:$D,'Category Table'!R$2,'PO Log'!$C:$C,'Category Table'!$A286)</f>
        <v/>
      </c>
      <c r="S286" s="114">
        <f>SUMIFS('PO Log'!$E:$E,'PO Log'!$D:$D,'Category Table'!S$2,'PO Log'!$C:$C,'Category Table'!$A286)</f>
        <v/>
      </c>
      <c r="T286" s="114">
        <f>SUMIFS('PO Log'!$E:$E,'PO Log'!$D:$D,'Category Table'!T$2,'PO Log'!$C:$C,'Category Table'!$A286)</f>
        <v/>
      </c>
      <c r="U286" s="113">
        <f>SUMIFS('Committments Dump'!$Q:$Q,'Committments Dump'!$C:$C,'Category Table'!U$2,'Committments Dump'!$B:$B,'Category Table'!$A286)</f>
        <v/>
      </c>
      <c r="V286" s="114">
        <f>SUMIFS('Committments Dump'!$Q:$Q,'Committments Dump'!$C:$C,'Category Table'!V$2,'Committments Dump'!$B:$B,'Category Table'!$A286)</f>
        <v/>
      </c>
      <c r="W286" s="114">
        <f>SUMIFS('Committments Dump'!$Q:$Q,'Committments Dump'!$C:$C,'Category Table'!W$2,'Committments Dump'!$B:$B,'Category Table'!$A286)</f>
        <v/>
      </c>
      <c r="X286" s="113">
        <f>SUMIFS('Committments Dump'!$R:$R,'Committments Dump'!$C:$C,'Category Table'!X$2,'Committments Dump'!$B:$B,'Category Table'!$A286)</f>
        <v/>
      </c>
      <c r="Y286" s="114">
        <f>SUMIFS('Committments Dump'!$R:$R,'Committments Dump'!$C:$C,'Category Table'!Y$2,'Committments Dump'!$B:$B,'Category Table'!$A286)</f>
        <v/>
      </c>
      <c r="Z286" s="114">
        <f>SUMIFS('Committments Dump'!$R:$R,'Committments Dump'!$C:$C,'Category Table'!Z$2,'Committments Dump'!$B:$B,'Category Table'!$A286)</f>
        <v/>
      </c>
      <c r="AA286" s="113">
        <f>SUMIFS('Committments Dump'!$S:$S,'Committments Dump'!$C:$C,'Category Table'!AA$2,'Committments Dump'!$B:$B,'Category Table'!$A286)</f>
        <v/>
      </c>
      <c r="AB286" s="114">
        <f>SUMIFS('Committments Dump'!$S:$S,'Committments Dump'!$C:$C,'Category Table'!AB$2,'Committments Dump'!$B:$B,'Category Table'!$A286)</f>
        <v/>
      </c>
      <c r="AC286" s="114">
        <f>SUMIFS('Committments Dump'!$S:$S,'Committments Dump'!$C:$C,'Category Table'!AC$2,'Committments Dump'!$B:$B,'Category Table'!$A286)</f>
        <v/>
      </c>
      <c r="AD286" s="113">
        <f>U286+X286+AA286</f>
        <v/>
      </c>
      <c r="AE286" s="114">
        <f>V286+Y286+AB286</f>
        <v/>
      </c>
      <c r="AF286" s="114">
        <f>W286+Z286+AC286</f>
        <v/>
      </c>
      <c r="AG286" s="113">
        <f>R286+AD286</f>
        <v/>
      </c>
      <c r="AH286" s="114">
        <f>S286+AE286</f>
        <v/>
      </c>
      <c r="AI286" s="114">
        <f>T286+AF286</f>
        <v/>
      </c>
      <c r="AJ286" s="113" t="n"/>
      <c r="AK286" s="114" t="n"/>
      <c r="AL286" s="114" t="n"/>
      <c r="AM286" s="113">
        <f>(O286-AG286)+AJ286</f>
        <v/>
      </c>
      <c r="AN286" s="114">
        <f>(P286-AH286)+AK286</f>
        <v/>
      </c>
      <c r="AO286" s="114">
        <f>(Q286-AI286)+AL286</f>
        <v/>
      </c>
      <c r="AP286" s="2">
        <f>IF(AM286&gt;0, "Under",IF(AM286&lt;0,"Over",""))</f>
        <v/>
      </c>
      <c r="AQ286" s="1">
        <f>IF(AN286&gt;0, "Under",IF(AN286&lt;0,"Over",""))</f>
        <v/>
      </c>
      <c r="AR286" s="1">
        <f>IF(AO286&gt;0, "Under",IF(AO286&lt;0,"Over",""))</f>
        <v/>
      </c>
      <c r="AS286" s="3" t="n"/>
    </row>
    <row r="287">
      <c r="A287" s="90" t="n"/>
      <c r="B287" s="90" t="n"/>
      <c r="C287" s="115" t="n"/>
      <c r="D287" s="116" t="n"/>
      <c r="E287" s="116" t="n"/>
      <c r="F287" s="115" t="n"/>
      <c r="G287" s="116" t="n"/>
      <c r="H287" s="116" t="n"/>
      <c r="I287" s="115" t="n"/>
      <c r="J287" s="116" t="n"/>
      <c r="K287" s="116" t="n"/>
      <c r="L287" s="115" t="n"/>
      <c r="M287" s="116" t="n"/>
      <c r="N287" s="116" t="n"/>
      <c r="O287" s="115">
        <f>L287+I287+F287+C287</f>
        <v/>
      </c>
      <c r="P287" s="116">
        <f>M287+J287+G287+D287</f>
        <v/>
      </c>
      <c r="Q287" s="116">
        <f>N287+K287+H287+E287</f>
        <v/>
      </c>
      <c r="R287" s="115">
        <f>SUMIFS('PO Log'!$E:$E,'PO Log'!$D:$D,'Category Table'!R$2,'PO Log'!$C:$C,'Category Table'!$A287)</f>
        <v/>
      </c>
      <c r="S287" s="116">
        <f>SUMIFS('PO Log'!$E:$E,'PO Log'!$D:$D,'Category Table'!S$2,'PO Log'!$C:$C,'Category Table'!$A287)</f>
        <v/>
      </c>
      <c r="T287" s="116">
        <f>SUMIFS('PO Log'!$E:$E,'PO Log'!$D:$D,'Category Table'!T$2,'PO Log'!$C:$C,'Category Table'!$A287)</f>
        <v/>
      </c>
      <c r="U287" s="115">
        <f>SUMIFS('Committments Dump'!$Q:$Q,'Committments Dump'!$C:$C,'Category Table'!U$2,'Committments Dump'!$B:$B,'Category Table'!$A287)</f>
        <v/>
      </c>
      <c r="V287" s="116">
        <f>SUMIFS('Committments Dump'!$Q:$Q,'Committments Dump'!$C:$C,'Category Table'!V$2,'Committments Dump'!$B:$B,'Category Table'!$A287)</f>
        <v/>
      </c>
      <c r="W287" s="116">
        <f>SUMIFS('Committments Dump'!$Q:$Q,'Committments Dump'!$C:$C,'Category Table'!W$2,'Committments Dump'!$B:$B,'Category Table'!$A287)</f>
        <v/>
      </c>
      <c r="X287" s="115">
        <f>SUMIFS('Committments Dump'!$R:$R,'Committments Dump'!$C:$C,'Category Table'!X$2,'Committments Dump'!$B:$B,'Category Table'!$A287)</f>
        <v/>
      </c>
      <c r="Y287" s="116">
        <f>SUMIFS('Committments Dump'!$R:$R,'Committments Dump'!$C:$C,'Category Table'!Y$2,'Committments Dump'!$B:$B,'Category Table'!$A287)</f>
        <v/>
      </c>
      <c r="Z287" s="116">
        <f>SUMIFS('Committments Dump'!$R:$R,'Committments Dump'!$C:$C,'Category Table'!Z$2,'Committments Dump'!$B:$B,'Category Table'!$A287)</f>
        <v/>
      </c>
      <c r="AA287" s="115">
        <f>SUMIFS('Committments Dump'!$S:$S,'Committments Dump'!$C:$C,'Category Table'!AA$2,'Committments Dump'!$B:$B,'Category Table'!$A287)</f>
        <v/>
      </c>
      <c r="AB287" s="116">
        <f>SUMIFS('Committments Dump'!$S:$S,'Committments Dump'!$C:$C,'Category Table'!AB$2,'Committments Dump'!$B:$B,'Category Table'!$A287)</f>
        <v/>
      </c>
      <c r="AC287" s="116">
        <f>SUMIFS('Committments Dump'!$S:$S,'Committments Dump'!$C:$C,'Category Table'!AC$2,'Committments Dump'!$B:$B,'Category Table'!$A287)</f>
        <v/>
      </c>
      <c r="AD287" s="115">
        <f>U287+X287+AA287</f>
        <v/>
      </c>
      <c r="AE287" s="116">
        <f>V287+Y287+AB287</f>
        <v/>
      </c>
      <c r="AF287" s="116">
        <f>W287+Z287+AC287</f>
        <v/>
      </c>
      <c r="AG287" s="115">
        <f>R287+AD287</f>
        <v/>
      </c>
      <c r="AH287" s="116">
        <f>S287+AE287</f>
        <v/>
      </c>
      <c r="AI287" s="116">
        <f>T287+AF287</f>
        <v/>
      </c>
      <c r="AJ287" s="115" t="n"/>
      <c r="AK287" s="116" t="n"/>
      <c r="AL287" s="116" t="n"/>
      <c r="AM287" s="115">
        <f>(O287-AG287)+AJ287</f>
        <v/>
      </c>
      <c r="AN287" s="116">
        <f>(P287-AH287)+AK287</f>
        <v/>
      </c>
      <c r="AO287" s="116">
        <f>(Q287-AI287)+AL287</f>
        <v/>
      </c>
      <c r="AP287" s="93">
        <f>IF(AM287&gt;0, "Under",IF(AM287&lt;0,"Over",""))</f>
        <v/>
      </c>
      <c r="AQ287" s="94">
        <f>IF(AN287&gt;0, "Under",IF(AN287&lt;0,"Over",""))</f>
        <v/>
      </c>
      <c r="AR287" s="94">
        <f>IF(AO287&gt;0, "Under",IF(AO287&lt;0,"Over",""))</f>
        <v/>
      </c>
      <c r="AS287" s="3" t="n"/>
    </row>
    <row r="288">
      <c r="C288" s="113" t="n"/>
      <c r="D288" s="114" t="n"/>
      <c r="E288" s="114" t="n"/>
      <c r="F288" s="113" t="n"/>
      <c r="G288" s="114" t="n"/>
      <c r="H288" s="114" t="n"/>
      <c r="I288" s="113" t="n"/>
      <c r="J288" s="114" t="n"/>
      <c r="K288" s="114" t="n"/>
      <c r="L288" s="113" t="n"/>
      <c r="M288" s="114" t="n"/>
      <c r="N288" s="114" t="n"/>
      <c r="O288" s="113">
        <f>L288+I288+F288+C288</f>
        <v/>
      </c>
      <c r="P288" s="114">
        <f>M288+J288+G288+D288</f>
        <v/>
      </c>
      <c r="Q288" s="114">
        <f>N288+K288+H288+E288</f>
        <v/>
      </c>
      <c r="R288" s="113">
        <f>SUMIFS('PO Log'!$E:$E,'PO Log'!$D:$D,'Category Table'!R$2,'PO Log'!$C:$C,'Category Table'!$A288)</f>
        <v/>
      </c>
      <c r="S288" s="114">
        <f>SUMIFS('PO Log'!$E:$E,'PO Log'!$D:$D,'Category Table'!S$2,'PO Log'!$C:$C,'Category Table'!$A288)</f>
        <v/>
      </c>
      <c r="T288" s="114">
        <f>SUMIFS('PO Log'!$E:$E,'PO Log'!$D:$D,'Category Table'!T$2,'PO Log'!$C:$C,'Category Table'!$A288)</f>
        <v/>
      </c>
      <c r="U288" s="113">
        <f>SUMIFS('Committments Dump'!$Q:$Q,'Committments Dump'!$C:$C,'Category Table'!U$2,'Committments Dump'!$B:$B,'Category Table'!$A288)</f>
        <v/>
      </c>
      <c r="V288" s="114">
        <f>SUMIFS('Committments Dump'!$Q:$Q,'Committments Dump'!$C:$C,'Category Table'!V$2,'Committments Dump'!$B:$B,'Category Table'!$A288)</f>
        <v/>
      </c>
      <c r="W288" s="114">
        <f>SUMIFS('Committments Dump'!$Q:$Q,'Committments Dump'!$C:$C,'Category Table'!W$2,'Committments Dump'!$B:$B,'Category Table'!$A288)</f>
        <v/>
      </c>
      <c r="X288" s="113">
        <f>SUMIFS('Committments Dump'!$R:$R,'Committments Dump'!$C:$C,'Category Table'!X$2,'Committments Dump'!$B:$B,'Category Table'!$A288)</f>
        <v/>
      </c>
      <c r="Y288" s="114">
        <f>SUMIFS('Committments Dump'!$R:$R,'Committments Dump'!$C:$C,'Category Table'!Y$2,'Committments Dump'!$B:$B,'Category Table'!$A288)</f>
        <v/>
      </c>
      <c r="Z288" s="114">
        <f>SUMIFS('Committments Dump'!$R:$R,'Committments Dump'!$C:$C,'Category Table'!Z$2,'Committments Dump'!$B:$B,'Category Table'!$A288)</f>
        <v/>
      </c>
      <c r="AA288" s="113">
        <f>SUMIFS('Committments Dump'!$S:$S,'Committments Dump'!$C:$C,'Category Table'!AA$2,'Committments Dump'!$B:$B,'Category Table'!$A288)</f>
        <v/>
      </c>
      <c r="AB288" s="114">
        <f>SUMIFS('Committments Dump'!$S:$S,'Committments Dump'!$C:$C,'Category Table'!AB$2,'Committments Dump'!$B:$B,'Category Table'!$A288)</f>
        <v/>
      </c>
      <c r="AC288" s="114">
        <f>SUMIFS('Committments Dump'!$S:$S,'Committments Dump'!$C:$C,'Category Table'!AC$2,'Committments Dump'!$B:$B,'Category Table'!$A288)</f>
        <v/>
      </c>
      <c r="AD288" s="113">
        <f>U288+X288+AA288</f>
        <v/>
      </c>
      <c r="AE288" s="114">
        <f>V288+Y288+AB288</f>
        <v/>
      </c>
      <c r="AF288" s="114">
        <f>W288+Z288+AC288</f>
        <v/>
      </c>
      <c r="AG288" s="113">
        <f>R288+AD288</f>
        <v/>
      </c>
      <c r="AH288" s="114">
        <f>S288+AE288</f>
        <v/>
      </c>
      <c r="AI288" s="114">
        <f>T288+AF288</f>
        <v/>
      </c>
      <c r="AJ288" s="113" t="n"/>
      <c r="AK288" s="114" t="n"/>
      <c r="AL288" s="114" t="n"/>
      <c r="AM288" s="113">
        <f>(O288-AG288)+AJ288</f>
        <v/>
      </c>
      <c r="AN288" s="114">
        <f>(P288-AH288)+AK288</f>
        <v/>
      </c>
      <c r="AO288" s="114">
        <f>(Q288-AI288)+AL288</f>
        <v/>
      </c>
      <c r="AP288" s="2">
        <f>IF(AM288&gt;0, "Under",IF(AM288&lt;0,"Over",""))</f>
        <v/>
      </c>
      <c r="AQ288" s="1">
        <f>IF(AN288&gt;0, "Under",IF(AN288&lt;0,"Over",""))</f>
        <v/>
      </c>
      <c r="AR288" s="1">
        <f>IF(AO288&gt;0, "Under",IF(AO288&lt;0,"Over",""))</f>
        <v/>
      </c>
      <c r="AS288" s="3" t="n"/>
    </row>
    <row r="289">
      <c r="A289" s="90" t="n"/>
      <c r="B289" s="90" t="n"/>
      <c r="C289" s="115" t="n"/>
      <c r="D289" s="116" t="n"/>
      <c r="E289" s="116" t="n"/>
      <c r="F289" s="115" t="n"/>
      <c r="G289" s="116" t="n"/>
      <c r="H289" s="116" t="n"/>
      <c r="I289" s="115" t="n"/>
      <c r="J289" s="116" t="n"/>
      <c r="K289" s="116" t="n"/>
      <c r="L289" s="115" t="n"/>
      <c r="M289" s="116" t="n"/>
      <c r="N289" s="116" t="n"/>
      <c r="O289" s="115">
        <f>L289+I289+F289+C289</f>
        <v/>
      </c>
      <c r="P289" s="116">
        <f>M289+J289+G289+D289</f>
        <v/>
      </c>
      <c r="Q289" s="116">
        <f>N289+K289+H289+E289</f>
        <v/>
      </c>
      <c r="R289" s="115">
        <f>SUMIFS('PO Log'!$E:$E,'PO Log'!$D:$D,'Category Table'!R$2,'PO Log'!$C:$C,'Category Table'!$A289)</f>
        <v/>
      </c>
      <c r="S289" s="116">
        <f>SUMIFS('PO Log'!$E:$E,'PO Log'!$D:$D,'Category Table'!S$2,'PO Log'!$C:$C,'Category Table'!$A289)</f>
        <v/>
      </c>
      <c r="T289" s="116">
        <f>SUMIFS('PO Log'!$E:$E,'PO Log'!$D:$D,'Category Table'!T$2,'PO Log'!$C:$C,'Category Table'!$A289)</f>
        <v/>
      </c>
      <c r="U289" s="115">
        <f>SUMIFS('Committments Dump'!$Q:$Q,'Committments Dump'!$C:$C,'Category Table'!U$2,'Committments Dump'!$B:$B,'Category Table'!$A289)</f>
        <v/>
      </c>
      <c r="V289" s="116">
        <f>SUMIFS('Committments Dump'!$Q:$Q,'Committments Dump'!$C:$C,'Category Table'!V$2,'Committments Dump'!$B:$B,'Category Table'!$A289)</f>
        <v/>
      </c>
      <c r="W289" s="116">
        <f>SUMIFS('Committments Dump'!$Q:$Q,'Committments Dump'!$C:$C,'Category Table'!W$2,'Committments Dump'!$B:$B,'Category Table'!$A289)</f>
        <v/>
      </c>
      <c r="X289" s="115">
        <f>SUMIFS('Committments Dump'!$R:$R,'Committments Dump'!$C:$C,'Category Table'!X$2,'Committments Dump'!$B:$B,'Category Table'!$A289)</f>
        <v/>
      </c>
      <c r="Y289" s="116">
        <f>SUMIFS('Committments Dump'!$R:$R,'Committments Dump'!$C:$C,'Category Table'!Y$2,'Committments Dump'!$B:$B,'Category Table'!$A289)</f>
        <v/>
      </c>
      <c r="Z289" s="116">
        <f>SUMIFS('Committments Dump'!$R:$R,'Committments Dump'!$C:$C,'Category Table'!Z$2,'Committments Dump'!$B:$B,'Category Table'!$A289)</f>
        <v/>
      </c>
      <c r="AA289" s="115">
        <f>SUMIFS('Committments Dump'!$S:$S,'Committments Dump'!$C:$C,'Category Table'!AA$2,'Committments Dump'!$B:$B,'Category Table'!$A289)</f>
        <v/>
      </c>
      <c r="AB289" s="116">
        <f>SUMIFS('Committments Dump'!$S:$S,'Committments Dump'!$C:$C,'Category Table'!AB$2,'Committments Dump'!$B:$B,'Category Table'!$A289)</f>
        <v/>
      </c>
      <c r="AC289" s="116">
        <f>SUMIFS('Committments Dump'!$S:$S,'Committments Dump'!$C:$C,'Category Table'!AC$2,'Committments Dump'!$B:$B,'Category Table'!$A289)</f>
        <v/>
      </c>
      <c r="AD289" s="115">
        <f>U289+X289+AA289</f>
        <v/>
      </c>
      <c r="AE289" s="116">
        <f>V289+Y289+AB289</f>
        <v/>
      </c>
      <c r="AF289" s="116">
        <f>W289+Z289+AC289</f>
        <v/>
      </c>
      <c r="AG289" s="115">
        <f>R289+AD289</f>
        <v/>
      </c>
      <c r="AH289" s="116">
        <f>S289+AE289</f>
        <v/>
      </c>
      <c r="AI289" s="116">
        <f>T289+AF289</f>
        <v/>
      </c>
      <c r="AJ289" s="115" t="n"/>
      <c r="AK289" s="116" t="n"/>
      <c r="AL289" s="116" t="n"/>
      <c r="AM289" s="115">
        <f>(O289-AG289)+AJ289</f>
        <v/>
      </c>
      <c r="AN289" s="116">
        <f>(P289-AH289)+AK289</f>
        <v/>
      </c>
      <c r="AO289" s="116">
        <f>(Q289-AI289)+AL289</f>
        <v/>
      </c>
      <c r="AP289" s="93">
        <f>IF(AM289&gt;0, "Under",IF(AM289&lt;0,"Over",""))</f>
        <v/>
      </c>
      <c r="AQ289" s="94">
        <f>IF(AN289&gt;0, "Under",IF(AN289&lt;0,"Over",""))</f>
        <v/>
      </c>
      <c r="AR289" s="94">
        <f>IF(AO289&gt;0, "Under",IF(AO289&lt;0,"Over",""))</f>
        <v/>
      </c>
      <c r="AS289" s="3" t="n"/>
    </row>
    <row r="290">
      <c r="C290" s="113" t="n"/>
      <c r="D290" s="114" t="n"/>
      <c r="E290" s="114" t="n"/>
      <c r="F290" s="113" t="n"/>
      <c r="G290" s="114" t="n"/>
      <c r="H290" s="114" t="n"/>
      <c r="I290" s="113" t="n"/>
      <c r="J290" s="114" t="n"/>
      <c r="K290" s="114" t="n"/>
      <c r="L290" s="113" t="n"/>
      <c r="M290" s="114" t="n"/>
      <c r="N290" s="114" t="n"/>
      <c r="O290" s="113">
        <f>L290+I290+F290+C290</f>
        <v/>
      </c>
      <c r="P290" s="114">
        <f>M290+J290+G290+D290</f>
        <v/>
      </c>
      <c r="Q290" s="114">
        <f>N290+K290+H290+E290</f>
        <v/>
      </c>
      <c r="R290" s="113">
        <f>SUMIFS('PO Log'!$E:$E,'PO Log'!$D:$D,'Category Table'!R$2,'PO Log'!$C:$C,'Category Table'!$A290)</f>
        <v/>
      </c>
      <c r="S290" s="114">
        <f>SUMIFS('PO Log'!$E:$E,'PO Log'!$D:$D,'Category Table'!S$2,'PO Log'!$C:$C,'Category Table'!$A290)</f>
        <v/>
      </c>
      <c r="T290" s="114">
        <f>SUMIFS('PO Log'!$E:$E,'PO Log'!$D:$D,'Category Table'!T$2,'PO Log'!$C:$C,'Category Table'!$A290)</f>
        <v/>
      </c>
      <c r="U290" s="113">
        <f>SUMIFS('Committments Dump'!$Q:$Q,'Committments Dump'!$C:$C,'Category Table'!U$2,'Committments Dump'!$B:$B,'Category Table'!$A290)</f>
        <v/>
      </c>
      <c r="V290" s="114">
        <f>SUMIFS('Committments Dump'!$Q:$Q,'Committments Dump'!$C:$C,'Category Table'!V$2,'Committments Dump'!$B:$B,'Category Table'!$A290)</f>
        <v/>
      </c>
      <c r="W290" s="114">
        <f>SUMIFS('Committments Dump'!$Q:$Q,'Committments Dump'!$C:$C,'Category Table'!W$2,'Committments Dump'!$B:$B,'Category Table'!$A290)</f>
        <v/>
      </c>
      <c r="X290" s="113">
        <f>SUMIFS('Committments Dump'!$R:$R,'Committments Dump'!$C:$C,'Category Table'!X$2,'Committments Dump'!$B:$B,'Category Table'!$A290)</f>
        <v/>
      </c>
      <c r="Y290" s="114">
        <f>SUMIFS('Committments Dump'!$R:$R,'Committments Dump'!$C:$C,'Category Table'!Y$2,'Committments Dump'!$B:$B,'Category Table'!$A290)</f>
        <v/>
      </c>
      <c r="Z290" s="114">
        <f>SUMIFS('Committments Dump'!$R:$R,'Committments Dump'!$C:$C,'Category Table'!Z$2,'Committments Dump'!$B:$B,'Category Table'!$A290)</f>
        <v/>
      </c>
      <c r="AA290" s="113">
        <f>SUMIFS('Committments Dump'!$S:$S,'Committments Dump'!$C:$C,'Category Table'!AA$2,'Committments Dump'!$B:$B,'Category Table'!$A290)</f>
        <v/>
      </c>
      <c r="AB290" s="114">
        <f>SUMIFS('Committments Dump'!$S:$S,'Committments Dump'!$C:$C,'Category Table'!AB$2,'Committments Dump'!$B:$B,'Category Table'!$A290)</f>
        <v/>
      </c>
      <c r="AC290" s="114">
        <f>SUMIFS('Committments Dump'!$S:$S,'Committments Dump'!$C:$C,'Category Table'!AC$2,'Committments Dump'!$B:$B,'Category Table'!$A290)</f>
        <v/>
      </c>
      <c r="AD290" s="113">
        <f>U290+X290+AA290</f>
        <v/>
      </c>
      <c r="AE290" s="114">
        <f>V290+Y290+AB290</f>
        <v/>
      </c>
      <c r="AF290" s="114">
        <f>W290+Z290+AC290</f>
        <v/>
      </c>
      <c r="AG290" s="113">
        <f>R290+AD290</f>
        <v/>
      </c>
      <c r="AH290" s="114">
        <f>S290+AE290</f>
        <v/>
      </c>
      <c r="AI290" s="114">
        <f>T290+AF290</f>
        <v/>
      </c>
      <c r="AJ290" s="113" t="n"/>
      <c r="AK290" s="114" t="n"/>
      <c r="AL290" s="114" t="n"/>
      <c r="AM290" s="113">
        <f>(O290-AG290)+AJ290</f>
        <v/>
      </c>
      <c r="AN290" s="114">
        <f>(P290-AH290)+AK290</f>
        <v/>
      </c>
      <c r="AO290" s="114">
        <f>(Q290-AI290)+AL290</f>
        <v/>
      </c>
      <c r="AP290" s="2">
        <f>IF(AM290&gt;0, "Under",IF(AM290&lt;0,"Over",""))</f>
        <v/>
      </c>
      <c r="AQ290" s="1">
        <f>IF(AN290&gt;0, "Under",IF(AN290&lt;0,"Over",""))</f>
        <v/>
      </c>
      <c r="AR290" s="1">
        <f>IF(AO290&gt;0, "Under",IF(AO290&lt;0,"Over",""))</f>
        <v/>
      </c>
      <c r="AS290" s="3" t="n"/>
    </row>
    <row r="291">
      <c r="A291" s="90" t="n"/>
      <c r="B291" s="90" t="n"/>
      <c r="C291" s="115" t="n"/>
      <c r="D291" s="116" t="n"/>
      <c r="E291" s="116" t="n"/>
      <c r="F291" s="115" t="n"/>
      <c r="G291" s="116" t="n"/>
      <c r="H291" s="116" t="n"/>
      <c r="I291" s="115" t="n"/>
      <c r="J291" s="116" t="n"/>
      <c r="K291" s="116" t="n"/>
      <c r="L291" s="115" t="n"/>
      <c r="M291" s="116" t="n"/>
      <c r="N291" s="116" t="n"/>
      <c r="O291" s="115">
        <f>L291+I291+F291+C291</f>
        <v/>
      </c>
      <c r="P291" s="116">
        <f>M291+J291+G291+D291</f>
        <v/>
      </c>
      <c r="Q291" s="116">
        <f>N291+K291+H291+E291</f>
        <v/>
      </c>
      <c r="R291" s="115">
        <f>SUMIFS('PO Log'!$E:$E,'PO Log'!$D:$D,'Category Table'!R$2,'PO Log'!$C:$C,'Category Table'!$A291)</f>
        <v/>
      </c>
      <c r="S291" s="116">
        <f>SUMIFS('PO Log'!$E:$E,'PO Log'!$D:$D,'Category Table'!S$2,'PO Log'!$C:$C,'Category Table'!$A291)</f>
        <v/>
      </c>
      <c r="T291" s="116">
        <f>SUMIFS('PO Log'!$E:$E,'PO Log'!$D:$D,'Category Table'!T$2,'PO Log'!$C:$C,'Category Table'!$A291)</f>
        <v/>
      </c>
      <c r="U291" s="115">
        <f>SUMIFS('Committments Dump'!$Q:$Q,'Committments Dump'!$C:$C,'Category Table'!U$2,'Committments Dump'!$B:$B,'Category Table'!$A291)</f>
        <v/>
      </c>
      <c r="V291" s="116">
        <f>SUMIFS('Committments Dump'!$Q:$Q,'Committments Dump'!$C:$C,'Category Table'!V$2,'Committments Dump'!$B:$B,'Category Table'!$A291)</f>
        <v/>
      </c>
      <c r="W291" s="116">
        <f>SUMIFS('Committments Dump'!$Q:$Q,'Committments Dump'!$C:$C,'Category Table'!W$2,'Committments Dump'!$B:$B,'Category Table'!$A291)</f>
        <v/>
      </c>
      <c r="X291" s="115">
        <f>SUMIFS('Committments Dump'!$R:$R,'Committments Dump'!$C:$C,'Category Table'!X$2,'Committments Dump'!$B:$B,'Category Table'!$A291)</f>
        <v/>
      </c>
      <c r="Y291" s="116">
        <f>SUMIFS('Committments Dump'!$R:$R,'Committments Dump'!$C:$C,'Category Table'!Y$2,'Committments Dump'!$B:$B,'Category Table'!$A291)</f>
        <v/>
      </c>
      <c r="Z291" s="116">
        <f>SUMIFS('Committments Dump'!$R:$R,'Committments Dump'!$C:$C,'Category Table'!Z$2,'Committments Dump'!$B:$B,'Category Table'!$A291)</f>
        <v/>
      </c>
      <c r="AA291" s="115">
        <f>SUMIFS('Committments Dump'!$S:$S,'Committments Dump'!$C:$C,'Category Table'!AA$2,'Committments Dump'!$B:$B,'Category Table'!$A291)</f>
        <v/>
      </c>
      <c r="AB291" s="116">
        <f>SUMIFS('Committments Dump'!$S:$S,'Committments Dump'!$C:$C,'Category Table'!AB$2,'Committments Dump'!$B:$B,'Category Table'!$A291)</f>
        <v/>
      </c>
      <c r="AC291" s="116">
        <f>SUMIFS('Committments Dump'!$S:$S,'Committments Dump'!$C:$C,'Category Table'!AC$2,'Committments Dump'!$B:$B,'Category Table'!$A291)</f>
        <v/>
      </c>
      <c r="AD291" s="115">
        <f>U291+X291+AA291</f>
        <v/>
      </c>
      <c r="AE291" s="116">
        <f>V291+Y291+AB291</f>
        <v/>
      </c>
      <c r="AF291" s="116">
        <f>W291+Z291+AC291</f>
        <v/>
      </c>
      <c r="AG291" s="115">
        <f>R291+AD291</f>
        <v/>
      </c>
      <c r="AH291" s="116">
        <f>S291+AE291</f>
        <v/>
      </c>
      <c r="AI291" s="116">
        <f>T291+AF291</f>
        <v/>
      </c>
      <c r="AJ291" s="115" t="n"/>
      <c r="AK291" s="116" t="n"/>
      <c r="AL291" s="116" t="n"/>
      <c r="AM291" s="115">
        <f>(O291-AG291)+AJ291</f>
        <v/>
      </c>
      <c r="AN291" s="116">
        <f>(P291-AH291)+AK291</f>
        <v/>
      </c>
      <c r="AO291" s="116">
        <f>(Q291-AI291)+AL291</f>
        <v/>
      </c>
      <c r="AP291" s="93">
        <f>IF(AM291&gt;0, "Under",IF(AM291&lt;0,"Over",""))</f>
        <v/>
      </c>
      <c r="AQ291" s="94">
        <f>IF(AN291&gt;0, "Under",IF(AN291&lt;0,"Over",""))</f>
        <v/>
      </c>
      <c r="AR291" s="94">
        <f>IF(AO291&gt;0, "Under",IF(AO291&lt;0,"Over",""))</f>
        <v/>
      </c>
      <c r="AS291" s="3" t="n"/>
    </row>
    <row r="292">
      <c r="C292" s="113" t="n"/>
      <c r="D292" s="114" t="n"/>
      <c r="E292" s="114" t="n"/>
      <c r="F292" s="113" t="n"/>
      <c r="G292" s="114" t="n"/>
      <c r="H292" s="114" t="n"/>
      <c r="I292" s="113" t="n"/>
      <c r="J292" s="114" t="n"/>
      <c r="K292" s="114" t="n"/>
      <c r="L292" s="113" t="n"/>
      <c r="M292" s="114" t="n"/>
      <c r="N292" s="114" t="n"/>
      <c r="O292" s="113">
        <f>L292+I292+F292+C292</f>
        <v/>
      </c>
      <c r="P292" s="114">
        <f>M292+J292+G292+D292</f>
        <v/>
      </c>
      <c r="Q292" s="114">
        <f>N292+K292+H292+E292</f>
        <v/>
      </c>
      <c r="R292" s="113">
        <f>SUMIFS('PO Log'!$E:$E,'PO Log'!$D:$D,'Category Table'!R$2,'PO Log'!$C:$C,'Category Table'!$A292)</f>
        <v/>
      </c>
      <c r="S292" s="114">
        <f>SUMIFS('PO Log'!$E:$E,'PO Log'!$D:$D,'Category Table'!S$2,'PO Log'!$C:$C,'Category Table'!$A292)</f>
        <v/>
      </c>
      <c r="T292" s="114">
        <f>SUMIFS('PO Log'!$E:$E,'PO Log'!$D:$D,'Category Table'!T$2,'PO Log'!$C:$C,'Category Table'!$A292)</f>
        <v/>
      </c>
      <c r="U292" s="113">
        <f>SUMIFS('Committments Dump'!$Q:$Q,'Committments Dump'!$C:$C,'Category Table'!U$2,'Committments Dump'!$B:$B,'Category Table'!$A292)</f>
        <v/>
      </c>
      <c r="V292" s="114">
        <f>SUMIFS('Committments Dump'!$Q:$Q,'Committments Dump'!$C:$C,'Category Table'!V$2,'Committments Dump'!$B:$B,'Category Table'!$A292)</f>
        <v/>
      </c>
      <c r="W292" s="114">
        <f>SUMIFS('Committments Dump'!$Q:$Q,'Committments Dump'!$C:$C,'Category Table'!W$2,'Committments Dump'!$B:$B,'Category Table'!$A292)</f>
        <v/>
      </c>
      <c r="X292" s="113">
        <f>SUMIFS('Committments Dump'!$R:$R,'Committments Dump'!$C:$C,'Category Table'!X$2,'Committments Dump'!$B:$B,'Category Table'!$A292)</f>
        <v/>
      </c>
      <c r="Y292" s="114">
        <f>SUMIFS('Committments Dump'!$R:$R,'Committments Dump'!$C:$C,'Category Table'!Y$2,'Committments Dump'!$B:$B,'Category Table'!$A292)</f>
        <v/>
      </c>
      <c r="Z292" s="114">
        <f>SUMIFS('Committments Dump'!$R:$R,'Committments Dump'!$C:$C,'Category Table'!Z$2,'Committments Dump'!$B:$B,'Category Table'!$A292)</f>
        <v/>
      </c>
      <c r="AA292" s="113">
        <f>SUMIFS('Committments Dump'!$S:$S,'Committments Dump'!$C:$C,'Category Table'!AA$2,'Committments Dump'!$B:$B,'Category Table'!$A292)</f>
        <v/>
      </c>
      <c r="AB292" s="114">
        <f>SUMIFS('Committments Dump'!$S:$S,'Committments Dump'!$C:$C,'Category Table'!AB$2,'Committments Dump'!$B:$B,'Category Table'!$A292)</f>
        <v/>
      </c>
      <c r="AC292" s="114">
        <f>SUMIFS('Committments Dump'!$S:$S,'Committments Dump'!$C:$C,'Category Table'!AC$2,'Committments Dump'!$B:$B,'Category Table'!$A292)</f>
        <v/>
      </c>
      <c r="AD292" s="113">
        <f>U292+X292+AA292</f>
        <v/>
      </c>
      <c r="AE292" s="114">
        <f>V292+Y292+AB292</f>
        <v/>
      </c>
      <c r="AF292" s="114">
        <f>W292+Z292+AC292</f>
        <v/>
      </c>
      <c r="AG292" s="113">
        <f>R292+AD292</f>
        <v/>
      </c>
      <c r="AH292" s="114">
        <f>S292+AE292</f>
        <v/>
      </c>
      <c r="AI292" s="114">
        <f>T292+AF292</f>
        <v/>
      </c>
      <c r="AJ292" s="113" t="n"/>
      <c r="AK292" s="114" t="n"/>
      <c r="AL292" s="114" t="n"/>
      <c r="AM292" s="113">
        <f>(O292-AG292)+AJ292</f>
        <v/>
      </c>
      <c r="AN292" s="114">
        <f>(P292-AH292)+AK292</f>
        <v/>
      </c>
      <c r="AO292" s="114">
        <f>(Q292-AI292)+AL292</f>
        <v/>
      </c>
      <c r="AP292" s="2">
        <f>IF(AM292&gt;0, "Under",IF(AM292&lt;0,"Over",""))</f>
        <v/>
      </c>
      <c r="AQ292" s="1">
        <f>IF(AN292&gt;0, "Under",IF(AN292&lt;0,"Over",""))</f>
        <v/>
      </c>
      <c r="AR292" s="1">
        <f>IF(AO292&gt;0, "Under",IF(AO292&lt;0,"Over",""))</f>
        <v/>
      </c>
      <c r="AS292" s="3" t="n"/>
    </row>
    <row r="293">
      <c r="A293" s="90" t="n"/>
      <c r="B293" s="90" t="n"/>
      <c r="C293" s="115" t="n"/>
      <c r="D293" s="116" t="n"/>
      <c r="E293" s="116" t="n"/>
      <c r="F293" s="115" t="n"/>
      <c r="G293" s="116" t="n"/>
      <c r="H293" s="116" t="n"/>
      <c r="I293" s="115" t="n"/>
      <c r="J293" s="116" t="n"/>
      <c r="K293" s="116" t="n"/>
      <c r="L293" s="115" t="n"/>
      <c r="M293" s="116" t="n"/>
      <c r="N293" s="116" t="n"/>
      <c r="O293" s="115">
        <f>L293+I293+F293+C293</f>
        <v/>
      </c>
      <c r="P293" s="116">
        <f>M293+J293+G293+D293</f>
        <v/>
      </c>
      <c r="Q293" s="116">
        <f>N293+K293+H293+E293</f>
        <v/>
      </c>
      <c r="R293" s="115">
        <f>SUMIFS('PO Log'!$E:$E,'PO Log'!$D:$D,'Category Table'!R$2,'PO Log'!$C:$C,'Category Table'!$A293)</f>
        <v/>
      </c>
      <c r="S293" s="116">
        <f>SUMIFS('PO Log'!$E:$E,'PO Log'!$D:$D,'Category Table'!S$2,'PO Log'!$C:$C,'Category Table'!$A293)</f>
        <v/>
      </c>
      <c r="T293" s="116">
        <f>SUMIFS('PO Log'!$E:$E,'PO Log'!$D:$D,'Category Table'!T$2,'PO Log'!$C:$C,'Category Table'!$A293)</f>
        <v/>
      </c>
      <c r="U293" s="115">
        <f>SUMIFS('Committments Dump'!$Q:$Q,'Committments Dump'!$C:$C,'Category Table'!U$2,'Committments Dump'!$B:$B,'Category Table'!$A293)</f>
        <v/>
      </c>
      <c r="V293" s="116">
        <f>SUMIFS('Committments Dump'!$Q:$Q,'Committments Dump'!$C:$C,'Category Table'!V$2,'Committments Dump'!$B:$B,'Category Table'!$A293)</f>
        <v/>
      </c>
      <c r="W293" s="116">
        <f>SUMIFS('Committments Dump'!$Q:$Q,'Committments Dump'!$C:$C,'Category Table'!W$2,'Committments Dump'!$B:$B,'Category Table'!$A293)</f>
        <v/>
      </c>
      <c r="X293" s="115">
        <f>SUMIFS('Committments Dump'!$R:$R,'Committments Dump'!$C:$C,'Category Table'!X$2,'Committments Dump'!$B:$B,'Category Table'!$A293)</f>
        <v/>
      </c>
      <c r="Y293" s="116">
        <f>SUMIFS('Committments Dump'!$R:$R,'Committments Dump'!$C:$C,'Category Table'!Y$2,'Committments Dump'!$B:$B,'Category Table'!$A293)</f>
        <v/>
      </c>
      <c r="Z293" s="116">
        <f>SUMIFS('Committments Dump'!$R:$R,'Committments Dump'!$C:$C,'Category Table'!Z$2,'Committments Dump'!$B:$B,'Category Table'!$A293)</f>
        <v/>
      </c>
      <c r="AA293" s="115">
        <f>SUMIFS('Committments Dump'!$S:$S,'Committments Dump'!$C:$C,'Category Table'!AA$2,'Committments Dump'!$B:$B,'Category Table'!$A293)</f>
        <v/>
      </c>
      <c r="AB293" s="116">
        <f>SUMIFS('Committments Dump'!$S:$S,'Committments Dump'!$C:$C,'Category Table'!AB$2,'Committments Dump'!$B:$B,'Category Table'!$A293)</f>
        <v/>
      </c>
      <c r="AC293" s="116">
        <f>SUMIFS('Committments Dump'!$S:$S,'Committments Dump'!$C:$C,'Category Table'!AC$2,'Committments Dump'!$B:$B,'Category Table'!$A293)</f>
        <v/>
      </c>
      <c r="AD293" s="115">
        <f>U293+X293+AA293</f>
        <v/>
      </c>
      <c r="AE293" s="116">
        <f>V293+Y293+AB293</f>
        <v/>
      </c>
      <c r="AF293" s="116">
        <f>W293+Z293+AC293</f>
        <v/>
      </c>
      <c r="AG293" s="115">
        <f>R293+AD293</f>
        <v/>
      </c>
      <c r="AH293" s="116">
        <f>S293+AE293</f>
        <v/>
      </c>
      <c r="AI293" s="116">
        <f>T293+AF293</f>
        <v/>
      </c>
      <c r="AJ293" s="115" t="n"/>
      <c r="AK293" s="116" t="n"/>
      <c r="AL293" s="116" t="n"/>
      <c r="AM293" s="115">
        <f>(O293-AG293)+AJ293</f>
        <v/>
      </c>
      <c r="AN293" s="116">
        <f>(P293-AH293)+AK293</f>
        <v/>
      </c>
      <c r="AO293" s="116">
        <f>(Q293-AI293)+AL293</f>
        <v/>
      </c>
      <c r="AP293" s="93">
        <f>IF(AM293&gt;0, "Under",IF(AM293&lt;0,"Over",""))</f>
        <v/>
      </c>
      <c r="AQ293" s="94">
        <f>IF(AN293&gt;0, "Under",IF(AN293&lt;0,"Over",""))</f>
        <v/>
      </c>
      <c r="AR293" s="94">
        <f>IF(AO293&gt;0, "Under",IF(AO293&lt;0,"Over",""))</f>
        <v/>
      </c>
      <c r="AS293" s="3" t="n"/>
    </row>
    <row r="294">
      <c r="C294" s="113" t="n"/>
      <c r="D294" s="114" t="n"/>
      <c r="E294" s="114" t="n"/>
      <c r="F294" s="113" t="n"/>
      <c r="G294" s="114" t="n"/>
      <c r="H294" s="114" t="n"/>
      <c r="I294" s="113" t="n"/>
      <c r="J294" s="114" t="n"/>
      <c r="K294" s="114" t="n"/>
      <c r="L294" s="113" t="n"/>
      <c r="M294" s="114" t="n"/>
      <c r="N294" s="114" t="n"/>
      <c r="O294" s="113">
        <f>L294+I294+F294+C294</f>
        <v/>
      </c>
      <c r="P294" s="114">
        <f>M294+J294+G294+D294</f>
        <v/>
      </c>
      <c r="Q294" s="114">
        <f>N294+K294+H294+E294</f>
        <v/>
      </c>
      <c r="R294" s="113">
        <f>SUMIFS('PO Log'!$E:$E,'PO Log'!$D:$D,'Category Table'!R$2,'PO Log'!$C:$C,'Category Table'!$A294)</f>
        <v/>
      </c>
      <c r="S294" s="114">
        <f>SUMIFS('PO Log'!$E:$E,'PO Log'!$D:$D,'Category Table'!S$2,'PO Log'!$C:$C,'Category Table'!$A294)</f>
        <v/>
      </c>
      <c r="T294" s="114">
        <f>SUMIFS('PO Log'!$E:$E,'PO Log'!$D:$D,'Category Table'!T$2,'PO Log'!$C:$C,'Category Table'!$A294)</f>
        <v/>
      </c>
      <c r="U294" s="113">
        <f>SUMIFS('Committments Dump'!$Q:$Q,'Committments Dump'!$C:$C,'Category Table'!U$2,'Committments Dump'!$B:$B,'Category Table'!$A294)</f>
        <v/>
      </c>
      <c r="V294" s="114">
        <f>SUMIFS('Committments Dump'!$Q:$Q,'Committments Dump'!$C:$C,'Category Table'!V$2,'Committments Dump'!$B:$B,'Category Table'!$A294)</f>
        <v/>
      </c>
      <c r="W294" s="114">
        <f>SUMIFS('Committments Dump'!$Q:$Q,'Committments Dump'!$C:$C,'Category Table'!W$2,'Committments Dump'!$B:$B,'Category Table'!$A294)</f>
        <v/>
      </c>
      <c r="X294" s="113">
        <f>SUMIFS('Committments Dump'!$R:$R,'Committments Dump'!$C:$C,'Category Table'!X$2,'Committments Dump'!$B:$B,'Category Table'!$A294)</f>
        <v/>
      </c>
      <c r="Y294" s="114">
        <f>SUMIFS('Committments Dump'!$R:$R,'Committments Dump'!$C:$C,'Category Table'!Y$2,'Committments Dump'!$B:$B,'Category Table'!$A294)</f>
        <v/>
      </c>
      <c r="Z294" s="114">
        <f>SUMIFS('Committments Dump'!$R:$R,'Committments Dump'!$C:$C,'Category Table'!Z$2,'Committments Dump'!$B:$B,'Category Table'!$A294)</f>
        <v/>
      </c>
      <c r="AA294" s="113">
        <f>SUMIFS('Committments Dump'!$S:$S,'Committments Dump'!$C:$C,'Category Table'!AA$2,'Committments Dump'!$B:$B,'Category Table'!$A294)</f>
        <v/>
      </c>
      <c r="AB294" s="114">
        <f>SUMIFS('Committments Dump'!$S:$S,'Committments Dump'!$C:$C,'Category Table'!AB$2,'Committments Dump'!$B:$B,'Category Table'!$A294)</f>
        <v/>
      </c>
      <c r="AC294" s="114">
        <f>SUMIFS('Committments Dump'!$S:$S,'Committments Dump'!$C:$C,'Category Table'!AC$2,'Committments Dump'!$B:$B,'Category Table'!$A294)</f>
        <v/>
      </c>
      <c r="AD294" s="113">
        <f>U294+X294+AA294</f>
        <v/>
      </c>
      <c r="AE294" s="114">
        <f>V294+Y294+AB294</f>
        <v/>
      </c>
      <c r="AF294" s="114">
        <f>W294+Z294+AC294</f>
        <v/>
      </c>
      <c r="AG294" s="113">
        <f>R294+AD294</f>
        <v/>
      </c>
      <c r="AH294" s="114">
        <f>S294+AE294</f>
        <v/>
      </c>
      <c r="AI294" s="114">
        <f>T294+AF294</f>
        <v/>
      </c>
      <c r="AJ294" s="113" t="n"/>
      <c r="AK294" s="114" t="n"/>
      <c r="AL294" s="114" t="n"/>
      <c r="AM294" s="113">
        <f>(O294-AG294)+AJ294</f>
        <v/>
      </c>
      <c r="AN294" s="114">
        <f>(P294-AH294)+AK294</f>
        <v/>
      </c>
      <c r="AO294" s="114">
        <f>(Q294-AI294)+AL294</f>
        <v/>
      </c>
      <c r="AP294" s="2">
        <f>IF(AM294&gt;0, "Under",IF(AM294&lt;0,"Over",""))</f>
        <v/>
      </c>
      <c r="AQ294" s="1">
        <f>IF(AN294&gt;0, "Under",IF(AN294&lt;0,"Over",""))</f>
        <v/>
      </c>
      <c r="AR294" s="1">
        <f>IF(AO294&gt;0, "Under",IF(AO294&lt;0,"Over",""))</f>
        <v/>
      </c>
      <c r="AS294" s="3" t="n"/>
    </row>
    <row r="295">
      <c r="A295" s="90" t="n"/>
      <c r="B295" s="90" t="n"/>
      <c r="C295" s="115" t="n"/>
      <c r="D295" s="116" t="n"/>
      <c r="E295" s="116" t="n"/>
      <c r="F295" s="115" t="n"/>
      <c r="G295" s="116" t="n"/>
      <c r="H295" s="116" t="n"/>
      <c r="I295" s="115" t="n"/>
      <c r="J295" s="116" t="n"/>
      <c r="K295" s="116" t="n"/>
      <c r="L295" s="115" t="n"/>
      <c r="M295" s="116" t="n"/>
      <c r="N295" s="116" t="n"/>
      <c r="O295" s="115">
        <f>L295+I295+F295+C295</f>
        <v/>
      </c>
      <c r="P295" s="116">
        <f>M295+J295+G295+D295</f>
        <v/>
      </c>
      <c r="Q295" s="116">
        <f>N295+K295+H295+E295</f>
        <v/>
      </c>
      <c r="R295" s="115">
        <f>SUMIFS('PO Log'!$E:$E,'PO Log'!$D:$D,'Category Table'!R$2,'PO Log'!$C:$C,'Category Table'!$A295)</f>
        <v/>
      </c>
      <c r="S295" s="116">
        <f>SUMIFS('PO Log'!$E:$E,'PO Log'!$D:$D,'Category Table'!S$2,'PO Log'!$C:$C,'Category Table'!$A295)</f>
        <v/>
      </c>
      <c r="T295" s="116">
        <f>SUMIFS('PO Log'!$E:$E,'PO Log'!$D:$D,'Category Table'!T$2,'PO Log'!$C:$C,'Category Table'!$A295)</f>
        <v/>
      </c>
      <c r="U295" s="115">
        <f>SUMIFS('Committments Dump'!$Q:$Q,'Committments Dump'!$C:$C,'Category Table'!U$2,'Committments Dump'!$B:$B,'Category Table'!$A295)</f>
        <v/>
      </c>
      <c r="V295" s="116">
        <f>SUMIFS('Committments Dump'!$Q:$Q,'Committments Dump'!$C:$C,'Category Table'!V$2,'Committments Dump'!$B:$B,'Category Table'!$A295)</f>
        <v/>
      </c>
      <c r="W295" s="116">
        <f>SUMIFS('Committments Dump'!$Q:$Q,'Committments Dump'!$C:$C,'Category Table'!W$2,'Committments Dump'!$B:$B,'Category Table'!$A295)</f>
        <v/>
      </c>
      <c r="X295" s="115">
        <f>SUMIFS('Committments Dump'!$R:$R,'Committments Dump'!$C:$C,'Category Table'!X$2,'Committments Dump'!$B:$B,'Category Table'!$A295)</f>
        <v/>
      </c>
      <c r="Y295" s="116">
        <f>SUMIFS('Committments Dump'!$R:$R,'Committments Dump'!$C:$C,'Category Table'!Y$2,'Committments Dump'!$B:$B,'Category Table'!$A295)</f>
        <v/>
      </c>
      <c r="Z295" s="116">
        <f>SUMIFS('Committments Dump'!$R:$R,'Committments Dump'!$C:$C,'Category Table'!Z$2,'Committments Dump'!$B:$B,'Category Table'!$A295)</f>
        <v/>
      </c>
      <c r="AA295" s="115">
        <f>SUMIFS('Committments Dump'!$S:$S,'Committments Dump'!$C:$C,'Category Table'!AA$2,'Committments Dump'!$B:$B,'Category Table'!$A295)</f>
        <v/>
      </c>
      <c r="AB295" s="116">
        <f>SUMIFS('Committments Dump'!$S:$S,'Committments Dump'!$C:$C,'Category Table'!AB$2,'Committments Dump'!$B:$B,'Category Table'!$A295)</f>
        <v/>
      </c>
      <c r="AC295" s="116">
        <f>SUMIFS('Committments Dump'!$S:$S,'Committments Dump'!$C:$C,'Category Table'!AC$2,'Committments Dump'!$B:$B,'Category Table'!$A295)</f>
        <v/>
      </c>
      <c r="AD295" s="115">
        <f>U295+X295+AA295</f>
        <v/>
      </c>
      <c r="AE295" s="116">
        <f>V295+Y295+AB295</f>
        <v/>
      </c>
      <c r="AF295" s="116">
        <f>W295+Z295+AC295</f>
        <v/>
      </c>
      <c r="AG295" s="115">
        <f>R295+AD295</f>
        <v/>
      </c>
      <c r="AH295" s="116">
        <f>S295+AE295</f>
        <v/>
      </c>
      <c r="AI295" s="116">
        <f>T295+AF295</f>
        <v/>
      </c>
      <c r="AJ295" s="115" t="n"/>
      <c r="AK295" s="116" t="n"/>
      <c r="AL295" s="116" t="n"/>
      <c r="AM295" s="115">
        <f>(O295-AG295)+AJ295</f>
        <v/>
      </c>
      <c r="AN295" s="116">
        <f>(P295-AH295)+AK295</f>
        <v/>
      </c>
      <c r="AO295" s="116">
        <f>(Q295-AI295)+AL295</f>
        <v/>
      </c>
      <c r="AP295" s="93">
        <f>IF(AM295&gt;0, "Under",IF(AM295&lt;0,"Over",""))</f>
        <v/>
      </c>
      <c r="AQ295" s="94">
        <f>IF(AN295&gt;0, "Under",IF(AN295&lt;0,"Over",""))</f>
        <v/>
      </c>
      <c r="AR295" s="94">
        <f>IF(AO295&gt;0, "Under",IF(AO295&lt;0,"Over",""))</f>
        <v/>
      </c>
      <c r="AS295" s="3" t="n"/>
    </row>
    <row r="296">
      <c r="C296" s="113" t="n"/>
      <c r="D296" s="114" t="n"/>
      <c r="E296" s="114" t="n"/>
      <c r="F296" s="113" t="n"/>
      <c r="G296" s="114" t="n"/>
      <c r="H296" s="114" t="n"/>
      <c r="I296" s="113" t="n"/>
      <c r="J296" s="114" t="n"/>
      <c r="K296" s="114" t="n"/>
      <c r="L296" s="113" t="n"/>
      <c r="M296" s="114" t="n"/>
      <c r="N296" s="114" t="n"/>
      <c r="O296" s="113">
        <f>L296+I296+F296+C296</f>
        <v/>
      </c>
      <c r="P296" s="114">
        <f>M296+J296+G296+D296</f>
        <v/>
      </c>
      <c r="Q296" s="114">
        <f>N296+K296+H296+E296</f>
        <v/>
      </c>
      <c r="R296" s="113">
        <f>SUMIFS('PO Log'!$E:$E,'PO Log'!$D:$D,'Category Table'!R$2,'PO Log'!$C:$C,'Category Table'!$A296)</f>
        <v/>
      </c>
      <c r="S296" s="114">
        <f>SUMIFS('PO Log'!$E:$E,'PO Log'!$D:$D,'Category Table'!S$2,'PO Log'!$C:$C,'Category Table'!$A296)</f>
        <v/>
      </c>
      <c r="T296" s="114">
        <f>SUMIFS('PO Log'!$E:$E,'PO Log'!$D:$D,'Category Table'!T$2,'PO Log'!$C:$C,'Category Table'!$A296)</f>
        <v/>
      </c>
      <c r="U296" s="113">
        <f>SUMIFS('Committments Dump'!$Q:$Q,'Committments Dump'!$C:$C,'Category Table'!U$2,'Committments Dump'!$B:$B,'Category Table'!$A296)</f>
        <v/>
      </c>
      <c r="V296" s="114">
        <f>SUMIFS('Committments Dump'!$Q:$Q,'Committments Dump'!$C:$C,'Category Table'!V$2,'Committments Dump'!$B:$B,'Category Table'!$A296)</f>
        <v/>
      </c>
      <c r="W296" s="114">
        <f>SUMIFS('Committments Dump'!$Q:$Q,'Committments Dump'!$C:$C,'Category Table'!W$2,'Committments Dump'!$B:$B,'Category Table'!$A296)</f>
        <v/>
      </c>
      <c r="X296" s="113">
        <f>SUMIFS('Committments Dump'!$R:$R,'Committments Dump'!$C:$C,'Category Table'!X$2,'Committments Dump'!$B:$B,'Category Table'!$A296)</f>
        <v/>
      </c>
      <c r="Y296" s="114">
        <f>SUMIFS('Committments Dump'!$R:$R,'Committments Dump'!$C:$C,'Category Table'!Y$2,'Committments Dump'!$B:$B,'Category Table'!$A296)</f>
        <v/>
      </c>
      <c r="Z296" s="114">
        <f>SUMIFS('Committments Dump'!$R:$R,'Committments Dump'!$C:$C,'Category Table'!Z$2,'Committments Dump'!$B:$B,'Category Table'!$A296)</f>
        <v/>
      </c>
      <c r="AA296" s="113">
        <f>SUMIFS('Committments Dump'!$S:$S,'Committments Dump'!$C:$C,'Category Table'!AA$2,'Committments Dump'!$B:$B,'Category Table'!$A296)</f>
        <v/>
      </c>
      <c r="AB296" s="114">
        <f>SUMIFS('Committments Dump'!$S:$S,'Committments Dump'!$C:$C,'Category Table'!AB$2,'Committments Dump'!$B:$B,'Category Table'!$A296)</f>
        <v/>
      </c>
      <c r="AC296" s="114">
        <f>SUMIFS('Committments Dump'!$S:$S,'Committments Dump'!$C:$C,'Category Table'!AC$2,'Committments Dump'!$B:$B,'Category Table'!$A296)</f>
        <v/>
      </c>
      <c r="AD296" s="113">
        <f>U296+X296+AA296</f>
        <v/>
      </c>
      <c r="AE296" s="114">
        <f>V296+Y296+AB296</f>
        <v/>
      </c>
      <c r="AF296" s="114">
        <f>W296+Z296+AC296</f>
        <v/>
      </c>
      <c r="AG296" s="113">
        <f>R296+AD296</f>
        <v/>
      </c>
      <c r="AH296" s="114">
        <f>S296+AE296</f>
        <v/>
      </c>
      <c r="AI296" s="114">
        <f>T296+AF296</f>
        <v/>
      </c>
      <c r="AJ296" s="113" t="n"/>
      <c r="AK296" s="114" t="n"/>
      <c r="AL296" s="114" t="n"/>
      <c r="AM296" s="113">
        <f>(O296-AG296)+AJ296</f>
        <v/>
      </c>
      <c r="AN296" s="114">
        <f>(P296-AH296)+AK296</f>
        <v/>
      </c>
      <c r="AO296" s="114">
        <f>(Q296-AI296)+AL296</f>
        <v/>
      </c>
      <c r="AP296" s="2">
        <f>IF(AM296&gt;0, "Under",IF(AM296&lt;0,"Over",""))</f>
        <v/>
      </c>
      <c r="AQ296" s="1">
        <f>IF(AN296&gt;0, "Under",IF(AN296&lt;0,"Over",""))</f>
        <v/>
      </c>
      <c r="AR296" s="1">
        <f>IF(AO296&gt;0, "Under",IF(AO296&lt;0,"Over",""))</f>
        <v/>
      </c>
      <c r="AS296" s="3" t="n"/>
    </row>
    <row r="297">
      <c r="A297" s="90" t="n"/>
      <c r="B297" s="90" t="n"/>
      <c r="C297" s="115" t="n"/>
      <c r="D297" s="116" t="n"/>
      <c r="E297" s="116" t="n"/>
      <c r="F297" s="115" t="n"/>
      <c r="G297" s="116" t="n"/>
      <c r="H297" s="116" t="n"/>
      <c r="I297" s="115" t="n"/>
      <c r="J297" s="116" t="n"/>
      <c r="K297" s="116" t="n"/>
      <c r="L297" s="115" t="n"/>
      <c r="M297" s="116" t="n"/>
      <c r="N297" s="116" t="n"/>
      <c r="O297" s="115">
        <f>L297+I297+F297+C297</f>
        <v/>
      </c>
      <c r="P297" s="116">
        <f>M297+J297+G297+D297</f>
        <v/>
      </c>
      <c r="Q297" s="116">
        <f>N297+K297+H297+E297</f>
        <v/>
      </c>
      <c r="R297" s="115">
        <f>SUMIFS('PO Log'!$E:$E,'PO Log'!$D:$D,'Category Table'!R$2,'PO Log'!$C:$C,'Category Table'!$A297)</f>
        <v/>
      </c>
      <c r="S297" s="116">
        <f>SUMIFS('PO Log'!$E:$E,'PO Log'!$D:$D,'Category Table'!S$2,'PO Log'!$C:$C,'Category Table'!$A297)</f>
        <v/>
      </c>
      <c r="T297" s="116">
        <f>SUMIFS('PO Log'!$E:$E,'PO Log'!$D:$D,'Category Table'!T$2,'PO Log'!$C:$C,'Category Table'!$A297)</f>
        <v/>
      </c>
      <c r="U297" s="115">
        <f>SUMIFS('Committments Dump'!$Q:$Q,'Committments Dump'!$C:$C,'Category Table'!U$2,'Committments Dump'!$B:$B,'Category Table'!$A297)</f>
        <v/>
      </c>
      <c r="V297" s="116">
        <f>SUMIFS('Committments Dump'!$Q:$Q,'Committments Dump'!$C:$C,'Category Table'!V$2,'Committments Dump'!$B:$B,'Category Table'!$A297)</f>
        <v/>
      </c>
      <c r="W297" s="116">
        <f>SUMIFS('Committments Dump'!$Q:$Q,'Committments Dump'!$C:$C,'Category Table'!W$2,'Committments Dump'!$B:$B,'Category Table'!$A297)</f>
        <v/>
      </c>
      <c r="X297" s="115">
        <f>SUMIFS('Committments Dump'!$R:$R,'Committments Dump'!$C:$C,'Category Table'!X$2,'Committments Dump'!$B:$B,'Category Table'!$A297)</f>
        <v/>
      </c>
      <c r="Y297" s="116">
        <f>SUMIFS('Committments Dump'!$R:$R,'Committments Dump'!$C:$C,'Category Table'!Y$2,'Committments Dump'!$B:$B,'Category Table'!$A297)</f>
        <v/>
      </c>
      <c r="Z297" s="116">
        <f>SUMIFS('Committments Dump'!$R:$R,'Committments Dump'!$C:$C,'Category Table'!Z$2,'Committments Dump'!$B:$B,'Category Table'!$A297)</f>
        <v/>
      </c>
      <c r="AA297" s="115">
        <f>SUMIFS('Committments Dump'!$S:$S,'Committments Dump'!$C:$C,'Category Table'!AA$2,'Committments Dump'!$B:$B,'Category Table'!$A297)</f>
        <v/>
      </c>
      <c r="AB297" s="116">
        <f>SUMIFS('Committments Dump'!$S:$S,'Committments Dump'!$C:$C,'Category Table'!AB$2,'Committments Dump'!$B:$B,'Category Table'!$A297)</f>
        <v/>
      </c>
      <c r="AC297" s="116">
        <f>SUMIFS('Committments Dump'!$S:$S,'Committments Dump'!$C:$C,'Category Table'!AC$2,'Committments Dump'!$B:$B,'Category Table'!$A297)</f>
        <v/>
      </c>
      <c r="AD297" s="115">
        <f>U297+X297+AA297</f>
        <v/>
      </c>
      <c r="AE297" s="116">
        <f>V297+Y297+AB297</f>
        <v/>
      </c>
      <c r="AF297" s="116">
        <f>W297+Z297+AC297</f>
        <v/>
      </c>
      <c r="AG297" s="115">
        <f>R297+AD297</f>
        <v/>
      </c>
      <c r="AH297" s="116">
        <f>S297+AE297</f>
        <v/>
      </c>
      <c r="AI297" s="116">
        <f>T297+AF297</f>
        <v/>
      </c>
      <c r="AJ297" s="115" t="n"/>
      <c r="AK297" s="116" t="n"/>
      <c r="AL297" s="116" t="n"/>
      <c r="AM297" s="115">
        <f>(O297-AG297)+AJ297</f>
        <v/>
      </c>
      <c r="AN297" s="116">
        <f>(P297-AH297)+AK297</f>
        <v/>
      </c>
      <c r="AO297" s="116">
        <f>(Q297-AI297)+AL297</f>
        <v/>
      </c>
      <c r="AP297" s="93">
        <f>IF(AM297&gt;0, "Under",IF(AM297&lt;0,"Over",""))</f>
        <v/>
      </c>
      <c r="AQ297" s="94">
        <f>IF(AN297&gt;0, "Under",IF(AN297&lt;0,"Over",""))</f>
        <v/>
      </c>
      <c r="AR297" s="94">
        <f>IF(AO297&gt;0, "Under",IF(AO297&lt;0,"Over",""))</f>
        <v/>
      </c>
      <c r="AS297" s="3" t="n"/>
    </row>
    <row r="298">
      <c r="C298" s="113" t="n"/>
      <c r="D298" s="114" t="n"/>
      <c r="E298" s="114" t="n"/>
      <c r="F298" s="113" t="n"/>
      <c r="G298" s="114" t="n"/>
      <c r="H298" s="114" t="n"/>
      <c r="I298" s="113" t="n"/>
      <c r="J298" s="114" t="n"/>
      <c r="K298" s="114" t="n"/>
      <c r="L298" s="113" t="n"/>
      <c r="M298" s="114" t="n"/>
      <c r="N298" s="114" t="n"/>
      <c r="O298" s="113">
        <f>L298+I298+F298+C298</f>
        <v/>
      </c>
      <c r="P298" s="114">
        <f>M298+J298+G298+D298</f>
        <v/>
      </c>
      <c r="Q298" s="114">
        <f>N298+K298+H298+E298</f>
        <v/>
      </c>
      <c r="R298" s="113">
        <f>SUMIFS('PO Log'!$E:$E,'PO Log'!$D:$D,'Category Table'!R$2,'PO Log'!$C:$C,'Category Table'!$A298)</f>
        <v/>
      </c>
      <c r="S298" s="114">
        <f>SUMIFS('PO Log'!$E:$E,'PO Log'!$D:$D,'Category Table'!S$2,'PO Log'!$C:$C,'Category Table'!$A298)</f>
        <v/>
      </c>
      <c r="T298" s="114">
        <f>SUMIFS('PO Log'!$E:$E,'PO Log'!$D:$D,'Category Table'!T$2,'PO Log'!$C:$C,'Category Table'!$A298)</f>
        <v/>
      </c>
      <c r="U298" s="113">
        <f>SUMIFS('Committments Dump'!$Q:$Q,'Committments Dump'!$C:$C,'Category Table'!U$2,'Committments Dump'!$B:$B,'Category Table'!$A298)</f>
        <v/>
      </c>
      <c r="V298" s="114">
        <f>SUMIFS('Committments Dump'!$Q:$Q,'Committments Dump'!$C:$C,'Category Table'!V$2,'Committments Dump'!$B:$B,'Category Table'!$A298)</f>
        <v/>
      </c>
      <c r="W298" s="114">
        <f>SUMIFS('Committments Dump'!$Q:$Q,'Committments Dump'!$C:$C,'Category Table'!W$2,'Committments Dump'!$B:$B,'Category Table'!$A298)</f>
        <v/>
      </c>
      <c r="X298" s="113">
        <f>SUMIFS('Committments Dump'!$R:$R,'Committments Dump'!$C:$C,'Category Table'!X$2,'Committments Dump'!$B:$B,'Category Table'!$A298)</f>
        <v/>
      </c>
      <c r="Y298" s="114">
        <f>SUMIFS('Committments Dump'!$R:$R,'Committments Dump'!$C:$C,'Category Table'!Y$2,'Committments Dump'!$B:$B,'Category Table'!$A298)</f>
        <v/>
      </c>
      <c r="Z298" s="114">
        <f>SUMIFS('Committments Dump'!$R:$R,'Committments Dump'!$C:$C,'Category Table'!Z$2,'Committments Dump'!$B:$B,'Category Table'!$A298)</f>
        <v/>
      </c>
      <c r="AA298" s="113">
        <f>SUMIFS('Committments Dump'!$S:$S,'Committments Dump'!$C:$C,'Category Table'!AA$2,'Committments Dump'!$B:$B,'Category Table'!$A298)</f>
        <v/>
      </c>
      <c r="AB298" s="114">
        <f>SUMIFS('Committments Dump'!$S:$S,'Committments Dump'!$C:$C,'Category Table'!AB$2,'Committments Dump'!$B:$B,'Category Table'!$A298)</f>
        <v/>
      </c>
      <c r="AC298" s="114">
        <f>SUMIFS('Committments Dump'!$S:$S,'Committments Dump'!$C:$C,'Category Table'!AC$2,'Committments Dump'!$B:$B,'Category Table'!$A298)</f>
        <v/>
      </c>
      <c r="AD298" s="113">
        <f>U298+X298+AA298</f>
        <v/>
      </c>
      <c r="AE298" s="114">
        <f>V298+Y298+AB298</f>
        <v/>
      </c>
      <c r="AF298" s="114">
        <f>W298+Z298+AC298</f>
        <v/>
      </c>
      <c r="AG298" s="113">
        <f>R298+AD298</f>
        <v/>
      </c>
      <c r="AH298" s="114">
        <f>S298+AE298</f>
        <v/>
      </c>
      <c r="AI298" s="114">
        <f>T298+AF298</f>
        <v/>
      </c>
      <c r="AJ298" s="113" t="n"/>
      <c r="AK298" s="114" t="n"/>
      <c r="AL298" s="114" t="n"/>
      <c r="AM298" s="113">
        <f>(O298-AG298)+AJ298</f>
        <v/>
      </c>
      <c r="AN298" s="114">
        <f>(P298-AH298)+AK298</f>
        <v/>
      </c>
      <c r="AO298" s="114">
        <f>(Q298-AI298)+AL298</f>
        <v/>
      </c>
      <c r="AP298" s="2">
        <f>IF(AM298&gt;0, "Under",IF(AM298&lt;0,"Over",""))</f>
        <v/>
      </c>
      <c r="AQ298" s="1">
        <f>IF(AN298&gt;0, "Under",IF(AN298&lt;0,"Over",""))</f>
        <v/>
      </c>
      <c r="AR298" s="1">
        <f>IF(AO298&gt;0, "Under",IF(AO298&lt;0,"Over",""))</f>
        <v/>
      </c>
      <c r="AS298" s="3" t="n"/>
    </row>
    <row r="299">
      <c r="A299" s="90" t="n"/>
      <c r="B299" s="90" t="n"/>
      <c r="C299" s="115" t="n"/>
      <c r="D299" s="116" t="n"/>
      <c r="E299" s="116" t="n"/>
      <c r="F299" s="115" t="n"/>
      <c r="G299" s="116" t="n"/>
      <c r="H299" s="116" t="n"/>
      <c r="I299" s="115" t="n"/>
      <c r="J299" s="116" t="n"/>
      <c r="K299" s="116" t="n"/>
      <c r="L299" s="115" t="n"/>
      <c r="M299" s="116" t="n"/>
      <c r="N299" s="116" t="n"/>
      <c r="O299" s="115">
        <f>L299+I299+F299+C299</f>
        <v/>
      </c>
      <c r="P299" s="116">
        <f>M299+J299+G299+D299</f>
        <v/>
      </c>
      <c r="Q299" s="116">
        <f>N299+K299+H299+E299</f>
        <v/>
      </c>
      <c r="R299" s="115">
        <f>SUMIFS('PO Log'!$E:$E,'PO Log'!$D:$D,'Category Table'!R$2,'PO Log'!$C:$C,'Category Table'!$A299)</f>
        <v/>
      </c>
      <c r="S299" s="116">
        <f>SUMIFS('PO Log'!$E:$E,'PO Log'!$D:$D,'Category Table'!S$2,'PO Log'!$C:$C,'Category Table'!$A299)</f>
        <v/>
      </c>
      <c r="T299" s="116">
        <f>SUMIFS('PO Log'!$E:$E,'PO Log'!$D:$D,'Category Table'!T$2,'PO Log'!$C:$C,'Category Table'!$A299)</f>
        <v/>
      </c>
      <c r="U299" s="115">
        <f>SUMIFS('Committments Dump'!$Q:$Q,'Committments Dump'!$C:$C,'Category Table'!U$2,'Committments Dump'!$B:$B,'Category Table'!$A299)</f>
        <v/>
      </c>
      <c r="V299" s="116">
        <f>SUMIFS('Committments Dump'!$Q:$Q,'Committments Dump'!$C:$C,'Category Table'!V$2,'Committments Dump'!$B:$B,'Category Table'!$A299)</f>
        <v/>
      </c>
      <c r="W299" s="116">
        <f>SUMIFS('Committments Dump'!$Q:$Q,'Committments Dump'!$C:$C,'Category Table'!W$2,'Committments Dump'!$B:$B,'Category Table'!$A299)</f>
        <v/>
      </c>
      <c r="X299" s="115">
        <f>SUMIFS('Committments Dump'!$R:$R,'Committments Dump'!$C:$C,'Category Table'!X$2,'Committments Dump'!$B:$B,'Category Table'!$A299)</f>
        <v/>
      </c>
      <c r="Y299" s="116">
        <f>SUMIFS('Committments Dump'!$R:$R,'Committments Dump'!$C:$C,'Category Table'!Y$2,'Committments Dump'!$B:$B,'Category Table'!$A299)</f>
        <v/>
      </c>
      <c r="Z299" s="116">
        <f>SUMIFS('Committments Dump'!$R:$R,'Committments Dump'!$C:$C,'Category Table'!Z$2,'Committments Dump'!$B:$B,'Category Table'!$A299)</f>
        <v/>
      </c>
      <c r="AA299" s="115">
        <f>SUMIFS('Committments Dump'!$S:$S,'Committments Dump'!$C:$C,'Category Table'!AA$2,'Committments Dump'!$B:$B,'Category Table'!$A299)</f>
        <v/>
      </c>
      <c r="AB299" s="116">
        <f>SUMIFS('Committments Dump'!$S:$S,'Committments Dump'!$C:$C,'Category Table'!AB$2,'Committments Dump'!$B:$B,'Category Table'!$A299)</f>
        <v/>
      </c>
      <c r="AC299" s="116">
        <f>SUMIFS('Committments Dump'!$S:$S,'Committments Dump'!$C:$C,'Category Table'!AC$2,'Committments Dump'!$B:$B,'Category Table'!$A299)</f>
        <v/>
      </c>
      <c r="AD299" s="115">
        <f>U299+X299+AA299</f>
        <v/>
      </c>
      <c r="AE299" s="116">
        <f>V299+Y299+AB299</f>
        <v/>
      </c>
      <c r="AF299" s="116">
        <f>W299+Z299+AC299</f>
        <v/>
      </c>
      <c r="AG299" s="115">
        <f>R299+AD299</f>
        <v/>
      </c>
      <c r="AH299" s="116">
        <f>S299+AE299</f>
        <v/>
      </c>
      <c r="AI299" s="116">
        <f>T299+AF299</f>
        <v/>
      </c>
      <c r="AJ299" s="115" t="n"/>
      <c r="AK299" s="116" t="n"/>
      <c r="AL299" s="116" t="n"/>
      <c r="AM299" s="115">
        <f>(O299-AG299)+AJ299</f>
        <v/>
      </c>
      <c r="AN299" s="116">
        <f>(P299-AH299)+AK299</f>
        <v/>
      </c>
      <c r="AO299" s="116">
        <f>(Q299-AI299)+AL299</f>
        <v/>
      </c>
      <c r="AP299" s="93">
        <f>IF(AM299&gt;0, "Under",IF(AM299&lt;0,"Over",""))</f>
        <v/>
      </c>
      <c r="AQ299" s="94">
        <f>IF(AN299&gt;0, "Under",IF(AN299&lt;0,"Over",""))</f>
        <v/>
      </c>
      <c r="AR299" s="94">
        <f>IF(AO299&gt;0, "Under",IF(AO299&lt;0,"Over",""))</f>
        <v/>
      </c>
      <c r="AS299" s="3" t="n"/>
    </row>
    <row r="300">
      <c r="C300" s="113" t="n"/>
      <c r="D300" s="114" t="n"/>
      <c r="E300" s="114" t="n"/>
      <c r="F300" s="113" t="n"/>
      <c r="G300" s="114" t="n"/>
      <c r="H300" s="114" t="n"/>
      <c r="I300" s="113" t="n"/>
      <c r="J300" s="114" t="n"/>
      <c r="K300" s="114" t="n"/>
      <c r="L300" s="113" t="n"/>
      <c r="M300" s="114" t="n"/>
      <c r="N300" s="114" t="n"/>
      <c r="O300" s="113">
        <f>L300+I300+F300+C300</f>
        <v/>
      </c>
      <c r="P300" s="114">
        <f>M300+J300+G300+D300</f>
        <v/>
      </c>
      <c r="Q300" s="114">
        <f>N300+K300+H300+E300</f>
        <v/>
      </c>
      <c r="R300" s="113">
        <f>SUMIFS('PO Log'!$E:$E,'PO Log'!$D:$D,'Category Table'!R$2,'PO Log'!$C:$C,'Category Table'!$A300)</f>
        <v/>
      </c>
      <c r="S300" s="114">
        <f>SUMIFS('PO Log'!$E:$E,'PO Log'!$D:$D,'Category Table'!S$2,'PO Log'!$C:$C,'Category Table'!$A300)</f>
        <v/>
      </c>
      <c r="T300" s="114">
        <f>SUMIFS('PO Log'!$E:$E,'PO Log'!$D:$D,'Category Table'!T$2,'PO Log'!$C:$C,'Category Table'!$A300)</f>
        <v/>
      </c>
      <c r="U300" s="113">
        <f>SUMIFS('Committments Dump'!$Q:$Q,'Committments Dump'!$C:$C,'Category Table'!U$2,'Committments Dump'!$B:$B,'Category Table'!$A300)</f>
        <v/>
      </c>
      <c r="V300" s="114">
        <f>SUMIFS('Committments Dump'!$Q:$Q,'Committments Dump'!$C:$C,'Category Table'!V$2,'Committments Dump'!$B:$B,'Category Table'!$A300)</f>
        <v/>
      </c>
      <c r="W300" s="114">
        <f>SUMIFS('Committments Dump'!$Q:$Q,'Committments Dump'!$C:$C,'Category Table'!W$2,'Committments Dump'!$B:$B,'Category Table'!$A300)</f>
        <v/>
      </c>
      <c r="X300" s="113">
        <f>SUMIFS('Committments Dump'!$R:$R,'Committments Dump'!$C:$C,'Category Table'!X$2,'Committments Dump'!$B:$B,'Category Table'!$A300)</f>
        <v/>
      </c>
      <c r="Y300" s="114">
        <f>SUMIFS('Committments Dump'!$R:$R,'Committments Dump'!$C:$C,'Category Table'!Y$2,'Committments Dump'!$B:$B,'Category Table'!$A300)</f>
        <v/>
      </c>
      <c r="Z300" s="114">
        <f>SUMIFS('Committments Dump'!$R:$R,'Committments Dump'!$C:$C,'Category Table'!Z$2,'Committments Dump'!$B:$B,'Category Table'!$A300)</f>
        <v/>
      </c>
      <c r="AA300" s="113">
        <f>SUMIFS('Committments Dump'!$S:$S,'Committments Dump'!$C:$C,'Category Table'!AA$2,'Committments Dump'!$B:$B,'Category Table'!$A300)</f>
        <v/>
      </c>
      <c r="AB300" s="114">
        <f>SUMIFS('Committments Dump'!$S:$S,'Committments Dump'!$C:$C,'Category Table'!AB$2,'Committments Dump'!$B:$B,'Category Table'!$A300)</f>
        <v/>
      </c>
      <c r="AC300" s="114">
        <f>SUMIFS('Committments Dump'!$S:$S,'Committments Dump'!$C:$C,'Category Table'!AC$2,'Committments Dump'!$B:$B,'Category Table'!$A300)</f>
        <v/>
      </c>
      <c r="AD300" s="113">
        <f>U300+X300+AA300</f>
        <v/>
      </c>
      <c r="AE300" s="114">
        <f>V300+Y300+AB300</f>
        <v/>
      </c>
      <c r="AF300" s="114">
        <f>W300+Z300+AC300</f>
        <v/>
      </c>
      <c r="AG300" s="113">
        <f>R300+AD300</f>
        <v/>
      </c>
      <c r="AH300" s="114">
        <f>S300+AE300</f>
        <v/>
      </c>
      <c r="AI300" s="114">
        <f>T300+AF300</f>
        <v/>
      </c>
      <c r="AJ300" s="113" t="n"/>
      <c r="AK300" s="114" t="n"/>
      <c r="AL300" s="114" t="n"/>
      <c r="AM300" s="113">
        <f>(O300-AG300)+AJ300</f>
        <v/>
      </c>
      <c r="AN300" s="114">
        <f>(P300-AH300)+AK300</f>
        <v/>
      </c>
      <c r="AO300" s="114">
        <f>(Q300-AI300)+AL300</f>
        <v/>
      </c>
      <c r="AP300" s="2">
        <f>IF(AM300&gt;0, "Under",IF(AM300&lt;0,"Over",""))</f>
        <v/>
      </c>
      <c r="AQ300" s="1">
        <f>IF(AN300&gt;0, "Under",IF(AN300&lt;0,"Over",""))</f>
        <v/>
      </c>
      <c r="AR300" s="1">
        <f>IF(AO300&gt;0, "Under",IF(AO300&lt;0,"Over",""))</f>
        <v/>
      </c>
      <c r="AS300" s="3" t="n"/>
    </row>
    <row r="301">
      <c r="A301" s="90" t="n"/>
      <c r="B301" s="90" t="n"/>
      <c r="C301" s="115" t="n"/>
      <c r="D301" s="116" t="n"/>
      <c r="E301" s="116" t="n"/>
      <c r="F301" s="115" t="n"/>
      <c r="G301" s="116" t="n"/>
      <c r="H301" s="116" t="n"/>
      <c r="I301" s="115" t="n"/>
      <c r="J301" s="116" t="n"/>
      <c r="K301" s="116" t="n"/>
      <c r="L301" s="115" t="n"/>
      <c r="M301" s="116" t="n"/>
      <c r="N301" s="116" t="n"/>
      <c r="O301" s="115">
        <f>L301+I301+F301+C301</f>
        <v/>
      </c>
      <c r="P301" s="116">
        <f>M301+J301+G301+D301</f>
        <v/>
      </c>
      <c r="Q301" s="116">
        <f>N301+K301+H301+E301</f>
        <v/>
      </c>
      <c r="R301" s="115">
        <f>SUMIFS('PO Log'!$E:$E,'PO Log'!$D:$D,'Category Table'!R$2,'PO Log'!$C:$C,'Category Table'!$A301)</f>
        <v/>
      </c>
      <c r="S301" s="116">
        <f>SUMIFS('PO Log'!$E:$E,'PO Log'!$D:$D,'Category Table'!S$2,'PO Log'!$C:$C,'Category Table'!$A301)</f>
        <v/>
      </c>
      <c r="T301" s="116">
        <f>SUMIFS('PO Log'!$E:$E,'PO Log'!$D:$D,'Category Table'!T$2,'PO Log'!$C:$C,'Category Table'!$A301)</f>
        <v/>
      </c>
      <c r="U301" s="115">
        <f>SUMIFS('Committments Dump'!$Q:$Q,'Committments Dump'!$C:$C,'Category Table'!U$2,'Committments Dump'!$B:$B,'Category Table'!$A301)</f>
        <v/>
      </c>
      <c r="V301" s="116">
        <f>SUMIFS('Committments Dump'!$Q:$Q,'Committments Dump'!$C:$C,'Category Table'!V$2,'Committments Dump'!$B:$B,'Category Table'!$A301)</f>
        <v/>
      </c>
      <c r="W301" s="116">
        <f>SUMIFS('Committments Dump'!$Q:$Q,'Committments Dump'!$C:$C,'Category Table'!W$2,'Committments Dump'!$B:$B,'Category Table'!$A301)</f>
        <v/>
      </c>
      <c r="X301" s="115">
        <f>SUMIFS('Committments Dump'!$R:$R,'Committments Dump'!$C:$C,'Category Table'!X$2,'Committments Dump'!$B:$B,'Category Table'!$A301)</f>
        <v/>
      </c>
      <c r="Y301" s="116">
        <f>SUMIFS('Committments Dump'!$R:$R,'Committments Dump'!$C:$C,'Category Table'!Y$2,'Committments Dump'!$B:$B,'Category Table'!$A301)</f>
        <v/>
      </c>
      <c r="Z301" s="116">
        <f>SUMIFS('Committments Dump'!$R:$R,'Committments Dump'!$C:$C,'Category Table'!Z$2,'Committments Dump'!$B:$B,'Category Table'!$A301)</f>
        <v/>
      </c>
      <c r="AA301" s="115">
        <f>SUMIFS('Committments Dump'!$S:$S,'Committments Dump'!$C:$C,'Category Table'!AA$2,'Committments Dump'!$B:$B,'Category Table'!$A301)</f>
        <v/>
      </c>
      <c r="AB301" s="116">
        <f>SUMIFS('Committments Dump'!$S:$S,'Committments Dump'!$C:$C,'Category Table'!AB$2,'Committments Dump'!$B:$B,'Category Table'!$A301)</f>
        <v/>
      </c>
      <c r="AC301" s="116">
        <f>SUMIFS('Committments Dump'!$S:$S,'Committments Dump'!$C:$C,'Category Table'!AC$2,'Committments Dump'!$B:$B,'Category Table'!$A301)</f>
        <v/>
      </c>
      <c r="AD301" s="115">
        <f>U301+X301+AA301</f>
        <v/>
      </c>
      <c r="AE301" s="116">
        <f>V301+Y301+AB301</f>
        <v/>
      </c>
      <c r="AF301" s="116">
        <f>W301+Z301+AC301</f>
        <v/>
      </c>
      <c r="AG301" s="115">
        <f>R301+AD301</f>
        <v/>
      </c>
      <c r="AH301" s="116">
        <f>S301+AE301</f>
        <v/>
      </c>
      <c r="AI301" s="116">
        <f>T301+AF301</f>
        <v/>
      </c>
      <c r="AJ301" s="115" t="n"/>
      <c r="AK301" s="116" t="n"/>
      <c r="AL301" s="116" t="n"/>
      <c r="AM301" s="115">
        <f>(O301-AG301)+AJ301</f>
        <v/>
      </c>
      <c r="AN301" s="116">
        <f>(P301-AH301)+AK301</f>
        <v/>
      </c>
      <c r="AO301" s="116">
        <f>(Q301-AI301)+AL301</f>
        <v/>
      </c>
      <c r="AP301" s="93">
        <f>IF(AM301&gt;0, "Under",IF(AM301&lt;0,"Over",""))</f>
        <v/>
      </c>
      <c r="AQ301" s="94">
        <f>IF(AN301&gt;0, "Under",IF(AN301&lt;0,"Over",""))</f>
        <v/>
      </c>
      <c r="AR301" s="94">
        <f>IF(AO301&gt;0, "Under",IF(AO301&lt;0,"Over",""))</f>
        <v/>
      </c>
      <c r="AS301" s="3" t="n"/>
    </row>
    <row r="302">
      <c r="C302" s="113" t="n"/>
      <c r="D302" s="114" t="n"/>
      <c r="E302" s="114" t="n"/>
      <c r="F302" s="113" t="n"/>
      <c r="G302" s="114" t="n"/>
      <c r="H302" s="114" t="n"/>
      <c r="I302" s="113" t="n"/>
      <c r="J302" s="114" t="n"/>
      <c r="K302" s="114" t="n"/>
      <c r="L302" s="113" t="n"/>
      <c r="M302" s="114" t="n"/>
      <c r="N302" s="114" t="n"/>
      <c r="O302" s="113">
        <f>L302+I302+F302+C302</f>
        <v/>
      </c>
      <c r="P302" s="114">
        <f>M302+J302+G302+D302</f>
        <v/>
      </c>
      <c r="Q302" s="114">
        <f>N302+K302+H302+E302</f>
        <v/>
      </c>
      <c r="R302" s="113">
        <f>SUMIFS('PO Log'!$E:$E,'PO Log'!$D:$D,'Category Table'!R$2,'PO Log'!$C:$C,'Category Table'!$A302)</f>
        <v/>
      </c>
      <c r="S302" s="114">
        <f>SUMIFS('PO Log'!$E:$E,'PO Log'!$D:$D,'Category Table'!S$2,'PO Log'!$C:$C,'Category Table'!$A302)</f>
        <v/>
      </c>
      <c r="T302" s="114">
        <f>SUMIFS('PO Log'!$E:$E,'PO Log'!$D:$D,'Category Table'!T$2,'PO Log'!$C:$C,'Category Table'!$A302)</f>
        <v/>
      </c>
      <c r="U302" s="113">
        <f>SUMIFS('Committments Dump'!$Q:$Q,'Committments Dump'!$C:$C,'Category Table'!U$2,'Committments Dump'!$B:$B,'Category Table'!$A302)</f>
        <v/>
      </c>
      <c r="V302" s="114">
        <f>SUMIFS('Committments Dump'!$Q:$Q,'Committments Dump'!$C:$C,'Category Table'!V$2,'Committments Dump'!$B:$B,'Category Table'!$A302)</f>
        <v/>
      </c>
      <c r="W302" s="114">
        <f>SUMIFS('Committments Dump'!$Q:$Q,'Committments Dump'!$C:$C,'Category Table'!W$2,'Committments Dump'!$B:$B,'Category Table'!$A302)</f>
        <v/>
      </c>
      <c r="X302" s="113">
        <f>SUMIFS('Committments Dump'!$R:$R,'Committments Dump'!$C:$C,'Category Table'!X$2,'Committments Dump'!$B:$B,'Category Table'!$A302)</f>
        <v/>
      </c>
      <c r="Y302" s="114">
        <f>SUMIFS('Committments Dump'!$R:$R,'Committments Dump'!$C:$C,'Category Table'!Y$2,'Committments Dump'!$B:$B,'Category Table'!$A302)</f>
        <v/>
      </c>
      <c r="Z302" s="114">
        <f>SUMIFS('Committments Dump'!$R:$R,'Committments Dump'!$C:$C,'Category Table'!Z$2,'Committments Dump'!$B:$B,'Category Table'!$A302)</f>
        <v/>
      </c>
      <c r="AA302" s="113">
        <f>SUMIFS('Committments Dump'!$S:$S,'Committments Dump'!$C:$C,'Category Table'!AA$2,'Committments Dump'!$B:$B,'Category Table'!$A302)</f>
        <v/>
      </c>
      <c r="AB302" s="114">
        <f>SUMIFS('Committments Dump'!$S:$S,'Committments Dump'!$C:$C,'Category Table'!AB$2,'Committments Dump'!$B:$B,'Category Table'!$A302)</f>
        <v/>
      </c>
      <c r="AC302" s="114">
        <f>SUMIFS('Committments Dump'!$S:$S,'Committments Dump'!$C:$C,'Category Table'!AC$2,'Committments Dump'!$B:$B,'Category Table'!$A302)</f>
        <v/>
      </c>
      <c r="AD302" s="113">
        <f>U302+X302+AA302</f>
        <v/>
      </c>
      <c r="AE302" s="114">
        <f>V302+Y302+AB302</f>
        <v/>
      </c>
      <c r="AF302" s="114">
        <f>W302+Z302+AC302</f>
        <v/>
      </c>
      <c r="AG302" s="113">
        <f>R302+AD302</f>
        <v/>
      </c>
      <c r="AH302" s="114">
        <f>S302+AE302</f>
        <v/>
      </c>
      <c r="AI302" s="114">
        <f>T302+AF302</f>
        <v/>
      </c>
      <c r="AJ302" s="113" t="n"/>
      <c r="AK302" s="114" t="n"/>
      <c r="AL302" s="114" t="n"/>
      <c r="AM302" s="113">
        <f>(O302-AG302)+AJ302</f>
        <v/>
      </c>
      <c r="AN302" s="114">
        <f>(P302-AH302)+AK302</f>
        <v/>
      </c>
      <c r="AO302" s="114">
        <f>(Q302-AI302)+AL302</f>
        <v/>
      </c>
      <c r="AP302" s="2">
        <f>IF(AM302&gt;0, "Under",IF(AM302&lt;0,"Over",""))</f>
        <v/>
      </c>
      <c r="AQ302" s="1">
        <f>IF(AN302&gt;0, "Under",IF(AN302&lt;0,"Over",""))</f>
        <v/>
      </c>
      <c r="AR302" s="1">
        <f>IF(AO302&gt;0, "Under",IF(AO302&lt;0,"Over",""))</f>
        <v/>
      </c>
      <c r="AS302" s="3" t="n"/>
    </row>
    <row r="303">
      <c r="A303" s="90" t="n"/>
      <c r="B303" s="90" t="n"/>
      <c r="C303" s="115" t="n"/>
      <c r="D303" s="116" t="n"/>
      <c r="E303" s="116" t="n"/>
      <c r="F303" s="115" t="n"/>
      <c r="G303" s="116" t="n"/>
      <c r="H303" s="116" t="n"/>
      <c r="I303" s="115" t="n"/>
      <c r="J303" s="116" t="n"/>
      <c r="K303" s="116" t="n"/>
      <c r="L303" s="115" t="n"/>
      <c r="M303" s="116" t="n"/>
      <c r="N303" s="116" t="n"/>
      <c r="O303" s="115">
        <f>L303+I303+F303+C303</f>
        <v/>
      </c>
      <c r="P303" s="116">
        <f>M303+J303+G303+D303</f>
        <v/>
      </c>
      <c r="Q303" s="116">
        <f>N303+K303+H303+E303</f>
        <v/>
      </c>
      <c r="R303" s="115">
        <f>SUMIFS('PO Log'!$E:$E,'PO Log'!$D:$D,'Category Table'!R$2,'PO Log'!$C:$C,'Category Table'!$A303)</f>
        <v/>
      </c>
      <c r="S303" s="116">
        <f>SUMIFS('PO Log'!$E:$E,'PO Log'!$D:$D,'Category Table'!S$2,'PO Log'!$C:$C,'Category Table'!$A303)</f>
        <v/>
      </c>
      <c r="T303" s="116">
        <f>SUMIFS('PO Log'!$E:$E,'PO Log'!$D:$D,'Category Table'!T$2,'PO Log'!$C:$C,'Category Table'!$A303)</f>
        <v/>
      </c>
      <c r="U303" s="115">
        <f>SUMIFS('Committments Dump'!$Q:$Q,'Committments Dump'!$C:$C,'Category Table'!U$2,'Committments Dump'!$B:$B,'Category Table'!$A303)</f>
        <v/>
      </c>
      <c r="V303" s="116">
        <f>SUMIFS('Committments Dump'!$Q:$Q,'Committments Dump'!$C:$C,'Category Table'!V$2,'Committments Dump'!$B:$B,'Category Table'!$A303)</f>
        <v/>
      </c>
      <c r="W303" s="116">
        <f>SUMIFS('Committments Dump'!$Q:$Q,'Committments Dump'!$C:$C,'Category Table'!W$2,'Committments Dump'!$B:$B,'Category Table'!$A303)</f>
        <v/>
      </c>
      <c r="X303" s="115">
        <f>SUMIFS('Committments Dump'!$R:$R,'Committments Dump'!$C:$C,'Category Table'!X$2,'Committments Dump'!$B:$B,'Category Table'!$A303)</f>
        <v/>
      </c>
      <c r="Y303" s="116">
        <f>SUMIFS('Committments Dump'!$R:$R,'Committments Dump'!$C:$C,'Category Table'!Y$2,'Committments Dump'!$B:$B,'Category Table'!$A303)</f>
        <v/>
      </c>
      <c r="Z303" s="116">
        <f>SUMIFS('Committments Dump'!$R:$R,'Committments Dump'!$C:$C,'Category Table'!Z$2,'Committments Dump'!$B:$B,'Category Table'!$A303)</f>
        <v/>
      </c>
      <c r="AA303" s="115">
        <f>SUMIFS('Committments Dump'!$S:$S,'Committments Dump'!$C:$C,'Category Table'!AA$2,'Committments Dump'!$B:$B,'Category Table'!$A303)</f>
        <v/>
      </c>
      <c r="AB303" s="116">
        <f>SUMIFS('Committments Dump'!$S:$S,'Committments Dump'!$C:$C,'Category Table'!AB$2,'Committments Dump'!$B:$B,'Category Table'!$A303)</f>
        <v/>
      </c>
      <c r="AC303" s="116">
        <f>SUMIFS('Committments Dump'!$S:$S,'Committments Dump'!$C:$C,'Category Table'!AC$2,'Committments Dump'!$B:$B,'Category Table'!$A303)</f>
        <v/>
      </c>
      <c r="AD303" s="115">
        <f>U303+X303+AA303</f>
        <v/>
      </c>
      <c r="AE303" s="116">
        <f>V303+Y303+AB303</f>
        <v/>
      </c>
      <c r="AF303" s="116">
        <f>W303+Z303+AC303</f>
        <v/>
      </c>
      <c r="AG303" s="115">
        <f>R303+AD303</f>
        <v/>
      </c>
      <c r="AH303" s="116">
        <f>S303+AE303</f>
        <v/>
      </c>
      <c r="AI303" s="116">
        <f>T303+AF303</f>
        <v/>
      </c>
      <c r="AJ303" s="115" t="n"/>
      <c r="AK303" s="116" t="n"/>
      <c r="AL303" s="116" t="n"/>
      <c r="AM303" s="115">
        <f>(O303-AG303)+AJ303</f>
        <v/>
      </c>
      <c r="AN303" s="116">
        <f>(P303-AH303)+AK303</f>
        <v/>
      </c>
      <c r="AO303" s="116">
        <f>(Q303-AI303)+AL303</f>
        <v/>
      </c>
      <c r="AP303" s="93">
        <f>IF(AM303&gt;0, "Under",IF(AM303&lt;0,"Over",""))</f>
        <v/>
      </c>
      <c r="AQ303" s="94">
        <f>IF(AN303&gt;0, "Under",IF(AN303&lt;0,"Over",""))</f>
        <v/>
      </c>
      <c r="AR303" s="94">
        <f>IF(AO303&gt;0, "Under",IF(AO303&lt;0,"Over",""))</f>
        <v/>
      </c>
      <c r="AS303" s="3" t="n"/>
    </row>
    <row r="304">
      <c r="C304" s="113" t="n"/>
      <c r="D304" s="114" t="n"/>
      <c r="E304" s="114" t="n"/>
      <c r="F304" s="113" t="n"/>
      <c r="G304" s="114" t="n"/>
      <c r="H304" s="114" t="n"/>
      <c r="I304" s="113" t="n"/>
      <c r="J304" s="114" t="n"/>
      <c r="K304" s="114" t="n"/>
      <c r="L304" s="113" t="n"/>
      <c r="M304" s="114" t="n"/>
      <c r="N304" s="114" t="n"/>
      <c r="O304" s="113">
        <f>L304+I304+F304+C304</f>
        <v/>
      </c>
      <c r="P304" s="114">
        <f>M304+J304+G304+D304</f>
        <v/>
      </c>
      <c r="Q304" s="114">
        <f>N304+K304+H304+E304</f>
        <v/>
      </c>
      <c r="R304" s="113">
        <f>SUMIFS('PO Log'!$E:$E,'PO Log'!$D:$D,'Category Table'!R$2,'PO Log'!$C:$C,'Category Table'!$A304)</f>
        <v/>
      </c>
      <c r="S304" s="114">
        <f>SUMIFS('PO Log'!$E:$E,'PO Log'!$D:$D,'Category Table'!S$2,'PO Log'!$C:$C,'Category Table'!$A304)</f>
        <v/>
      </c>
      <c r="T304" s="114">
        <f>SUMIFS('PO Log'!$E:$E,'PO Log'!$D:$D,'Category Table'!T$2,'PO Log'!$C:$C,'Category Table'!$A304)</f>
        <v/>
      </c>
      <c r="U304" s="113">
        <f>SUMIFS('Committments Dump'!$Q:$Q,'Committments Dump'!$C:$C,'Category Table'!U$2,'Committments Dump'!$B:$B,'Category Table'!$A304)</f>
        <v/>
      </c>
      <c r="V304" s="114">
        <f>SUMIFS('Committments Dump'!$Q:$Q,'Committments Dump'!$C:$C,'Category Table'!V$2,'Committments Dump'!$B:$B,'Category Table'!$A304)</f>
        <v/>
      </c>
      <c r="W304" s="114">
        <f>SUMIFS('Committments Dump'!$Q:$Q,'Committments Dump'!$C:$C,'Category Table'!W$2,'Committments Dump'!$B:$B,'Category Table'!$A304)</f>
        <v/>
      </c>
      <c r="X304" s="113">
        <f>SUMIFS('Committments Dump'!$R:$R,'Committments Dump'!$C:$C,'Category Table'!X$2,'Committments Dump'!$B:$B,'Category Table'!$A304)</f>
        <v/>
      </c>
      <c r="Y304" s="114">
        <f>SUMIFS('Committments Dump'!$R:$R,'Committments Dump'!$C:$C,'Category Table'!Y$2,'Committments Dump'!$B:$B,'Category Table'!$A304)</f>
        <v/>
      </c>
      <c r="Z304" s="114">
        <f>SUMIFS('Committments Dump'!$R:$R,'Committments Dump'!$C:$C,'Category Table'!Z$2,'Committments Dump'!$B:$B,'Category Table'!$A304)</f>
        <v/>
      </c>
      <c r="AA304" s="113">
        <f>SUMIFS('Committments Dump'!$S:$S,'Committments Dump'!$C:$C,'Category Table'!AA$2,'Committments Dump'!$B:$B,'Category Table'!$A304)</f>
        <v/>
      </c>
      <c r="AB304" s="114">
        <f>SUMIFS('Committments Dump'!$S:$S,'Committments Dump'!$C:$C,'Category Table'!AB$2,'Committments Dump'!$B:$B,'Category Table'!$A304)</f>
        <v/>
      </c>
      <c r="AC304" s="114">
        <f>SUMIFS('Committments Dump'!$S:$S,'Committments Dump'!$C:$C,'Category Table'!AC$2,'Committments Dump'!$B:$B,'Category Table'!$A304)</f>
        <v/>
      </c>
      <c r="AD304" s="113">
        <f>U304+X304+AA304</f>
        <v/>
      </c>
      <c r="AE304" s="114">
        <f>V304+Y304+AB304</f>
        <v/>
      </c>
      <c r="AF304" s="114">
        <f>W304+Z304+AC304</f>
        <v/>
      </c>
      <c r="AG304" s="113">
        <f>R304+AD304</f>
        <v/>
      </c>
      <c r="AH304" s="114">
        <f>S304+AE304</f>
        <v/>
      </c>
      <c r="AI304" s="114">
        <f>T304+AF304</f>
        <v/>
      </c>
      <c r="AJ304" s="113" t="n"/>
      <c r="AK304" s="114" t="n"/>
      <c r="AL304" s="114" t="n"/>
      <c r="AM304" s="113">
        <f>(O304-AG304)+AJ304</f>
        <v/>
      </c>
      <c r="AN304" s="114">
        <f>(P304-AH304)+AK304</f>
        <v/>
      </c>
      <c r="AO304" s="114">
        <f>(Q304-AI304)+AL304</f>
        <v/>
      </c>
      <c r="AP304" s="2">
        <f>IF(AM304&gt;0, "Under",IF(AM304&lt;0,"Over",""))</f>
        <v/>
      </c>
      <c r="AQ304" s="1">
        <f>IF(AN304&gt;0, "Under",IF(AN304&lt;0,"Over",""))</f>
        <v/>
      </c>
      <c r="AR304" s="1">
        <f>IF(AO304&gt;0, "Under",IF(AO304&lt;0,"Over",""))</f>
        <v/>
      </c>
      <c r="AS304" s="3" t="n"/>
    </row>
    <row r="305">
      <c r="A305" s="90" t="n"/>
      <c r="B305" s="90" t="n"/>
      <c r="C305" s="115" t="n"/>
      <c r="D305" s="116" t="n"/>
      <c r="E305" s="116" t="n"/>
      <c r="F305" s="115" t="n"/>
      <c r="G305" s="116" t="n"/>
      <c r="H305" s="116" t="n"/>
      <c r="I305" s="115" t="n"/>
      <c r="J305" s="116" t="n"/>
      <c r="K305" s="116" t="n"/>
      <c r="L305" s="115" t="n"/>
      <c r="M305" s="116" t="n"/>
      <c r="N305" s="116" t="n"/>
      <c r="O305" s="115">
        <f>L305+I305+F305+C305</f>
        <v/>
      </c>
      <c r="P305" s="116">
        <f>M305+J305+G305+D305</f>
        <v/>
      </c>
      <c r="Q305" s="116">
        <f>N305+K305+H305+E305</f>
        <v/>
      </c>
      <c r="R305" s="115">
        <f>SUMIFS('PO Log'!$E:$E,'PO Log'!$D:$D,'Category Table'!R$2,'PO Log'!$C:$C,'Category Table'!$A305)</f>
        <v/>
      </c>
      <c r="S305" s="116">
        <f>SUMIFS('PO Log'!$E:$E,'PO Log'!$D:$D,'Category Table'!S$2,'PO Log'!$C:$C,'Category Table'!$A305)</f>
        <v/>
      </c>
      <c r="T305" s="116">
        <f>SUMIFS('PO Log'!$E:$E,'PO Log'!$D:$D,'Category Table'!T$2,'PO Log'!$C:$C,'Category Table'!$A305)</f>
        <v/>
      </c>
      <c r="U305" s="115">
        <f>SUMIFS('Committments Dump'!$Q:$Q,'Committments Dump'!$C:$C,'Category Table'!U$2,'Committments Dump'!$B:$B,'Category Table'!$A305)</f>
        <v/>
      </c>
      <c r="V305" s="116">
        <f>SUMIFS('Committments Dump'!$Q:$Q,'Committments Dump'!$C:$C,'Category Table'!V$2,'Committments Dump'!$B:$B,'Category Table'!$A305)</f>
        <v/>
      </c>
      <c r="W305" s="116">
        <f>SUMIFS('Committments Dump'!$Q:$Q,'Committments Dump'!$C:$C,'Category Table'!W$2,'Committments Dump'!$B:$B,'Category Table'!$A305)</f>
        <v/>
      </c>
      <c r="X305" s="115">
        <f>SUMIFS('Committments Dump'!$R:$R,'Committments Dump'!$C:$C,'Category Table'!X$2,'Committments Dump'!$B:$B,'Category Table'!$A305)</f>
        <v/>
      </c>
      <c r="Y305" s="116">
        <f>SUMIFS('Committments Dump'!$R:$R,'Committments Dump'!$C:$C,'Category Table'!Y$2,'Committments Dump'!$B:$B,'Category Table'!$A305)</f>
        <v/>
      </c>
      <c r="Z305" s="116">
        <f>SUMIFS('Committments Dump'!$R:$R,'Committments Dump'!$C:$C,'Category Table'!Z$2,'Committments Dump'!$B:$B,'Category Table'!$A305)</f>
        <v/>
      </c>
      <c r="AA305" s="115">
        <f>SUMIFS('Committments Dump'!$S:$S,'Committments Dump'!$C:$C,'Category Table'!AA$2,'Committments Dump'!$B:$B,'Category Table'!$A305)</f>
        <v/>
      </c>
      <c r="AB305" s="116">
        <f>SUMIFS('Committments Dump'!$S:$S,'Committments Dump'!$C:$C,'Category Table'!AB$2,'Committments Dump'!$B:$B,'Category Table'!$A305)</f>
        <v/>
      </c>
      <c r="AC305" s="116">
        <f>SUMIFS('Committments Dump'!$S:$S,'Committments Dump'!$C:$C,'Category Table'!AC$2,'Committments Dump'!$B:$B,'Category Table'!$A305)</f>
        <v/>
      </c>
      <c r="AD305" s="115">
        <f>U305+X305+AA305</f>
        <v/>
      </c>
      <c r="AE305" s="116">
        <f>V305+Y305+AB305</f>
        <v/>
      </c>
      <c r="AF305" s="116">
        <f>W305+Z305+AC305</f>
        <v/>
      </c>
      <c r="AG305" s="115">
        <f>R305+AD305</f>
        <v/>
      </c>
      <c r="AH305" s="116">
        <f>S305+AE305</f>
        <v/>
      </c>
      <c r="AI305" s="116">
        <f>T305+AF305</f>
        <v/>
      </c>
      <c r="AJ305" s="115" t="n"/>
      <c r="AK305" s="116" t="n"/>
      <c r="AL305" s="116" t="n"/>
      <c r="AM305" s="115">
        <f>(O305-AG305)+AJ305</f>
        <v/>
      </c>
      <c r="AN305" s="116">
        <f>(P305-AH305)+AK305</f>
        <v/>
      </c>
      <c r="AO305" s="116">
        <f>(Q305-AI305)+AL305</f>
        <v/>
      </c>
      <c r="AP305" s="93">
        <f>IF(AM305&gt;0, "Under",IF(AM305&lt;0,"Over",""))</f>
        <v/>
      </c>
      <c r="AQ305" s="94">
        <f>IF(AN305&gt;0, "Under",IF(AN305&lt;0,"Over",""))</f>
        <v/>
      </c>
      <c r="AR305" s="94">
        <f>IF(AO305&gt;0, "Under",IF(AO305&lt;0,"Over",""))</f>
        <v/>
      </c>
      <c r="AS305" s="3" t="n"/>
    </row>
    <row r="306">
      <c r="C306" s="113" t="n"/>
      <c r="D306" s="114" t="n"/>
      <c r="E306" s="114" t="n"/>
      <c r="F306" s="113" t="n"/>
      <c r="G306" s="114" t="n"/>
      <c r="H306" s="114" t="n"/>
      <c r="I306" s="113" t="n"/>
      <c r="J306" s="114" t="n"/>
      <c r="K306" s="114" t="n"/>
      <c r="L306" s="113" t="n"/>
      <c r="M306" s="114" t="n"/>
      <c r="N306" s="114" t="n"/>
      <c r="O306" s="113">
        <f>L306+I306+F306+C306</f>
        <v/>
      </c>
      <c r="P306" s="114">
        <f>M306+J306+G306+D306</f>
        <v/>
      </c>
      <c r="Q306" s="114">
        <f>N306+K306+H306+E306</f>
        <v/>
      </c>
      <c r="R306" s="113">
        <f>SUMIFS('PO Log'!$E:$E,'PO Log'!$D:$D,'Category Table'!R$2,'PO Log'!$C:$C,'Category Table'!$A306)</f>
        <v/>
      </c>
      <c r="S306" s="114">
        <f>SUMIFS('PO Log'!$E:$E,'PO Log'!$D:$D,'Category Table'!S$2,'PO Log'!$C:$C,'Category Table'!$A306)</f>
        <v/>
      </c>
      <c r="T306" s="114">
        <f>SUMIFS('PO Log'!$E:$E,'PO Log'!$D:$D,'Category Table'!T$2,'PO Log'!$C:$C,'Category Table'!$A306)</f>
        <v/>
      </c>
      <c r="U306" s="113">
        <f>SUMIFS('Committments Dump'!$Q:$Q,'Committments Dump'!$C:$C,'Category Table'!U$2,'Committments Dump'!$B:$B,'Category Table'!$A306)</f>
        <v/>
      </c>
      <c r="V306" s="114">
        <f>SUMIFS('Committments Dump'!$Q:$Q,'Committments Dump'!$C:$C,'Category Table'!V$2,'Committments Dump'!$B:$B,'Category Table'!$A306)</f>
        <v/>
      </c>
      <c r="W306" s="114">
        <f>SUMIFS('Committments Dump'!$Q:$Q,'Committments Dump'!$C:$C,'Category Table'!W$2,'Committments Dump'!$B:$B,'Category Table'!$A306)</f>
        <v/>
      </c>
      <c r="X306" s="113">
        <f>SUMIFS('Committments Dump'!$R:$R,'Committments Dump'!$C:$C,'Category Table'!X$2,'Committments Dump'!$B:$B,'Category Table'!$A306)</f>
        <v/>
      </c>
      <c r="Y306" s="114">
        <f>SUMIFS('Committments Dump'!$R:$R,'Committments Dump'!$C:$C,'Category Table'!Y$2,'Committments Dump'!$B:$B,'Category Table'!$A306)</f>
        <v/>
      </c>
      <c r="Z306" s="114">
        <f>SUMIFS('Committments Dump'!$R:$R,'Committments Dump'!$C:$C,'Category Table'!Z$2,'Committments Dump'!$B:$B,'Category Table'!$A306)</f>
        <v/>
      </c>
      <c r="AA306" s="113">
        <f>SUMIFS('Committments Dump'!$S:$S,'Committments Dump'!$C:$C,'Category Table'!AA$2,'Committments Dump'!$B:$B,'Category Table'!$A306)</f>
        <v/>
      </c>
      <c r="AB306" s="114">
        <f>SUMIFS('Committments Dump'!$S:$S,'Committments Dump'!$C:$C,'Category Table'!AB$2,'Committments Dump'!$B:$B,'Category Table'!$A306)</f>
        <v/>
      </c>
      <c r="AC306" s="114">
        <f>SUMIFS('Committments Dump'!$S:$S,'Committments Dump'!$C:$C,'Category Table'!AC$2,'Committments Dump'!$B:$B,'Category Table'!$A306)</f>
        <v/>
      </c>
      <c r="AD306" s="113">
        <f>U306+X306+AA306</f>
        <v/>
      </c>
      <c r="AE306" s="114">
        <f>V306+Y306+AB306</f>
        <v/>
      </c>
      <c r="AF306" s="114">
        <f>W306+Z306+AC306</f>
        <v/>
      </c>
      <c r="AG306" s="113">
        <f>R306+AD306</f>
        <v/>
      </c>
      <c r="AH306" s="114">
        <f>S306+AE306</f>
        <v/>
      </c>
      <c r="AI306" s="114">
        <f>T306+AF306</f>
        <v/>
      </c>
      <c r="AJ306" s="113" t="n"/>
      <c r="AK306" s="114" t="n"/>
      <c r="AL306" s="114" t="n"/>
      <c r="AM306" s="113">
        <f>(O306-AG306)+AJ306</f>
        <v/>
      </c>
      <c r="AN306" s="114">
        <f>(P306-AH306)+AK306</f>
        <v/>
      </c>
      <c r="AO306" s="114">
        <f>(Q306-AI306)+AL306</f>
        <v/>
      </c>
      <c r="AP306" s="2">
        <f>IF(AM306&gt;0, "Under",IF(AM306&lt;0,"Over",""))</f>
        <v/>
      </c>
      <c r="AQ306" s="1">
        <f>IF(AN306&gt;0, "Under",IF(AN306&lt;0,"Over",""))</f>
        <v/>
      </c>
      <c r="AR306" s="1">
        <f>IF(AO306&gt;0, "Under",IF(AO306&lt;0,"Over",""))</f>
        <v/>
      </c>
      <c r="AS306" s="3" t="n"/>
    </row>
    <row r="307">
      <c r="A307" s="90" t="n"/>
      <c r="B307" s="90" t="n"/>
      <c r="C307" s="115" t="n"/>
      <c r="D307" s="116" t="n"/>
      <c r="E307" s="116" t="n"/>
      <c r="F307" s="115" t="n"/>
      <c r="G307" s="116" t="n"/>
      <c r="H307" s="116" t="n"/>
      <c r="I307" s="115" t="n"/>
      <c r="J307" s="116" t="n"/>
      <c r="K307" s="116" t="n"/>
      <c r="L307" s="115" t="n"/>
      <c r="M307" s="116" t="n"/>
      <c r="N307" s="116" t="n"/>
      <c r="O307" s="115">
        <f>L307+I307+F307+C307</f>
        <v/>
      </c>
      <c r="P307" s="116">
        <f>M307+J307+G307+D307</f>
        <v/>
      </c>
      <c r="Q307" s="116">
        <f>N307+K307+H307+E307</f>
        <v/>
      </c>
      <c r="R307" s="115">
        <f>SUMIFS('PO Log'!$E:$E,'PO Log'!$D:$D,'Category Table'!R$2,'PO Log'!$C:$C,'Category Table'!$A307)</f>
        <v/>
      </c>
      <c r="S307" s="116">
        <f>SUMIFS('PO Log'!$E:$E,'PO Log'!$D:$D,'Category Table'!S$2,'PO Log'!$C:$C,'Category Table'!$A307)</f>
        <v/>
      </c>
      <c r="T307" s="116">
        <f>SUMIFS('PO Log'!$E:$E,'PO Log'!$D:$D,'Category Table'!T$2,'PO Log'!$C:$C,'Category Table'!$A307)</f>
        <v/>
      </c>
      <c r="U307" s="115">
        <f>SUMIFS('Committments Dump'!$Q:$Q,'Committments Dump'!$C:$C,'Category Table'!U$2,'Committments Dump'!$B:$B,'Category Table'!$A307)</f>
        <v/>
      </c>
      <c r="V307" s="116">
        <f>SUMIFS('Committments Dump'!$Q:$Q,'Committments Dump'!$C:$C,'Category Table'!V$2,'Committments Dump'!$B:$B,'Category Table'!$A307)</f>
        <v/>
      </c>
      <c r="W307" s="116">
        <f>SUMIFS('Committments Dump'!$Q:$Q,'Committments Dump'!$C:$C,'Category Table'!W$2,'Committments Dump'!$B:$B,'Category Table'!$A307)</f>
        <v/>
      </c>
      <c r="X307" s="115">
        <f>SUMIFS('Committments Dump'!$R:$R,'Committments Dump'!$C:$C,'Category Table'!X$2,'Committments Dump'!$B:$B,'Category Table'!$A307)</f>
        <v/>
      </c>
      <c r="Y307" s="116">
        <f>SUMIFS('Committments Dump'!$R:$R,'Committments Dump'!$C:$C,'Category Table'!Y$2,'Committments Dump'!$B:$B,'Category Table'!$A307)</f>
        <v/>
      </c>
      <c r="Z307" s="116">
        <f>SUMIFS('Committments Dump'!$R:$R,'Committments Dump'!$C:$C,'Category Table'!Z$2,'Committments Dump'!$B:$B,'Category Table'!$A307)</f>
        <v/>
      </c>
      <c r="AA307" s="115">
        <f>SUMIFS('Committments Dump'!$S:$S,'Committments Dump'!$C:$C,'Category Table'!AA$2,'Committments Dump'!$B:$B,'Category Table'!$A307)</f>
        <v/>
      </c>
      <c r="AB307" s="116">
        <f>SUMIFS('Committments Dump'!$S:$S,'Committments Dump'!$C:$C,'Category Table'!AB$2,'Committments Dump'!$B:$B,'Category Table'!$A307)</f>
        <v/>
      </c>
      <c r="AC307" s="116">
        <f>SUMIFS('Committments Dump'!$S:$S,'Committments Dump'!$C:$C,'Category Table'!AC$2,'Committments Dump'!$B:$B,'Category Table'!$A307)</f>
        <v/>
      </c>
      <c r="AD307" s="115">
        <f>U307+X307+AA307</f>
        <v/>
      </c>
      <c r="AE307" s="116">
        <f>V307+Y307+AB307</f>
        <v/>
      </c>
      <c r="AF307" s="116">
        <f>W307+Z307+AC307</f>
        <v/>
      </c>
      <c r="AG307" s="115">
        <f>R307+AD307</f>
        <v/>
      </c>
      <c r="AH307" s="116">
        <f>S307+AE307</f>
        <v/>
      </c>
      <c r="AI307" s="116">
        <f>T307+AF307</f>
        <v/>
      </c>
      <c r="AJ307" s="115" t="n"/>
      <c r="AK307" s="116" t="n"/>
      <c r="AL307" s="116" t="n"/>
      <c r="AM307" s="115">
        <f>(O307-AG307)+AJ307</f>
        <v/>
      </c>
      <c r="AN307" s="116">
        <f>(P307-AH307)+AK307</f>
        <v/>
      </c>
      <c r="AO307" s="116">
        <f>(Q307-AI307)+AL307</f>
        <v/>
      </c>
      <c r="AP307" s="93">
        <f>IF(AM307&gt;0, "Under",IF(AM307&lt;0,"Over",""))</f>
        <v/>
      </c>
      <c r="AQ307" s="94">
        <f>IF(AN307&gt;0, "Under",IF(AN307&lt;0,"Over",""))</f>
        <v/>
      </c>
      <c r="AR307" s="94">
        <f>IF(AO307&gt;0, "Under",IF(AO307&lt;0,"Over",""))</f>
        <v/>
      </c>
      <c r="AS307" s="3" t="n"/>
    </row>
    <row r="308">
      <c r="C308" s="113" t="n"/>
      <c r="D308" s="114" t="n"/>
      <c r="E308" s="114" t="n"/>
      <c r="F308" s="113" t="n"/>
      <c r="G308" s="114" t="n"/>
      <c r="H308" s="114" t="n"/>
      <c r="I308" s="113" t="n"/>
      <c r="J308" s="114" t="n"/>
      <c r="K308" s="114" t="n"/>
      <c r="L308" s="113" t="n"/>
      <c r="M308" s="114" t="n"/>
      <c r="N308" s="114" t="n"/>
      <c r="O308" s="113">
        <f>L308+I308+F308+C308</f>
        <v/>
      </c>
      <c r="P308" s="114">
        <f>M308+J308+G308+D308</f>
        <v/>
      </c>
      <c r="Q308" s="114">
        <f>N308+K308+H308+E308</f>
        <v/>
      </c>
      <c r="R308" s="113">
        <f>SUMIFS('PO Log'!$E:$E,'PO Log'!$D:$D,'Category Table'!R$2,'PO Log'!$C:$C,'Category Table'!$A308)</f>
        <v/>
      </c>
      <c r="S308" s="114">
        <f>SUMIFS('PO Log'!$E:$E,'PO Log'!$D:$D,'Category Table'!S$2,'PO Log'!$C:$C,'Category Table'!$A308)</f>
        <v/>
      </c>
      <c r="T308" s="114">
        <f>SUMIFS('PO Log'!$E:$E,'PO Log'!$D:$D,'Category Table'!T$2,'PO Log'!$C:$C,'Category Table'!$A308)</f>
        <v/>
      </c>
      <c r="U308" s="113">
        <f>SUMIFS('Committments Dump'!$Q:$Q,'Committments Dump'!$C:$C,'Category Table'!U$2,'Committments Dump'!$B:$B,'Category Table'!$A308)</f>
        <v/>
      </c>
      <c r="V308" s="114">
        <f>SUMIFS('Committments Dump'!$Q:$Q,'Committments Dump'!$C:$C,'Category Table'!V$2,'Committments Dump'!$B:$B,'Category Table'!$A308)</f>
        <v/>
      </c>
      <c r="W308" s="114">
        <f>SUMIFS('Committments Dump'!$Q:$Q,'Committments Dump'!$C:$C,'Category Table'!W$2,'Committments Dump'!$B:$B,'Category Table'!$A308)</f>
        <v/>
      </c>
      <c r="X308" s="113">
        <f>SUMIFS('Committments Dump'!$R:$R,'Committments Dump'!$C:$C,'Category Table'!X$2,'Committments Dump'!$B:$B,'Category Table'!$A308)</f>
        <v/>
      </c>
      <c r="Y308" s="114">
        <f>SUMIFS('Committments Dump'!$R:$R,'Committments Dump'!$C:$C,'Category Table'!Y$2,'Committments Dump'!$B:$B,'Category Table'!$A308)</f>
        <v/>
      </c>
      <c r="Z308" s="114">
        <f>SUMIFS('Committments Dump'!$R:$R,'Committments Dump'!$C:$C,'Category Table'!Z$2,'Committments Dump'!$B:$B,'Category Table'!$A308)</f>
        <v/>
      </c>
      <c r="AA308" s="113">
        <f>SUMIFS('Committments Dump'!$S:$S,'Committments Dump'!$C:$C,'Category Table'!AA$2,'Committments Dump'!$B:$B,'Category Table'!$A308)</f>
        <v/>
      </c>
      <c r="AB308" s="114">
        <f>SUMIFS('Committments Dump'!$S:$S,'Committments Dump'!$C:$C,'Category Table'!AB$2,'Committments Dump'!$B:$B,'Category Table'!$A308)</f>
        <v/>
      </c>
      <c r="AC308" s="114">
        <f>SUMIFS('Committments Dump'!$S:$S,'Committments Dump'!$C:$C,'Category Table'!AC$2,'Committments Dump'!$B:$B,'Category Table'!$A308)</f>
        <v/>
      </c>
      <c r="AD308" s="113">
        <f>U308+X308+AA308</f>
        <v/>
      </c>
      <c r="AE308" s="114">
        <f>V308+Y308+AB308</f>
        <v/>
      </c>
      <c r="AF308" s="114">
        <f>W308+Z308+AC308</f>
        <v/>
      </c>
      <c r="AG308" s="113">
        <f>R308+AD308</f>
        <v/>
      </c>
      <c r="AH308" s="114">
        <f>S308+AE308</f>
        <v/>
      </c>
      <c r="AI308" s="114">
        <f>T308+AF308</f>
        <v/>
      </c>
      <c r="AJ308" s="113" t="n"/>
      <c r="AK308" s="114" t="n"/>
      <c r="AL308" s="114" t="n"/>
      <c r="AM308" s="113">
        <f>(O308-AG308)+AJ308</f>
        <v/>
      </c>
      <c r="AN308" s="114">
        <f>(P308-AH308)+AK308</f>
        <v/>
      </c>
      <c r="AO308" s="114">
        <f>(Q308-AI308)+AL308</f>
        <v/>
      </c>
      <c r="AP308" s="2">
        <f>IF(AM308&gt;0, "Under",IF(AM308&lt;0,"Over",""))</f>
        <v/>
      </c>
      <c r="AQ308" s="1">
        <f>IF(AN308&gt;0, "Under",IF(AN308&lt;0,"Over",""))</f>
        <v/>
      </c>
      <c r="AR308" s="1">
        <f>IF(AO308&gt;0, "Under",IF(AO308&lt;0,"Over",""))</f>
        <v/>
      </c>
      <c r="AS308" s="3" t="n"/>
    </row>
    <row r="309">
      <c r="A309" s="90" t="n"/>
      <c r="B309" s="90" t="n"/>
      <c r="C309" s="115" t="n"/>
      <c r="D309" s="116" t="n"/>
      <c r="E309" s="116" t="n"/>
      <c r="F309" s="115" t="n"/>
      <c r="G309" s="116" t="n"/>
      <c r="H309" s="116" t="n"/>
      <c r="I309" s="115" t="n"/>
      <c r="J309" s="116" t="n"/>
      <c r="K309" s="116" t="n"/>
      <c r="L309" s="115" t="n"/>
      <c r="M309" s="116" t="n"/>
      <c r="N309" s="116" t="n"/>
      <c r="O309" s="115">
        <f>L309+I309+F309+C309</f>
        <v/>
      </c>
      <c r="P309" s="116">
        <f>M309+J309+G309+D309</f>
        <v/>
      </c>
      <c r="Q309" s="116">
        <f>N309+K309+H309+E309</f>
        <v/>
      </c>
      <c r="R309" s="115">
        <f>SUMIFS('PO Log'!$E:$E,'PO Log'!$D:$D,'Category Table'!R$2,'PO Log'!$C:$C,'Category Table'!$A309)</f>
        <v/>
      </c>
      <c r="S309" s="116">
        <f>SUMIFS('PO Log'!$E:$E,'PO Log'!$D:$D,'Category Table'!S$2,'PO Log'!$C:$C,'Category Table'!$A309)</f>
        <v/>
      </c>
      <c r="T309" s="116">
        <f>SUMIFS('PO Log'!$E:$E,'PO Log'!$D:$D,'Category Table'!T$2,'PO Log'!$C:$C,'Category Table'!$A309)</f>
        <v/>
      </c>
      <c r="U309" s="115">
        <f>SUMIFS('Committments Dump'!$Q:$Q,'Committments Dump'!$C:$C,'Category Table'!U$2,'Committments Dump'!$B:$B,'Category Table'!$A309)</f>
        <v/>
      </c>
      <c r="V309" s="116">
        <f>SUMIFS('Committments Dump'!$Q:$Q,'Committments Dump'!$C:$C,'Category Table'!V$2,'Committments Dump'!$B:$B,'Category Table'!$A309)</f>
        <v/>
      </c>
      <c r="W309" s="116">
        <f>SUMIFS('Committments Dump'!$Q:$Q,'Committments Dump'!$C:$C,'Category Table'!W$2,'Committments Dump'!$B:$B,'Category Table'!$A309)</f>
        <v/>
      </c>
      <c r="X309" s="115">
        <f>SUMIFS('Committments Dump'!$R:$R,'Committments Dump'!$C:$C,'Category Table'!X$2,'Committments Dump'!$B:$B,'Category Table'!$A309)</f>
        <v/>
      </c>
      <c r="Y309" s="116">
        <f>SUMIFS('Committments Dump'!$R:$R,'Committments Dump'!$C:$C,'Category Table'!Y$2,'Committments Dump'!$B:$B,'Category Table'!$A309)</f>
        <v/>
      </c>
      <c r="Z309" s="116">
        <f>SUMIFS('Committments Dump'!$R:$R,'Committments Dump'!$C:$C,'Category Table'!Z$2,'Committments Dump'!$B:$B,'Category Table'!$A309)</f>
        <v/>
      </c>
      <c r="AA309" s="115">
        <f>SUMIFS('Committments Dump'!$S:$S,'Committments Dump'!$C:$C,'Category Table'!AA$2,'Committments Dump'!$B:$B,'Category Table'!$A309)</f>
        <v/>
      </c>
      <c r="AB309" s="116">
        <f>SUMIFS('Committments Dump'!$S:$S,'Committments Dump'!$C:$C,'Category Table'!AB$2,'Committments Dump'!$B:$B,'Category Table'!$A309)</f>
        <v/>
      </c>
      <c r="AC309" s="116">
        <f>SUMIFS('Committments Dump'!$S:$S,'Committments Dump'!$C:$C,'Category Table'!AC$2,'Committments Dump'!$B:$B,'Category Table'!$A309)</f>
        <v/>
      </c>
      <c r="AD309" s="115">
        <f>U309+X309+AA309</f>
        <v/>
      </c>
      <c r="AE309" s="116">
        <f>V309+Y309+AB309</f>
        <v/>
      </c>
      <c r="AF309" s="116">
        <f>W309+Z309+AC309</f>
        <v/>
      </c>
      <c r="AG309" s="115">
        <f>R309+AD309</f>
        <v/>
      </c>
      <c r="AH309" s="116">
        <f>S309+AE309</f>
        <v/>
      </c>
      <c r="AI309" s="116">
        <f>T309+AF309</f>
        <v/>
      </c>
      <c r="AJ309" s="115" t="n"/>
      <c r="AK309" s="116" t="n"/>
      <c r="AL309" s="116" t="n"/>
      <c r="AM309" s="115">
        <f>(O309-AG309)+AJ309</f>
        <v/>
      </c>
      <c r="AN309" s="116">
        <f>(P309-AH309)+AK309</f>
        <v/>
      </c>
      <c r="AO309" s="116">
        <f>(Q309-AI309)+AL309</f>
        <v/>
      </c>
      <c r="AP309" s="93">
        <f>IF(AM309&gt;0, "Under",IF(AM309&lt;0,"Over",""))</f>
        <v/>
      </c>
      <c r="AQ309" s="94">
        <f>IF(AN309&gt;0, "Under",IF(AN309&lt;0,"Over",""))</f>
        <v/>
      </c>
      <c r="AR309" s="94">
        <f>IF(AO309&gt;0, "Under",IF(AO309&lt;0,"Over",""))</f>
        <v/>
      </c>
      <c r="AS309" s="3" t="n"/>
    </row>
    <row r="310">
      <c r="C310" s="113" t="n"/>
      <c r="D310" s="114" t="n"/>
      <c r="E310" s="114" t="n"/>
      <c r="F310" s="113" t="n"/>
      <c r="G310" s="114" t="n"/>
      <c r="H310" s="114" t="n"/>
      <c r="I310" s="113" t="n"/>
      <c r="J310" s="114" t="n"/>
      <c r="K310" s="114" t="n"/>
      <c r="L310" s="113" t="n"/>
      <c r="M310" s="114" t="n"/>
      <c r="N310" s="114" t="n"/>
      <c r="O310" s="113">
        <f>L310+I310+F310+C310</f>
        <v/>
      </c>
      <c r="P310" s="114">
        <f>M310+J310+G310+D310</f>
        <v/>
      </c>
      <c r="Q310" s="114">
        <f>N310+K310+H310+E310</f>
        <v/>
      </c>
      <c r="R310" s="113">
        <f>SUMIFS('PO Log'!$E:$E,'PO Log'!$D:$D,'Category Table'!R$2,'PO Log'!$C:$C,'Category Table'!$A310)</f>
        <v/>
      </c>
      <c r="S310" s="114">
        <f>SUMIFS('PO Log'!$E:$E,'PO Log'!$D:$D,'Category Table'!S$2,'PO Log'!$C:$C,'Category Table'!$A310)</f>
        <v/>
      </c>
      <c r="T310" s="114">
        <f>SUMIFS('PO Log'!$E:$E,'PO Log'!$D:$D,'Category Table'!T$2,'PO Log'!$C:$C,'Category Table'!$A310)</f>
        <v/>
      </c>
      <c r="U310" s="113">
        <f>SUMIFS('Committments Dump'!$Q:$Q,'Committments Dump'!$C:$C,'Category Table'!U$2,'Committments Dump'!$B:$B,'Category Table'!$A310)</f>
        <v/>
      </c>
      <c r="V310" s="114">
        <f>SUMIFS('Committments Dump'!$Q:$Q,'Committments Dump'!$C:$C,'Category Table'!V$2,'Committments Dump'!$B:$B,'Category Table'!$A310)</f>
        <v/>
      </c>
      <c r="W310" s="114">
        <f>SUMIFS('Committments Dump'!$Q:$Q,'Committments Dump'!$C:$C,'Category Table'!W$2,'Committments Dump'!$B:$B,'Category Table'!$A310)</f>
        <v/>
      </c>
      <c r="X310" s="113">
        <f>SUMIFS('Committments Dump'!$R:$R,'Committments Dump'!$C:$C,'Category Table'!X$2,'Committments Dump'!$B:$B,'Category Table'!$A310)</f>
        <v/>
      </c>
      <c r="Y310" s="114">
        <f>SUMIFS('Committments Dump'!$R:$R,'Committments Dump'!$C:$C,'Category Table'!Y$2,'Committments Dump'!$B:$B,'Category Table'!$A310)</f>
        <v/>
      </c>
      <c r="Z310" s="114">
        <f>SUMIFS('Committments Dump'!$R:$R,'Committments Dump'!$C:$C,'Category Table'!Z$2,'Committments Dump'!$B:$B,'Category Table'!$A310)</f>
        <v/>
      </c>
      <c r="AA310" s="113">
        <f>SUMIFS('Committments Dump'!$S:$S,'Committments Dump'!$C:$C,'Category Table'!AA$2,'Committments Dump'!$B:$B,'Category Table'!$A310)</f>
        <v/>
      </c>
      <c r="AB310" s="114">
        <f>SUMIFS('Committments Dump'!$S:$S,'Committments Dump'!$C:$C,'Category Table'!AB$2,'Committments Dump'!$B:$B,'Category Table'!$A310)</f>
        <v/>
      </c>
      <c r="AC310" s="114">
        <f>SUMIFS('Committments Dump'!$S:$S,'Committments Dump'!$C:$C,'Category Table'!AC$2,'Committments Dump'!$B:$B,'Category Table'!$A310)</f>
        <v/>
      </c>
      <c r="AD310" s="113">
        <f>U310+X310+AA310</f>
        <v/>
      </c>
      <c r="AE310" s="114">
        <f>V310+Y310+AB310</f>
        <v/>
      </c>
      <c r="AF310" s="114">
        <f>W310+Z310+AC310</f>
        <v/>
      </c>
      <c r="AG310" s="113">
        <f>R310+AD310</f>
        <v/>
      </c>
      <c r="AH310" s="114">
        <f>S310+AE310</f>
        <v/>
      </c>
      <c r="AI310" s="114">
        <f>T310+AF310</f>
        <v/>
      </c>
      <c r="AJ310" s="113" t="n"/>
      <c r="AK310" s="114" t="n"/>
      <c r="AL310" s="114" t="n"/>
      <c r="AM310" s="113">
        <f>(O310-AG310)+AJ310</f>
        <v/>
      </c>
      <c r="AN310" s="114">
        <f>(P310-AH310)+AK310</f>
        <v/>
      </c>
      <c r="AO310" s="114">
        <f>(Q310-AI310)+AL310</f>
        <v/>
      </c>
      <c r="AP310" s="2">
        <f>IF(AM310&gt;0, "Under",IF(AM310&lt;0,"Over",""))</f>
        <v/>
      </c>
      <c r="AQ310" s="1">
        <f>IF(AN310&gt;0, "Under",IF(AN310&lt;0,"Over",""))</f>
        <v/>
      </c>
      <c r="AR310" s="1">
        <f>IF(AO310&gt;0, "Under",IF(AO310&lt;0,"Over",""))</f>
        <v/>
      </c>
      <c r="AS310" s="3" t="n"/>
    </row>
    <row r="311">
      <c r="A311" s="90" t="n"/>
      <c r="B311" s="90" t="n"/>
      <c r="C311" s="115" t="n"/>
      <c r="D311" s="116" t="n"/>
      <c r="E311" s="116" t="n"/>
      <c r="F311" s="115" t="n"/>
      <c r="G311" s="116" t="n"/>
      <c r="H311" s="116" t="n"/>
      <c r="I311" s="115" t="n"/>
      <c r="J311" s="116" t="n"/>
      <c r="K311" s="116" t="n"/>
      <c r="L311" s="115" t="n"/>
      <c r="M311" s="116" t="n"/>
      <c r="N311" s="116" t="n"/>
      <c r="O311" s="115">
        <f>L311+I311+F311+C311</f>
        <v/>
      </c>
      <c r="P311" s="116">
        <f>M311+J311+G311+D311</f>
        <v/>
      </c>
      <c r="Q311" s="116">
        <f>N311+K311+H311+E311</f>
        <v/>
      </c>
      <c r="R311" s="115">
        <f>SUMIFS('PO Log'!$E:$E,'PO Log'!$D:$D,'Category Table'!R$2,'PO Log'!$C:$C,'Category Table'!$A311)</f>
        <v/>
      </c>
      <c r="S311" s="116">
        <f>SUMIFS('PO Log'!$E:$E,'PO Log'!$D:$D,'Category Table'!S$2,'PO Log'!$C:$C,'Category Table'!$A311)</f>
        <v/>
      </c>
      <c r="T311" s="116">
        <f>SUMIFS('PO Log'!$E:$E,'PO Log'!$D:$D,'Category Table'!T$2,'PO Log'!$C:$C,'Category Table'!$A311)</f>
        <v/>
      </c>
      <c r="U311" s="115">
        <f>SUMIFS('Committments Dump'!$Q:$Q,'Committments Dump'!$C:$C,'Category Table'!U$2,'Committments Dump'!$B:$B,'Category Table'!$A311)</f>
        <v/>
      </c>
      <c r="V311" s="116">
        <f>SUMIFS('Committments Dump'!$Q:$Q,'Committments Dump'!$C:$C,'Category Table'!V$2,'Committments Dump'!$B:$B,'Category Table'!$A311)</f>
        <v/>
      </c>
      <c r="W311" s="116">
        <f>SUMIFS('Committments Dump'!$Q:$Q,'Committments Dump'!$C:$C,'Category Table'!W$2,'Committments Dump'!$B:$B,'Category Table'!$A311)</f>
        <v/>
      </c>
      <c r="X311" s="115">
        <f>SUMIFS('Committments Dump'!$R:$R,'Committments Dump'!$C:$C,'Category Table'!X$2,'Committments Dump'!$B:$B,'Category Table'!$A311)</f>
        <v/>
      </c>
      <c r="Y311" s="116">
        <f>SUMIFS('Committments Dump'!$R:$R,'Committments Dump'!$C:$C,'Category Table'!Y$2,'Committments Dump'!$B:$B,'Category Table'!$A311)</f>
        <v/>
      </c>
      <c r="Z311" s="116">
        <f>SUMIFS('Committments Dump'!$R:$R,'Committments Dump'!$C:$C,'Category Table'!Z$2,'Committments Dump'!$B:$B,'Category Table'!$A311)</f>
        <v/>
      </c>
      <c r="AA311" s="115">
        <f>SUMIFS('Committments Dump'!$S:$S,'Committments Dump'!$C:$C,'Category Table'!AA$2,'Committments Dump'!$B:$B,'Category Table'!$A311)</f>
        <v/>
      </c>
      <c r="AB311" s="116">
        <f>SUMIFS('Committments Dump'!$S:$S,'Committments Dump'!$C:$C,'Category Table'!AB$2,'Committments Dump'!$B:$B,'Category Table'!$A311)</f>
        <v/>
      </c>
      <c r="AC311" s="116">
        <f>SUMIFS('Committments Dump'!$S:$S,'Committments Dump'!$C:$C,'Category Table'!AC$2,'Committments Dump'!$B:$B,'Category Table'!$A311)</f>
        <v/>
      </c>
      <c r="AD311" s="115">
        <f>U311+X311+AA311</f>
        <v/>
      </c>
      <c r="AE311" s="116">
        <f>V311+Y311+AB311</f>
        <v/>
      </c>
      <c r="AF311" s="116">
        <f>W311+Z311+AC311</f>
        <v/>
      </c>
      <c r="AG311" s="115">
        <f>R311+AD311</f>
        <v/>
      </c>
      <c r="AH311" s="116">
        <f>S311+AE311</f>
        <v/>
      </c>
      <c r="AI311" s="116">
        <f>T311+AF311</f>
        <v/>
      </c>
      <c r="AJ311" s="115" t="n"/>
      <c r="AK311" s="116" t="n"/>
      <c r="AL311" s="116" t="n"/>
      <c r="AM311" s="115">
        <f>(O311-AG311)+AJ311</f>
        <v/>
      </c>
      <c r="AN311" s="116">
        <f>(P311-AH311)+AK311</f>
        <v/>
      </c>
      <c r="AO311" s="116">
        <f>(Q311-AI311)+AL311</f>
        <v/>
      </c>
      <c r="AP311" s="93">
        <f>IF(AM311&gt;0, "Under",IF(AM311&lt;0,"Over",""))</f>
        <v/>
      </c>
      <c r="AQ311" s="94">
        <f>IF(AN311&gt;0, "Under",IF(AN311&lt;0,"Over",""))</f>
        <v/>
      </c>
      <c r="AR311" s="94">
        <f>IF(AO311&gt;0, "Under",IF(AO311&lt;0,"Over",""))</f>
        <v/>
      </c>
      <c r="AS311" s="3" t="n"/>
    </row>
    <row r="312">
      <c r="C312" s="113" t="n"/>
      <c r="D312" s="114" t="n"/>
      <c r="E312" s="114" t="n"/>
      <c r="F312" s="113" t="n"/>
      <c r="G312" s="114" t="n"/>
      <c r="H312" s="114" t="n"/>
      <c r="I312" s="113" t="n"/>
      <c r="J312" s="114" t="n"/>
      <c r="K312" s="114" t="n"/>
      <c r="L312" s="113" t="n"/>
      <c r="M312" s="114" t="n"/>
      <c r="N312" s="114" t="n"/>
      <c r="O312" s="113">
        <f>L312+I312+F312+C312</f>
        <v/>
      </c>
      <c r="P312" s="114">
        <f>M312+J312+G312+D312</f>
        <v/>
      </c>
      <c r="Q312" s="114">
        <f>N312+K312+H312+E312</f>
        <v/>
      </c>
      <c r="R312" s="113">
        <f>SUMIFS('PO Log'!$E:$E,'PO Log'!$D:$D,'Category Table'!R$2,'PO Log'!$C:$C,'Category Table'!$A312)</f>
        <v/>
      </c>
      <c r="S312" s="114">
        <f>SUMIFS('PO Log'!$E:$E,'PO Log'!$D:$D,'Category Table'!S$2,'PO Log'!$C:$C,'Category Table'!$A312)</f>
        <v/>
      </c>
      <c r="T312" s="114">
        <f>SUMIFS('PO Log'!$E:$E,'PO Log'!$D:$D,'Category Table'!T$2,'PO Log'!$C:$C,'Category Table'!$A312)</f>
        <v/>
      </c>
      <c r="U312" s="113">
        <f>SUMIFS('Committments Dump'!$Q:$Q,'Committments Dump'!$C:$C,'Category Table'!U$2,'Committments Dump'!$B:$B,'Category Table'!$A312)</f>
        <v/>
      </c>
      <c r="V312" s="114">
        <f>SUMIFS('Committments Dump'!$Q:$Q,'Committments Dump'!$C:$C,'Category Table'!V$2,'Committments Dump'!$B:$B,'Category Table'!$A312)</f>
        <v/>
      </c>
      <c r="W312" s="114">
        <f>SUMIFS('Committments Dump'!$Q:$Q,'Committments Dump'!$C:$C,'Category Table'!W$2,'Committments Dump'!$B:$B,'Category Table'!$A312)</f>
        <v/>
      </c>
      <c r="X312" s="113">
        <f>SUMIFS('Committments Dump'!$R:$R,'Committments Dump'!$C:$C,'Category Table'!X$2,'Committments Dump'!$B:$B,'Category Table'!$A312)</f>
        <v/>
      </c>
      <c r="Y312" s="114">
        <f>SUMIFS('Committments Dump'!$R:$R,'Committments Dump'!$C:$C,'Category Table'!Y$2,'Committments Dump'!$B:$B,'Category Table'!$A312)</f>
        <v/>
      </c>
      <c r="Z312" s="114">
        <f>SUMIFS('Committments Dump'!$R:$R,'Committments Dump'!$C:$C,'Category Table'!Z$2,'Committments Dump'!$B:$B,'Category Table'!$A312)</f>
        <v/>
      </c>
      <c r="AA312" s="113">
        <f>SUMIFS('Committments Dump'!$S:$S,'Committments Dump'!$C:$C,'Category Table'!AA$2,'Committments Dump'!$B:$B,'Category Table'!$A312)</f>
        <v/>
      </c>
      <c r="AB312" s="114">
        <f>SUMIFS('Committments Dump'!$S:$S,'Committments Dump'!$C:$C,'Category Table'!AB$2,'Committments Dump'!$B:$B,'Category Table'!$A312)</f>
        <v/>
      </c>
      <c r="AC312" s="114">
        <f>SUMIFS('Committments Dump'!$S:$S,'Committments Dump'!$C:$C,'Category Table'!AC$2,'Committments Dump'!$B:$B,'Category Table'!$A312)</f>
        <v/>
      </c>
      <c r="AD312" s="113">
        <f>U312+X312+AA312</f>
        <v/>
      </c>
      <c r="AE312" s="114">
        <f>V312+Y312+AB312</f>
        <v/>
      </c>
      <c r="AF312" s="114">
        <f>W312+Z312+AC312</f>
        <v/>
      </c>
      <c r="AG312" s="113">
        <f>R312+AD312</f>
        <v/>
      </c>
      <c r="AH312" s="114">
        <f>S312+AE312</f>
        <v/>
      </c>
      <c r="AI312" s="114">
        <f>T312+AF312</f>
        <v/>
      </c>
      <c r="AJ312" s="113" t="n"/>
      <c r="AK312" s="114" t="n"/>
      <c r="AL312" s="114" t="n"/>
      <c r="AM312" s="113">
        <f>(O312-AG312)+AJ312</f>
        <v/>
      </c>
      <c r="AN312" s="114">
        <f>(P312-AH312)+AK312</f>
        <v/>
      </c>
      <c r="AO312" s="114">
        <f>(Q312-AI312)+AL312</f>
        <v/>
      </c>
      <c r="AP312" s="2">
        <f>IF(AM312&gt;0, "Under",IF(AM312&lt;0,"Over",""))</f>
        <v/>
      </c>
      <c r="AQ312" s="1">
        <f>IF(AN312&gt;0, "Under",IF(AN312&lt;0,"Over",""))</f>
        <v/>
      </c>
      <c r="AR312" s="1">
        <f>IF(AO312&gt;0, "Under",IF(AO312&lt;0,"Over",""))</f>
        <v/>
      </c>
      <c r="AS312" s="3" t="n"/>
    </row>
    <row r="313">
      <c r="A313" s="90" t="n"/>
      <c r="B313" s="90" t="n"/>
      <c r="C313" s="115" t="n"/>
      <c r="D313" s="116" t="n"/>
      <c r="E313" s="116" t="n"/>
      <c r="F313" s="115" t="n"/>
      <c r="G313" s="116" t="n"/>
      <c r="H313" s="116" t="n"/>
      <c r="I313" s="115" t="n"/>
      <c r="J313" s="116" t="n"/>
      <c r="K313" s="116" t="n"/>
      <c r="L313" s="115" t="n"/>
      <c r="M313" s="116" t="n"/>
      <c r="N313" s="116" t="n"/>
      <c r="O313" s="115">
        <f>L313+I313+F313+C313</f>
        <v/>
      </c>
      <c r="P313" s="116">
        <f>M313+J313+G313+D313</f>
        <v/>
      </c>
      <c r="Q313" s="116">
        <f>N313+K313+H313+E313</f>
        <v/>
      </c>
      <c r="R313" s="115">
        <f>SUMIFS('PO Log'!$E:$E,'PO Log'!$D:$D,'Category Table'!R$2,'PO Log'!$C:$C,'Category Table'!$A313)</f>
        <v/>
      </c>
      <c r="S313" s="116">
        <f>SUMIFS('PO Log'!$E:$E,'PO Log'!$D:$D,'Category Table'!S$2,'PO Log'!$C:$C,'Category Table'!$A313)</f>
        <v/>
      </c>
      <c r="T313" s="116">
        <f>SUMIFS('PO Log'!$E:$E,'PO Log'!$D:$D,'Category Table'!T$2,'PO Log'!$C:$C,'Category Table'!$A313)</f>
        <v/>
      </c>
      <c r="U313" s="115">
        <f>SUMIFS('Committments Dump'!$Q:$Q,'Committments Dump'!$C:$C,'Category Table'!U$2,'Committments Dump'!$B:$B,'Category Table'!$A313)</f>
        <v/>
      </c>
      <c r="V313" s="116">
        <f>SUMIFS('Committments Dump'!$Q:$Q,'Committments Dump'!$C:$C,'Category Table'!V$2,'Committments Dump'!$B:$B,'Category Table'!$A313)</f>
        <v/>
      </c>
      <c r="W313" s="116">
        <f>SUMIFS('Committments Dump'!$Q:$Q,'Committments Dump'!$C:$C,'Category Table'!W$2,'Committments Dump'!$B:$B,'Category Table'!$A313)</f>
        <v/>
      </c>
      <c r="X313" s="115">
        <f>SUMIFS('Committments Dump'!$R:$R,'Committments Dump'!$C:$C,'Category Table'!X$2,'Committments Dump'!$B:$B,'Category Table'!$A313)</f>
        <v/>
      </c>
      <c r="Y313" s="116">
        <f>SUMIFS('Committments Dump'!$R:$R,'Committments Dump'!$C:$C,'Category Table'!Y$2,'Committments Dump'!$B:$B,'Category Table'!$A313)</f>
        <v/>
      </c>
      <c r="Z313" s="116">
        <f>SUMIFS('Committments Dump'!$R:$R,'Committments Dump'!$C:$C,'Category Table'!Z$2,'Committments Dump'!$B:$B,'Category Table'!$A313)</f>
        <v/>
      </c>
      <c r="AA313" s="115">
        <f>SUMIFS('Committments Dump'!$S:$S,'Committments Dump'!$C:$C,'Category Table'!AA$2,'Committments Dump'!$B:$B,'Category Table'!$A313)</f>
        <v/>
      </c>
      <c r="AB313" s="116">
        <f>SUMIFS('Committments Dump'!$S:$S,'Committments Dump'!$C:$C,'Category Table'!AB$2,'Committments Dump'!$B:$B,'Category Table'!$A313)</f>
        <v/>
      </c>
      <c r="AC313" s="116">
        <f>SUMIFS('Committments Dump'!$S:$S,'Committments Dump'!$C:$C,'Category Table'!AC$2,'Committments Dump'!$B:$B,'Category Table'!$A313)</f>
        <v/>
      </c>
      <c r="AD313" s="115">
        <f>U313+X313+AA313</f>
        <v/>
      </c>
      <c r="AE313" s="116">
        <f>V313+Y313+AB313</f>
        <v/>
      </c>
      <c r="AF313" s="116">
        <f>W313+Z313+AC313</f>
        <v/>
      </c>
      <c r="AG313" s="115">
        <f>R313+AD313</f>
        <v/>
      </c>
      <c r="AH313" s="116">
        <f>S313+AE313</f>
        <v/>
      </c>
      <c r="AI313" s="116">
        <f>T313+AF313</f>
        <v/>
      </c>
      <c r="AJ313" s="115" t="n"/>
      <c r="AK313" s="116" t="n"/>
      <c r="AL313" s="116" t="n"/>
      <c r="AM313" s="115">
        <f>(O313-AG313)+AJ313</f>
        <v/>
      </c>
      <c r="AN313" s="116">
        <f>(P313-AH313)+AK313</f>
        <v/>
      </c>
      <c r="AO313" s="116">
        <f>(Q313-AI313)+AL313</f>
        <v/>
      </c>
      <c r="AP313" s="93">
        <f>IF(AM313&gt;0, "Under",IF(AM313&lt;0,"Over",""))</f>
        <v/>
      </c>
      <c r="AQ313" s="94">
        <f>IF(AN313&gt;0, "Under",IF(AN313&lt;0,"Over",""))</f>
        <v/>
      </c>
      <c r="AR313" s="94">
        <f>IF(AO313&gt;0, "Under",IF(AO313&lt;0,"Over",""))</f>
        <v/>
      </c>
      <c r="AS313" s="3" t="n"/>
    </row>
    <row r="314">
      <c r="C314" s="113" t="n"/>
      <c r="D314" s="114" t="n"/>
      <c r="E314" s="114" t="n"/>
      <c r="F314" s="113" t="n"/>
      <c r="G314" s="114" t="n"/>
      <c r="H314" s="114" t="n"/>
      <c r="I314" s="113" t="n"/>
      <c r="J314" s="114" t="n"/>
      <c r="K314" s="114" t="n"/>
      <c r="L314" s="113" t="n"/>
      <c r="M314" s="114" t="n"/>
      <c r="N314" s="114" t="n"/>
      <c r="O314" s="113">
        <f>L314+I314+F314+C314</f>
        <v/>
      </c>
      <c r="P314" s="114">
        <f>M314+J314+G314+D314</f>
        <v/>
      </c>
      <c r="Q314" s="114">
        <f>N314+K314+H314+E314</f>
        <v/>
      </c>
      <c r="R314" s="113">
        <f>SUMIFS('PO Log'!$E:$E,'PO Log'!$D:$D,'Category Table'!R$2,'PO Log'!$C:$C,'Category Table'!$A314)</f>
        <v/>
      </c>
      <c r="S314" s="114">
        <f>SUMIFS('PO Log'!$E:$E,'PO Log'!$D:$D,'Category Table'!S$2,'PO Log'!$C:$C,'Category Table'!$A314)</f>
        <v/>
      </c>
      <c r="T314" s="114">
        <f>SUMIFS('PO Log'!$E:$E,'PO Log'!$D:$D,'Category Table'!T$2,'PO Log'!$C:$C,'Category Table'!$A314)</f>
        <v/>
      </c>
      <c r="U314" s="113">
        <f>SUMIFS('Committments Dump'!$Q:$Q,'Committments Dump'!$C:$C,'Category Table'!U$2,'Committments Dump'!$B:$B,'Category Table'!$A314)</f>
        <v/>
      </c>
      <c r="V314" s="114">
        <f>SUMIFS('Committments Dump'!$Q:$Q,'Committments Dump'!$C:$C,'Category Table'!V$2,'Committments Dump'!$B:$B,'Category Table'!$A314)</f>
        <v/>
      </c>
      <c r="W314" s="114">
        <f>SUMIFS('Committments Dump'!$Q:$Q,'Committments Dump'!$C:$C,'Category Table'!W$2,'Committments Dump'!$B:$B,'Category Table'!$A314)</f>
        <v/>
      </c>
      <c r="X314" s="113">
        <f>SUMIFS('Committments Dump'!$R:$R,'Committments Dump'!$C:$C,'Category Table'!X$2,'Committments Dump'!$B:$B,'Category Table'!$A314)</f>
        <v/>
      </c>
      <c r="Y314" s="114">
        <f>SUMIFS('Committments Dump'!$R:$R,'Committments Dump'!$C:$C,'Category Table'!Y$2,'Committments Dump'!$B:$B,'Category Table'!$A314)</f>
        <v/>
      </c>
      <c r="Z314" s="114">
        <f>SUMIFS('Committments Dump'!$R:$R,'Committments Dump'!$C:$C,'Category Table'!Z$2,'Committments Dump'!$B:$B,'Category Table'!$A314)</f>
        <v/>
      </c>
      <c r="AA314" s="113">
        <f>SUMIFS('Committments Dump'!$S:$S,'Committments Dump'!$C:$C,'Category Table'!AA$2,'Committments Dump'!$B:$B,'Category Table'!$A314)</f>
        <v/>
      </c>
      <c r="AB314" s="114">
        <f>SUMIFS('Committments Dump'!$S:$S,'Committments Dump'!$C:$C,'Category Table'!AB$2,'Committments Dump'!$B:$B,'Category Table'!$A314)</f>
        <v/>
      </c>
      <c r="AC314" s="114">
        <f>SUMIFS('Committments Dump'!$S:$S,'Committments Dump'!$C:$C,'Category Table'!AC$2,'Committments Dump'!$B:$B,'Category Table'!$A314)</f>
        <v/>
      </c>
      <c r="AD314" s="113">
        <f>U314+X314+AA314</f>
        <v/>
      </c>
      <c r="AE314" s="114">
        <f>V314+Y314+AB314</f>
        <v/>
      </c>
      <c r="AF314" s="114">
        <f>W314+Z314+AC314</f>
        <v/>
      </c>
      <c r="AG314" s="113">
        <f>R314+AD314</f>
        <v/>
      </c>
      <c r="AH314" s="114">
        <f>S314+AE314</f>
        <v/>
      </c>
      <c r="AI314" s="114">
        <f>T314+AF314</f>
        <v/>
      </c>
      <c r="AJ314" s="113" t="n"/>
      <c r="AK314" s="114" t="n"/>
      <c r="AL314" s="114" t="n"/>
      <c r="AM314" s="113">
        <f>(O314-AG314)+AJ314</f>
        <v/>
      </c>
      <c r="AN314" s="114">
        <f>(P314-AH314)+AK314</f>
        <v/>
      </c>
      <c r="AO314" s="114">
        <f>(Q314-AI314)+AL314</f>
        <v/>
      </c>
      <c r="AP314" s="2">
        <f>IF(AM314&gt;0, "Under",IF(AM314&lt;0,"Over",""))</f>
        <v/>
      </c>
      <c r="AQ314" s="1">
        <f>IF(AN314&gt;0, "Under",IF(AN314&lt;0,"Over",""))</f>
        <v/>
      </c>
      <c r="AR314" s="1">
        <f>IF(AO314&gt;0, "Under",IF(AO314&lt;0,"Over",""))</f>
        <v/>
      </c>
      <c r="AS314" s="3" t="n"/>
    </row>
    <row r="315">
      <c r="A315" s="90" t="n"/>
      <c r="B315" s="90" t="n"/>
      <c r="C315" s="115" t="n"/>
      <c r="D315" s="116" t="n"/>
      <c r="E315" s="116" t="n"/>
      <c r="F315" s="115" t="n"/>
      <c r="G315" s="116" t="n"/>
      <c r="H315" s="116" t="n"/>
      <c r="I315" s="115" t="n"/>
      <c r="J315" s="116" t="n"/>
      <c r="K315" s="116" t="n"/>
      <c r="L315" s="115" t="n"/>
      <c r="M315" s="116" t="n"/>
      <c r="N315" s="116" t="n"/>
      <c r="O315" s="115">
        <f>L315+I315+F315+C315</f>
        <v/>
      </c>
      <c r="P315" s="116">
        <f>M315+J315+G315+D315</f>
        <v/>
      </c>
      <c r="Q315" s="116">
        <f>N315+K315+H315+E315</f>
        <v/>
      </c>
      <c r="R315" s="115">
        <f>SUMIFS('PO Log'!$E:$E,'PO Log'!$D:$D,'Category Table'!R$2,'PO Log'!$C:$C,'Category Table'!$A315)</f>
        <v/>
      </c>
      <c r="S315" s="116">
        <f>SUMIFS('PO Log'!$E:$E,'PO Log'!$D:$D,'Category Table'!S$2,'PO Log'!$C:$C,'Category Table'!$A315)</f>
        <v/>
      </c>
      <c r="T315" s="116">
        <f>SUMIFS('PO Log'!$E:$E,'PO Log'!$D:$D,'Category Table'!T$2,'PO Log'!$C:$C,'Category Table'!$A315)</f>
        <v/>
      </c>
      <c r="U315" s="115">
        <f>SUMIFS('Committments Dump'!$Q:$Q,'Committments Dump'!$C:$C,'Category Table'!U$2,'Committments Dump'!$B:$B,'Category Table'!$A315)</f>
        <v/>
      </c>
      <c r="V315" s="116">
        <f>SUMIFS('Committments Dump'!$Q:$Q,'Committments Dump'!$C:$C,'Category Table'!V$2,'Committments Dump'!$B:$B,'Category Table'!$A315)</f>
        <v/>
      </c>
      <c r="W315" s="116">
        <f>SUMIFS('Committments Dump'!$Q:$Q,'Committments Dump'!$C:$C,'Category Table'!W$2,'Committments Dump'!$B:$B,'Category Table'!$A315)</f>
        <v/>
      </c>
      <c r="X315" s="115">
        <f>SUMIFS('Committments Dump'!$R:$R,'Committments Dump'!$C:$C,'Category Table'!X$2,'Committments Dump'!$B:$B,'Category Table'!$A315)</f>
        <v/>
      </c>
      <c r="Y315" s="116">
        <f>SUMIFS('Committments Dump'!$R:$R,'Committments Dump'!$C:$C,'Category Table'!Y$2,'Committments Dump'!$B:$B,'Category Table'!$A315)</f>
        <v/>
      </c>
      <c r="Z315" s="116">
        <f>SUMIFS('Committments Dump'!$R:$R,'Committments Dump'!$C:$C,'Category Table'!Z$2,'Committments Dump'!$B:$B,'Category Table'!$A315)</f>
        <v/>
      </c>
      <c r="AA315" s="115">
        <f>SUMIFS('Committments Dump'!$S:$S,'Committments Dump'!$C:$C,'Category Table'!AA$2,'Committments Dump'!$B:$B,'Category Table'!$A315)</f>
        <v/>
      </c>
      <c r="AB315" s="116">
        <f>SUMIFS('Committments Dump'!$S:$S,'Committments Dump'!$C:$C,'Category Table'!AB$2,'Committments Dump'!$B:$B,'Category Table'!$A315)</f>
        <v/>
      </c>
      <c r="AC315" s="116">
        <f>SUMIFS('Committments Dump'!$S:$S,'Committments Dump'!$C:$C,'Category Table'!AC$2,'Committments Dump'!$B:$B,'Category Table'!$A315)</f>
        <v/>
      </c>
      <c r="AD315" s="115">
        <f>U315+X315+AA315</f>
        <v/>
      </c>
      <c r="AE315" s="116">
        <f>V315+Y315+AB315</f>
        <v/>
      </c>
      <c r="AF315" s="116">
        <f>W315+Z315+AC315</f>
        <v/>
      </c>
      <c r="AG315" s="115">
        <f>R315+AD315</f>
        <v/>
      </c>
      <c r="AH315" s="116">
        <f>S315+AE315</f>
        <v/>
      </c>
      <c r="AI315" s="116">
        <f>T315+AF315</f>
        <v/>
      </c>
      <c r="AJ315" s="115" t="n"/>
      <c r="AK315" s="116" t="n"/>
      <c r="AL315" s="116" t="n"/>
      <c r="AM315" s="115">
        <f>(O315-AG315)+AJ315</f>
        <v/>
      </c>
      <c r="AN315" s="116">
        <f>(P315-AH315)+AK315</f>
        <v/>
      </c>
      <c r="AO315" s="116">
        <f>(Q315-AI315)+AL315</f>
        <v/>
      </c>
      <c r="AP315" s="93">
        <f>IF(AM315&gt;0, "Under",IF(AM315&lt;0,"Over",""))</f>
        <v/>
      </c>
      <c r="AQ315" s="94">
        <f>IF(AN315&gt;0, "Under",IF(AN315&lt;0,"Over",""))</f>
        <v/>
      </c>
      <c r="AR315" s="94">
        <f>IF(AO315&gt;0, "Under",IF(AO315&lt;0,"Over",""))</f>
        <v/>
      </c>
      <c r="AS315" s="3" t="n"/>
    </row>
    <row r="316">
      <c r="C316" s="113" t="n"/>
      <c r="D316" s="114" t="n"/>
      <c r="E316" s="114" t="n"/>
      <c r="F316" s="113" t="n"/>
      <c r="G316" s="114" t="n"/>
      <c r="H316" s="114" t="n"/>
      <c r="I316" s="113" t="n"/>
      <c r="J316" s="114" t="n"/>
      <c r="K316" s="114" t="n"/>
      <c r="L316" s="113" t="n"/>
      <c r="M316" s="114" t="n"/>
      <c r="N316" s="114" t="n"/>
      <c r="O316" s="113">
        <f>L316+I316+F316+C316</f>
        <v/>
      </c>
      <c r="P316" s="114">
        <f>M316+J316+G316+D316</f>
        <v/>
      </c>
      <c r="Q316" s="114">
        <f>N316+K316+H316+E316</f>
        <v/>
      </c>
      <c r="R316" s="113">
        <f>SUMIFS('PO Log'!$E:$E,'PO Log'!$D:$D,'Category Table'!R$2,'PO Log'!$C:$C,'Category Table'!$A316)</f>
        <v/>
      </c>
      <c r="S316" s="114">
        <f>SUMIFS('PO Log'!$E:$E,'PO Log'!$D:$D,'Category Table'!S$2,'PO Log'!$C:$C,'Category Table'!$A316)</f>
        <v/>
      </c>
      <c r="T316" s="114">
        <f>SUMIFS('PO Log'!$E:$E,'PO Log'!$D:$D,'Category Table'!T$2,'PO Log'!$C:$C,'Category Table'!$A316)</f>
        <v/>
      </c>
      <c r="U316" s="113">
        <f>SUMIFS('Committments Dump'!$Q:$Q,'Committments Dump'!$C:$C,'Category Table'!U$2,'Committments Dump'!$B:$B,'Category Table'!$A316)</f>
        <v/>
      </c>
      <c r="V316" s="114">
        <f>SUMIFS('Committments Dump'!$Q:$Q,'Committments Dump'!$C:$C,'Category Table'!V$2,'Committments Dump'!$B:$B,'Category Table'!$A316)</f>
        <v/>
      </c>
      <c r="W316" s="114">
        <f>SUMIFS('Committments Dump'!$Q:$Q,'Committments Dump'!$C:$C,'Category Table'!W$2,'Committments Dump'!$B:$B,'Category Table'!$A316)</f>
        <v/>
      </c>
      <c r="X316" s="113">
        <f>SUMIFS('Committments Dump'!$R:$R,'Committments Dump'!$C:$C,'Category Table'!X$2,'Committments Dump'!$B:$B,'Category Table'!$A316)</f>
        <v/>
      </c>
      <c r="Y316" s="114">
        <f>SUMIFS('Committments Dump'!$R:$R,'Committments Dump'!$C:$C,'Category Table'!Y$2,'Committments Dump'!$B:$B,'Category Table'!$A316)</f>
        <v/>
      </c>
      <c r="Z316" s="114">
        <f>SUMIFS('Committments Dump'!$R:$R,'Committments Dump'!$C:$C,'Category Table'!Z$2,'Committments Dump'!$B:$B,'Category Table'!$A316)</f>
        <v/>
      </c>
      <c r="AA316" s="113">
        <f>SUMIFS('Committments Dump'!$S:$S,'Committments Dump'!$C:$C,'Category Table'!AA$2,'Committments Dump'!$B:$B,'Category Table'!$A316)</f>
        <v/>
      </c>
      <c r="AB316" s="114">
        <f>SUMIFS('Committments Dump'!$S:$S,'Committments Dump'!$C:$C,'Category Table'!AB$2,'Committments Dump'!$B:$B,'Category Table'!$A316)</f>
        <v/>
      </c>
      <c r="AC316" s="114">
        <f>SUMIFS('Committments Dump'!$S:$S,'Committments Dump'!$C:$C,'Category Table'!AC$2,'Committments Dump'!$B:$B,'Category Table'!$A316)</f>
        <v/>
      </c>
      <c r="AD316" s="113">
        <f>U316+X316+AA316</f>
        <v/>
      </c>
      <c r="AE316" s="114">
        <f>V316+Y316+AB316</f>
        <v/>
      </c>
      <c r="AF316" s="114">
        <f>W316+Z316+AC316</f>
        <v/>
      </c>
      <c r="AG316" s="113">
        <f>R316+AD316</f>
        <v/>
      </c>
      <c r="AH316" s="114">
        <f>S316+AE316</f>
        <v/>
      </c>
      <c r="AI316" s="114">
        <f>T316+AF316</f>
        <v/>
      </c>
      <c r="AJ316" s="113" t="n"/>
      <c r="AK316" s="114" t="n"/>
      <c r="AL316" s="114" t="n"/>
      <c r="AM316" s="113">
        <f>(O316-AG316)+AJ316</f>
        <v/>
      </c>
      <c r="AN316" s="114">
        <f>(P316-AH316)+AK316</f>
        <v/>
      </c>
      <c r="AO316" s="114">
        <f>(Q316-AI316)+AL316</f>
        <v/>
      </c>
      <c r="AP316" s="2">
        <f>IF(AM316&gt;0, "Under",IF(AM316&lt;0,"Over",""))</f>
        <v/>
      </c>
      <c r="AQ316" s="1">
        <f>IF(AN316&gt;0, "Under",IF(AN316&lt;0,"Over",""))</f>
        <v/>
      </c>
      <c r="AR316" s="1">
        <f>IF(AO316&gt;0, "Under",IF(AO316&lt;0,"Over",""))</f>
        <v/>
      </c>
      <c r="AS316" s="3" t="n"/>
    </row>
    <row r="317">
      <c r="A317" s="90" t="n"/>
      <c r="B317" s="90" t="n"/>
      <c r="C317" s="115" t="n"/>
      <c r="D317" s="116" t="n"/>
      <c r="E317" s="116" t="n"/>
      <c r="F317" s="115" t="n"/>
      <c r="G317" s="116" t="n"/>
      <c r="H317" s="116" t="n"/>
      <c r="I317" s="115" t="n"/>
      <c r="J317" s="116" t="n"/>
      <c r="K317" s="116" t="n"/>
      <c r="L317" s="115" t="n"/>
      <c r="M317" s="116" t="n"/>
      <c r="N317" s="116" t="n"/>
      <c r="O317" s="115">
        <f>L317+I317+F317+C317</f>
        <v/>
      </c>
      <c r="P317" s="116">
        <f>M317+J317+G317+D317</f>
        <v/>
      </c>
      <c r="Q317" s="116">
        <f>N317+K317+H317+E317</f>
        <v/>
      </c>
      <c r="R317" s="115">
        <f>SUMIFS('PO Log'!$E:$E,'PO Log'!$D:$D,'Category Table'!R$2,'PO Log'!$C:$C,'Category Table'!$A317)</f>
        <v/>
      </c>
      <c r="S317" s="116">
        <f>SUMIFS('PO Log'!$E:$E,'PO Log'!$D:$D,'Category Table'!S$2,'PO Log'!$C:$C,'Category Table'!$A317)</f>
        <v/>
      </c>
      <c r="T317" s="116">
        <f>SUMIFS('PO Log'!$E:$E,'PO Log'!$D:$D,'Category Table'!T$2,'PO Log'!$C:$C,'Category Table'!$A317)</f>
        <v/>
      </c>
      <c r="U317" s="115">
        <f>SUMIFS('Committments Dump'!$Q:$Q,'Committments Dump'!$C:$C,'Category Table'!U$2,'Committments Dump'!$B:$B,'Category Table'!$A317)</f>
        <v/>
      </c>
      <c r="V317" s="116">
        <f>SUMIFS('Committments Dump'!$Q:$Q,'Committments Dump'!$C:$C,'Category Table'!V$2,'Committments Dump'!$B:$B,'Category Table'!$A317)</f>
        <v/>
      </c>
      <c r="W317" s="116">
        <f>SUMIFS('Committments Dump'!$Q:$Q,'Committments Dump'!$C:$C,'Category Table'!W$2,'Committments Dump'!$B:$B,'Category Table'!$A317)</f>
        <v/>
      </c>
      <c r="X317" s="115">
        <f>SUMIFS('Committments Dump'!$R:$R,'Committments Dump'!$C:$C,'Category Table'!X$2,'Committments Dump'!$B:$B,'Category Table'!$A317)</f>
        <v/>
      </c>
      <c r="Y317" s="116">
        <f>SUMIFS('Committments Dump'!$R:$R,'Committments Dump'!$C:$C,'Category Table'!Y$2,'Committments Dump'!$B:$B,'Category Table'!$A317)</f>
        <v/>
      </c>
      <c r="Z317" s="116">
        <f>SUMIFS('Committments Dump'!$R:$R,'Committments Dump'!$C:$C,'Category Table'!Z$2,'Committments Dump'!$B:$B,'Category Table'!$A317)</f>
        <v/>
      </c>
      <c r="AA317" s="115">
        <f>SUMIFS('Committments Dump'!$S:$S,'Committments Dump'!$C:$C,'Category Table'!AA$2,'Committments Dump'!$B:$B,'Category Table'!$A317)</f>
        <v/>
      </c>
      <c r="AB317" s="116">
        <f>SUMIFS('Committments Dump'!$S:$S,'Committments Dump'!$C:$C,'Category Table'!AB$2,'Committments Dump'!$B:$B,'Category Table'!$A317)</f>
        <v/>
      </c>
      <c r="AC317" s="116">
        <f>SUMIFS('Committments Dump'!$S:$S,'Committments Dump'!$C:$C,'Category Table'!AC$2,'Committments Dump'!$B:$B,'Category Table'!$A317)</f>
        <v/>
      </c>
      <c r="AD317" s="115">
        <f>U317+X317+AA317</f>
        <v/>
      </c>
      <c r="AE317" s="116">
        <f>V317+Y317+AB317</f>
        <v/>
      </c>
      <c r="AF317" s="116">
        <f>W317+Z317+AC317</f>
        <v/>
      </c>
      <c r="AG317" s="115">
        <f>R317+AD317</f>
        <v/>
      </c>
      <c r="AH317" s="116">
        <f>S317+AE317</f>
        <v/>
      </c>
      <c r="AI317" s="116">
        <f>T317+AF317</f>
        <v/>
      </c>
      <c r="AJ317" s="115" t="n"/>
      <c r="AK317" s="116" t="n"/>
      <c r="AL317" s="116" t="n"/>
      <c r="AM317" s="115">
        <f>(O317-AG317)+AJ317</f>
        <v/>
      </c>
      <c r="AN317" s="116">
        <f>(P317-AH317)+AK317</f>
        <v/>
      </c>
      <c r="AO317" s="116">
        <f>(Q317-AI317)+AL317</f>
        <v/>
      </c>
      <c r="AP317" s="93">
        <f>IF(AM317&gt;0, "Under",IF(AM317&lt;0,"Over",""))</f>
        <v/>
      </c>
      <c r="AQ317" s="94">
        <f>IF(AN317&gt;0, "Under",IF(AN317&lt;0,"Over",""))</f>
        <v/>
      </c>
      <c r="AR317" s="94">
        <f>IF(AO317&gt;0, "Under",IF(AO317&lt;0,"Over",""))</f>
        <v/>
      </c>
      <c r="AS317" s="3" t="n"/>
    </row>
    <row r="318">
      <c r="C318" s="113" t="n"/>
      <c r="D318" s="114" t="n"/>
      <c r="E318" s="114" t="n"/>
      <c r="F318" s="113" t="n"/>
      <c r="G318" s="114" t="n"/>
      <c r="H318" s="114" t="n"/>
      <c r="I318" s="113" t="n"/>
      <c r="J318" s="114" t="n"/>
      <c r="K318" s="114" t="n"/>
      <c r="L318" s="113" t="n"/>
      <c r="M318" s="114" t="n"/>
      <c r="N318" s="114" t="n"/>
      <c r="O318" s="113">
        <f>L318+I318+F318+C318</f>
        <v/>
      </c>
      <c r="P318" s="114">
        <f>M318+J318+G318+D318</f>
        <v/>
      </c>
      <c r="Q318" s="114">
        <f>N318+K318+H318+E318</f>
        <v/>
      </c>
      <c r="R318" s="113">
        <f>SUMIFS('PO Log'!$E:$E,'PO Log'!$D:$D,'Category Table'!R$2,'PO Log'!$C:$C,'Category Table'!$A318)</f>
        <v/>
      </c>
      <c r="S318" s="114">
        <f>SUMIFS('PO Log'!$E:$E,'PO Log'!$D:$D,'Category Table'!S$2,'PO Log'!$C:$C,'Category Table'!$A318)</f>
        <v/>
      </c>
      <c r="T318" s="114">
        <f>SUMIFS('PO Log'!$E:$E,'PO Log'!$D:$D,'Category Table'!T$2,'PO Log'!$C:$C,'Category Table'!$A318)</f>
        <v/>
      </c>
      <c r="U318" s="113">
        <f>SUMIFS('Committments Dump'!$Q:$Q,'Committments Dump'!$C:$C,'Category Table'!U$2,'Committments Dump'!$B:$B,'Category Table'!$A318)</f>
        <v/>
      </c>
      <c r="V318" s="114">
        <f>SUMIFS('Committments Dump'!$Q:$Q,'Committments Dump'!$C:$C,'Category Table'!V$2,'Committments Dump'!$B:$B,'Category Table'!$A318)</f>
        <v/>
      </c>
      <c r="W318" s="114">
        <f>SUMIFS('Committments Dump'!$Q:$Q,'Committments Dump'!$C:$C,'Category Table'!W$2,'Committments Dump'!$B:$B,'Category Table'!$A318)</f>
        <v/>
      </c>
      <c r="X318" s="113">
        <f>SUMIFS('Committments Dump'!$R:$R,'Committments Dump'!$C:$C,'Category Table'!X$2,'Committments Dump'!$B:$B,'Category Table'!$A318)</f>
        <v/>
      </c>
      <c r="Y318" s="114">
        <f>SUMIFS('Committments Dump'!$R:$R,'Committments Dump'!$C:$C,'Category Table'!Y$2,'Committments Dump'!$B:$B,'Category Table'!$A318)</f>
        <v/>
      </c>
      <c r="Z318" s="114">
        <f>SUMIFS('Committments Dump'!$R:$R,'Committments Dump'!$C:$C,'Category Table'!Z$2,'Committments Dump'!$B:$B,'Category Table'!$A318)</f>
        <v/>
      </c>
      <c r="AA318" s="113">
        <f>SUMIFS('Committments Dump'!$S:$S,'Committments Dump'!$C:$C,'Category Table'!AA$2,'Committments Dump'!$B:$B,'Category Table'!$A318)</f>
        <v/>
      </c>
      <c r="AB318" s="114">
        <f>SUMIFS('Committments Dump'!$S:$S,'Committments Dump'!$C:$C,'Category Table'!AB$2,'Committments Dump'!$B:$B,'Category Table'!$A318)</f>
        <v/>
      </c>
      <c r="AC318" s="114">
        <f>SUMIFS('Committments Dump'!$S:$S,'Committments Dump'!$C:$C,'Category Table'!AC$2,'Committments Dump'!$B:$B,'Category Table'!$A318)</f>
        <v/>
      </c>
      <c r="AD318" s="113">
        <f>U318+X318+AA318</f>
        <v/>
      </c>
      <c r="AE318" s="114">
        <f>V318+Y318+AB318</f>
        <v/>
      </c>
      <c r="AF318" s="114">
        <f>W318+Z318+AC318</f>
        <v/>
      </c>
      <c r="AG318" s="113">
        <f>R318+AD318</f>
        <v/>
      </c>
      <c r="AH318" s="114">
        <f>S318+AE318</f>
        <v/>
      </c>
      <c r="AI318" s="114">
        <f>T318+AF318</f>
        <v/>
      </c>
      <c r="AJ318" s="113" t="n"/>
      <c r="AK318" s="114" t="n"/>
      <c r="AL318" s="114" t="n"/>
      <c r="AM318" s="113">
        <f>(O318-AG318)+AJ318</f>
        <v/>
      </c>
      <c r="AN318" s="114">
        <f>(P318-AH318)+AK318</f>
        <v/>
      </c>
      <c r="AO318" s="114">
        <f>(Q318-AI318)+AL318</f>
        <v/>
      </c>
      <c r="AP318" s="2">
        <f>IF(AM318&gt;0, "Under",IF(AM318&lt;0,"Over",""))</f>
        <v/>
      </c>
      <c r="AQ318" s="1">
        <f>IF(AN318&gt;0, "Under",IF(AN318&lt;0,"Over",""))</f>
        <v/>
      </c>
      <c r="AR318" s="1">
        <f>IF(AO318&gt;0, "Under",IF(AO318&lt;0,"Over",""))</f>
        <v/>
      </c>
      <c r="AS318" s="3" t="n"/>
    </row>
    <row r="319">
      <c r="A319" s="90" t="n"/>
      <c r="B319" s="90" t="n"/>
      <c r="C319" s="115" t="n"/>
      <c r="D319" s="116" t="n"/>
      <c r="E319" s="116" t="n"/>
      <c r="F319" s="115" t="n"/>
      <c r="G319" s="116" t="n"/>
      <c r="H319" s="116" t="n"/>
      <c r="I319" s="115" t="n"/>
      <c r="J319" s="116" t="n"/>
      <c r="K319" s="116" t="n"/>
      <c r="L319" s="115" t="n"/>
      <c r="M319" s="116" t="n"/>
      <c r="N319" s="116" t="n"/>
      <c r="O319" s="115">
        <f>L319+I319+F319+C319</f>
        <v/>
      </c>
      <c r="P319" s="116">
        <f>M319+J319+G319+D319</f>
        <v/>
      </c>
      <c r="Q319" s="116">
        <f>N319+K319+H319+E319</f>
        <v/>
      </c>
      <c r="R319" s="115">
        <f>SUMIFS('PO Log'!$E:$E,'PO Log'!$D:$D,'Category Table'!R$2,'PO Log'!$C:$C,'Category Table'!$A319)</f>
        <v/>
      </c>
      <c r="S319" s="116">
        <f>SUMIFS('PO Log'!$E:$E,'PO Log'!$D:$D,'Category Table'!S$2,'PO Log'!$C:$C,'Category Table'!$A319)</f>
        <v/>
      </c>
      <c r="T319" s="116">
        <f>SUMIFS('PO Log'!$E:$E,'PO Log'!$D:$D,'Category Table'!T$2,'PO Log'!$C:$C,'Category Table'!$A319)</f>
        <v/>
      </c>
      <c r="U319" s="115">
        <f>SUMIFS('Committments Dump'!$Q:$Q,'Committments Dump'!$C:$C,'Category Table'!U$2,'Committments Dump'!$B:$B,'Category Table'!$A319)</f>
        <v/>
      </c>
      <c r="V319" s="116">
        <f>SUMIFS('Committments Dump'!$Q:$Q,'Committments Dump'!$C:$C,'Category Table'!V$2,'Committments Dump'!$B:$B,'Category Table'!$A319)</f>
        <v/>
      </c>
      <c r="W319" s="116">
        <f>SUMIFS('Committments Dump'!$Q:$Q,'Committments Dump'!$C:$C,'Category Table'!W$2,'Committments Dump'!$B:$B,'Category Table'!$A319)</f>
        <v/>
      </c>
      <c r="X319" s="115">
        <f>SUMIFS('Committments Dump'!$R:$R,'Committments Dump'!$C:$C,'Category Table'!X$2,'Committments Dump'!$B:$B,'Category Table'!$A319)</f>
        <v/>
      </c>
      <c r="Y319" s="116">
        <f>SUMIFS('Committments Dump'!$R:$R,'Committments Dump'!$C:$C,'Category Table'!Y$2,'Committments Dump'!$B:$B,'Category Table'!$A319)</f>
        <v/>
      </c>
      <c r="Z319" s="116">
        <f>SUMIFS('Committments Dump'!$R:$R,'Committments Dump'!$C:$C,'Category Table'!Z$2,'Committments Dump'!$B:$B,'Category Table'!$A319)</f>
        <v/>
      </c>
      <c r="AA319" s="115">
        <f>SUMIFS('Committments Dump'!$S:$S,'Committments Dump'!$C:$C,'Category Table'!AA$2,'Committments Dump'!$B:$B,'Category Table'!$A319)</f>
        <v/>
      </c>
      <c r="AB319" s="116">
        <f>SUMIFS('Committments Dump'!$S:$S,'Committments Dump'!$C:$C,'Category Table'!AB$2,'Committments Dump'!$B:$B,'Category Table'!$A319)</f>
        <v/>
      </c>
      <c r="AC319" s="116">
        <f>SUMIFS('Committments Dump'!$S:$S,'Committments Dump'!$C:$C,'Category Table'!AC$2,'Committments Dump'!$B:$B,'Category Table'!$A319)</f>
        <v/>
      </c>
      <c r="AD319" s="115">
        <f>U319+X319+AA319</f>
        <v/>
      </c>
      <c r="AE319" s="116">
        <f>V319+Y319+AB319</f>
        <v/>
      </c>
      <c r="AF319" s="116">
        <f>W319+Z319+AC319</f>
        <v/>
      </c>
      <c r="AG319" s="115">
        <f>R319+AD319</f>
        <v/>
      </c>
      <c r="AH319" s="116">
        <f>S319+AE319</f>
        <v/>
      </c>
      <c r="AI319" s="116">
        <f>T319+AF319</f>
        <v/>
      </c>
      <c r="AJ319" s="115" t="n"/>
      <c r="AK319" s="116" t="n"/>
      <c r="AL319" s="116" t="n"/>
      <c r="AM319" s="115">
        <f>(O319-AG319)+AJ319</f>
        <v/>
      </c>
      <c r="AN319" s="116">
        <f>(P319-AH319)+AK319</f>
        <v/>
      </c>
      <c r="AO319" s="116">
        <f>(Q319-AI319)+AL319</f>
        <v/>
      </c>
      <c r="AP319" s="93">
        <f>IF(AM319&gt;0, "Under",IF(AM319&lt;0,"Over",""))</f>
        <v/>
      </c>
      <c r="AQ319" s="94">
        <f>IF(AN319&gt;0, "Under",IF(AN319&lt;0,"Over",""))</f>
        <v/>
      </c>
      <c r="AR319" s="94">
        <f>IF(AO319&gt;0, "Under",IF(AO319&lt;0,"Over",""))</f>
        <v/>
      </c>
      <c r="AS319" s="3" t="n"/>
    </row>
    <row r="320">
      <c r="C320" s="113" t="n"/>
      <c r="D320" s="114" t="n"/>
      <c r="E320" s="114" t="n"/>
      <c r="F320" s="113" t="n"/>
      <c r="G320" s="114" t="n"/>
      <c r="H320" s="114" t="n"/>
      <c r="I320" s="113" t="n"/>
      <c r="J320" s="114" t="n"/>
      <c r="K320" s="114" t="n"/>
      <c r="L320" s="113" t="n"/>
      <c r="M320" s="114" t="n"/>
      <c r="N320" s="114" t="n"/>
      <c r="O320" s="113">
        <f>L320+I320+F320+C320</f>
        <v/>
      </c>
      <c r="P320" s="114">
        <f>M320+J320+G320+D320</f>
        <v/>
      </c>
      <c r="Q320" s="114">
        <f>N320+K320+H320+E320</f>
        <v/>
      </c>
      <c r="R320" s="113">
        <f>SUMIFS('PO Log'!$E:$E,'PO Log'!$D:$D,'Category Table'!R$2,'PO Log'!$C:$C,'Category Table'!$A320)</f>
        <v/>
      </c>
      <c r="S320" s="114">
        <f>SUMIFS('PO Log'!$E:$E,'PO Log'!$D:$D,'Category Table'!S$2,'PO Log'!$C:$C,'Category Table'!$A320)</f>
        <v/>
      </c>
      <c r="T320" s="114">
        <f>SUMIFS('PO Log'!$E:$E,'PO Log'!$D:$D,'Category Table'!T$2,'PO Log'!$C:$C,'Category Table'!$A320)</f>
        <v/>
      </c>
      <c r="U320" s="113">
        <f>SUMIFS('Committments Dump'!$Q:$Q,'Committments Dump'!$C:$C,'Category Table'!U$2,'Committments Dump'!$B:$B,'Category Table'!$A320)</f>
        <v/>
      </c>
      <c r="V320" s="114">
        <f>SUMIFS('Committments Dump'!$Q:$Q,'Committments Dump'!$C:$C,'Category Table'!V$2,'Committments Dump'!$B:$B,'Category Table'!$A320)</f>
        <v/>
      </c>
      <c r="W320" s="114">
        <f>SUMIFS('Committments Dump'!$Q:$Q,'Committments Dump'!$C:$C,'Category Table'!W$2,'Committments Dump'!$B:$B,'Category Table'!$A320)</f>
        <v/>
      </c>
      <c r="X320" s="113">
        <f>SUMIFS('Committments Dump'!$R:$R,'Committments Dump'!$C:$C,'Category Table'!X$2,'Committments Dump'!$B:$B,'Category Table'!$A320)</f>
        <v/>
      </c>
      <c r="Y320" s="114">
        <f>SUMIFS('Committments Dump'!$R:$R,'Committments Dump'!$C:$C,'Category Table'!Y$2,'Committments Dump'!$B:$B,'Category Table'!$A320)</f>
        <v/>
      </c>
      <c r="Z320" s="114">
        <f>SUMIFS('Committments Dump'!$R:$R,'Committments Dump'!$C:$C,'Category Table'!Z$2,'Committments Dump'!$B:$B,'Category Table'!$A320)</f>
        <v/>
      </c>
      <c r="AA320" s="113">
        <f>SUMIFS('Committments Dump'!$S:$S,'Committments Dump'!$C:$C,'Category Table'!AA$2,'Committments Dump'!$B:$B,'Category Table'!$A320)</f>
        <v/>
      </c>
      <c r="AB320" s="114">
        <f>SUMIFS('Committments Dump'!$S:$S,'Committments Dump'!$C:$C,'Category Table'!AB$2,'Committments Dump'!$B:$B,'Category Table'!$A320)</f>
        <v/>
      </c>
      <c r="AC320" s="114">
        <f>SUMIFS('Committments Dump'!$S:$S,'Committments Dump'!$C:$C,'Category Table'!AC$2,'Committments Dump'!$B:$B,'Category Table'!$A320)</f>
        <v/>
      </c>
      <c r="AD320" s="113">
        <f>U320+X320+AA320</f>
        <v/>
      </c>
      <c r="AE320" s="114">
        <f>V320+Y320+AB320</f>
        <v/>
      </c>
      <c r="AF320" s="114">
        <f>W320+Z320+AC320</f>
        <v/>
      </c>
      <c r="AG320" s="113">
        <f>R320+AD320</f>
        <v/>
      </c>
      <c r="AH320" s="114">
        <f>S320+AE320</f>
        <v/>
      </c>
      <c r="AI320" s="114">
        <f>T320+AF320</f>
        <v/>
      </c>
      <c r="AJ320" s="113" t="n"/>
      <c r="AK320" s="114" t="n"/>
      <c r="AL320" s="114" t="n"/>
      <c r="AM320" s="113">
        <f>(O320-AG320)+AJ320</f>
        <v/>
      </c>
      <c r="AN320" s="114">
        <f>(P320-AH320)+AK320</f>
        <v/>
      </c>
      <c r="AO320" s="114">
        <f>(Q320-AI320)+AL320</f>
        <v/>
      </c>
      <c r="AP320" s="2">
        <f>IF(AM320&gt;0, "Under",IF(AM320&lt;0,"Over",""))</f>
        <v/>
      </c>
      <c r="AQ320" s="1">
        <f>IF(AN320&gt;0, "Under",IF(AN320&lt;0,"Over",""))</f>
        <v/>
      </c>
      <c r="AR320" s="1">
        <f>IF(AO320&gt;0, "Under",IF(AO320&lt;0,"Over",""))</f>
        <v/>
      </c>
      <c r="AS320" s="3" t="n"/>
    </row>
    <row r="321">
      <c r="A321" s="90" t="n"/>
      <c r="B321" s="90" t="n"/>
      <c r="C321" s="115" t="n"/>
      <c r="D321" s="116" t="n"/>
      <c r="E321" s="116" t="n"/>
      <c r="F321" s="115" t="n"/>
      <c r="G321" s="116" t="n"/>
      <c r="H321" s="116" t="n"/>
      <c r="I321" s="115" t="n"/>
      <c r="J321" s="116" t="n"/>
      <c r="K321" s="116" t="n"/>
      <c r="L321" s="115" t="n"/>
      <c r="M321" s="116" t="n"/>
      <c r="N321" s="116" t="n"/>
      <c r="O321" s="115">
        <f>L321+I321+F321+C321</f>
        <v/>
      </c>
      <c r="P321" s="116">
        <f>M321+J321+G321+D321</f>
        <v/>
      </c>
      <c r="Q321" s="116">
        <f>N321+K321+H321+E321</f>
        <v/>
      </c>
      <c r="R321" s="115">
        <f>SUMIFS('PO Log'!$E:$E,'PO Log'!$D:$D,'Category Table'!R$2,'PO Log'!$C:$C,'Category Table'!$A321)</f>
        <v/>
      </c>
      <c r="S321" s="116">
        <f>SUMIFS('PO Log'!$E:$E,'PO Log'!$D:$D,'Category Table'!S$2,'PO Log'!$C:$C,'Category Table'!$A321)</f>
        <v/>
      </c>
      <c r="T321" s="116">
        <f>SUMIFS('PO Log'!$E:$E,'PO Log'!$D:$D,'Category Table'!T$2,'PO Log'!$C:$C,'Category Table'!$A321)</f>
        <v/>
      </c>
      <c r="U321" s="115">
        <f>SUMIFS('Committments Dump'!$Q:$Q,'Committments Dump'!$C:$C,'Category Table'!U$2,'Committments Dump'!$B:$B,'Category Table'!$A321)</f>
        <v/>
      </c>
      <c r="V321" s="116">
        <f>SUMIFS('Committments Dump'!$Q:$Q,'Committments Dump'!$C:$C,'Category Table'!V$2,'Committments Dump'!$B:$B,'Category Table'!$A321)</f>
        <v/>
      </c>
      <c r="W321" s="116">
        <f>SUMIFS('Committments Dump'!$Q:$Q,'Committments Dump'!$C:$C,'Category Table'!W$2,'Committments Dump'!$B:$B,'Category Table'!$A321)</f>
        <v/>
      </c>
      <c r="X321" s="115">
        <f>SUMIFS('Committments Dump'!$R:$R,'Committments Dump'!$C:$C,'Category Table'!X$2,'Committments Dump'!$B:$B,'Category Table'!$A321)</f>
        <v/>
      </c>
      <c r="Y321" s="116">
        <f>SUMIFS('Committments Dump'!$R:$R,'Committments Dump'!$C:$C,'Category Table'!Y$2,'Committments Dump'!$B:$B,'Category Table'!$A321)</f>
        <v/>
      </c>
      <c r="Z321" s="116">
        <f>SUMIFS('Committments Dump'!$R:$R,'Committments Dump'!$C:$C,'Category Table'!Z$2,'Committments Dump'!$B:$B,'Category Table'!$A321)</f>
        <v/>
      </c>
      <c r="AA321" s="115">
        <f>SUMIFS('Committments Dump'!$S:$S,'Committments Dump'!$C:$C,'Category Table'!AA$2,'Committments Dump'!$B:$B,'Category Table'!$A321)</f>
        <v/>
      </c>
      <c r="AB321" s="116">
        <f>SUMIFS('Committments Dump'!$S:$S,'Committments Dump'!$C:$C,'Category Table'!AB$2,'Committments Dump'!$B:$B,'Category Table'!$A321)</f>
        <v/>
      </c>
      <c r="AC321" s="116">
        <f>SUMIFS('Committments Dump'!$S:$S,'Committments Dump'!$C:$C,'Category Table'!AC$2,'Committments Dump'!$B:$B,'Category Table'!$A321)</f>
        <v/>
      </c>
      <c r="AD321" s="115">
        <f>U321+X321+AA321</f>
        <v/>
      </c>
      <c r="AE321" s="116">
        <f>V321+Y321+AB321</f>
        <v/>
      </c>
      <c r="AF321" s="116">
        <f>W321+Z321+AC321</f>
        <v/>
      </c>
      <c r="AG321" s="115">
        <f>R321+AD321</f>
        <v/>
      </c>
      <c r="AH321" s="116">
        <f>S321+AE321</f>
        <v/>
      </c>
      <c r="AI321" s="116">
        <f>T321+AF321</f>
        <v/>
      </c>
      <c r="AJ321" s="115" t="n"/>
      <c r="AK321" s="116" t="n"/>
      <c r="AL321" s="116" t="n"/>
      <c r="AM321" s="115">
        <f>(O321-AG321)+AJ321</f>
        <v/>
      </c>
      <c r="AN321" s="116">
        <f>(P321-AH321)+AK321</f>
        <v/>
      </c>
      <c r="AO321" s="116">
        <f>(Q321-AI321)+AL321</f>
        <v/>
      </c>
      <c r="AP321" s="93">
        <f>IF(AM321&gt;0, "Under",IF(AM321&lt;0,"Over",""))</f>
        <v/>
      </c>
      <c r="AQ321" s="94">
        <f>IF(AN321&gt;0, "Under",IF(AN321&lt;0,"Over",""))</f>
        <v/>
      </c>
      <c r="AR321" s="94">
        <f>IF(AO321&gt;0, "Under",IF(AO321&lt;0,"Over",""))</f>
        <v/>
      </c>
      <c r="AS321" s="3" t="n"/>
    </row>
    <row r="322">
      <c r="C322" s="113" t="n"/>
      <c r="D322" s="114" t="n"/>
      <c r="E322" s="114" t="n"/>
      <c r="F322" s="113" t="n"/>
      <c r="G322" s="114" t="n"/>
      <c r="H322" s="114" t="n"/>
      <c r="I322" s="113" t="n"/>
      <c r="J322" s="114" t="n"/>
      <c r="K322" s="114" t="n"/>
      <c r="L322" s="113" t="n"/>
      <c r="M322" s="114" t="n"/>
      <c r="N322" s="114" t="n"/>
      <c r="O322" s="113">
        <f>L322+I322+F322+C322</f>
        <v/>
      </c>
      <c r="P322" s="114">
        <f>M322+J322+G322+D322</f>
        <v/>
      </c>
      <c r="Q322" s="114">
        <f>N322+K322+H322+E322</f>
        <v/>
      </c>
      <c r="R322" s="113">
        <f>SUMIFS('PO Log'!$E:$E,'PO Log'!$D:$D,'Category Table'!R$2,'PO Log'!$C:$C,'Category Table'!$A322)</f>
        <v/>
      </c>
      <c r="S322" s="114">
        <f>SUMIFS('PO Log'!$E:$E,'PO Log'!$D:$D,'Category Table'!S$2,'PO Log'!$C:$C,'Category Table'!$A322)</f>
        <v/>
      </c>
      <c r="T322" s="114">
        <f>SUMIFS('PO Log'!$E:$E,'PO Log'!$D:$D,'Category Table'!T$2,'PO Log'!$C:$C,'Category Table'!$A322)</f>
        <v/>
      </c>
      <c r="U322" s="113">
        <f>SUMIFS('Committments Dump'!$Q:$Q,'Committments Dump'!$C:$C,'Category Table'!U$2,'Committments Dump'!$B:$B,'Category Table'!$A322)</f>
        <v/>
      </c>
      <c r="V322" s="114">
        <f>SUMIFS('Committments Dump'!$Q:$Q,'Committments Dump'!$C:$C,'Category Table'!V$2,'Committments Dump'!$B:$B,'Category Table'!$A322)</f>
        <v/>
      </c>
      <c r="W322" s="114">
        <f>SUMIFS('Committments Dump'!$Q:$Q,'Committments Dump'!$C:$C,'Category Table'!W$2,'Committments Dump'!$B:$B,'Category Table'!$A322)</f>
        <v/>
      </c>
      <c r="X322" s="113">
        <f>SUMIFS('Committments Dump'!$R:$R,'Committments Dump'!$C:$C,'Category Table'!X$2,'Committments Dump'!$B:$B,'Category Table'!$A322)</f>
        <v/>
      </c>
      <c r="Y322" s="114">
        <f>SUMIFS('Committments Dump'!$R:$R,'Committments Dump'!$C:$C,'Category Table'!Y$2,'Committments Dump'!$B:$B,'Category Table'!$A322)</f>
        <v/>
      </c>
      <c r="Z322" s="114">
        <f>SUMIFS('Committments Dump'!$R:$R,'Committments Dump'!$C:$C,'Category Table'!Z$2,'Committments Dump'!$B:$B,'Category Table'!$A322)</f>
        <v/>
      </c>
      <c r="AA322" s="113">
        <f>SUMIFS('Committments Dump'!$S:$S,'Committments Dump'!$C:$C,'Category Table'!AA$2,'Committments Dump'!$B:$B,'Category Table'!$A322)</f>
        <v/>
      </c>
      <c r="AB322" s="114">
        <f>SUMIFS('Committments Dump'!$S:$S,'Committments Dump'!$C:$C,'Category Table'!AB$2,'Committments Dump'!$B:$B,'Category Table'!$A322)</f>
        <v/>
      </c>
      <c r="AC322" s="114">
        <f>SUMIFS('Committments Dump'!$S:$S,'Committments Dump'!$C:$C,'Category Table'!AC$2,'Committments Dump'!$B:$B,'Category Table'!$A322)</f>
        <v/>
      </c>
      <c r="AD322" s="113">
        <f>U322+X322+AA322</f>
        <v/>
      </c>
      <c r="AE322" s="114">
        <f>V322+Y322+AB322</f>
        <v/>
      </c>
      <c r="AF322" s="114">
        <f>W322+Z322+AC322</f>
        <v/>
      </c>
      <c r="AG322" s="113">
        <f>R322+AD322</f>
        <v/>
      </c>
      <c r="AH322" s="114">
        <f>S322+AE322</f>
        <v/>
      </c>
      <c r="AI322" s="114">
        <f>T322+AF322</f>
        <v/>
      </c>
      <c r="AJ322" s="113" t="n"/>
      <c r="AK322" s="114" t="n"/>
      <c r="AL322" s="114" t="n"/>
      <c r="AM322" s="113">
        <f>(O322-AG322)+AJ322</f>
        <v/>
      </c>
      <c r="AN322" s="114">
        <f>(P322-AH322)+AK322</f>
        <v/>
      </c>
      <c r="AO322" s="114">
        <f>(Q322-AI322)+AL322</f>
        <v/>
      </c>
      <c r="AP322" s="2">
        <f>IF(AM322&gt;0, "Under",IF(AM322&lt;0,"Over",""))</f>
        <v/>
      </c>
      <c r="AQ322" s="1">
        <f>IF(AN322&gt;0, "Under",IF(AN322&lt;0,"Over",""))</f>
        <v/>
      </c>
      <c r="AR322" s="1">
        <f>IF(AO322&gt;0, "Under",IF(AO322&lt;0,"Over",""))</f>
        <v/>
      </c>
      <c r="AS322" s="3" t="n"/>
    </row>
    <row r="323">
      <c r="A323" s="90" t="n"/>
      <c r="B323" s="90" t="n"/>
      <c r="C323" s="115" t="n"/>
      <c r="D323" s="116" t="n"/>
      <c r="E323" s="116" t="n"/>
      <c r="F323" s="115" t="n"/>
      <c r="G323" s="116" t="n"/>
      <c r="H323" s="116" t="n"/>
      <c r="I323" s="115" t="n"/>
      <c r="J323" s="116" t="n"/>
      <c r="K323" s="116" t="n"/>
      <c r="L323" s="115" t="n"/>
      <c r="M323" s="116" t="n"/>
      <c r="N323" s="116" t="n"/>
      <c r="O323" s="115">
        <f>L323+I323+F323+C323</f>
        <v/>
      </c>
      <c r="P323" s="116">
        <f>M323+J323+G323+D323</f>
        <v/>
      </c>
      <c r="Q323" s="116">
        <f>N323+K323+H323+E323</f>
        <v/>
      </c>
      <c r="R323" s="115">
        <f>SUMIFS('PO Log'!$E:$E,'PO Log'!$D:$D,'Category Table'!R$2,'PO Log'!$C:$C,'Category Table'!$A323)</f>
        <v/>
      </c>
      <c r="S323" s="116">
        <f>SUMIFS('PO Log'!$E:$E,'PO Log'!$D:$D,'Category Table'!S$2,'PO Log'!$C:$C,'Category Table'!$A323)</f>
        <v/>
      </c>
      <c r="T323" s="116">
        <f>SUMIFS('PO Log'!$E:$E,'PO Log'!$D:$D,'Category Table'!T$2,'PO Log'!$C:$C,'Category Table'!$A323)</f>
        <v/>
      </c>
      <c r="U323" s="115">
        <f>SUMIFS('Committments Dump'!$Q:$Q,'Committments Dump'!$C:$C,'Category Table'!U$2,'Committments Dump'!$B:$B,'Category Table'!$A323)</f>
        <v/>
      </c>
      <c r="V323" s="116">
        <f>SUMIFS('Committments Dump'!$Q:$Q,'Committments Dump'!$C:$C,'Category Table'!V$2,'Committments Dump'!$B:$B,'Category Table'!$A323)</f>
        <v/>
      </c>
      <c r="W323" s="116">
        <f>SUMIFS('Committments Dump'!$Q:$Q,'Committments Dump'!$C:$C,'Category Table'!W$2,'Committments Dump'!$B:$B,'Category Table'!$A323)</f>
        <v/>
      </c>
      <c r="X323" s="115">
        <f>SUMIFS('Committments Dump'!$R:$R,'Committments Dump'!$C:$C,'Category Table'!X$2,'Committments Dump'!$B:$B,'Category Table'!$A323)</f>
        <v/>
      </c>
      <c r="Y323" s="116">
        <f>SUMIFS('Committments Dump'!$R:$R,'Committments Dump'!$C:$C,'Category Table'!Y$2,'Committments Dump'!$B:$B,'Category Table'!$A323)</f>
        <v/>
      </c>
      <c r="Z323" s="116">
        <f>SUMIFS('Committments Dump'!$R:$R,'Committments Dump'!$C:$C,'Category Table'!Z$2,'Committments Dump'!$B:$B,'Category Table'!$A323)</f>
        <v/>
      </c>
      <c r="AA323" s="115">
        <f>SUMIFS('Committments Dump'!$S:$S,'Committments Dump'!$C:$C,'Category Table'!AA$2,'Committments Dump'!$B:$B,'Category Table'!$A323)</f>
        <v/>
      </c>
      <c r="AB323" s="116">
        <f>SUMIFS('Committments Dump'!$S:$S,'Committments Dump'!$C:$C,'Category Table'!AB$2,'Committments Dump'!$B:$B,'Category Table'!$A323)</f>
        <v/>
      </c>
      <c r="AC323" s="116">
        <f>SUMIFS('Committments Dump'!$S:$S,'Committments Dump'!$C:$C,'Category Table'!AC$2,'Committments Dump'!$B:$B,'Category Table'!$A323)</f>
        <v/>
      </c>
      <c r="AD323" s="115">
        <f>U323+X323+AA323</f>
        <v/>
      </c>
      <c r="AE323" s="116">
        <f>V323+Y323+AB323</f>
        <v/>
      </c>
      <c r="AF323" s="116">
        <f>W323+Z323+AC323</f>
        <v/>
      </c>
      <c r="AG323" s="115">
        <f>R323+AD323</f>
        <v/>
      </c>
      <c r="AH323" s="116">
        <f>S323+AE323</f>
        <v/>
      </c>
      <c r="AI323" s="116">
        <f>T323+AF323</f>
        <v/>
      </c>
      <c r="AJ323" s="115" t="n"/>
      <c r="AK323" s="116" t="n"/>
      <c r="AL323" s="116" t="n"/>
      <c r="AM323" s="115">
        <f>(O323-AG323)+AJ323</f>
        <v/>
      </c>
      <c r="AN323" s="116">
        <f>(P323-AH323)+AK323</f>
        <v/>
      </c>
      <c r="AO323" s="116">
        <f>(Q323-AI323)+AL323</f>
        <v/>
      </c>
      <c r="AP323" s="93">
        <f>IF(AM323&gt;0, "Under",IF(AM323&lt;0,"Over",""))</f>
        <v/>
      </c>
      <c r="AQ323" s="94">
        <f>IF(AN323&gt;0, "Under",IF(AN323&lt;0,"Over",""))</f>
        <v/>
      </c>
      <c r="AR323" s="94">
        <f>IF(AO323&gt;0, "Under",IF(AO323&lt;0,"Over",""))</f>
        <v/>
      </c>
      <c r="AS323" s="3" t="n"/>
    </row>
    <row r="324">
      <c r="C324" s="113" t="n"/>
      <c r="D324" s="114" t="n"/>
      <c r="E324" s="114" t="n"/>
      <c r="F324" s="113" t="n"/>
      <c r="G324" s="114" t="n"/>
      <c r="H324" s="114" t="n"/>
      <c r="I324" s="113" t="n"/>
      <c r="J324" s="114" t="n"/>
      <c r="K324" s="114" t="n"/>
      <c r="L324" s="113" t="n"/>
      <c r="M324" s="114" t="n"/>
      <c r="N324" s="114" t="n"/>
      <c r="O324" s="113">
        <f>L324+I324+F324+C324</f>
        <v/>
      </c>
      <c r="P324" s="114">
        <f>M324+J324+G324+D324</f>
        <v/>
      </c>
      <c r="Q324" s="114">
        <f>N324+K324+H324+E324</f>
        <v/>
      </c>
      <c r="R324" s="113">
        <f>SUMIFS('PO Log'!$E:$E,'PO Log'!$D:$D,'Category Table'!R$2,'PO Log'!$C:$C,'Category Table'!$A324)</f>
        <v/>
      </c>
      <c r="S324" s="114">
        <f>SUMIFS('PO Log'!$E:$E,'PO Log'!$D:$D,'Category Table'!S$2,'PO Log'!$C:$C,'Category Table'!$A324)</f>
        <v/>
      </c>
      <c r="T324" s="114">
        <f>SUMIFS('PO Log'!$E:$E,'PO Log'!$D:$D,'Category Table'!T$2,'PO Log'!$C:$C,'Category Table'!$A324)</f>
        <v/>
      </c>
      <c r="U324" s="113">
        <f>SUMIFS('Committments Dump'!$Q:$Q,'Committments Dump'!$C:$C,'Category Table'!U$2,'Committments Dump'!$B:$B,'Category Table'!$A324)</f>
        <v/>
      </c>
      <c r="V324" s="114">
        <f>SUMIFS('Committments Dump'!$Q:$Q,'Committments Dump'!$C:$C,'Category Table'!V$2,'Committments Dump'!$B:$B,'Category Table'!$A324)</f>
        <v/>
      </c>
      <c r="W324" s="114">
        <f>SUMIFS('Committments Dump'!$Q:$Q,'Committments Dump'!$C:$C,'Category Table'!W$2,'Committments Dump'!$B:$B,'Category Table'!$A324)</f>
        <v/>
      </c>
      <c r="X324" s="113">
        <f>SUMIFS('Committments Dump'!$R:$R,'Committments Dump'!$C:$C,'Category Table'!X$2,'Committments Dump'!$B:$B,'Category Table'!$A324)</f>
        <v/>
      </c>
      <c r="Y324" s="114">
        <f>SUMIFS('Committments Dump'!$R:$R,'Committments Dump'!$C:$C,'Category Table'!Y$2,'Committments Dump'!$B:$B,'Category Table'!$A324)</f>
        <v/>
      </c>
      <c r="Z324" s="114">
        <f>SUMIFS('Committments Dump'!$R:$R,'Committments Dump'!$C:$C,'Category Table'!Z$2,'Committments Dump'!$B:$B,'Category Table'!$A324)</f>
        <v/>
      </c>
      <c r="AA324" s="113">
        <f>SUMIFS('Committments Dump'!$S:$S,'Committments Dump'!$C:$C,'Category Table'!AA$2,'Committments Dump'!$B:$B,'Category Table'!$A324)</f>
        <v/>
      </c>
      <c r="AB324" s="114">
        <f>SUMIFS('Committments Dump'!$S:$S,'Committments Dump'!$C:$C,'Category Table'!AB$2,'Committments Dump'!$B:$B,'Category Table'!$A324)</f>
        <v/>
      </c>
      <c r="AC324" s="114">
        <f>SUMIFS('Committments Dump'!$S:$S,'Committments Dump'!$C:$C,'Category Table'!AC$2,'Committments Dump'!$B:$B,'Category Table'!$A324)</f>
        <v/>
      </c>
      <c r="AD324" s="113">
        <f>U324+X324+AA324</f>
        <v/>
      </c>
      <c r="AE324" s="114">
        <f>V324+Y324+AB324</f>
        <v/>
      </c>
      <c r="AF324" s="114">
        <f>W324+Z324+AC324</f>
        <v/>
      </c>
      <c r="AG324" s="113">
        <f>R324+AD324</f>
        <v/>
      </c>
      <c r="AH324" s="114">
        <f>S324+AE324</f>
        <v/>
      </c>
      <c r="AI324" s="114">
        <f>T324+AF324</f>
        <v/>
      </c>
      <c r="AJ324" s="113" t="n"/>
      <c r="AK324" s="114" t="n"/>
      <c r="AL324" s="114" t="n"/>
      <c r="AM324" s="113">
        <f>(O324-AG324)+AJ324</f>
        <v/>
      </c>
      <c r="AN324" s="114">
        <f>(P324-AH324)+AK324</f>
        <v/>
      </c>
      <c r="AO324" s="114">
        <f>(Q324-AI324)+AL324</f>
        <v/>
      </c>
      <c r="AP324" s="2">
        <f>IF(AM324&gt;0, "Under",IF(AM324&lt;0,"Over",""))</f>
        <v/>
      </c>
      <c r="AQ324" s="1">
        <f>IF(AN324&gt;0, "Under",IF(AN324&lt;0,"Over",""))</f>
        <v/>
      </c>
      <c r="AR324" s="1">
        <f>IF(AO324&gt;0, "Under",IF(AO324&lt;0,"Over",""))</f>
        <v/>
      </c>
      <c r="AS324" s="3" t="n"/>
    </row>
    <row r="325">
      <c r="A325" s="90" t="n"/>
      <c r="B325" s="90" t="n"/>
      <c r="C325" s="115" t="n"/>
      <c r="D325" s="116" t="n"/>
      <c r="E325" s="116" t="n"/>
      <c r="F325" s="115" t="n"/>
      <c r="G325" s="116" t="n"/>
      <c r="H325" s="116" t="n"/>
      <c r="I325" s="115" t="n"/>
      <c r="J325" s="116" t="n"/>
      <c r="K325" s="116" t="n"/>
      <c r="L325" s="115" t="n"/>
      <c r="M325" s="116" t="n"/>
      <c r="N325" s="116" t="n"/>
      <c r="O325" s="115">
        <f>L325+I325+F325+C325</f>
        <v/>
      </c>
      <c r="P325" s="116">
        <f>M325+J325+G325+D325</f>
        <v/>
      </c>
      <c r="Q325" s="116">
        <f>N325+K325+H325+E325</f>
        <v/>
      </c>
      <c r="R325" s="115">
        <f>SUMIFS('PO Log'!$E:$E,'PO Log'!$D:$D,'Category Table'!R$2,'PO Log'!$C:$C,'Category Table'!$A325)</f>
        <v/>
      </c>
      <c r="S325" s="116">
        <f>SUMIFS('PO Log'!$E:$E,'PO Log'!$D:$D,'Category Table'!S$2,'PO Log'!$C:$C,'Category Table'!$A325)</f>
        <v/>
      </c>
      <c r="T325" s="116">
        <f>SUMIFS('PO Log'!$E:$E,'PO Log'!$D:$D,'Category Table'!T$2,'PO Log'!$C:$C,'Category Table'!$A325)</f>
        <v/>
      </c>
      <c r="U325" s="115">
        <f>SUMIFS('Committments Dump'!$Q:$Q,'Committments Dump'!$C:$C,'Category Table'!U$2,'Committments Dump'!$B:$B,'Category Table'!$A325)</f>
        <v/>
      </c>
      <c r="V325" s="116">
        <f>SUMIFS('Committments Dump'!$Q:$Q,'Committments Dump'!$C:$C,'Category Table'!V$2,'Committments Dump'!$B:$B,'Category Table'!$A325)</f>
        <v/>
      </c>
      <c r="W325" s="116">
        <f>SUMIFS('Committments Dump'!$Q:$Q,'Committments Dump'!$C:$C,'Category Table'!W$2,'Committments Dump'!$B:$B,'Category Table'!$A325)</f>
        <v/>
      </c>
      <c r="X325" s="115">
        <f>SUMIFS('Committments Dump'!$R:$R,'Committments Dump'!$C:$C,'Category Table'!X$2,'Committments Dump'!$B:$B,'Category Table'!$A325)</f>
        <v/>
      </c>
      <c r="Y325" s="116">
        <f>SUMIFS('Committments Dump'!$R:$R,'Committments Dump'!$C:$C,'Category Table'!Y$2,'Committments Dump'!$B:$B,'Category Table'!$A325)</f>
        <v/>
      </c>
      <c r="Z325" s="116">
        <f>SUMIFS('Committments Dump'!$R:$R,'Committments Dump'!$C:$C,'Category Table'!Z$2,'Committments Dump'!$B:$B,'Category Table'!$A325)</f>
        <v/>
      </c>
      <c r="AA325" s="115">
        <f>SUMIFS('Committments Dump'!$S:$S,'Committments Dump'!$C:$C,'Category Table'!AA$2,'Committments Dump'!$B:$B,'Category Table'!$A325)</f>
        <v/>
      </c>
      <c r="AB325" s="116">
        <f>SUMIFS('Committments Dump'!$S:$S,'Committments Dump'!$C:$C,'Category Table'!AB$2,'Committments Dump'!$B:$B,'Category Table'!$A325)</f>
        <v/>
      </c>
      <c r="AC325" s="116">
        <f>SUMIFS('Committments Dump'!$S:$S,'Committments Dump'!$C:$C,'Category Table'!AC$2,'Committments Dump'!$B:$B,'Category Table'!$A325)</f>
        <v/>
      </c>
      <c r="AD325" s="115">
        <f>U325+X325+AA325</f>
        <v/>
      </c>
      <c r="AE325" s="116">
        <f>V325+Y325+AB325</f>
        <v/>
      </c>
      <c r="AF325" s="116">
        <f>W325+Z325+AC325</f>
        <v/>
      </c>
      <c r="AG325" s="115">
        <f>R325+AD325</f>
        <v/>
      </c>
      <c r="AH325" s="116">
        <f>S325+AE325</f>
        <v/>
      </c>
      <c r="AI325" s="116">
        <f>T325+AF325</f>
        <v/>
      </c>
      <c r="AJ325" s="115" t="n"/>
      <c r="AK325" s="116" t="n"/>
      <c r="AL325" s="116" t="n"/>
      <c r="AM325" s="115">
        <f>(O325-AG325)+AJ325</f>
        <v/>
      </c>
      <c r="AN325" s="116">
        <f>(P325-AH325)+AK325</f>
        <v/>
      </c>
      <c r="AO325" s="116">
        <f>(Q325-AI325)+AL325</f>
        <v/>
      </c>
      <c r="AP325" s="93">
        <f>IF(AM325&gt;0, "Under",IF(AM325&lt;0,"Over",""))</f>
        <v/>
      </c>
      <c r="AQ325" s="94">
        <f>IF(AN325&gt;0, "Under",IF(AN325&lt;0,"Over",""))</f>
        <v/>
      </c>
      <c r="AR325" s="94">
        <f>IF(AO325&gt;0, "Under",IF(AO325&lt;0,"Over",""))</f>
        <v/>
      </c>
      <c r="AS325" s="3" t="n"/>
    </row>
    <row r="326">
      <c r="C326" s="113" t="n"/>
      <c r="D326" s="114" t="n"/>
      <c r="E326" s="114" t="n"/>
      <c r="F326" s="113" t="n"/>
      <c r="G326" s="114" t="n"/>
      <c r="H326" s="114" t="n"/>
      <c r="I326" s="113" t="n"/>
      <c r="J326" s="114" t="n"/>
      <c r="K326" s="114" t="n"/>
      <c r="L326" s="113" t="n"/>
      <c r="M326" s="114" t="n"/>
      <c r="N326" s="114" t="n"/>
      <c r="O326" s="113">
        <f>L326+I326+F326+C326</f>
        <v/>
      </c>
      <c r="P326" s="114">
        <f>M326+J326+G326+D326</f>
        <v/>
      </c>
      <c r="Q326" s="114">
        <f>N326+K326+H326+E326</f>
        <v/>
      </c>
      <c r="R326" s="113">
        <f>SUMIFS('PO Log'!$E:$E,'PO Log'!$D:$D,'Category Table'!R$2,'PO Log'!$C:$C,'Category Table'!$A326)</f>
        <v/>
      </c>
      <c r="S326" s="114">
        <f>SUMIFS('PO Log'!$E:$E,'PO Log'!$D:$D,'Category Table'!S$2,'PO Log'!$C:$C,'Category Table'!$A326)</f>
        <v/>
      </c>
      <c r="T326" s="114">
        <f>SUMIFS('PO Log'!$E:$E,'PO Log'!$D:$D,'Category Table'!T$2,'PO Log'!$C:$C,'Category Table'!$A326)</f>
        <v/>
      </c>
      <c r="U326" s="113">
        <f>SUMIFS('Committments Dump'!$Q:$Q,'Committments Dump'!$C:$C,'Category Table'!U$2,'Committments Dump'!$B:$B,'Category Table'!$A326)</f>
        <v/>
      </c>
      <c r="V326" s="114">
        <f>SUMIFS('Committments Dump'!$Q:$Q,'Committments Dump'!$C:$C,'Category Table'!V$2,'Committments Dump'!$B:$B,'Category Table'!$A326)</f>
        <v/>
      </c>
      <c r="W326" s="114">
        <f>SUMIFS('Committments Dump'!$Q:$Q,'Committments Dump'!$C:$C,'Category Table'!W$2,'Committments Dump'!$B:$B,'Category Table'!$A326)</f>
        <v/>
      </c>
      <c r="X326" s="113">
        <f>SUMIFS('Committments Dump'!$R:$R,'Committments Dump'!$C:$C,'Category Table'!X$2,'Committments Dump'!$B:$B,'Category Table'!$A326)</f>
        <v/>
      </c>
      <c r="Y326" s="114">
        <f>SUMIFS('Committments Dump'!$R:$R,'Committments Dump'!$C:$C,'Category Table'!Y$2,'Committments Dump'!$B:$B,'Category Table'!$A326)</f>
        <v/>
      </c>
      <c r="Z326" s="114">
        <f>SUMIFS('Committments Dump'!$R:$R,'Committments Dump'!$C:$C,'Category Table'!Z$2,'Committments Dump'!$B:$B,'Category Table'!$A326)</f>
        <v/>
      </c>
      <c r="AA326" s="113">
        <f>SUMIFS('Committments Dump'!$S:$S,'Committments Dump'!$C:$C,'Category Table'!AA$2,'Committments Dump'!$B:$B,'Category Table'!$A326)</f>
        <v/>
      </c>
      <c r="AB326" s="114">
        <f>SUMIFS('Committments Dump'!$S:$S,'Committments Dump'!$C:$C,'Category Table'!AB$2,'Committments Dump'!$B:$B,'Category Table'!$A326)</f>
        <v/>
      </c>
      <c r="AC326" s="114">
        <f>SUMIFS('Committments Dump'!$S:$S,'Committments Dump'!$C:$C,'Category Table'!AC$2,'Committments Dump'!$B:$B,'Category Table'!$A326)</f>
        <v/>
      </c>
      <c r="AD326" s="113">
        <f>U326+X326+AA326</f>
        <v/>
      </c>
      <c r="AE326" s="114">
        <f>V326+Y326+AB326</f>
        <v/>
      </c>
      <c r="AF326" s="114">
        <f>W326+Z326+AC326</f>
        <v/>
      </c>
      <c r="AG326" s="113">
        <f>R326+AD326</f>
        <v/>
      </c>
      <c r="AH326" s="114">
        <f>S326+AE326</f>
        <v/>
      </c>
      <c r="AI326" s="114">
        <f>T326+AF326</f>
        <v/>
      </c>
      <c r="AJ326" s="113" t="n"/>
      <c r="AK326" s="114" t="n"/>
      <c r="AL326" s="114" t="n"/>
      <c r="AM326" s="113">
        <f>(O326-AG326)+AJ326</f>
        <v/>
      </c>
      <c r="AN326" s="114">
        <f>(P326-AH326)+AK326</f>
        <v/>
      </c>
      <c r="AO326" s="114">
        <f>(Q326-AI326)+AL326</f>
        <v/>
      </c>
      <c r="AP326" s="2">
        <f>IF(AM326&gt;0, "Under",IF(AM326&lt;0,"Over",""))</f>
        <v/>
      </c>
      <c r="AQ326" s="1">
        <f>IF(AN326&gt;0, "Under",IF(AN326&lt;0,"Over",""))</f>
        <v/>
      </c>
      <c r="AR326" s="1">
        <f>IF(AO326&gt;0, "Under",IF(AO326&lt;0,"Over",""))</f>
        <v/>
      </c>
      <c r="AS326" s="3" t="n"/>
    </row>
    <row r="327">
      <c r="A327" s="90" t="n"/>
      <c r="B327" s="90" t="n"/>
      <c r="C327" s="115" t="n"/>
      <c r="D327" s="116" t="n"/>
      <c r="E327" s="116" t="n"/>
      <c r="F327" s="115" t="n"/>
      <c r="G327" s="116" t="n"/>
      <c r="H327" s="116" t="n"/>
      <c r="I327" s="115" t="n"/>
      <c r="J327" s="116" t="n"/>
      <c r="K327" s="116" t="n"/>
      <c r="L327" s="115" t="n"/>
      <c r="M327" s="116" t="n"/>
      <c r="N327" s="116" t="n"/>
      <c r="O327" s="115">
        <f>L327+I327+F327+C327</f>
        <v/>
      </c>
      <c r="P327" s="116">
        <f>M327+J327+G327+D327</f>
        <v/>
      </c>
      <c r="Q327" s="116">
        <f>N327+K327+H327+E327</f>
        <v/>
      </c>
      <c r="R327" s="115">
        <f>SUMIFS('PO Log'!$E:$E,'PO Log'!$D:$D,'Category Table'!R$2,'PO Log'!$C:$C,'Category Table'!$A327)</f>
        <v/>
      </c>
      <c r="S327" s="116">
        <f>SUMIFS('PO Log'!$E:$E,'PO Log'!$D:$D,'Category Table'!S$2,'PO Log'!$C:$C,'Category Table'!$A327)</f>
        <v/>
      </c>
      <c r="T327" s="116">
        <f>SUMIFS('PO Log'!$E:$E,'PO Log'!$D:$D,'Category Table'!T$2,'PO Log'!$C:$C,'Category Table'!$A327)</f>
        <v/>
      </c>
      <c r="U327" s="115">
        <f>SUMIFS('Committments Dump'!$Q:$Q,'Committments Dump'!$C:$C,'Category Table'!U$2,'Committments Dump'!$B:$B,'Category Table'!$A327)</f>
        <v/>
      </c>
      <c r="V327" s="116">
        <f>SUMIFS('Committments Dump'!$Q:$Q,'Committments Dump'!$C:$C,'Category Table'!V$2,'Committments Dump'!$B:$B,'Category Table'!$A327)</f>
        <v/>
      </c>
      <c r="W327" s="116">
        <f>SUMIFS('Committments Dump'!$Q:$Q,'Committments Dump'!$C:$C,'Category Table'!W$2,'Committments Dump'!$B:$B,'Category Table'!$A327)</f>
        <v/>
      </c>
      <c r="X327" s="115">
        <f>SUMIFS('Committments Dump'!$R:$R,'Committments Dump'!$C:$C,'Category Table'!X$2,'Committments Dump'!$B:$B,'Category Table'!$A327)</f>
        <v/>
      </c>
      <c r="Y327" s="116">
        <f>SUMIFS('Committments Dump'!$R:$R,'Committments Dump'!$C:$C,'Category Table'!Y$2,'Committments Dump'!$B:$B,'Category Table'!$A327)</f>
        <v/>
      </c>
      <c r="Z327" s="116">
        <f>SUMIFS('Committments Dump'!$R:$R,'Committments Dump'!$C:$C,'Category Table'!Z$2,'Committments Dump'!$B:$B,'Category Table'!$A327)</f>
        <v/>
      </c>
      <c r="AA327" s="115">
        <f>SUMIFS('Committments Dump'!$S:$S,'Committments Dump'!$C:$C,'Category Table'!AA$2,'Committments Dump'!$B:$B,'Category Table'!$A327)</f>
        <v/>
      </c>
      <c r="AB327" s="116">
        <f>SUMIFS('Committments Dump'!$S:$S,'Committments Dump'!$C:$C,'Category Table'!AB$2,'Committments Dump'!$B:$B,'Category Table'!$A327)</f>
        <v/>
      </c>
      <c r="AC327" s="116">
        <f>SUMIFS('Committments Dump'!$S:$S,'Committments Dump'!$C:$C,'Category Table'!AC$2,'Committments Dump'!$B:$B,'Category Table'!$A327)</f>
        <v/>
      </c>
      <c r="AD327" s="115">
        <f>U327+X327+AA327</f>
        <v/>
      </c>
      <c r="AE327" s="116">
        <f>V327+Y327+AB327</f>
        <v/>
      </c>
      <c r="AF327" s="116">
        <f>W327+Z327+AC327</f>
        <v/>
      </c>
      <c r="AG327" s="115">
        <f>R327+AD327</f>
        <v/>
      </c>
      <c r="AH327" s="116">
        <f>S327+AE327</f>
        <v/>
      </c>
      <c r="AI327" s="116">
        <f>T327+AF327</f>
        <v/>
      </c>
      <c r="AJ327" s="115" t="n"/>
      <c r="AK327" s="116" t="n"/>
      <c r="AL327" s="116" t="n"/>
      <c r="AM327" s="115">
        <f>(O327-AG327)+AJ327</f>
        <v/>
      </c>
      <c r="AN327" s="116">
        <f>(P327-AH327)+AK327</f>
        <v/>
      </c>
      <c r="AO327" s="116">
        <f>(Q327-AI327)+AL327</f>
        <v/>
      </c>
      <c r="AP327" s="93">
        <f>IF(AM327&gt;0, "Under",IF(AM327&lt;0,"Over",""))</f>
        <v/>
      </c>
      <c r="AQ327" s="94">
        <f>IF(AN327&gt;0, "Under",IF(AN327&lt;0,"Over",""))</f>
        <v/>
      </c>
      <c r="AR327" s="94">
        <f>IF(AO327&gt;0, "Under",IF(AO327&lt;0,"Over",""))</f>
        <v/>
      </c>
      <c r="AS327" s="3" t="n"/>
    </row>
    <row r="328">
      <c r="C328" s="113" t="n"/>
      <c r="D328" s="114" t="n"/>
      <c r="E328" s="114" t="n"/>
      <c r="F328" s="113" t="n"/>
      <c r="G328" s="114" t="n"/>
      <c r="H328" s="114" t="n"/>
      <c r="I328" s="113" t="n"/>
      <c r="J328" s="114" t="n"/>
      <c r="K328" s="114" t="n"/>
      <c r="L328" s="113" t="n"/>
      <c r="M328" s="114" t="n"/>
      <c r="N328" s="114" t="n"/>
      <c r="O328" s="113">
        <f>L328+I328+F328+C328</f>
        <v/>
      </c>
      <c r="P328" s="114">
        <f>M328+J328+G328+D328</f>
        <v/>
      </c>
      <c r="Q328" s="114">
        <f>N328+K328+H328+E328</f>
        <v/>
      </c>
      <c r="R328" s="113">
        <f>SUMIFS('PO Log'!$E:$E,'PO Log'!$D:$D,'Category Table'!R$2,'PO Log'!$C:$C,'Category Table'!$A328)</f>
        <v/>
      </c>
      <c r="S328" s="114">
        <f>SUMIFS('PO Log'!$E:$E,'PO Log'!$D:$D,'Category Table'!S$2,'PO Log'!$C:$C,'Category Table'!$A328)</f>
        <v/>
      </c>
      <c r="T328" s="114">
        <f>SUMIFS('PO Log'!$E:$E,'PO Log'!$D:$D,'Category Table'!T$2,'PO Log'!$C:$C,'Category Table'!$A328)</f>
        <v/>
      </c>
      <c r="U328" s="113">
        <f>SUMIFS('Committments Dump'!$Q:$Q,'Committments Dump'!$C:$C,'Category Table'!U$2,'Committments Dump'!$B:$B,'Category Table'!$A328)</f>
        <v/>
      </c>
      <c r="V328" s="114">
        <f>SUMIFS('Committments Dump'!$Q:$Q,'Committments Dump'!$C:$C,'Category Table'!V$2,'Committments Dump'!$B:$B,'Category Table'!$A328)</f>
        <v/>
      </c>
      <c r="W328" s="114">
        <f>SUMIFS('Committments Dump'!$Q:$Q,'Committments Dump'!$C:$C,'Category Table'!W$2,'Committments Dump'!$B:$B,'Category Table'!$A328)</f>
        <v/>
      </c>
      <c r="X328" s="113">
        <f>SUMIFS('Committments Dump'!$R:$R,'Committments Dump'!$C:$C,'Category Table'!X$2,'Committments Dump'!$B:$B,'Category Table'!$A328)</f>
        <v/>
      </c>
      <c r="Y328" s="114">
        <f>SUMIFS('Committments Dump'!$R:$R,'Committments Dump'!$C:$C,'Category Table'!Y$2,'Committments Dump'!$B:$B,'Category Table'!$A328)</f>
        <v/>
      </c>
      <c r="Z328" s="114">
        <f>SUMIFS('Committments Dump'!$R:$R,'Committments Dump'!$C:$C,'Category Table'!Z$2,'Committments Dump'!$B:$B,'Category Table'!$A328)</f>
        <v/>
      </c>
      <c r="AA328" s="113">
        <f>SUMIFS('Committments Dump'!$S:$S,'Committments Dump'!$C:$C,'Category Table'!AA$2,'Committments Dump'!$B:$B,'Category Table'!$A328)</f>
        <v/>
      </c>
      <c r="AB328" s="114">
        <f>SUMIFS('Committments Dump'!$S:$S,'Committments Dump'!$C:$C,'Category Table'!AB$2,'Committments Dump'!$B:$B,'Category Table'!$A328)</f>
        <v/>
      </c>
      <c r="AC328" s="114">
        <f>SUMIFS('Committments Dump'!$S:$S,'Committments Dump'!$C:$C,'Category Table'!AC$2,'Committments Dump'!$B:$B,'Category Table'!$A328)</f>
        <v/>
      </c>
      <c r="AD328" s="113">
        <f>U328+X328+AA328</f>
        <v/>
      </c>
      <c r="AE328" s="114">
        <f>V328+Y328+AB328</f>
        <v/>
      </c>
      <c r="AF328" s="114">
        <f>W328+Z328+AC328</f>
        <v/>
      </c>
      <c r="AG328" s="113">
        <f>R328+AD328</f>
        <v/>
      </c>
      <c r="AH328" s="114">
        <f>S328+AE328</f>
        <v/>
      </c>
      <c r="AI328" s="114">
        <f>T328+AF328</f>
        <v/>
      </c>
      <c r="AJ328" s="113" t="n"/>
      <c r="AK328" s="114" t="n"/>
      <c r="AL328" s="114" t="n"/>
      <c r="AM328" s="113">
        <f>(O328-AG328)+AJ328</f>
        <v/>
      </c>
      <c r="AN328" s="114">
        <f>(P328-AH328)+AK328</f>
        <v/>
      </c>
      <c r="AO328" s="114">
        <f>(Q328-AI328)+AL328</f>
        <v/>
      </c>
      <c r="AP328" s="2">
        <f>IF(AM328&gt;0, "Under",IF(AM328&lt;0,"Over",""))</f>
        <v/>
      </c>
      <c r="AQ328" s="1">
        <f>IF(AN328&gt;0, "Under",IF(AN328&lt;0,"Over",""))</f>
        <v/>
      </c>
      <c r="AR328" s="1">
        <f>IF(AO328&gt;0, "Under",IF(AO328&lt;0,"Over",""))</f>
        <v/>
      </c>
      <c r="AS328" s="3" t="n"/>
    </row>
    <row r="329">
      <c r="A329" s="90" t="n"/>
      <c r="B329" s="90" t="n"/>
      <c r="C329" s="115" t="n"/>
      <c r="D329" s="116" t="n"/>
      <c r="E329" s="116" t="n"/>
      <c r="F329" s="115" t="n"/>
      <c r="G329" s="116" t="n"/>
      <c r="H329" s="116" t="n"/>
      <c r="I329" s="115" t="n"/>
      <c r="J329" s="116" t="n"/>
      <c r="K329" s="116" t="n"/>
      <c r="L329" s="115" t="n"/>
      <c r="M329" s="116" t="n"/>
      <c r="N329" s="116" t="n"/>
      <c r="O329" s="115">
        <f>L329+I329+F329+C329</f>
        <v/>
      </c>
      <c r="P329" s="116">
        <f>M329+J329+G329+D329</f>
        <v/>
      </c>
      <c r="Q329" s="116">
        <f>N329+K329+H329+E329</f>
        <v/>
      </c>
      <c r="R329" s="115">
        <f>SUMIFS('PO Log'!$E:$E,'PO Log'!$D:$D,'Category Table'!R$2,'PO Log'!$C:$C,'Category Table'!$A329)</f>
        <v/>
      </c>
      <c r="S329" s="116">
        <f>SUMIFS('PO Log'!$E:$E,'PO Log'!$D:$D,'Category Table'!S$2,'PO Log'!$C:$C,'Category Table'!$A329)</f>
        <v/>
      </c>
      <c r="T329" s="116">
        <f>SUMIFS('PO Log'!$E:$E,'PO Log'!$D:$D,'Category Table'!T$2,'PO Log'!$C:$C,'Category Table'!$A329)</f>
        <v/>
      </c>
      <c r="U329" s="115">
        <f>SUMIFS('Committments Dump'!$Q:$Q,'Committments Dump'!$C:$C,'Category Table'!U$2,'Committments Dump'!$B:$B,'Category Table'!$A329)</f>
        <v/>
      </c>
      <c r="V329" s="116">
        <f>SUMIFS('Committments Dump'!$Q:$Q,'Committments Dump'!$C:$C,'Category Table'!V$2,'Committments Dump'!$B:$B,'Category Table'!$A329)</f>
        <v/>
      </c>
      <c r="W329" s="116">
        <f>SUMIFS('Committments Dump'!$Q:$Q,'Committments Dump'!$C:$C,'Category Table'!W$2,'Committments Dump'!$B:$B,'Category Table'!$A329)</f>
        <v/>
      </c>
      <c r="X329" s="115">
        <f>SUMIFS('Committments Dump'!$R:$R,'Committments Dump'!$C:$C,'Category Table'!X$2,'Committments Dump'!$B:$B,'Category Table'!$A329)</f>
        <v/>
      </c>
      <c r="Y329" s="116">
        <f>SUMIFS('Committments Dump'!$R:$R,'Committments Dump'!$C:$C,'Category Table'!Y$2,'Committments Dump'!$B:$B,'Category Table'!$A329)</f>
        <v/>
      </c>
      <c r="Z329" s="116">
        <f>SUMIFS('Committments Dump'!$R:$R,'Committments Dump'!$C:$C,'Category Table'!Z$2,'Committments Dump'!$B:$B,'Category Table'!$A329)</f>
        <v/>
      </c>
      <c r="AA329" s="115">
        <f>SUMIFS('Committments Dump'!$S:$S,'Committments Dump'!$C:$C,'Category Table'!AA$2,'Committments Dump'!$B:$B,'Category Table'!$A329)</f>
        <v/>
      </c>
      <c r="AB329" s="116">
        <f>SUMIFS('Committments Dump'!$S:$S,'Committments Dump'!$C:$C,'Category Table'!AB$2,'Committments Dump'!$B:$B,'Category Table'!$A329)</f>
        <v/>
      </c>
      <c r="AC329" s="116">
        <f>SUMIFS('Committments Dump'!$S:$S,'Committments Dump'!$C:$C,'Category Table'!AC$2,'Committments Dump'!$B:$B,'Category Table'!$A329)</f>
        <v/>
      </c>
      <c r="AD329" s="115">
        <f>U329+X329+AA329</f>
        <v/>
      </c>
      <c r="AE329" s="116">
        <f>V329+Y329+AB329</f>
        <v/>
      </c>
      <c r="AF329" s="116">
        <f>W329+Z329+AC329</f>
        <v/>
      </c>
      <c r="AG329" s="115">
        <f>R329+AD329</f>
        <v/>
      </c>
      <c r="AH329" s="116">
        <f>S329+AE329</f>
        <v/>
      </c>
      <c r="AI329" s="116">
        <f>T329+AF329</f>
        <v/>
      </c>
      <c r="AJ329" s="115" t="n"/>
      <c r="AK329" s="116" t="n"/>
      <c r="AL329" s="116" t="n"/>
      <c r="AM329" s="115">
        <f>(O329-AG329)+AJ329</f>
        <v/>
      </c>
      <c r="AN329" s="116">
        <f>(P329-AH329)+AK329</f>
        <v/>
      </c>
      <c r="AO329" s="116">
        <f>(Q329-AI329)+AL329</f>
        <v/>
      </c>
      <c r="AP329" s="93">
        <f>IF(AM329&gt;0, "Under",IF(AM329&lt;0,"Over",""))</f>
        <v/>
      </c>
      <c r="AQ329" s="94">
        <f>IF(AN329&gt;0, "Under",IF(AN329&lt;0,"Over",""))</f>
        <v/>
      </c>
      <c r="AR329" s="94">
        <f>IF(AO329&gt;0, "Under",IF(AO329&lt;0,"Over",""))</f>
        <v/>
      </c>
      <c r="AS329" s="3" t="n"/>
    </row>
    <row r="330">
      <c r="C330" s="113" t="n"/>
      <c r="D330" s="114" t="n"/>
      <c r="E330" s="114" t="n"/>
      <c r="F330" s="113" t="n"/>
      <c r="G330" s="114" t="n"/>
      <c r="H330" s="114" t="n"/>
      <c r="I330" s="113" t="n"/>
      <c r="J330" s="114" t="n"/>
      <c r="K330" s="114" t="n"/>
      <c r="L330" s="113" t="n"/>
      <c r="M330" s="114" t="n"/>
      <c r="N330" s="114" t="n"/>
      <c r="O330" s="113">
        <f>L330+I330+F330+C330</f>
        <v/>
      </c>
      <c r="P330" s="114">
        <f>M330+J330+G330+D330</f>
        <v/>
      </c>
      <c r="Q330" s="114">
        <f>N330+K330+H330+E330</f>
        <v/>
      </c>
      <c r="R330" s="113">
        <f>SUMIFS('PO Log'!$E:$E,'PO Log'!$D:$D,'Category Table'!R$2,'PO Log'!$C:$C,'Category Table'!$A330)</f>
        <v/>
      </c>
      <c r="S330" s="114">
        <f>SUMIFS('PO Log'!$E:$E,'PO Log'!$D:$D,'Category Table'!S$2,'PO Log'!$C:$C,'Category Table'!$A330)</f>
        <v/>
      </c>
      <c r="T330" s="114">
        <f>SUMIFS('PO Log'!$E:$E,'PO Log'!$D:$D,'Category Table'!T$2,'PO Log'!$C:$C,'Category Table'!$A330)</f>
        <v/>
      </c>
      <c r="U330" s="113">
        <f>SUMIFS('Committments Dump'!$Q:$Q,'Committments Dump'!$C:$C,'Category Table'!U$2,'Committments Dump'!$B:$B,'Category Table'!$A330)</f>
        <v/>
      </c>
      <c r="V330" s="114">
        <f>SUMIFS('Committments Dump'!$Q:$Q,'Committments Dump'!$C:$C,'Category Table'!V$2,'Committments Dump'!$B:$B,'Category Table'!$A330)</f>
        <v/>
      </c>
      <c r="W330" s="114">
        <f>SUMIFS('Committments Dump'!$Q:$Q,'Committments Dump'!$C:$C,'Category Table'!W$2,'Committments Dump'!$B:$B,'Category Table'!$A330)</f>
        <v/>
      </c>
      <c r="X330" s="113">
        <f>SUMIFS('Committments Dump'!$R:$R,'Committments Dump'!$C:$C,'Category Table'!X$2,'Committments Dump'!$B:$B,'Category Table'!$A330)</f>
        <v/>
      </c>
      <c r="Y330" s="114">
        <f>SUMIFS('Committments Dump'!$R:$R,'Committments Dump'!$C:$C,'Category Table'!Y$2,'Committments Dump'!$B:$B,'Category Table'!$A330)</f>
        <v/>
      </c>
      <c r="Z330" s="114">
        <f>SUMIFS('Committments Dump'!$R:$R,'Committments Dump'!$C:$C,'Category Table'!Z$2,'Committments Dump'!$B:$B,'Category Table'!$A330)</f>
        <v/>
      </c>
      <c r="AA330" s="113">
        <f>SUMIFS('Committments Dump'!$S:$S,'Committments Dump'!$C:$C,'Category Table'!AA$2,'Committments Dump'!$B:$B,'Category Table'!$A330)</f>
        <v/>
      </c>
      <c r="AB330" s="114">
        <f>SUMIFS('Committments Dump'!$S:$S,'Committments Dump'!$C:$C,'Category Table'!AB$2,'Committments Dump'!$B:$B,'Category Table'!$A330)</f>
        <v/>
      </c>
      <c r="AC330" s="114">
        <f>SUMIFS('Committments Dump'!$S:$S,'Committments Dump'!$C:$C,'Category Table'!AC$2,'Committments Dump'!$B:$B,'Category Table'!$A330)</f>
        <v/>
      </c>
      <c r="AD330" s="113">
        <f>U330+X330+AA330</f>
        <v/>
      </c>
      <c r="AE330" s="114">
        <f>V330+Y330+AB330</f>
        <v/>
      </c>
      <c r="AF330" s="114">
        <f>W330+Z330+AC330</f>
        <v/>
      </c>
      <c r="AG330" s="113">
        <f>R330+AD330</f>
        <v/>
      </c>
      <c r="AH330" s="114">
        <f>S330+AE330</f>
        <v/>
      </c>
      <c r="AI330" s="114">
        <f>T330+AF330</f>
        <v/>
      </c>
      <c r="AJ330" s="113" t="n"/>
      <c r="AK330" s="114" t="n"/>
      <c r="AL330" s="114" t="n"/>
      <c r="AM330" s="113">
        <f>(O330-AG330)+AJ330</f>
        <v/>
      </c>
      <c r="AN330" s="114">
        <f>(P330-AH330)+AK330</f>
        <v/>
      </c>
      <c r="AO330" s="114">
        <f>(Q330-AI330)+AL330</f>
        <v/>
      </c>
      <c r="AP330" s="2">
        <f>IF(AM330&gt;0, "Under",IF(AM330&lt;0,"Over",""))</f>
        <v/>
      </c>
      <c r="AQ330" s="1">
        <f>IF(AN330&gt;0, "Under",IF(AN330&lt;0,"Over",""))</f>
        <v/>
      </c>
      <c r="AR330" s="1">
        <f>IF(AO330&gt;0, "Under",IF(AO330&lt;0,"Over",""))</f>
        <v/>
      </c>
      <c r="AS330" s="3" t="n"/>
    </row>
    <row r="331">
      <c r="A331" s="90" t="n"/>
      <c r="B331" s="90" t="n"/>
      <c r="C331" s="115" t="n"/>
      <c r="D331" s="116" t="n"/>
      <c r="E331" s="116" t="n"/>
      <c r="F331" s="115" t="n"/>
      <c r="G331" s="116" t="n"/>
      <c r="H331" s="116" t="n"/>
      <c r="I331" s="115" t="n"/>
      <c r="J331" s="116" t="n"/>
      <c r="K331" s="116" t="n"/>
      <c r="L331" s="115" t="n"/>
      <c r="M331" s="116" t="n"/>
      <c r="N331" s="116" t="n"/>
      <c r="O331" s="115">
        <f>L331+I331+F331+C331</f>
        <v/>
      </c>
      <c r="P331" s="116">
        <f>M331+J331+G331+D331</f>
        <v/>
      </c>
      <c r="Q331" s="116">
        <f>N331+K331+H331+E331</f>
        <v/>
      </c>
      <c r="R331" s="115">
        <f>SUMIFS('PO Log'!$E:$E,'PO Log'!$D:$D,'Category Table'!R$2,'PO Log'!$C:$C,'Category Table'!$A331)</f>
        <v/>
      </c>
      <c r="S331" s="116">
        <f>SUMIFS('PO Log'!$E:$E,'PO Log'!$D:$D,'Category Table'!S$2,'PO Log'!$C:$C,'Category Table'!$A331)</f>
        <v/>
      </c>
      <c r="T331" s="116">
        <f>SUMIFS('PO Log'!$E:$E,'PO Log'!$D:$D,'Category Table'!T$2,'PO Log'!$C:$C,'Category Table'!$A331)</f>
        <v/>
      </c>
      <c r="U331" s="115">
        <f>SUMIFS('Committments Dump'!$Q:$Q,'Committments Dump'!$C:$C,'Category Table'!U$2,'Committments Dump'!$B:$B,'Category Table'!$A331)</f>
        <v/>
      </c>
      <c r="V331" s="116">
        <f>SUMIFS('Committments Dump'!$Q:$Q,'Committments Dump'!$C:$C,'Category Table'!V$2,'Committments Dump'!$B:$B,'Category Table'!$A331)</f>
        <v/>
      </c>
      <c r="W331" s="116">
        <f>SUMIFS('Committments Dump'!$Q:$Q,'Committments Dump'!$C:$C,'Category Table'!W$2,'Committments Dump'!$B:$B,'Category Table'!$A331)</f>
        <v/>
      </c>
      <c r="X331" s="115">
        <f>SUMIFS('Committments Dump'!$R:$R,'Committments Dump'!$C:$C,'Category Table'!X$2,'Committments Dump'!$B:$B,'Category Table'!$A331)</f>
        <v/>
      </c>
      <c r="Y331" s="116">
        <f>SUMIFS('Committments Dump'!$R:$R,'Committments Dump'!$C:$C,'Category Table'!Y$2,'Committments Dump'!$B:$B,'Category Table'!$A331)</f>
        <v/>
      </c>
      <c r="Z331" s="116">
        <f>SUMIFS('Committments Dump'!$R:$R,'Committments Dump'!$C:$C,'Category Table'!Z$2,'Committments Dump'!$B:$B,'Category Table'!$A331)</f>
        <v/>
      </c>
      <c r="AA331" s="115">
        <f>SUMIFS('Committments Dump'!$S:$S,'Committments Dump'!$C:$C,'Category Table'!AA$2,'Committments Dump'!$B:$B,'Category Table'!$A331)</f>
        <v/>
      </c>
      <c r="AB331" s="116">
        <f>SUMIFS('Committments Dump'!$S:$S,'Committments Dump'!$C:$C,'Category Table'!AB$2,'Committments Dump'!$B:$B,'Category Table'!$A331)</f>
        <v/>
      </c>
      <c r="AC331" s="116">
        <f>SUMIFS('Committments Dump'!$S:$S,'Committments Dump'!$C:$C,'Category Table'!AC$2,'Committments Dump'!$B:$B,'Category Table'!$A331)</f>
        <v/>
      </c>
      <c r="AD331" s="115">
        <f>U331+X331+AA331</f>
        <v/>
      </c>
      <c r="AE331" s="116">
        <f>V331+Y331+AB331</f>
        <v/>
      </c>
      <c r="AF331" s="116">
        <f>W331+Z331+AC331</f>
        <v/>
      </c>
      <c r="AG331" s="115">
        <f>R331+AD331</f>
        <v/>
      </c>
      <c r="AH331" s="116">
        <f>S331+AE331</f>
        <v/>
      </c>
      <c r="AI331" s="116">
        <f>T331+AF331</f>
        <v/>
      </c>
      <c r="AJ331" s="115" t="n"/>
      <c r="AK331" s="116" t="n"/>
      <c r="AL331" s="116" t="n"/>
      <c r="AM331" s="115">
        <f>(O331-AG331)+AJ331</f>
        <v/>
      </c>
      <c r="AN331" s="116">
        <f>(P331-AH331)+AK331</f>
        <v/>
      </c>
      <c r="AO331" s="116">
        <f>(Q331-AI331)+AL331</f>
        <v/>
      </c>
      <c r="AP331" s="93">
        <f>IF(AM331&gt;0, "Under",IF(AM331&lt;0,"Over",""))</f>
        <v/>
      </c>
      <c r="AQ331" s="94">
        <f>IF(AN331&gt;0, "Under",IF(AN331&lt;0,"Over",""))</f>
        <v/>
      </c>
      <c r="AR331" s="94">
        <f>IF(AO331&gt;0, "Under",IF(AO331&lt;0,"Over",""))</f>
        <v/>
      </c>
      <c r="AS331" s="3" t="n"/>
    </row>
    <row r="332">
      <c r="C332" s="113" t="n"/>
      <c r="D332" s="114" t="n"/>
      <c r="E332" s="114" t="n"/>
      <c r="F332" s="113" t="n"/>
      <c r="G332" s="114" t="n"/>
      <c r="H332" s="114" t="n"/>
      <c r="I332" s="113" t="n"/>
      <c r="J332" s="114" t="n"/>
      <c r="K332" s="114" t="n"/>
      <c r="L332" s="113" t="n"/>
      <c r="M332" s="114" t="n"/>
      <c r="N332" s="114" t="n"/>
      <c r="O332" s="113">
        <f>L332+I332+F332+C332</f>
        <v/>
      </c>
      <c r="P332" s="114">
        <f>M332+J332+G332+D332</f>
        <v/>
      </c>
      <c r="Q332" s="114">
        <f>N332+K332+H332+E332</f>
        <v/>
      </c>
      <c r="R332" s="113">
        <f>SUMIFS('PO Log'!$E:$E,'PO Log'!$D:$D,'Category Table'!R$2,'PO Log'!$C:$C,'Category Table'!$A332)</f>
        <v/>
      </c>
      <c r="S332" s="114">
        <f>SUMIFS('PO Log'!$E:$E,'PO Log'!$D:$D,'Category Table'!S$2,'PO Log'!$C:$C,'Category Table'!$A332)</f>
        <v/>
      </c>
      <c r="T332" s="114">
        <f>SUMIFS('PO Log'!$E:$E,'PO Log'!$D:$D,'Category Table'!T$2,'PO Log'!$C:$C,'Category Table'!$A332)</f>
        <v/>
      </c>
      <c r="U332" s="113">
        <f>SUMIFS('Committments Dump'!$Q:$Q,'Committments Dump'!$C:$C,'Category Table'!U$2,'Committments Dump'!$B:$B,'Category Table'!$A332)</f>
        <v/>
      </c>
      <c r="V332" s="114">
        <f>SUMIFS('Committments Dump'!$Q:$Q,'Committments Dump'!$C:$C,'Category Table'!V$2,'Committments Dump'!$B:$B,'Category Table'!$A332)</f>
        <v/>
      </c>
      <c r="W332" s="114">
        <f>SUMIFS('Committments Dump'!$Q:$Q,'Committments Dump'!$C:$C,'Category Table'!W$2,'Committments Dump'!$B:$B,'Category Table'!$A332)</f>
        <v/>
      </c>
      <c r="X332" s="113">
        <f>SUMIFS('Committments Dump'!$R:$R,'Committments Dump'!$C:$C,'Category Table'!X$2,'Committments Dump'!$B:$B,'Category Table'!$A332)</f>
        <v/>
      </c>
      <c r="Y332" s="114">
        <f>SUMIFS('Committments Dump'!$R:$R,'Committments Dump'!$C:$C,'Category Table'!Y$2,'Committments Dump'!$B:$B,'Category Table'!$A332)</f>
        <v/>
      </c>
      <c r="Z332" s="114">
        <f>SUMIFS('Committments Dump'!$R:$R,'Committments Dump'!$C:$C,'Category Table'!Z$2,'Committments Dump'!$B:$B,'Category Table'!$A332)</f>
        <v/>
      </c>
      <c r="AA332" s="113">
        <f>SUMIFS('Committments Dump'!$S:$S,'Committments Dump'!$C:$C,'Category Table'!AA$2,'Committments Dump'!$B:$B,'Category Table'!$A332)</f>
        <v/>
      </c>
      <c r="AB332" s="114">
        <f>SUMIFS('Committments Dump'!$S:$S,'Committments Dump'!$C:$C,'Category Table'!AB$2,'Committments Dump'!$B:$B,'Category Table'!$A332)</f>
        <v/>
      </c>
      <c r="AC332" s="114">
        <f>SUMIFS('Committments Dump'!$S:$S,'Committments Dump'!$C:$C,'Category Table'!AC$2,'Committments Dump'!$B:$B,'Category Table'!$A332)</f>
        <v/>
      </c>
      <c r="AD332" s="113">
        <f>U332+X332+AA332</f>
        <v/>
      </c>
      <c r="AE332" s="114">
        <f>V332+Y332+AB332</f>
        <v/>
      </c>
      <c r="AF332" s="114">
        <f>W332+Z332+AC332</f>
        <v/>
      </c>
      <c r="AG332" s="113">
        <f>R332+AD332</f>
        <v/>
      </c>
      <c r="AH332" s="114">
        <f>S332+AE332</f>
        <v/>
      </c>
      <c r="AI332" s="114">
        <f>T332+AF332</f>
        <v/>
      </c>
      <c r="AJ332" s="113" t="n"/>
      <c r="AK332" s="114" t="n"/>
      <c r="AL332" s="114" t="n"/>
      <c r="AM332" s="113">
        <f>(O332-AG332)+AJ332</f>
        <v/>
      </c>
      <c r="AN332" s="114">
        <f>(P332-AH332)+AK332</f>
        <v/>
      </c>
      <c r="AO332" s="114">
        <f>(Q332-AI332)+AL332</f>
        <v/>
      </c>
      <c r="AP332" s="2">
        <f>IF(AM332&gt;0, "Under",IF(AM332&lt;0,"Over",""))</f>
        <v/>
      </c>
      <c r="AQ332" s="1">
        <f>IF(AN332&gt;0, "Under",IF(AN332&lt;0,"Over",""))</f>
        <v/>
      </c>
      <c r="AR332" s="1">
        <f>IF(AO332&gt;0, "Under",IF(AO332&lt;0,"Over",""))</f>
        <v/>
      </c>
      <c r="AS332" s="3" t="n"/>
    </row>
    <row r="333">
      <c r="A333" s="90" t="n"/>
      <c r="B333" s="90" t="n"/>
      <c r="C333" s="115" t="n"/>
      <c r="D333" s="116" t="n"/>
      <c r="E333" s="116" t="n"/>
      <c r="F333" s="115" t="n"/>
      <c r="G333" s="116" t="n"/>
      <c r="H333" s="116" t="n"/>
      <c r="I333" s="115" t="n"/>
      <c r="J333" s="116" t="n"/>
      <c r="K333" s="116" t="n"/>
      <c r="L333" s="115" t="n"/>
      <c r="M333" s="116" t="n"/>
      <c r="N333" s="116" t="n"/>
      <c r="O333" s="115">
        <f>L333+I333+F333+C333</f>
        <v/>
      </c>
      <c r="P333" s="116">
        <f>M333+J333+G333+D333</f>
        <v/>
      </c>
      <c r="Q333" s="116">
        <f>N333+K333+H333+E333</f>
        <v/>
      </c>
      <c r="R333" s="115">
        <f>SUMIFS('PO Log'!$E:$E,'PO Log'!$D:$D,'Category Table'!R$2,'PO Log'!$C:$C,'Category Table'!$A333)</f>
        <v/>
      </c>
      <c r="S333" s="116">
        <f>SUMIFS('PO Log'!$E:$E,'PO Log'!$D:$D,'Category Table'!S$2,'PO Log'!$C:$C,'Category Table'!$A333)</f>
        <v/>
      </c>
      <c r="T333" s="116">
        <f>SUMIFS('PO Log'!$E:$E,'PO Log'!$D:$D,'Category Table'!T$2,'PO Log'!$C:$C,'Category Table'!$A333)</f>
        <v/>
      </c>
      <c r="U333" s="115">
        <f>SUMIFS('Committments Dump'!$Q:$Q,'Committments Dump'!$C:$C,'Category Table'!U$2,'Committments Dump'!$B:$B,'Category Table'!$A333)</f>
        <v/>
      </c>
      <c r="V333" s="116">
        <f>SUMIFS('Committments Dump'!$Q:$Q,'Committments Dump'!$C:$C,'Category Table'!V$2,'Committments Dump'!$B:$B,'Category Table'!$A333)</f>
        <v/>
      </c>
      <c r="W333" s="116">
        <f>SUMIFS('Committments Dump'!$Q:$Q,'Committments Dump'!$C:$C,'Category Table'!W$2,'Committments Dump'!$B:$B,'Category Table'!$A333)</f>
        <v/>
      </c>
      <c r="X333" s="115">
        <f>SUMIFS('Committments Dump'!$R:$R,'Committments Dump'!$C:$C,'Category Table'!X$2,'Committments Dump'!$B:$B,'Category Table'!$A333)</f>
        <v/>
      </c>
      <c r="Y333" s="116">
        <f>SUMIFS('Committments Dump'!$R:$R,'Committments Dump'!$C:$C,'Category Table'!Y$2,'Committments Dump'!$B:$B,'Category Table'!$A333)</f>
        <v/>
      </c>
      <c r="Z333" s="116">
        <f>SUMIFS('Committments Dump'!$R:$R,'Committments Dump'!$C:$C,'Category Table'!Z$2,'Committments Dump'!$B:$B,'Category Table'!$A333)</f>
        <v/>
      </c>
      <c r="AA333" s="115">
        <f>SUMIFS('Committments Dump'!$S:$S,'Committments Dump'!$C:$C,'Category Table'!AA$2,'Committments Dump'!$B:$B,'Category Table'!$A333)</f>
        <v/>
      </c>
      <c r="AB333" s="116">
        <f>SUMIFS('Committments Dump'!$S:$S,'Committments Dump'!$C:$C,'Category Table'!AB$2,'Committments Dump'!$B:$B,'Category Table'!$A333)</f>
        <v/>
      </c>
      <c r="AC333" s="116">
        <f>SUMIFS('Committments Dump'!$S:$S,'Committments Dump'!$C:$C,'Category Table'!AC$2,'Committments Dump'!$B:$B,'Category Table'!$A333)</f>
        <v/>
      </c>
      <c r="AD333" s="115">
        <f>U333+X333+AA333</f>
        <v/>
      </c>
      <c r="AE333" s="116">
        <f>V333+Y333+AB333</f>
        <v/>
      </c>
      <c r="AF333" s="116">
        <f>W333+Z333+AC333</f>
        <v/>
      </c>
      <c r="AG333" s="115">
        <f>R333+AD333</f>
        <v/>
      </c>
      <c r="AH333" s="116">
        <f>S333+AE333</f>
        <v/>
      </c>
      <c r="AI333" s="116">
        <f>T333+AF333</f>
        <v/>
      </c>
      <c r="AJ333" s="115" t="n"/>
      <c r="AK333" s="116" t="n"/>
      <c r="AL333" s="116" t="n"/>
      <c r="AM333" s="115">
        <f>(O333-AG333)+AJ333</f>
        <v/>
      </c>
      <c r="AN333" s="116">
        <f>(P333-AH333)+AK333</f>
        <v/>
      </c>
      <c r="AO333" s="116">
        <f>(Q333-AI333)+AL333</f>
        <v/>
      </c>
      <c r="AP333" s="93">
        <f>IF(AM333&gt;0, "Under",IF(AM333&lt;0,"Over",""))</f>
        <v/>
      </c>
      <c r="AQ333" s="94">
        <f>IF(AN333&gt;0, "Under",IF(AN333&lt;0,"Over",""))</f>
        <v/>
      </c>
      <c r="AR333" s="94">
        <f>IF(AO333&gt;0, "Under",IF(AO333&lt;0,"Over",""))</f>
        <v/>
      </c>
      <c r="AS333" s="3" t="n"/>
    </row>
    <row r="334">
      <c r="C334" s="113" t="n"/>
      <c r="D334" s="114" t="n"/>
      <c r="E334" s="114" t="n"/>
      <c r="F334" s="113" t="n"/>
      <c r="G334" s="114" t="n"/>
      <c r="H334" s="114" t="n"/>
      <c r="I334" s="113" t="n"/>
      <c r="J334" s="114" t="n"/>
      <c r="K334" s="114" t="n"/>
      <c r="L334" s="113" t="n"/>
      <c r="M334" s="114" t="n"/>
      <c r="N334" s="114" t="n"/>
      <c r="O334" s="113">
        <f>L334+I334+F334+C334</f>
        <v/>
      </c>
      <c r="P334" s="114">
        <f>M334+J334+G334+D334</f>
        <v/>
      </c>
      <c r="Q334" s="114">
        <f>N334+K334+H334+E334</f>
        <v/>
      </c>
      <c r="R334" s="113">
        <f>SUMIFS('PO Log'!$E:$E,'PO Log'!$D:$D,'Category Table'!R$2,'PO Log'!$C:$C,'Category Table'!$A334)</f>
        <v/>
      </c>
      <c r="S334" s="114">
        <f>SUMIFS('PO Log'!$E:$E,'PO Log'!$D:$D,'Category Table'!S$2,'PO Log'!$C:$C,'Category Table'!$A334)</f>
        <v/>
      </c>
      <c r="T334" s="114">
        <f>SUMIFS('PO Log'!$E:$E,'PO Log'!$D:$D,'Category Table'!T$2,'PO Log'!$C:$C,'Category Table'!$A334)</f>
        <v/>
      </c>
      <c r="U334" s="113">
        <f>SUMIFS('Committments Dump'!$Q:$Q,'Committments Dump'!$C:$C,'Category Table'!U$2,'Committments Dump'!$B:$B,'Category Table'!$A334)</f>
        <v/>
      </c>
      <c r="V334" s="114">
        <f>SUMIFS('Committments Dump'!$Q:$Q,'Committments Dump'!$C:$C,'Category Table'!V$2,'Committments Dump'!$B:$B,'Category Table'!$A334)</f>
        <v/>
      </c>
      <c r="W334" s="114">
        <f>SUMIFS('Committments Dump'!$Q:$Q,'Committments Dump'!$C:$C,'Category Table'!W$2,'Committments Dump'!$B:$B,'Category Table'!$A334)</f>
        <v/>
      </c>
      <c r="X334" s="113">
        <f>SUMIFS('Committments Dump'!$R:$R,'Committments Dump'!$C:$C,'Category Table'!X$2,'Committments Dump'!$B:$B,'Category Table'!$A334)</f>
        <v/>
      </c>
      <c r="Y334" s="114">
        <f>SUMIFS('Committments Dump'!$R:$R,'Committments Dump'!$C:$C,'Category Table'!Y$2,'Committments Dump'!$B:$B,'Category Table'!$A334)</f>
        <v/>
      </c>
      <c r="Z334" s="114">
        <f>SUMIFS('Committments Dump'!$R:$R,'Committments Dump'!$C:$C,'Category Table'!Z$2,'Committments Dump'!$B:$B,'Category Table'!$A334)</f>
        <v/>
      </c>
      <c r="AA334" s="113">
        <f>SUMIFS('Committments Dump'!$S:$S,'Committments Dump'!$C:$C,'Category Table'!AA$2,'Committments Dump'!$B:$B,'Category Table'!$A334)</f>
        <v/>
      </c>
      <c r="AB334" s="114">
        <f>SUMIFS('Committments Dump'!$S:$S,'Committments Dump'!$C:$C,'Category Table'!AB$2,'Committments Dump'!$B:$B,'Category Table'!$A334)</f>
        <v/>
      </c>
      <c r="AC334" s="114">
        <f>SUMIFS('Committments Dump'!$S:$S,'Committments Dump'!$C:$C,'Category Table'!AC$2,'Committments Dump'!$B:$B,'Category Table'!$A334)</f>
        <v/>
      </c>
      <c r="AD334" s="113">
        <f>U334+X334+AA334</f>
        <v/>
      </c>
      <c r="AE334" s="114">
        <f>V334+Y334+AB334</f>
        <v/>
      </c>
      <c r="AF334" s="114">
        <f>W334+Z334+AC334</f>
        <v/>
      </c>
      <c r="AG334" s="113">
        <f>R334+AD334</f>
        <v/>
      </c>
      <c r="AH334" s="114">
        <f>S334+AE334</f>
        <v/>
      </c>
      <c r="AI334" s="114">
        <f>T334+AF334</f>
        <v/>
      </c>
      <c r="AJ334" s="113" t="n"/>
      <c r="AK334" s="114" t="n"/>
      <c r="AL334" s="114" t="n"/>
      <c r="AM334" s="113">
        <f>(O334-AG334)+AJ334</f>
        <v/>
      </c>
      <c r="AN334" s="114">
        <f>(P334-AH334)+AK334</f>
        <v/>
      </c>
      <c r="AO334" s="114">
        <f>(Q334-AI334)+AL334</f>
        <v/>
      </c>
      <c r="AP334" s="2">
        <f>IF(AM334&gt;0, "Under",IF(AM334&lt;0,"Over",""))</f>
        <v/>
      </c>
      <c r="AQ334" s="1">
        <f>IF(AN334&gt;0, "Under",IF(AN334&lt;0,"Over",""))</f>
        <v/>
      </c>
      <c r="AR334" s="1">
        <f>IF(AO334&gt;0, "Under",IF(AO334&lt;0,"Over",""))</f>
        <v/>
      </c>
      <c r="AS334" s="3" t="n"/>
    </row>
    <row r="335">
      <c r="A335" s="90" t="n"/>
      <c r="B335" s="90" t="n"/>
      <c r="C335" s="115" t="n"/>
      <c r="D335" s="116" t="n"/>
      <c r="E335" s="116" t="n"/>
      <c r="F335" s="115" t="n"/>
      <c r="G335" s="116" t="n"/>
      <c r="H335" s="116" t="n"/>
      <c r="I335" s="115" t="n"/>
      <c r="J335" s="116" t="n"/>
      <c r="K335" s="116" t="n"/>
      <c r="L335" s="115" t="n"/>
      <c r="M335" s="116" t="n"/>
      <c r="N335" s="116" t="n"/>
      <c r="O335" s="115">
        <f>L335+I335+F335+C335</f>
        <v/>
      </c>
      <c r="P335" s="116">
        <f>M335+J335+G335+D335</f>
        <v/>
      </c>
      <c r="Q335" s="116">
        <f>N335+K335+H335+E335</f>
        <v/>
      </c>
      <c r="R335" s="115">
        <f>SUMIFS('PO Log'!$E:$E,'PO Log'!$D:$D,'Category Table'!R$2,'PO Log'!$C:$C,'Category Table'!$A335)</f>
        <v/>
      </c>
      <c r="S335" s="116">
        <f>SUMIFS('PO Log'!$E:$E,'PO Log'!$D:$D,'Category Table'!S$2,'PO Log'!$C:$C,'Category Table'!$A335)</f>
        <v/>
      </c>
      <c r="T335" s="116">
        <f>SUMIFS('PO Log'!$E:$E,'PO Log'!$D:$D,'Category Table'!T$2,'PO Log'!$C:$C,'Category Table'!$A335)</f>
        <v/>
      </c>
      <c r="U335" s="115">
        <f>SUMIFS('Committments Dump'!$Q:$Q,'Committments Dump'!$C:$C,'Category Table'!U$2,'Committments Dump'!$B:$B,'Category Table'!$A335)</f>
        <v/>
      </c>
      <c r="V335" s="116">
        <f>SUMIFS('Committments Dump'!$Q:$Q,'Committments Dump'!$C:$C,'Category Table'!V$2,'Committments Dump'!$B:$B,'Category Table'!$A335)</f>
        <v/>
      </c>
      <c r="W335" s="116">
        <f>SUMIFS('Committments Dump'!$Q:$Q,'Committments Dump'!$C:$C,'Category Table'!W$2,'Committments Dump'!$B:$B,'Category Table'!$A335)</f>
        <v/>
      </c>
      <c r="X335" s="115">
        <f>SUMIFS('Committments Dump'!$R:$R,'Committments Dump'!$C:$C,'Category Table'!X$2,'Committments Dump'!$B:$B,'Category Table'!$A335)</f>
        <v/>
      </c>
      <c r="Y335" s="116">
        <f>SUMIFS('Committments Dump'!$R:$R,'Committments Dump'!$C:$C,'Category Table'!Y$2,'Committments Dump'!$B:$B,'Category Table'!$A335)</f>
        <v/>
      </c>
      <c r="Z335" s="116">
        <f>SUMIFS('Committments Dump'!$R:$R,'Committments Dump'!$C:$C,'Category Table'!Z$2,'Committments Dump'!$B:$B,'Category Table'!$A335)</f>
        <v/>
      </c>
      <c r="AA335" s="115">
        <f>SUMIFS('Committments Dump'!$S:$S,'Committments Dump'!$C:$C,'Category Table'!AA$2,'Committments Dump'!$B:$B,'Category Table'!$A335)</f>
        <v/>
      </c>
      <c r="AB335" s="116">
        <f>SUMIFS('Committments Dump'!$S:$S,'Committments Dump'!$C:$C,'Category Table'!AB$2,'Committments Dump'!$B:$B,'Category Table'!$A335)</f>
        <v/>
      </c>
      <c r="AC335" s="116">
        <f>SUMIFS('Committments Dump'!$S:$S,'Committments Dump'!$C:$C,'Category Table'!AC$2,'Committments Dump'!$B:$B,'Category Table'!$A335)</f>
        <v/>
      </c>
      <c r="AD335" s="115">
        <f>U335+X335+AA335</f>
        <v/>
      </c>
      <c r="AE335" s="116">
        <f>V335+Y335+AB335</f>
        <v/>
      </c>
      <c r="AF335" s="116">
        <f>W335+Z335+AC335</f>
        <v/>
      </c>
      <c r="AG335" s="115">
        <f>R335+AD335</f>
        <v/>
      </c>
      <c r="AH335" s="116">
        <f>S335+AE335</f>
        <v/>
      </c>
      <c r="AI335" s="116">
        <f>T335+AF335</f>
        <v/>
      </c>
      <c r="AJ335" s="115" t="n"/>
      <c r="AK335" s="116" t="n"/>
      <c r="AL335" s="116" t="n"/>
      <c r="AM335" s="115">
        <f>(O335-AG335)+AJ335</f>
        <v/>
      </c>
      <c r="AN335" s="116">
        <f>(P335-AH335)+AK335</f>
        <v/>
      </c>
      <c r="AO335" s="116">
        <f>(Q335-AI335)+AL335</f>
        <v/>
      </c>
      <c r="AP335" s="93">
        <f>IF(AM335&gt;0, "Under",IF(AM335&lt;0,"Over",""))</f>
        <v/>
      </c>
      <c r="AQ335" s="94">
        <f>IF(AN335&gt;0, "Under",IF(AN335&lt;0,"Over",""))</f>
        <v/>
      </c>
      <c r="AR335" s="94">
        <f>IF(AO335&gt;0, "Under",IF(AO335&lt;0,"Over",""))</f>
        <v/>
      </c>
      <c r="AS335" s="3" t="n"/>
    </row>
    <row r="336">
      <c r="C336" s="113" t="n"/>
      <c r="D336" s="114" t="n"/>
      <c r="E336" s="114" t="n"/>
      <c r="F336" s="113" t="n"/>
      <c r="G336" s="114" t="n"/>
      <c r="H336" s="114" t="n"/>
      <c r="I336" s="113" t="n"/>
      <c r="J336" s="114" t="n"/>
      <c r="K336" s="114" t="n"/>
      <c r="L336" s="113" t="n"/>
      <c r="M336" s="114" t="n"/>
      <c r="N336" s="114" t="n"/>
      <c r="O336" s="113">
        <f>L336+I336+F336+C336</f>
        <v/>
      </c>
      <c r="P336" s="114">
        <f>M336+J336+G336+D336</f>
        <v/>
      </c>
      <c r="Q336" s="114">
        <f>N336+K336+H336+E336</f>
        <v/>
      </c>
      <c r="R336" s="113">
        <f>SUMIFS('PO Log'!$E:$E,'PO Log'!$D:$D,'Category Table'!R$2,'PO Log'!$C:$C,'Category Table'!$A336)</f>
        <v/>
      </c>
      <c r="S336" s="114">
        <f>SUMIFS('PO Log'!$E:$E,'PO Log'!$D:$D,'Category Table'!S$2,'PO Log'!$C:$C,'Category Table'!$A336)</f>
        <v/>
      </c>
      <c r="T336" s="114">
        <f>SUMIFS('PO Log'!$E:$E,'PO Log'!$D:$D,'Category Table'!T$2,'PO Log'!$C:$C,'Category Table'!$A336)</f>
        <v/>
      </c>
      <c r="U336" s="113">
        <f>SUMIFS('Committments Dump'!$Q:$Q,'Committments Dump'!$C:$C,'Category Table'!U$2,'Committments Dump'!$B:$B,'Category Table'!$A336)</f>
        <v/>
      </c>
      <c r="V336" s="114">
        <f>SUMIFS('Committments Dump'!$Q:$Q,'Committments Dump'!$C:$C,'Category Table'!V$2,'Committments Dump'!$B:$B,'Category Table'!$A336)</f>
        <v/>
      </c>
      <c r="W336" s="114">
        <f>SUMIFS('Committments Dump'!$Q:$Q,'Committments Dump'!$C:$C,'Category Table'!W$2,'Committments Dump'!$B:$B,'Category Table'!$A336)</f>
        <v/>
      </c>
      <c r="X336" s="113">
        <f>SUMIFS('Committments Dump'!$R:$R,'Committments Dump'!$C:$C,'Category Table'!X$2,'Committments Dump'!$B:$B,'Category Table'!$A336)</f>
        <v/>
      </c>
      <c r="Y336" s="114">
        <f>SUMIFS('Committments Dump'!$R:$R,'Committments Dump'!$C:$C,'Category Table'!Y$2,'Committments Dump'!$B:$B,'Category Table'!$A336)</f>
        <v/>
      </c>
      <c r="Z336" s="114">
        <f>SUMIFS('Committments Dump'!$R:$R,'Committments Dump'!$C:$C,'Category Table'!Z$2,'Committments Dump'!$B:$B,'Category Table'!$A336)</f>
        <v/>
      </c>
      <c r="AA336" s="113">
        <f>SUMIFS('Committments Dump'!$S:$S,'Committments Dump'!$C:$C,'Category Table'!AA$2,'Committments Dump'!$B:$B,'Category Table'!$A336)</f>
        <v/>
      </c>
      <c r="AB336" s="114">
        <f>SUMIFS('Committments Dump'!$S:$S,'Committments Dump'!$C:$C,'Category Table'!AB$2,'Committments Dump'!$B:$B,'Category Table'!$A336)</f>
        <v/>
      </c>
      <c r="AC336" s="114">
        <f>SUMIFS('Committments Dump'!$S:$S,'Committments Dump'!$C:$C,'Category Table'!AC$2,'Committments Dump'!$B:$B,'Category Table'!$A336)</f>
        <v/>
      </c>
      <c r="AD336" s="113">
        <f>U336+X336+AA336</f>
        <v/>
      </c>
      <c r="AE336" s="114">
        <f>V336+Y336+AB336</f>
        <v/>
      </c>
      <c r="AF336" s="114">
        <f>W336+Z336+AC336</f>
        <v/>
      </c>
      <c r="AG336" s="113">
        <f>R336+AD336</f>
        <v/>
      </c>
      <c r="AH336" s="114">
        <f>S336+AE336</f>
        <v/>
      </c>
      <c r="AI336" s="114">
        <f>T336+AF336</f>
        <v/>
      </c>
      <c r="AJ336" s="113" t="n"/>
      <c r="AK336" s="114" t="n"/>
      <c r="AL336" s="114" t="n"/>
      <c r="AM336" s="113">
        <f>(O336-AG336)+AJ336</f>
        <v/>
      </c>
      <c r="AN336" s="114">
        <f>(P336-AH336)+AK336</f>
        <v/>
      </c>
      <c r="AO336" s="114">
        <f>(Q336-AI336)+AL336</f>
        <v/>
      </c>
      <c r="AP336" s="2">
        <f>IF(AM336&gt;0, "Under",IF(AM336&lt;0,"Over",""))</f>
        <v/>
      </c>
      <c r="AQ336" s="1">
        <f>IF(AN336&gt;0, "Under",IF(AN336&lt;0,"Over",""))</f>
        <v/>
      </c>
      <c r="AR336" s="1">
        <f>IF(AO336&gt;0, "Under",IF(AO336&lt;0,"Over",""))</f>
        <v/>
      </c>
      <c r="AS336" s="3" t="n"/>
    </row>
    <row r="337">
      <c r="A337" s="90" t="n"/>
      <c r="B337" s="90" t="n"/>
      <c r="C337" s="115" t="n"/>
      <c r="D337" s="116" t="n"/>
      <c r="E337" s="116" t="n"/>
      <c r="F337" s="115" t="n"/>
      <c r="G337" s="116" t="n"/>
      <c r="H337" s="116" t="n"/>
      <c r="I337" s="115" t="n"/>
      <c r="J337" s="116" t="n"/>
      <c r="K337" s="116" t="n"/>
      <c r="L337" s="115" t="n"/>
      <c r="M337" s="116" t="n"/>
      <c r="N337" s="116" t="n"/>
      <c r="O337" s="115">
        <f>L337+I337+F337+C337</f>
        <v/>
      </c>
      <c r="P337" s="116">
        <f>M337+J337+G337+D337</f>
        <v/>
      </c>
      <c r="Q337" s="116">
        <f>N337+K337+H337+E337</f>
        <v/>
      </c>
      <c r="R337" s="115">
        <f>SUMIFS('PO Log'!$E:$E,'PO Log'!$D:$D,'Category Table'!R$2,'PO Log'!$C:$C,'Category Table'!$A337)</f>
        <v/>
      </c>
      <c r="S337" s="116">
        <f>SUMIFS('PO Log'!$E:$E,'PO Log'!$D:$D,'Category Table'!S$2,'PO Log'!$C:$C,'Category Table'!$A337)</f>
        <v/>
      </c>
      <c r="T337" s="116">
        <f>SUMIFS('PO Log'!$E:$E,'PO Log'!$D:$D,'Category Table'!T$2,'PO Log'!$C:$C,'Category Table'!$A337)</f>
        <v/>
      </c>
      <c r="U337" s="115">
        <f>SUMIFS('Committments Dump'!$Q:$Q,'Committments Dump'!$C:$C,'Category Table'!U$2,'Committments Dump'!$B:$B,'Category Table'!$A337)</f>
        <v/>
      </c>
      <c r="V337" s="116">
        <f>SUMIFS('Committments Dump'!$Q:$Q,'Committments Dump'!$C:$C,'Category Table'!V$2,'Committments Dump'!$B:$B,'Category Table'!$A337)</f>
        <v/>
      </c>
      <c r="W337" s="116">
        <f>SUMIFS('Committments Dump'!$Q:$Q,'Committments Dump'!$C:$C,'Category Table'!W$2,'Committments Dump'!$B:$B,'Category Table'!$A337)</f>
        <v/>
      </c>
      <c r="X337" s="115">
        <f>SUMIFS('Committments Dump'!$R:$R,'Committments Dump'!$C:$C,'Category Table'!X$2,'Committments Dump'!$B:$B,'Category Table'!$A337)</f>
        <v/>
      </c>
      <c r="Y337" s="116">
        <f>SUMIFS('Committments Dump'!$R:$R,'Committments Dump'!$C:$C,'Category Table'!Y$2,'Committments Dump'!$B:$B,'Category Table'!$A337)</f>
        <v/>
      </c>
      <c r="Z337" s="116">
        <f>SUMIFS('Committments Dump'!$R:$R,'Committments Dump'!$C:$C,'Category Table'!Z$2,'Committments Dump'!$B:$B,'Category Table'!$A337)</f>
        <v/>
      </c>
      <c r="AA337" s="115">
        <f>SUMIFS('Committments Dump'!$S:$S,'Committments Dump'!$C:$C,'Category Table'!AA$2,'Committments Dump'!$B:$B,'Category Table'!$A337)</f>
        <v/>
      </c>
      <c r="AB337" s="116">
        <f>SUMIFS('Committments Dump'!$S:$S,'Committments Dump'!$C:$C,'Category Table'!AB$2,'Committments Dump'!$B:$B,'Category Table'!$A337)</f>
        <v/>
      </c>
      <c r="AC337" s="116">
        <f>SUMIFS('Committments Dump'!$S:$S,'Committments Dump'!$C:$C,'Category Table'!AC$2,'Committments Dump'!$B:$B,'Category Table'!$A337)</f>
        <v/>
      </c>
      <c r="AD337" s="115">
        <f>U337+X337+AA337</f>
        <v/>
      </c>
      <c r="AE337" s="116">
        <f>V337+Y337+AB337</f>
        <v/>
      </c>
      <c r="AF337" s="116">
        <f>W337+Z337+AC337</f>
        <v/>
      </c>
      <c r="AG337" s="115">
        <f>R337+AD337</f>
        <v/>
      </c>
      <c r="AH337" s="116">
        <f>S337+AE337</f>
        <v/>
      </c>
      <c r="AI337" s="116">
        <f>T337+AF337</f>
        <v/>
      </c>
      <c r="AJ337" s="115" t="n"/>
      <c r="AK337" s="116" t="n"/>
      <c r="AL337" s="116" t="n"/>
      <c r="AM337" s="115">
        <f>(O337-AG337)+AJ337</f>
        <v/>
      </c>
      <c r="AN337" s="116">
        <f>(P337-AH337)+AK337</f>
        <v/>
      </c>
      <c r="AO337" s="116">
        <f>(Q337-AI337)+AL337</f>
        <v/>
      </c>
      <c r="AP337" s="93">
        <f>IF(AM337&gt;0, "Under",IF(AM337&lt;0,"Over",""))</f>
        <v/>
      </c>
      <c r="AQ337" s="94">
        <f>IF(AN337&gt;0, "Under",IF(AN337&lt;0,"Over",""))</f>
        <v/>
      </c>
      <c r="AR337" s="94">
        <f>IF(AO337&gt;0, "Under",IF(AO337&lt;0,"Over",""))</f>
        <v/>
      </c>
      <c r="AS337" s="3" t="n"/>
    </row>
    <row r="338">
      <c r="C338" s="113" t="n"/>
      <c r="D338" s="114" t="n"/>
      <c r="E338" s="114" t="n"/>
      <c r="F338" s="113" t="n"/>
      <c r="G338" s="114" t="n"/>
      <c r="H338" s="114" t="n"/>
      <c r="I338" s="113" t="n"/>
      <c r="J338" s="114" t="n"/>
      <c r="K338" s="114" t="n"/>
      <c r="L338" s="113" t="n"/>
      <c r="M338" s="114" t="n"/>
      <c r="N338" s="114" t="n"/>
      <c r="O338" s="113">
        <f>L338+I338+F338+C338</f>
        <v/>
      </c>
      <c r="P338" s="114">
        <f>M338+J338+G338+D338</f>
        <v/>
      </c>
      <c r="Q338" s="114">
        <f>N338+K338+H338+E338</f>
        <v/>
      </c>
      <c r="R338" s="113">
        <f>SUMIFS('PO Log'!$E:$E,'PO Log'!$D:$D,'Category Table'!R$2,'PO Log'!$C:$C,'Category Table'!$A338)</f>
        <v/>
      </c>
      <c r="S338" s="114">
        <f>SUMIFS('PO Log'!$E:$E,'PO Log'!$D:$D,'Category Table'!S$2,'PO Log'!$C:$C,'Category Table'!$A338)</f>
        <v/>
      </c>
      <c r="T338" s="114">
        <f>SUMIFS('PO Log'!$E:$E,'PO Log'!$D:$D,'Category Table'!T$2,'PO Log'!$C:$C,'Category Table'!$A338)</f>
        <v/>
      </c>
      <c r="U338" s="113">
        <f>SUMIFS('Committments Dump'!$Q:$Q,'Committments Dump'!$C:$C,'Category Table'!U$2,'Committments Dump'!$B:$B,'Category Table'!$A338)</f>
        <v/>
      </c>
      <c r="V338" s="114">
        <f>SUMIFS('Committments Dump'!$Q:$Q,'Committments Dump'!$C:$C,'Category Table'!V$2,'Committments Dump'!$B:$B,'Category Table'!$A338)</f>
        <v/>
      </c>
      <c r="W338" s="114">
        <f>SUMIFS('Committments Dump'!$Q:$Q,'Committments Dump'!$C:$C,'Category Table'!W$2,'Committments Dump'!$B:$B,'Category Table'!$A338)</f>
        <v/>
      </c>
      <c r="X338" s="113">
        <f>SUMIFS('Committments Dump'!$R:$R,'Committments Dump'!$C:$C,'Category Table'!X$2,'Committments Dump'!$B:$B,'Category Table'!$A338)</f>
        <v/>
      </c>
      <c r="Y338" s="114">
        <f>SUMIFS('Committments Dump'!$R:$R,'Committments Dump'!$C:$C,'Category Table'!Y$2,'Committments Dump'!$B:$B,'Category Table'!$A338)</f>
        <v/>
      </c>
      <c r="Z338" s="114">
        <f>SUMIFS('Committments Dump'!$R:$R,'Committments Dump'!$C:$C,'Category Table'!Z$2,'Committments Dump'!$B:$B,'Category Table'!$A338)</f>
        <v/>
      </c>
      <c r="AA338" s="113">
        <f>SUMIFS('Committments Dump'!$S:$S,'Committments Dump'!$C:$C,'Category Table'!AA$2,'Committments Dump'!$B:$B,'Category Table'!$A338)</f>
        <v/>
      </c>
      <c r="AB338" s="114">
        <f>SUMIFS('Committments Dump'!$S:$S,'Committments Dump'!$C:$C,'Category Table'!AB$2,'Committments Dump'!$B:$B,'Category Table'!$A338)</f>
        <v/>
      </c>
      <c r="AC338" s="114">
        <f>SUMIFS('Committments Dump'!$S:$S,'Committments Dump'!$C:$C,'Category Table'!AC$2,'Committments Dump'!$B:$B,'Category Table'!$A338)</f>
        <v/>
      </c>
      <c r="AD338" s="113">
        <f>U338+X338+AA338</f>
        <v/>
      </c>
      <c r="AE338" s="114">
        <f>V338+Y338+AB338</f>
        <v/>
      </c>
      <c r="AF338" s="114">
        <f>W338+Z338+AC338</f>
        <v/>
      </c>
      <c r="AG338" s="113">
        <f>R338+AD338</f>
        <v/>
      </c>
      <c r="AH338" s="114">
        <f>S338+AE338</f>
        <v/>
      </c>
      <c r="AI338" s="114">
        <f>T338+AF338</f>
        <v/>
      </c>
      <c r="AJ338" s="113" t="n"/>
      <c r="AK338" s="114" t="n"/>
      <c r="AL338" s="114" t="n"/>
      <c r="AM338" s="113">
        <f>(O338-AG338)+AJ338</f>
        <v/>
      </c>
      <c r="AN338" s="114">
        <f>(P338-AH338)+AK338</f>
        <v/>
      </c>
      <c r="AO338" s="114">
        <f>(Q338-AI338)+AL338</f>
        <v/>
      </c>
      <c r="AP338" s="2">
        <f>IF(AM338&gt;0, "Under",IF(AM338&lt;0,"Over",""))</f>
        <v/>
      </c>
      <c r="AQ338" s="1">
        <f>IF(AN338&gt;0, "Under",IF(AN338&lt;0,"Over",""))</f>
        <v/>
      </c>
      <c r="AR338" s="1">
        <f>IF(AO338&gt;0, "Under",IF(AO338&lt;0,"Over",""))</f>
        <v/>
      </c>
      <c r="AS338" s="3" t="n"/>
    </row>
    <row r="339">
      <c r="A339" s="90" t="n"/>
      <c r="B339" s="90" t="n"/>
      <c r="C339" s="115" t="n"/>
      <c r="D339" s="116" t="n"/>
      <c r="E339" s="116" t="n"/>
      <c r="F339" s="115" t="n"/>
      <c r="G339" s="116" t="n"/>
      <c r="H339" s="116" t="n"/>
      <c r="I339" s="115" t="n"/>
      <c r="J339" s="116" t="n"/>
      <c r="K339" s="116" t="n"/>
      <c r="L339" s="115" t="n"/>
      <c r="M339" s="116" t="n"/>
      <c r="N339" s="116" t="n"/>
      <c r="O339" s="115">
        <f>L339+I339+F339+C339</f>
        <v/>
      </c>
      <c r="P339" s="116">
        <f>M339+J339+G339+D339</f>
        <v/>
      </c>
      <c r="Q339" s="116">
        <f>N339+K339+H339+E339</f>
        <v/>
      </c>
      <c r="R339" s="115">
        <f>SUMIFS('PO Log'!$E:$E,'PO Log'!$D:$D,'Category Table'!R$2,'PO Log'!$C:$C,'Category Table'!$A339)</f>
        <v/>
      </c>
      <c r="S339" s="116">
        <f>SUMIFS('PO Log'!$E:$E,'PO Log'!$D:$D,'Category Table'!S$2,'PO Log'!$C:$C,'Category Table'!$A339)</f>
        <v/>
      </c>
      <c r="T339" s="116">
        <f>SUMIFS('PO Log'!$E:$E,'PO Log'!$D:$D,'Category Table'!T$2,'PO Log'!$C:$C,'Category Table'!$A339)</f>
        <v/>
      </c>
      <c r="U339" s="115">
        <f>SUMIFS('Committments Dump'!$Q:$Q,'Committments Dump'!$C:$C,'Category Table'!U$2,'Committments Dump'!$B:$B,'Category Table'!$A339)</f>
        <v/>
      </c>
      <c r="V339" s="116">
        <f>SUMIFS('Committments Dump'!$Q:$Q,'Committments Dump'!$C:$C,'Category Table'!V$2,'Committments Dump'!$B:$B,'Category Table'!$A339)</f>
        <v/>
      </c>
      <c r="W339" s="116">
        <f>SUMIFS('Committments Dump'!$Q:$Q,'Committments Dump'!$C:$C,'Category Table'!W$2,'Committments Dump'!$B:$B,'Category Table'!$A339)</f>
        <v/>
      </c>
      <c r="X339" s="115">
        <f>SUMIFS('Committments Dump'!$R:$R,'Committments Dump'!$C:$C,'Category Table'!X$2,'Committments Dump'!$B:$B,'Category Table'!$A339)</f>
        <v/>
      </c>
      <c r="Y339" s="116">
        <f>SUMIFS('Committments Dump'!$R:$R,'Committments Dump'!$C:$C,'Category Table'!Y$2,'Committments Dump'!$B:$B,'Category Table'!$A339)</f>
        <v/>
      </c>
      <c r="Z339" s="116">
        <f>SUMIFS('Committments Dump'!$R:$R,'Committments Dump'!$C:$C,'Category Table'!Z$2,'Committments Dump'!$B:$B,'Category Table'!$A339)</f>
        <v/>
      </c>
      <c r="AA339" s="115">
        <f>SUMIFS('Committments Dump'!$S:$S,'Committments Dump'!$C:$C,'Category Table'!AA$2,'Committments Dump'!$B:$B,'Category Table'!$A339)</f>
        <v/>
      </c>
      <c r="AB339" s="116">
        <f>SUMIFS('Committments Dump'!$S:$S,'Committments Dump'!$C:$C,'Category Table'!AB$2,'Committments Dump'!$B:$B,'Category Table'!$A339)</f>
        <v/>
      </c>
      <c r="AC339" s="116">
        <f>SUMIFS('Committments Dump'!$S:$S,'Committments Dump'!$C:$C,'Category Table'!AC$2,'Committments Dump'!$B:$B,'Category Table'!$A339)</f>
        <v/>
      </c>
      <c r="AD339" s="115">
        <f>U339+X339+AA339</f>
        <v/>
      </c>
      <c r="AE339" s="116">
        <f>V339+Y339+AB339</f>
        <v/>
      </c>
      <c r="AF339" s="116">
        <f>W339+Z339+AC339</f>
        <v/>
      </c>
      <c r="AG339" s="115">
        <f>R339+AD339</f>
        <v/>
      </c>
      <c r="AH339" s="116">
        <f>S339+AE339</f>
        <v/>
      </c>
      <c r="AI339" s="116">
        <f>T339+AF339</f>
        <v/>
      </c>
      <c r="AJ339" s="115" t="n"/>
      <c r="AK339" s="116" t="n"/>
      <c r="AL339" s="116" t="n"/>
      <c r="AM339" s="115">
        <f>(O339-AG339)+AJ339</f>
        <v/>
      </c>
      <c r="AN339" s="116">
        <f>(P339-AH339)+AK339</f>
        <v/>
      </c>
      <c r="AO339" s="116">
        <f>(Q339-AI339)+AL339</f>
        <v/>
      </c>
      <c r="AP339" s="93">
        <f>IF(AM339&gt;0, "Under",IF(AM339&lt;0,"Over",""))</f>
        <v/>
      </c>
      <c r="AQ339" s="94">
        <f>IF(AN339&gt;0, "Under",IF(AN339&lt;0,"Over",""))</f>
        <v/>
      </c>
      <c r="AR339" s="94">
        <f>IF(AO339&gt;0, "Under",IF(AO339&lt;0,"Over",""))</f>
        <v/>
      </c>
      <c r="AS339" s="3" t="n"/>
    </row>
    <row r="340">
      <c r="C340" s="113" t="n"/>
      <c r="D340" s="114" t="n"/>
      <c r="E340" s="114" t="n"/>
      <c r="F340" s="113" t="n"/>
      <c r="G340" s="114" t="n"/>
      <c r="H340" s="114" t="n"/>
      <c r="I340" s="113" t="n"/>
      <c r="J340" s="114" t="n"/>
      <c r="K340" s="114" t="n"/>
      <c r="L340" s="113" t="n"/>
      <c r="M340" s="114" t="n"/>
      <c r="N340" s="114" t="n"/>
      <c r="O340" s="113">
        <f>L340+I340+F340+C340</f>
        <v/>
      </c>
      <c r="P340" s="114">
        <f>M340+J340+G340+D340</f>
        <v/>
      </c>
      <c r="Q340" s="114">
        <f>N340+K340+H340+E340</f>
        <v/>
      </c>
      <c r="R340" s="113">
        <f>SUMIFS('PO Log'!$E:$E,'PO Log'!$D:$D,'Category Table'!R$2,'PO Log'!$C:$C,'Category Table'!$A340)</f>
        <v/>
      </c>
      <c r="S340" s="114">
        <f>SUMIFS('PO Log'!$E:$E,'PO Log'!$D:$D,'Category Table'!S$2,'PO Log'!$C:$C,'Category Table'!$A340)</f>
        <v/>
      </c>
      <c r="T340" s="114">
        <f>SUMIFS('PO Log'!$E:$E,'PO Log'!$D:$D,'Category Table'!T$2,'PO Log'!$C:$C,'Category Table'!$A340)</f>
        <v/>
      </c>
      <c r="U340" s="113">
        <f>SUMIFS('Committments Dump'!$Q:$Q,'Committments Dump'!$C:$C,'Category Table'!U$2,'Committments Dump'!$B:$B,'Category Table'!$A340)</f>
        <v/>
      </c>
      <c r="V340" s="114">
        <f>SUMIFS('Committments Dump'!$Q:$Q,'Committments Dump'!$C:$C,'Category Table'!V$2,'Committments Dump'!$B:$B,'Category Table'!$A340)</f>
        <v/>
      </c>
      <c r="W340" s="114">
        <f>SUMIFS('Committments Dump'!$Q:$Q,'Committments Dump'!$C:$C,'Category Table'!W$2,'Committments Dump'!$B:$B,'Category Table'!$A340)</f>
        <v/>
      </c>
      <c r="X340" s="113">
        <f>SUMIFS('Committments Dump'!$R:$R,'Committments Dump'!$C:$C,'Category Table'!X$2,'Committments Dump'!$B:$B,'Category Table'!$A340)</f>
        <v/>
      </c>
      <c r="Y340" s="114">
        <f>SUMIFS('Committments Dump'!$R:$R,'Committments Dump'!$C:$C,'Category Table'!Y$2,'Committments Dump'!$B:$B,'Category Table'!$A340)</f>
        <v/>
      </c>
      <c r="Z340" s="114">
        <f>SUMIFS('Committments Dump'!$R:$R,'Committments Dump'!$C:$C,'Category Table'!Z$2,'Committments Dump'!$B:$B,'Category Table'!$A340)</f>
        <v/>
      </c>
      <c r="AA340" s="113">
        <f>SUMIFS('Committments Dump'!$S:$S,'Committments Dump'!$C:$C,'Category Table'!AA$2,'Committments Dump'!$B:$B,'Category Table'!$A340)</f>
        <v/>
      </c>
      <c r="AB340" s="114">
        <f>SUMIFS('Committments Dump'!$S:$S,'Committments Dump'!$C:$C,'Category Table'!AB$2,'Committments Dump'!$B:$B,'Category Table'!$A340)</f>
        <v/>
      </c>
      <c r="AC340" s="114">
        <f>SUMIFS('Committments Dump'!$S:$S,'Committments Dump'!$C:$C,'Category Table'!AC$2,'Committments Dump'!$B:$B,'Category Table'!$A340)</f>
        <v/>
      </c>
      <c r="AD340" s="113">
        <f>U340+X340+AA340</f>
        <v/>
      </c>
      <c r="AE340" s="114">
        <f>V340+Y340+AB340</f>
        <v/>
      </c>
      <c r="AF340" s="114">
        <f>W340+Z340+AC340</f>
        <v/>
      </c>
      <c r="AG340" s="113">
        <f>R340+AD340</f>
        <v/>
      </c>
      <c r="AH340" s="114">
        <f>S340+AE340</f>
        <v/>
      </c>
      <c r="AI340" s="114">
        <f>T340+AF340</f>
        <v/>
      </c>
      <c r="AJ340" s="113" t="n"/>
      <c r="AK340" s="114" t="n"/>
      <c r="AL340" s="114" t="n"/>
      <c r="AM340" s="113">
        <f>(O340-AG340)+AJ340</f>
        <v/>
      </c>
      <c r="AN340" s="114">
        <f>(P340-AH340)+AK340</f>
        <v/>
      </c>
      <c r="AO340" s="114">
        <f>(Q340-AI340)+AL340</f>
        <v/>
      </c>
      <c r="AP340" s="2">
        <f>IF(AM340&gt;0, "Under",IF(AM340&lt;0,"Over",""))</f>
        <v/>
      </c>
      <c r="AQ340" s="1">
        <f>IF(AN340&gt;0, "Under",IF(AN340&lt;0,"Over",""))</f>
        <v/>
      </c>
      <c r="AR340" s="1">
        <f>IF(AO340&gt;0, "Under",IF(AO340&lt;0,"Over",""))</f>
        <v/>
      </c>
      <c r="AS340" s="3" t="n"/>
    </row>
    <row r="341">
      <c r="A341" s="90" t="n"/>
      <c r="B341" s="90" t="n"/>
      <c r="C341" s="115" t="n"/>
      <c r="D341" s="116" t="n"/>
      <c r="E341" s="116" t="n"/>
      <c r="F341" s="115" t="n"/>
      <c r="G341" s="116" t="n"/>
      <c r="H341" s="116" t="n"/>
      <c r="I341" s="115" t="n"/>
      <c r="J341" s="116" t="n"/>
      <c r="K341" s="116" t="n"/>
      <c r="L341" s="115" t="n"/>
      <c r="M341" s="116" t="n"/>
      <c r="N341" s="116" t="n"/>
      <c r="O341" s="115">
        <f>L341+I341+F341+C341</f>
        <v/>
      </c>
      <c r="P341" s="116">
        <f>M341+J341+G341+D341</f>
        <v/>
      </c>
      <c r="Q341" s="116">
        <f>N341+K341+H341+E341</f>
        <v/>
      </c>
      <c r="R341" s="115">
        <f>SUMIFS('PO Log'!$E:$E,'PO Log'!$D:$D,'Category Table'!R$2,'PO Log'!$C:$C,'Category Table'!$A341)</f>
        <v/>
      </c>
      <c r="S341" s="116">
        <f>SUMIFS('PO Log'!$E:$E,'PO Log'!$D:$D,'Category Table'!S$2,'PO Log'!$C:$C,'Category Table'!$A341)</f>
        <v/>
      </c>
      <c r="T341" s="116">
        <f>SUMIFS('PO Log'!$E:$E,'PO Log'!$D:$D,'Category Table'!T$2,'PO Log'!$C:$C,'Category Table'!$A341)</f>
        <v/>
      </c>
      <c r="U341" s="115">
        <f>SUMIFS('Committments Dump'!$Q:$Q,'Committments Dump'!$C:$C,'Category Table'!U$2,'Committments Dump'!$B:$B,'Category Table'!$A341)</f>
        <v/>
      </c>
      <c r="V341" s="116">
        <f>SUMIFS('Committments Dump'!$Q:$Q,'Committments Dump'!$C:$C,'Category Table'!V$2,'Committments Dump'!$B:$B,'Category Table'!$A341)</f>
        <v/>
      </c>
      <c r="W341" s="116">
        <f>SUMIFS('Committments Dump'!$Q:$Q,'Committments Dump'!$C:$C,'Category Table'!W$2,'Committments Dump'!$B:$B,'Category Table'!$A341)</f>
        <v/>
      </c>
      <c r="X341" s="115">
        <f>SUMIFS('Committments Dump'!$R:$R,'Committments Dump'!$C:$C,'Category Table'!X$2,'Committments Dump'!$B:$B,'Category Table'!$A341)</f>
        <v/>
      </c>
      <c r="Y341" s="116">
        <f>SUMIFS('Committments Dump'!$R:$R,'Committments Dump'!$C:$C,'Category Table'!Y$2,'Committments Dump'!$B:$B,'Category Table'!$A341)</f>
        <v/>
      </c>
      <c r="Z341" s="116">
        <f>SUMIFS('Committments Dump'!$R:$R,'Committments Dump'!$C:$C,'Category Table'!Z$2,'Committments Dump'!$B:$B,'Category Table'!$A341)</f>
        <v/>
      </c>
      <c r="AA341" s="115">
        <f>SUMIFS('Committments Dump'!$S:$S,'Committments Dump'!$C:$C,'Category Table'!AA$2,'Committments Dump'!$B:$B,'Category Table'!$A341)</f>
        <v/>
      </c>
      <c r="AB341" s="116">
        <f>SUMIFS('Committments Dump'!$S:$S,'Committments Dump'!$C:$C,'Category Table'!AB$2,'Committments Dump'!$B:$B,'Category Table'!$A341)</f>
        <v/>
      </c>
      <c r="AC341" s="116">
        <f>SUMIFS('Committments Dump'!$S:$S,'Committments Dump'!$C:$C,'Category Table'!AC$2,'Committments Dump'!$B:$B,'Category Table'!$A341)</f>
        <v/>
      </c>
      <c r="AD341" s="115">
        <f>U341+X341+AA341</f>
        <v/>
      </c>
      <c r="AE341" s="116">
        <f>V341+Y341+AB341</f>
        <v/>
      </c>
      <c r="AF341" s="116">
        <f>W341+Z341+AC341</f>
        <v/>
      </c>
      <c r="AG341" s="115">
        <f>R341+AD341</f>
        <v/>
      </c>
      <c r="AH341" s="116">
        <f>S341+AE341</f>
        <v/>
      </c>
      <c r="AI341" s="116">
        <f>T341+AF341</f>
        <v/>
      </c>
      <c r="AJ341" s="115" t="n"/>
      <c r="AK341" s="116" t="n"/>
      <c r="AL341" s="116" t="n"/>
      <c r="AM341" s="115">
        <f>(O341-AG341)+AJ341</f>
        <v/>
      </c>
      <c r="AN341" s="116">
        <f>(P341-AH341)+AK341</f>
        <v/>
      </c>
      <c r="AO341" s="116">
        <f>(Q341-AI341)+AL341</f>
        <v/>
      </c>
      <c r="AP341" s="93">
        <f>IF(AM341&gt;0, "Under",IF(AM341&lt;0,"Over",""))</f>
        <v/>
      </c>
      <c r="AQ341" s="94">
        <f>IF(AN341&gt;0, "Under",IF(AN341&lt;0,"Over",""))</f>
        <v/>
      </c>
      <c r="AR341" s="94">
        <f>IF(AO341&gt;0, "Under",IF(AO341&lt;0,"Over",""))</f>
        <v/>
      </c>
      <c r="AS341" s="3" t="n"/>
    </row>
    <row r="342">
      <c r="C342" s="113" t="n"/>
      <c r="D342" s="114" t="n"/>
      <c r="E342" s="114" t="n"/>
      <c r="F342" s="113" t="n"/>
      <c r="G342" s="114" t="n"/>
      <c r="H342" s="114" t="n"/>
      <c r="I342" s="113" t="n"/>
      <c r="J342" s="114" t="n"/>
      <c r="K342" s="114" t="n"/>
      <c r="L342" s="113" t="n"/>
      <c r="M342" s="114" t="n"/>
      <c r="N342" s="114" t="n"/>
      <c r="O342" s="113">
        <f>L342+I342+F342+C342</f>
        <v/>
      </c>
      <c r="P342" s="114">
        <f>M342+J342+G342+D342</f>
        <v/>
      </c>
      <c r="Q342" s="114">
        <f>N342+K342+H342+E342</f>
        <v/>
      </c>
      <c r="R342" s="113">
        <f>SUMIFS('PO Log'!$E:$E,'PO Log'!$D:$D,'Category Table'!R$2,'PO Log'!$C:$C,'Category Table'!$A342)</f>
        <v/>
      </c>
      <c r="S342" s="114">
        <f>SUMIFS('PO Log'!$E:$E,'PO Log'!$D:$D,'Category Table'!S$2,'PO Log'!$C:$C,'Category Table'!$A342)</f>
        <v/>
      </c>
      <c r="T342" s="114">
        <f>SUMIFS('PO Log'!$E:$E,'PO Log'!$D:$D,'Category Table'!T$2,'PO Log'!$C:$C,'Category Table'!$A342)</f>
        <v/>
      </c>
      <c r="U342" s="113">
        <f>SUMIFS('Committments Dump'!$Q:$Q,'Committments Dump'!$C:$C,'Category Table'!U$2,'Committments Dump'!$B:$B,'Category Table'!$A342)</f>
        <v/>
      </c>
      <c r="V342" s="114">
        <f>SUMIFS('Committments Dump'!$Q:$Q,'Committments Dump'!$C:$C,'Category Table'!V$2,'Committments Dump'!$B:$B,'Category Table'!$A342)</f>
        <v/>
      </c>
      <c r="W342" s="114">
        <f>SUMIFS('Committments Dump'!$Q:$Q,'Committments Dump'!$C:$C,'Category Table'!W$2,'Committments Dump'!$B:$B,'Category Table'!$A342)</f>
        <v/>
      </c>
      <c r="X342" s="113">
        <f>SUMIFS('Committments Dump'!$R:$R,'Committments Dump'!$C:$C,'Category Table'!X$2,'Committments Dump'!$B:$B,'Category Table'!$A342)</f>
        <v/>
      </c>
      <c r="Y342" s="114">
        <f>SUMIFS('Committments Dump'!$R:$R,'Committments Dump'!$C:$C,'Category Table'!Y$2,'Committments Dump'!$B:$B,'Category Table'!$A342)</f>
        <v/>
      </c>
      <c r="Z342" s="114">
        <f>SUMIFS('Committments Dump'!$R:$R,'Committments Dump'!$C:$C,'Category Table'!Z$2,'Committments Dump'!$B:$B,'Category Table'!$A342)</f>
        <v/>
      </c>
      <c r="AA342" s="113">
        <f>SUMIFS('Committments Dump'!$S:$S,'Committments Dump'!$C:$C,'Category Table'!AA$2,'Committments Dump'!$B:$B,'Category Table'!$A342)</f>
        <v/>
      </c>
      <c r="AB342" s="114">
        <f>SUMIFS('Committments Dump'!$S:$S,'Committments Dump'!$C:$C,'Category Table'!AB$2,'Committments Dump'!$B:$B,'Category Table'!$A342)</f>
        <v/>
      </c>
      <c r="AC342" s="114">
        <f>SUMIFS('Committments Dump'!$S:$S,'Committments Dump'!$C:$C,'Category Table'!AC$2,'Committments Dump'!$B:$B,'Category Table'!$A342)</f>
        <v/>
      </c>
      <c r="AD342" s="113">
        <f>U342+X342+AA342</f>
        <v/>
      </c>
      <c r="AE342" s="114">
        <f>V342+Y342+AB342</f>
        <v/>
      </c>
      <c r="AF342" s="114">
        <f>W342+Z342+AC342</f>
        <v/>
      </c>
      <c r="AG342" s="113">
        <f>R342+AD342</f>
        <v/>
      </c>
      <c r="AH342" s="114">
        <f>S342+AE342</f>
        <v/>
      </c>
      <c r="AI342" s="114">
        <f>T342+AF342</f>
        <v/>
      </c>
      <c r="AJ342" s="113" t="n"/>
      <c r="AK342" s="114" t="n"/>
      <c r="AL342" s="114" t="n"/>
      <c r="AM342" s="113">
        <f>(O342-AG342)+AJ342</f>
        <v/>
      </c>
      <c r="AN342" s="114">
        <f>(P342-AH342)+AK342</f>
        <v/>
      </c>
      <c r="AO342" s="114">
        <f>(Q342-AI342)+AL342</f>
        <v/>
      </c>
      <c r="AP342" s="2">
        <f>IF(AM342&gt;0, "Under",IF(AM342&lt;0,"Over",""))</f>
        <v/>
      </c>
      <c r="AQ342" s="1">
        <f>IF(AN342&gt;0, "Under",IF(AN342&lt;0,"Over",""))</f>
        <v/>
      </c>
      <c r="AR342" s="1">
        <f>IF(AO342&gt;0, "Under",IF(AO342&lt;0,"Over",""))</f>
        <v/>
      </c>
      <c r="AS342" s="3" t="n"/>
    </row>
    <row r="343">
      <c r="A343" s="90" t="n"/>
      <c r="B343" s="90" t="n"/>
      <c r="C343" s="115" t="n"/>
      <c r="D343" s="116" t="n"/>
      <c r="E343" s="116" t="n"/>
      <c r="F343" s="115" t="n"/>
      <c r="G343" s="116" t="n"/>
      <c r="H343" s="116" t="n"/>
      <c r="I343" s="115" t="n"/>
      <c r="J343" s="116" t="n"/>
      <c r="K343" s="116" t="n"/>
      <c r="L343" s="115" t="n"/>
      <c r="M343" s="116" t="n"/>
      <c r="N343" s="116" t="n"/>
      <c r="O343" s="115">
        <f>L343+I343+F343+C343</f>
        <v/>
      </c>
      <c r="P343" s="116">
        <f>M343+J343+G343+D343</f>
        <v/>
      </c>
      <c r="Q343" s="116">
        <f>N343+K343+H343+E343</f>
        <v/>
      </c>
      <c r="R343" s="115">
        <f>SUMIFS('PO Log'!$E:$E,'PO Log'!$D:$D,'Category Table'!R$2,'PO Log'!$C:$C,'Category Table'!$A343)</f>
        <v/>
      </c>
      <c r="S343" s="116">
        <f>SUMIFS('PO Log'!$E:$E,'PO Log'!$D:$D,'Category Table'!S$2,'PO Log'!$C:$C,'Category Table'!$A343)</f>
        <v/>
      </c>
      <c r="T343" s="116">
        <f>SUMIFS('PO Log'!$E:$E,'PO Log'!$D:$D,'Category Table'!T$2,'PO Log'!$C:$C,'Category Table'!$A343)</f>
        <v/>
      </c>
      <c r="U343" s="115">
        <f>SUMIFS('Committments Dump'!$Q:$Q,'Committments Dump'!$C:$C,'Category Table'!U$2,'Committments Dump'!$B:$B,'Category Table'!$A343)</f>
        <v/>
      </c>
      <c r="V343" s="116">
        <f>SUMIFS('Committments Dump'!$Q:$Q,'Committments Dump'!$C:$C,'Category Table'!V$2,'Committments Dump'!$B:$B,'Category Table'!$A343)</f>
        <v/>
      </c>
      <c r="W343" s="116">
        <f>SUMIFS('Committments Dump'!$Q:$Q,'Committments Dump'!$C:$C,'Category Table'!W$2,'Committments Dump'!$B:$B,'Category Table'!$A343)</f>
        <v/>
      </c>
      <c r="X343" s="115">
        <f>SUMIFS('Committments Dump'!$R:$R,'Committments Dump'!$C:$C,'Category Table'!X$2,'Committments Dump'!$B:$B,'Category Table'!$A343)</f>
        <v/>
      </c>
      <c r="Y343" s="116">
        <f>SUMIFS('Committments Dump'!$R:$R,'Committments Dump'!$C:$C,'Category Table'!Y$2,'Committments Dump'!$B:$B,'Category Table'!$A343)</f>
        <v/>
      </c>
      <c r="Z343" s="116">
        <f>SUMIFS('Committments Dump'!$R:$R,'Committments Dump'!$C:$C,'Category Table'!Z$2,'Committments Dump'!$B:$B,'Category Table'!$A343)</f>
        <v/>
      </c>
      <c r="AA343" s="115">
        <f>SUMIFS('Committments Dump'!$S:$S,'Committments Dump'!$C:$C,'Category Table'!AA$2,'Committments Dump'!$B:$B,'Category Table'!$A343)</f>
        <v/>
      </c>
      <c r="AB343" s="116">
        <f>SUMIFS('Committments Dump'!$S:$S,'Committments Dump'!$C:$C,'Category Table'!AB$2,'Committments Dump'!$B:$B,'Category Table'!$A343)</f>
        <v/>
      </c>
      <c r="AC343" s="116">
        <f>SUMIFS('Committments Dump'!$S:$S,'Committments Dump'!$C:$C,'Category Table'!AC$2,'Committments Dump'!$B:$B,'Category Table'!$A343)</f>
        <v/>
      </c>
      <c r="AD343" s="115">
        <f>U343+X343+AA343</f>
        <v/>
      </c>
      <c r="AE343" s="116">
        <f>V343+Y343+AB343</f>
        <v/>
      </c>
      <c r="AF343" s="116">
        <f>W343+Z343+AC343</f>
        <v/>
      </c>
      <c r="AG343" s="115">
        <f>R343+AD343</f>
        <v/>
      </c>
      <c r="AH343" s="116">
        <f>S343+AE343</f>
        <v/>
      </c>
      <c r="AI343" s="116">
        <f>T343+AF343</f>
        <v/>
      </c>
      <c r="AJ343" s="115" t="n"/>
      <c r="AK343" s="116" t="n"/>
      <c r="AL343" s="116" t="n"/>
      <c r="AM343" s="115">
        <f>(O343-AG343)+AJ343</f>
        <v/>
      </c>
      <c r="AN343" s="116">
        <f>(P343-AH343)+AK343</f>
        <v/>
      </c>
      <c r="AO343" s="116">
        <f>(Q343-AI343)+AL343</f>
        <v/>
      </c>
      <c r="AP343" s="93">
        <f>IF(AM343&gt;0, "Under",IF(AM343&lt;0,"Over",""))</f>
        <v/>
      </c>
      <c r="AQ343" s="94">
        <f>IF(AN343&gt;0, "Under",IF(AN343&lt;0,"Over",""))</f>
        <v/>
      </c>
      <c r="AR343" s="94">
        <f>IF(AO343&gt;0, "Under",IF(AO343&lt;0,"Over",""))</f>
        <v/>
      </c>
      <c r="AS343" s="3" t="n"/>
    </row>
    <row r="344">
      <c r="C344" s="113" t="n"/>
      <c r="D344" s="114" t="n"/>
      <c r="E344" s="114" t="n"/>
      <c r="F344" s="113" t="n"/>
      <c r="G344" s="114" t="n"/>
      <c r="H344" s="114" t="n"/>
      <c r="I344" s="113" t="n"/>
      <c r="J344" s="114" t="n"/>
      <c r="K344" s="114" t="n"/>
      <c r="L344" s="113" t="n"/>
      <c r="M344" s="114" t="n"/>
      <c r="N344" s="114" t="n"/>
      <c r="O344" s="113">
        <f>L344+I344+F344+C344</f>
        <v/>
      </c>
      <c r="P344" s="114">
        <f>M344+J344+G344+D344</f>
        <v/>
      </c>
      <c r="Q344" s="114">
        <f>N344+K344+H344+E344</f>
        <v/>
      </c>
      <c r="R344" s="113">
        <f>SUMIFS('PO Log'!$E:$E,'PO Log'!$D:$D,'Category Table'!R$2,'PO Log'!$C:$C,'Category Table'!$A344)</f>
        <v/>
      </c>
      <c r="S344" s="114">
        <f>SUMIFS('PO Log'!$E:$E,'PO Log'!$D:$D,'Category Table'!S$2,'PO Log'!$C:$C,'Category Table'!$A344)</f>
        <v/>
      </c>
      <c r="T344" s="114">
        <f>SUMIFS('PO Log'!$E:$E,'PO Log'!$D:$D,'Category Table'!T$2,'PO Log'!$C:$C,'Category Table'!$A344)</f>
        <v/>
      </c>
      <c r="U344" s="113">
        <f>SUMIFS('Committments Dump'!$Q:$Q,'Committments Dump'!$C:$C,'Category Table'!U$2,'Committments Dump'!$B:$B,'Category Table'!$A344)</f>
        <v/>
      </c>
      <c r="V344" s="114">
        <f>SUMIFS('Committments Dump'!$Q:$Q,'Committments Dump'!$C:$C,'Category Table'!V$2,'Committments Dump'!$B:$B,'Category Table'!$A344)</f>
        <v/>
      </c>
      <c r="W344" s="114">
        <f>SUMIFS('Committments Dump'!$Q:$Q,'Committments Dump'!$C:$C,'Category Table'!W$2,'Committments Dump'!$B:$B,'Category Table'!$A344)</f>
        <v/>
      </c>
      <c r="X344" s="113">
        <f>SUMIFS('Committments Dump'!$R:$R,'Committments Dump'!$C:$C,'Category Table'!X$2,'Committments Dump'!$B:$B,'Category Table'!$A344)</f>
        <v/>
      </c>
      <c r="Y344" s="114">
        <f>SUMIFS('Committments Dump'!$R:$R,'Committments Dump'!$C:$C,'Category Table'!Y$2,'Committments Dump'!$B:$B,'Category Table'!$A344)</f>
        <v/>
      </c>
      <c r="Z344" s="114">
        <f>SUMIFS('Committments Dump'!$R:$R,'Committments Dump'!$C:$C,'Category Table'!Z$2,'Committments Dump'!$B:$B,'Category Table'!$A344)</f>
        <v/>
      </c>
      <c r="AA344" s="113">
        <f>SUMIFS('Committments Dump'!$S:$S,'Committments Dump'!$C:$C,'Category Table'!AA$2,'Committments Dump'!$B:$B,'Category Table'!$A344)</f>
        <v/>
      </c>
      <c r="AB344" s="114">
        <f>SUMIFS('Committments Dump'!$S:$S,'Committments Dump'!$C:$C,'Category Table'!AB$2,'Committments Dump'!$B:$B,'Category Table'!$A344)</f>
        <v/>
      </c>
      <c r="AC344" s="114">
        <f>SUMIFS('Committments Dump'!$S:$S,'Committments Dump'!$C:$C,'Category Table'!AC$2,'Committments Dump'!$B:$B,'Category Table'!$A344)</f>
        <v/>
      </c>
      <c r="AD344" s="113">
        <f>U344+X344+AA344</f>
        <v/>
      </c>
      <c r="AE344" s="114">
        <f>V344+Y344+AB344</f>
        <v/>
      </c>
      <c r="AF344" s="114">
        <f>W344+Z344+AC344</f>
        <v/>
      </c>
      <c r="AG344" s="113">
        <f>R344+AD344</f>
        <v/>
      </c>
      <c r="AH344" s="114">
        <f>S344+AE344</f>
        <v/>
      </c>
      <c r="AI344" s="114">
        <f>T344+AF344</f>
        <v/>
      </c>
      <c r="AJ344" s="113" t="n"/>
      <c r="AK344" s="114" t="n"/>
      <c r="AL344" s="114" t="n"/>
      <c r="AM344" s="113">
        <f>(O344-AG344)+AJ344</f>
        <v/>
      </c>
      <c r="AN344" s="114">
        <f>(P344-AH344)+AK344</f>
        <v/>
      </c>
      <c r="AO344" s="114">
        <f>(Q344-AI344)+AL344</f>
        <v/>
      </c>
      <c r="AP344" s="2">
        <f>IF(AM344&gt;0, "Under",IF(AM344&lt;0,"Over",""))</f>
        <v/>
      </c>
      <c r="AQ344" s="1">
        <f>IF(AN344&gt;0, "Under",IF(AN344&lt;0,"Over",""))</f>
        <v/>
      </c>
      <c r="AR344" s="1">
        <f>IF(AO344&gt;0, "Under",IF(AO344&lt;0,"Over",""))</f>
        <v/>
      </c>
      <c r="AS344" s="3" t="n"/>
    </row>
    <row r="345">
      <c r="A345" s="90" t="n"/>
      <c r="B345" s="90" t="n"/>
      <c r="C345" s="115" t="n"/>
      <c r="D345" s="116" t="n"/>
      <c r="E345" s="116" t="n"/>
      <c r="F345" s="115" t="n"/>
      <c r="G345" s="116" t="n"/>
      <c r="H345" s="116" t="n"/>
      <c r="I345" s="115" t="n"/>
      <c r="J345" s="116" t="n"/>
      <c r="K345" s="116" t="n"/>
      <c r="L345" s="115" t="n"/>
      <c r="M345" s="116" t="n"/>
      <c r="N345" s="116" t="n"/>
      <c r="O345" s="115">
        <f>L345+I345+F345+C345</f>
        <v/>
      </c>
      <c r="P345" s="116">
        <f>M345+J345+G345+D345</f>
        <v/>
      </c>
      <c r="Q345" s="116">
        <f>N345+K345+H345+E345</f>
        <v/>
      </c>
      <c r="R345" s="115">
        <f>SUMIFS('PO Log'!$E:$E,'PO Log'!$D:$D,'Category Table'!R$2,'PO Log'!$C:$C,'Category Table'!$A345)</f>
        <v/>
      </c>
      <c r="S345" s="116">
        <f>SUMIFS('PO Log'!$E:$E,'PO Log'!$D:$D,'Category Table'!S$2,'PO Log'!$C:$C,'Category Table'!$A345)</f>
        <v/>
      </c>
      <c r="T345" s="116">
        <f>SUMIFS('PO Log'!$E:$E,'PO Log'!$D:$D,'Category Table'!T$2,'PO Log'!$C:$C,'Category Table'!$A345)</f>
        <v/>
      </c>
      <c r="U345" s="115">
        <f>SUMIFS('Committments Dump'!$Q:$Q,'Committments Dump'!$C:$C,'Category Table'!U$2,'Committments Dump'!$B:$B,'Category Table'!$A345)</f>
        <v/>
      </c>
      <c r="V345" s="116">
        <f>SUMIFS('Committments Dump'!$Q:$Q,'Committments Dump'!$C:$C,'Category Table'!V$2,'Committments Dump'!$B:$B,'Category Table'!$A345)</f>
        <v/>
      </c>
      <c r="W345" s="116">
        <f>SUMIFS('Committments Dump'!$Q:$Q,'Committments Dump'!$C:$C,'Category Table'!W$2,'Committments Dump'!$B:$B,'Category Table'!$A345)</f>
        <v/>
      </c>
      <c r="X345" s="115">
        <f>SUMIFS('Committments Dump'!$R:$R,'Committments Dump'!$C:$C,'Category Table'!X$2,'Committments Dump'!$B:$B,'Category Table'!$A345)</f>
        <v/>
      </c>
      <c r="Y345" s="116">
        <f>SUMIFS('Committments Dump'!$R:$R,'Committments Dump'!$C:$C,'Category Table'!Y$2,'Committments Dump'!$B:$B,'Category Table'!$A345)</f>
        <v/>
      </c>
      <c r="Z345" s="116">
        <f>SUMIFS('Committments Dump'!$R:$R,'Committments Dump'!$C:$C,'Category Table'!Z$2,'Committments Dump'!$B:$B,'Category Table'!$A345)</f>
        <v/>
      </c>
      <c r="AA345" s="115">
        <f>SUMIFS('Committments Dump'!$S:$S,'Committments Dump'!$C:$C,'Category Table'!AA$2,'Committments Dump'!$B:$B,'Category Table'!$A345)</f>
        <v/>
      </c>
      <c r="AB345" s="116">
        <f>SUMIFS('Committments Dump'!$S:$S,'Committments Dump'!$C:$C,'Category Table'!AB$2,'Committments Dump'!$B:$B,'Category Table'!$A345)</f>
        <v/>
      </c>
      <c r="AC345" s="116">
        <f>SUMIFS('Committments Dump'!$S:$S,'Committments Dump'!$C:$C,'Category Table'!AC$2,'Committments Dump'!$B:$B,'Category Table'!$A345)</f>
        <v/>
      </c>
      <c r="AD345" s="115">
        <f>U345+X345+AA345</f>
        <v/>
      </c>
      <c r="AE345" s="116">
        <f>V345+Y345+AB345</f>
        <v/>
      </c>
      <c r="AF345" s="116">
        <f>W345+Z345+AC345</f>
        <v/>
      </c>
      <c r="AG345" s="115">
        <f>R345+AD345</f>
        <v/>
      </c>
      <c r="AH345" s="116">
        <f>S345+AE345</f>
        <v/>
      </c>
      <c r="AI345" s="116">
        <f>T345+AF345</f>
        <v/>
      </c>
      <c r="AJ345" s="115" t="n"/>
      <c r="AK345" s="116" t="n"/>
      <c r="AL345" s="116" t="n"/>
      <c r="AM345" s="115">
        <f>(O345-AG345)+AJ345</f>
        <v/>
      </c>
      <c r="AN345" s="116">
        <f>(P345-AH345)+AK345</f>
        <v/>
      </c>
      <c r="AO345" s="116">
        <f>(Q345-AI345)+AL345</f>
        <v/>
      </c>
      <c r="AP345" s="93">
        <f>IF(AM345&gt;0, "Under",IF(AM345&lt;0,"Over",""))</f>
        <v/>
      </c>
      <c r="AQ345" s="94">
        <f>IF(AN345&gt;0, "Under",IF(AN345&lt;0,"Over",""))</f>
        <v/>
      </c>
      <c r="AR345" s="94">
        <f>IF(AO345&gt;0, "Under",IF(AO345&lt;0,"Over",""))</f>
        <v/>
      </c>
      <c r="AS345" s="3" t="n"/>
    </row>
    <row r="346">
      <c r="C346" s="113" t="n"/>
      <c r="D346" s="114" t="n"/>
      <c r="E346" s="114" t="n"/>
      <c r="F346" s="113" t="n"/>
      <c r="G346" s="114" t="n"/>
      <c r="H346" s="114" t="n"/>
      <c r="I346" s="113" t="n"/>
      <c r="J346" s="114" t="n"/>
      <c r="K346" s="114" t="n"/>
      <c r="L346" s="113" t="n"/>
      <c r="M346" s="114" t="n"/>
      <c r="N346" s="114" t="n"/>
      <c r="O346" s="113">
        <f>L346+I346+F346+C346</f>
        <v/>
      </c>
      <c r="P346" s="114">
        <f>M346+J346+G346+D346</f>
        <v/>
      </c>
      <c r="Q346" s="114">
        <f>N346+K346+H346+E346</f>
        <v/>
      </c>
      <c r="R346" s="113">
        <f>SUMIFS('PO Log'!$E:$E,'PO Log'!$D:$D,'Category Table'!R$2,'PO Log'!$C:$C,'Category Table'!$A346)</f>
        <v/>
      </c>
      <c r="S346" s="114">
        <f>SUMIFS('PO Log'!$E:$E,'PO Log'!$D:$D,'Category Table'!S$2,'PO Log'!$C:$C,'Category Table'!$A346)</f>
        <v/>
      </c>
      <c r="T346" s="114">
        <f>SUMIFS('PO Log'!$E:$E,'PO Log'!$D:$D,'Category Table'!T$2,'PO Log'!$C:$C,'Category Table'!$A346)</f>
        <v/>
      </c>
      <c r="U346" s="113">
        <f>SUMIFS('Committments Dump'!$Q:$Q,'Committments Dump'!$C:$C,'Category Table'!U$2,'Committments Dump'!$B:$B,'Category Table'!$A346)</f>
        <v/>
      </c>
      <c r="V346" s="114">
        <f>SUMIFS('Committments Dump'!$Q:$Q,'Committments Dump'!$C:$C,'Category Table'!V$2,'Committments Dump'!$B:$B,'Category Table'!$A346)</f>
        <v/>
      </c>
      <c r="W346" s="114">
        <f>SUMIFS('Committments Dump'!$Q:$Q,'Committments Dump'!$C:$C,'Category Table'!W$2,'Committments Dump'!$B:$B,'Category Table'!$A346)</f>
        <v/>
      </c>
      <c r="X346" s="113">
        <f>SUMIFS('Committments Dump'!$R:$R,'Committments Dump'!$C:$C,'Category Table'!X$2,'Committments Dump'!$B:$B,'Category Table'!$A346)</f>
        <v/>
      </c>
      <c r="Y346" s="114">
        <f>SUMIFS('Committments Dump'!$R:$R,'Committments Dump'!$C:$C,'Category Table'!Y$2,'Committments Dump'!$B:$B,'Category Table'!$A346)</f>
        <v/>
      </c>
      <c r="Z346" s="114">
        <f>SUMIFS('Committments Dump'!$R:$R,'Committments Dump'!$C:$C,'Category Table'!Z$2,'Committments Dump'!$B:$B,'Category Table'!$A346)</f>
        <v/>
      </c>
      <c r="AA346" s="113">
        <f>SUMIFS('Committments Dump'!$S:$S,'Committments Dump'!$C:$C,'Category Table'!AA$2,'Committments Dump'!$B:$B,'Category Table'!$A346)</f>
        <v/>
      </c>
      <c r="AB346" s="114">
        <f>SUMIFS('Committments Dump'!$S:$S,'Committments Dump'!$C:$C,'Category Table'!AB$2,'Committments Dump'!$B:$B,'Category Table'!$A346)</f>
        <v/>
      </c>
      <c r="AC346" s="114">
        <f>SUMIFS('Committments Dump'!$S:$S,'Committments Dump'!$C:$C,'Category Table'!AC$2,'Committments Dump'!$B:$B,'Category Table'!$A346)</f>
        <v/>
      </c>
      <c r="AD346" s="113">
        <f>U346+X346+AA346</f>
        <v/>
      </c>
      <c r="AE346" s="114">
        <f>V346+Y346+AB346</f>
        <v/>
      </c>
      <c r="AF346" s="114">
        <f>W346+Z346+AC346</f>
        <v/>
      </c>
      <c r="AG346" s="113">
        <f>R346+AD346</f>
        <v/>
      </c>
      <c r="AH346" s="114">
        <f>S346+AE346</f>
        <v/>
      </c>
      <c r="AI346" s="114">
        <f>T346+AF346</f>
        <v/>
      </c>
      <c r="AJ346" s="113" t="n"/>
      <c r="AK346" s="114" t="n"/>
      <c r="AL346" s="114" t="n"/>
      <c r="AM346" s="113">
        <f>(O346-AG346)+AJ346</f>
        <v/>
      </c>
      <c r="AN346" s="114">
        <f>(P346-AH346)+AK346</f>
        <v/>
      </c>
      <c r="AO346" s="114">
        <f>(Q346-AI346)+AL346</f>
        <v/>
      </c>
      <c r="AP346" s="2">
        <f>IF(AM346&gt;0, "Under",IF(AM346&lt;0,"Over",""))</f>
        <v/>
      </c>
      <c r="AQ346" s="1">
        <f>IF(AN346&gt;0, "Under",IF(AN346&lt;0,"Over",""))</f>
        <v/>
      </c>
      <c r="AR346" s="1">
        <f>IF(AO346&gt;0, "Under",IF(AO346&lt;0,"Over",""))</f>
        <v/>
      </c>
      <c r="AS346" s="3" t="n"/>
    </row>
    <row r="347">
      <c r="A347" s="90" t="n"/>
      <c r="B347" s="90" t="n"/>
      <c r="C347" s="115" t="n"/>
      <c r="D347" s="116" t="n"/>
      <c r="E347" s="116" t="n"/>
      <c r="F347" s="115" t="n"/>
      <c r="G347" s="116" t="n"/>
      <c r="H347" s="116" t="n"/>
      <c r="I347" s="115" t="n"/>
      <c r="J347" s="116" t="n"/>
      <c r="K347" s="116" t="n"/>
      <c r="L347" s="115" t="n"/>
      <c r="M347" s="116" t="n"/>
      <c r="N347" s="116" t="n"/>
      <c r="O347" s="115">
        <f>L347+I347+F347+C347</f>
        <v/>
      </c>
      <c r="P347" s="116">
        <f>M347+J347+G347+D347</f>
        <v/>
      </c>
      <c r="Q347" s="116">
        <f>N347+K347+H347+E347</f>
        <v/>
      </c>
      <c r="R347" s="115">
        <f>SUMIFS('PO Log'!$E:$E,'PO Log'!$D:$D,'Category Table'!R$2,'PO Log'!$C:$C,'Category Table'!$A347)</f>
        <v/>
      </c>
      <c r="S347" s="116">
        <f>SUMIFS('PO Log'!$E:$E,'PO Log'!$D:$D,'Category Table'!S$2,'PO Log'!$C:$C,'Category Table'!$A347)</f>
        <v/>
      </c>
      <c r="T347" s="116">
        <f>SUMIFS('PO Log'!$E:$E,'PO Log'!$D:$D,'Category Table'!T$2,'PO Log'!$C:$C,'Category Table'!$A347)</f>
        <v/>
      </c>
      <c r="U347" s="115">
        <f>SUMIFS('Committments Dump'!$Q:$Q,'Committments Dump'!$C:$C,'Category Table'!U$2,'Committments Dump'!$B:$B,'Category Table'!$A347)</f>
        <v/>
      </c>
      <c r="V347" s="116">
        <f>SUMIFS('Committments Dump'!$Q:$Q,'Committments Dump'!$C:$C,'Category Table'!V$2,'Committments Dump'!$B:$B,'Category Table'!$A347)</f>
        <v/>
      </c>
      <c r="W347" s="116">
        <f>SUMIFS('Committments Dump'!$Q:$Q,'Committments Dump'!$C:$C,'Category Table'!W$2,'Committments Dump'!$B:$B,'Category Table'!$A347)</f>
        <v/>
      </c>
      <c r="X347" s="115">
        <f>SUMIFS('Committments Dump'!$R:$R,'Committments Dump'!$C:$C,'Category Table'!X$2,'Committments Dump'!$B:$B,'Category Table'!$A347)</f>
        <v/>
      </c>
      <c r="Y347" s="116">
        <f>SUMIFS('Committments Dump'!$R:$R,'Committments Dump'!$C:$C,'Category Table'!Y$2,'Committments Dump'!$B:$B,'Category Table'!$A347)</f>
        <v/>
      </c>
      <c r="Z347" s="116">
        <f>SUMIFS('Committments Dump'!$R:$R,'Committments Dump'!$C:$C,'Category Table'!Z$2,'Committments Dump'!$B:$B,'Category Table'!$A347)</f>
        <v/>
      </c>
      <c r="AA347" s="115">
        <f>SUMIFS('Committments Dump'!$S:$S,'Committments Dump'!$C:$C,'Category Table'!AA$2,'Committments Dump'!$B:$B,'Category Table'!$A347)</f>
        <v/>
      </c>
      <c r="AB347" s="116">
        <f>SUMIFS('Committments Dump'!$S:$S,'Committments Dump'!$C:$C,'Category Table'!AB$2,'Committments Dump'!$B:$B,'Category Table'!$A347)</f>
        <v/>
      </c>
      <c r="AC347" s="116">
        <f>SUMIFS('Committments Dump'!$S:$S,'Committments Dump'!$C:$C,'Category Table'!AC$2,'Committments Dump'!$B:$B,'Category Table'!$A347)</f>
        <v/>
      </c>
      <c r="AD347" s="115">
        <f>U347+X347+AA347</f>
        <v/>
      </c>
      <c r="AE347" s="116">
        <f>V347+Y347+AB347</f>
        <v/>
      </c>
      <c r="AF347" s="116">
        <f>W347+Z347+AC347</f>
        <v/>
      </c>
      <c r="AG347" s="115">
        <f>R347+AD347</f>
        <v/>
      </c>
      <c r="AH347" s="116">
        <f>S347+AE347</f>
        <v/>
      </c>
      <c r="AI347" s="116">
        <f>T347+AF347</f>
        <v/>
      </c>
      <c r="AJ347" s="115" t="n"/>
      <c r="AK347" s="116" t="n"/>
      <c r="AL347" s="116" t="n"/>
      <c r="AM347" s="115">
        <f>(O347-AG347)+AJ347</f>
        <v/>
      </c>
      <c r="AN347" s="116">
        <f>(P347-AH347)+AK347</f>
        <v/>
      </c>
      <c r="AO347" s="116">
        <f>(Q347-AI347)+AL347</f>
        <v/>
      </c>
      <c r="AP347" s="93">
        <f>IF(AM347&gt;0, "Under",IF(AM347&lt;0,"Over",""))</f>
        <v/>
      </c>
      <c r="AQ347" s="94">
        <f>IF(AN347&gt;0, "Under",IF(AN347&lt;0,"Over",""))</f>
        <v/>
      </c>
      <c r="AR347" s="94">
        <f>IF(AO347&gt;0, "Under",IF(AO347&lt;0,"Over",""))</f>
        <v/>
      </c>
      <c r="AS347" s="3" t="n"/>
    </row>
    <row r="348">
      <c r="C348" s="113" t="n"/>
      <c r="D348" s="114" t="n"/>
      <c r="E348" s="114" t="n"/>
      <c r="F348" s="113" t="n"/>
      <c r="G348" s="114" t="n"/>
      <c r="H348" s="114" t="n"/>
      <c r="I348" s="113" t="n"/>
      <c r="J348" s="114" t="n"/>
      <c r="K348" s="114" t="n"/>
      <c r="L348" s="113" t="n"/>
      <c r="M348" s="114" t="n"/>
      <c r="N348" s="114" t="n"/>
      <c r="O348" s="113">
        <f>L348+I348+F348+C348</f>
        <v/>
      </c>
      <c r="P348" s="114">
        <f>M348+J348+G348+D348</f>
        <v/>
      </c>
      <c r="Q348" s="114">
        <f>N348+K348+H348+E348</f>
        <v/>
      </c>
      <c r="R348" s="113">
        <f>SUMIFS('PO Log'!$E:$E,'PO Log'!$D:$D,'Category Table'!R$2,'PO Log'!$C:$C,'Category Table'!$A348)</f>
        <v/>
      </c>
      <c r="S348" s="114">
        <f>SUMIFS('PO Log'!$E:$E,'PO Log'!$D:$D,'Category Table'!S$2,'PO Log'!$C:$C,'Category Table'!$A348)</f>
        <v/>
      </c>
      <c r="T348" s="114">
        <f>SUMIFS('PO Log'!$E:$E,'PO Log'!$D:$D,'Category Table'!T$2,'PO Log'!$C:$C,'Category Table'!$A348)</f>
        <v/>
      </c>
      <c r="U348" s="113">
        <f>SUMIFS('Committments Dump'!$Q:$Q,'Committments Dump'!$C:$C,'Category Table'!U$2,'Committments Dump'!$B:$B,'Category Table'!$A348)</f>
        <v/>
      </c>
      <c r="V348" s="114">
        <f>SUMIFS('Committments Dump'!$Q:$Q,'Committments Dump'!$C:$C,'Category Table'!V$2,'Committments Dump'!$B:$B,'Category Table'!$A348)</f>
        <v/>
      </c>
      <c r="W348" s="114">
        <f>SUMIFS('Committments Dump'!$Q:$Q,'Committments Dump'!$C:$C,'Category Table'!W$2,'Committments Dump'!$B:$B,'Category Table'!$A348)</f>
        <v/>
      </c>
      <c r="X348" s="113">
        <f>SUMIFS('Committments Dump'!$R:$R,'Committments Dump'!$C:$C,'Category Table'!X$2,'Committments Dump'!$B:$B,'Category Table'!$A348)</f>
        <v/>
      </c>
      <c r="Y348" s="114">
        <f>SUMIFS('Committments Dump'!$R:$R,'Committments Dump'!$C:$C,'Category Table'!Y$2,'Committments Dump'!$B:$B,'Category Table'!$A348)</f>
        <v/>
      </c>
      <c r="Z348" s="114">
        <f>SUMIFS('Committments Dump'!$R:$R,'Committments Dump'!$C:$C,'Category Table'!Z$2,'Committments Dump'!$B:$B,'Category Table'!$A348)</f>
        <v/>
      </c>
      <c r="AA348" s="113">
        <f>SUMIFS('Committments Dump'!$S:$S,'Committments Dump'!$C:$C,'Category Table'!AA$2,'Committments Dump'!$B:$B,'Category Table'!$A348)</f>
        <v/>
      </c>
      <c r="AB348" s="114">
        <f>SUMIFS('Committments Dump'!$S:$S,'Committments Dump'!$C:$C,'Category Table'!AB$2,'Committments Dump'!$B:$B,'Category Table'!$A348)</f>
        <v/>
      </c>
      <c r="AC348" s="114">
        <f>SUMIFS('Committments Dump'!$S:$S,'Committments Dump'!$C:$C,'Category Table'!AC$2,'Committments Dump'!$B:$B,'Category Table'!$A348)</f>
        <v/>
      </c>
      <c r="AD348" s="113">
        <f>U348+X348+AA348</f>
        <v/>
      </c>
      <c r="AE348" s="114">
        <f>V348+Y348+AB348</f>
        <v/>
      </c>
      <c r="AF348" s="114">
        <f>W348+Z348+AC348</f>
        <v/>
      </c>
      <c r="AG348" s="113">
        <f>R348+AD348</f>
        <v/>
      </c>
      <c r="AH348" s="114">
        <f>S348+AE348</f>
        <v/>
      </c>
      <c r="AI348" s="114">
        <f>T348+AF348</f>
        <v/>
      </c>
      <c r="AJ348" s="113" t="n"/>
      <c r="AK348" s="114" t="n"/>
      <c r="AL348" s="114" t="n"/>
      <c r="AM348" s="113">
        <f>(O348-AG348)+AJ348</f>
        <v/>
      </c>
      <c r="AN348" s="114">
        <f>(P348-AH348)+AK348</f>
        <v/>
      </c>
      <c r="AO348" s="114">
        <f>(Q348-AI348)+AL348</f>
        <v/>
      </c>
      <c r="AP348" s="2">
        <f>IF(AM348&gt;0, "Under",IF(AM348&lt;0,"Over",""))</f>
        <v/>
      </c>
      <c r="AQ348" s="1">
        <f>IF(AN348&gt;0, "Under",IF(AN348&lt;0,"Over",""))</f>
        <v/>
      </c>
      <c r="AR348" s="1">
        <f>IF(AO348&gt;0, "Under",IF(AO348&lt;0,"Over",""))</f>
        <v/>
      </c>
      <c r="AS348" s="3" t="n"/>
    </row>
    <row r="349">
      <c r="A349" s="90" t="n"/>
      <c r="B349" s="90" t="n"/>
      <c r="C349" s="115" t="n"/>
      <c r="D349" s="116" t="n"/>
      <c r="E349" s="116" t="n"/>
      <c r="F349" s="115" t="n"/>
      <c r="G349" s="116" t="n"/>
      <c r="H349" s="116" t="n"/>
      <c r="I349" s="115" t="n"/>
      <c r="J349" s="116" t="n"/>
      <c r="K349" s="116" t="n"/>
      <c r="L349" s="115" t="n"/>
      <c r="M349" s="116" t="n"/>
      <c r="N349" s="116" t="n"/>
      <c r="O349" s="115">
        <f>L349+I349+F349+C349</f>
        <v/>
      </c>
      <c r="P349" s="116">
        <f>M349+J349+G349+D349</f>
        <v/>
      </c>
      <c r="Q349" s="116">
        <f>N349+K349+H349+E349</f>
        <v/>
      </c>
      <c r="R349" s="115">
        <f>SUMIFS('PO Log'!$E:$E,'PO Log'!$D:$D,'Category Table'!R$2,'PO Log'!$C:$C,'Category Table'!$A349)</f>
        <v/>
      </c>
      <c r="S349" s="116">
        <f>SUMIFS('PO Log'!$E:$E,'PO Log'!$D:$D,'Category Table'!S$2,'PO Log'!$C:$C,'Category Table'!$A349)</f>
        <v/>
      </c>
      <c r="T349" s="116">
        <f>SUMIFS('PO Log'!$E:$E,'PO Log'!$D:$D,'Category Table'!T$2,'PO Log'!$C:$C,'Category Table'!$A349)</f>
        <v/>
      </c>
      <c r="U349" s="115">
        <f>SUMIFS('Committments Dump'!$Q:$Q,'Committments Dump'!$C:$C,'Category Table'!U$2,'Committments Dump'!$B:$B,'Category Table'!$A349)</f>
        <v/>
      </c>
      <c r="V349" s="116">
        <f>SUMIFS('Committments Dump'!$Q:$Q,'Committments Dump'!$C:$C,'Category Table'!V$2,'Committments Dump'!$B:$B,'Category Table'!$A349)</f>
        <v/>
      </c>
      <c r="W349" s="116">
        <f>SUMIFS('Committments Dump'!$Q:$Q,'Committments Dump'!$C:$C,'Category Table'!W$2,'Committments Dump'!$B:$B,'Category Table'!$A349)</f>
        <v/>
      </c>
      <c r="X349" s="115">
        <f>SUMIFS('Committments Dump'!$R:$R,'Committments Dump'!$C:$C,'Category Table'!X$2,'Committments Dump'!$B:$B,'Category Table'!$A349)</f>
        <v/>
      </c>
      <c r="Y349" s="116">
        <f>SUMIFS('Committments Dump'!$R:$R,'Committments Dump'!$C:$C,'Category Table'!Y$2,'Committments Dump'!$B:$B,'Category Table'!$A349)</f>
        <v/>
      </c>
      <c r="Z349" s="116">
        <f>SUMIFS('Committments Dump'!$R:$R,'Committments Dump'!$C:$C,'Category Table'!Z$2,'Committments Dump'!$B:$B,'Category Table'!$A349)</f>
        <v/>
      </c>
      <c r="AA349" s="115">
        <f>SUMIFS('Committments Dump'!$S:$S,'Committments Dump'!$C:$C,'Category Table'!AA$2,'Committments Dump'!$B:$B,'Category Table'!$A349)</f>
        <v/>
      </c>
      <c r="AB349" s="116">
        <f>SUMIFS('Committments Dump'!$S:$S,'Committments Dump'!$C:$C,'Category Table'!AB$2,'Committments Dump'!$B:$B,'Category Table'!$A349)</f>
        <v/>
      </c>
      <c r="AC349" s="116">
        <f>SUMIFS('Committments Dump'!$S:$S,'Committments Dump'!$C:$C,'Category Table'!AC$2,'Committments Dump'!$B:$B,'Category Table'!$A349)</f>
        <v/>
      </c>
      <c r="AD349" s="115">
        <f>U349+X349+AA349</f>
        <v/>
      </c>
      <c r="AE349" s="116">
        <f>V349+Y349+AB349</f>
        <v/>
      </c>
      <c r="AF349" s="116">
        <f>W349+Z349+AC349</f>
        <v/>
      </c>
      <c r="AG349" s="115">
        <f>R349+AD349</f>
        <v/>
      </c>
      <c r="AH349" s="116">
        <f>S349+AE349</f>
        <v/>
      </c>
      <c r="AI349" s="116">
        <f>T349+AF349</f>
        <v/>
      </c>
      <c r="AJ349" s="115" t="n"/>
      <c r="AK349" s="116" t="n"/>
      <c r="AL349" s="116" t="n"/>
      <c r="AM349" s="115">
        <f>(O349-AG349)+AJ349</f>
        <v/>
      </c>
      <c r="AN349" s="116">
        <f>(P349-AH349)+AK349</f>
        <v/>
      </c>
      <c r="AO349" s="116">
        <f>(Q349-AI349)+AL349</f>
        <v/>
      </c>
      <c r="AP349" s="93">
        <f>IF(AM349&gt;0, "Under",IF(AM349&lt;0,"Over",""))</f>
        <v/>
      </c>
      <c r="AQ349" s="94">
        <f>IF(AN349&gt;0, "Under",IF(AN349&lt;0,"Over",""))</f>
        <v/>
      </c>
      <c r="AR349" s="94">
        <f>IF(AO349&gt;0, "Under",IF(AO349&lt;0,"Over",""))</f>
        <v/>
      </c>
      <c r="AS349" s="3" t="n"/>
    </row>
    <row r="350">
      <c r="C350" s="113" t="n"/>
      <c r="D350" s="114" t="n"/>
      <c r="E350" s="114" t="n"/>
      <c r="F350" s="113" t="n"/>
      <c r="G350" s="114" t="n"/>
      <c r="H350" s="114" t="n"/>
      <c r="I350" s="113" t="n"/>
      <c r="J350" s="114" t="n"/>
      <c r="K350" s="114" t="n"/>
      <c r="L350" s="113" t="n"/>
      <c r="M350" s="114" t="n"/>
      <c r="N350" s="114" t="n"/>
      <c r="O350" s="113">
        <f>L350+I350+F350+C350</f>
        <v/>
      </c>
      <c r="P350" s="114">
        <f>M350+J350+G350+D350</f>
        <v/>
      </c>
      <c r="Q350" s="114">
        <f>N350+K350+H350+E350</f>
        <v/>
      </c>
      <c r="R350" s="113">
        <f>SUMIFS('PO Log'!$E:$E,'PO Log'!$D:$D,'Category Table'!R$2,'PO Log'!$C:$C,'Category Table'!$A350)</f>
        <v/>
      </c>
      <c r="S350" s="114">
        <f>SUMIFS('PO Log'!$E:$E,'PO Log'!$D:$D,'Category Table'!S$2,'PO Log'!$C:$C,'Category Table'!$A350)</f>
        <v/>
      </c>
      <c r="T350" s="114">
        <f>SUMIFS('PO Log'!$E:$E,'PO Log'!$D:$D,'Category Table'!T$2,'PO Log'!$C:$C,'Category Table'!$A350)</f>
        <v/>
      </c>
      <c r="U350" s="113">
        <f>SUMIFS('Committments Dump'!$Q:$Q,'Committments Dump'!$C:$C,'Category Table'!U$2,'Committments Dump'!$B:$B,'Category Table'!$A350)</f>
        <v/>
      </c>
      <c r="V350" s="114">
        <f>SUMIFS('Committments Dump'!$Q:$Q,'Committments Dump'!$C:$C,'Category Table'!V$2,'Committments Dump'!$B:$B,'Category Table'!$A350)</f>
        <v/>
      </c>
      <c r="W350" s="114">
        <f>SUMIFS('Committments Dump'!$Q:$Q,'Committments Dump'!$C:$C,'Category Table'!W$2,'Committments Dump'!$B:$B,'Category Table'!$A350)</f>
        <v/>
      </c>
      <c r="X350" s="113">
        <f>SUMIFS('Committments Dump'!$R:$R,'Committments Dump'!$C:$C,'Category Table'!X$2,'Committments Dump'!$B:$B,'Category Table'!$A350)</f>
        <v/>
      </c>
      <c r="Y350" s="114">
        <f>SUMIFS('Committments Dump'!$R:$R,'Committments Dump'!$C:$C,'Category Table'!Y$2,'Committments Dump'!$B:$B,'Category Table'!$A350)</f>
        <v/>
      </c>
      <c r="Z350" s="114">
        <f>SUMIFS('Committments Dump'!$R:$R,'Committments Dump'!$C:$C,'Category Table'!Z$2,'Committments Dump'!$B:$B,'Category Table'!$A350)</f>
        <v/>
      </c>
      <c r="AA350" s="113">
        <f>SUMIFS('Committments Dump'!$S:$S,'Committments Dump'!$C:$C,'Category Table'!AA$2,'Committments Dump'!$B:$B,'Category Table'!$A350)</f>
        <v/>
      </c>
      <c r="AB350" s="114">
        <f>SUMIFS('Committments Dump'!$S:$S,'Committments Dump'!$C:$C,'Category Table'!AB$2,'Committments Dump'!$B:$B,'Category Table'!$A350)</f>
        <v/>
      </c>
      <c r="AC350" s="114">
        <f>SUMIFS('Committments Dump'!$S:$S,'Committments Dump'!$C:$C,'Category Table'!AC$2,'Committments Dump'!$B:$B,'Category Table'!$A350)</f>
        <v/>
      </c>
      <c r="AD350" s="113">
        <f>U350+X350+AA350</f>
        <v/>
      </c>
      <c r="AE350" s="114">
        <f>V350+Y350+AB350</f>
        <v/>
      </c>
      <c r="AF350" s="114">
        <f>W350+Z350+AC350</f>
        <v/>
      </c>
      <c r="AG350" s="113">
        <f>R350+AD350</f>
        <v/>
      </c>
      <c r="AH350" s="114">
        <f>S350+AE350</f>
        <v/>
      </c>
      <c r="AI350" s="114">
        <f>T350+AF350</f>
        <v/>
      </c>
      <c r="AJ350" s="113" t="n"/>
      <c r="AK350" s="114" t="n"/>
      <c r="AL350" s="114" t="n"/>
      <c r="AM350" s="113">
        <f>(O350-AG350)+AJ350</f>
        <v/>
      </c>
      <c r="AN350" s="114">
        <f>(P350-AH350)+AK350</f>
        <v/>
      </c>
      <c r="AO350" s="114">
        <f>(Q350-AI350)+AL350</f>
        <v/>
      </c>
      <c r="AP350" s="2">
        <f>IF(AM350&gt;0, "Under",IF(AM350&lt;0,"Over",""))</f>
        <v/>
      </c>
      <c r="AQ350" s="1">
        <f>IF(AN350&gt;0, "Under",IF(AN350&lt;0,"Over",""))</f>
        <v/>
      </c>
      <c r="AR350" s="1">
        <f>IF(AO350&gt;0, "Under",IF(AO350&lt;0,"Over",""))</f>
        <v/>
      </c>
      <c r="AS350" s="3" t="n"/>
    </row>
    <row r="351">
      <c r="A351" s="90" t="n"/>
      <c r="B351" s="90" t="n"/>
      <c r="C351" s="115" t="n"/>
      <c r="D351" s="116" t="n"/>
      <c r="E351" s="116" t="n"/>
      <c r="F351" s="115" t="n"/>
      <c r="G351" s="116" t="n"/>
      <c r="H351" s="116" t="n"/>
      <c r="I351" s="115" t="n"/>
      <c r="J351" s="116" t="n"/>
      <c r="K351" s="116" t="n"/>
      <c r="L351" s="115" t="n"/>
      <c r="M351" s="116" t="n"/>
      <c r="N351" s="116" t="n"/>
      <c r="O351" s="115">
        <f>L351+I351+F351+C351</f>
        <v/>
      </c>
      <c r="P351" s="116">
        <f>M351+J351+G351+D351</f>
        <v/>
      </c>
      <c r="Q351" s="116">
        <f>N351+K351+H351+E351</f>
        <v/>
      </c>
      <c r="R351" s="115">
        <f>SUMIFS('PO Log'!$E:$E,'PO Log'!$D:$D,'Category Table'!R$2,'PO Log'!$C:$C,'Category Table'!$A351)</f>
        <v/>
      </c>
      <c r="S351" s="116">
        <f>SUMIFS('PO Log'!$E:$E,'PO Log'!$D:$D,'Category Table'!S$2,'PO Log'!$C:$C,'Category Table'!$A351)</f>
        <v/>
      </c>
      <c r="T351" s="116">
        <f>SUMIFS('PO Log'!$E:$E,'PO Log'!$D:$D,'Category Table'!T$2,'PO Log'!$C:$C,'Category Table'!$A351)</f>
        <v/>
      </c>
      <c r="U351" s="115">
        <f>SUMIFS('Committments Dump'!$Q:$Q,'Committments Dump'!$C:$C,'Category Table'!U$2,'Committments Dump'!$B:$B,'Category Table'!$A351)</f>
        <v/>
      </c>
      <c r="V351" s="116">
        <f>SUMIFS('Committments Dump'!$Q:$Q,'Committments Dump'!$C:$C,'Category Table'!V$2,'Committments Dump'!$B:$B,'Category Table'!$A351)</f>
        <v/>
      </c>
      <c r="W351" s="116">
        <f>SUMIFS('Committments Dump'!$Q:$Q,'Committments Dump'!$C:$C,'Category Table'!W$2,'Committments Dump'!$B:$B,'Category Table'!$A351)</f>
        <v/>
      </c>
      <c r="X351" s="115">
        <f>SUMIFS('Committments Dump'!$R:$R,'Committments Dump'!$C:$C,'Category Table'!X$2,'Committments Dump'!$B:$B,'Category Table'!$A351)</f>
        <v/>
      </c>
      <c r="Y351" s="116">
        <f>SUMIFS('Committments Dump'!$R:$R,'Committments Dump'!$C:$C,'Category Table'!Y$2,'Committments Dump'!$B:$B,'Category Table'!$A351)</f>
        <v/>
      </c>
      <c r="Z351" s="116">
        <f>SUMIFS('Committments Dump'!$R:$R,'Committments Dump'!$C:$C,'Category Table'!Z$2,'Committments Dump'!$B:$B,'Category Table'!$A351)</f>
        <v/>
      </c>
      <c r="AA351" s="115">
        <f>SUMIFS('Committments Dump'!$S:$S,'Committments Dump'!$C:$C,'Category Table'!AA$2,'Committments Dump'!$B:$B,'Category Table'!$A351)</f>
        <v/>
      </c>
      <c r="AB351" s="116">
        <f>SUMIFS('Committments Dump'!$S:$S,'Committments Dump'!$C:$C,'Category Table'!AB$2,'Committments Dump'!$B:$B,'Category Table'!$A351)</f>
        <v/>
      </c>
      <c r="AC351" s="116">
        <f>SUMIFS('Committments Dump'!$S:$S,'Committments Dump'!$C:$C,'Category Table'!AC$2,'Committments Dump'!$B:$B,'Category Table'!$A351)</f>
        <v/>
      </c>
      <c r="AD351" s="115">
        <f>U351+X351+AA351</f>
        <v/>
      </c>
      <c r="AE351" s="116">
        <f>V351+Y351+AB351</f>
        <v/>
      </c>
      <c r="AF351" s="116">
        <f>W351+Z351+AC351</f>
        <v/>
      </c>
      <c r="AG351" s="115">
        <f>R351+AD351</f>
        <v/>
      </c>
      <c r="AH351" s="116">
        <f>S351+AE351</f>
        <v/>
      </c>
      <c r="AI351" s="116">
        <f>T351+AF351</f>
        <v/>
      </c>
      <c r="AJ351" s="115" t="n"/>
      <c r="AK351" s="116" t="n"/>
      <c r="AL351" s="116" t="n"/>
      <c r="AM351" s="115">
        <f>(O351-AG351)+AJ351</f>
        <v/>
      </c>
      <c r="AN351" s="116">
        <f>(P351-AH351)+AK351</f>
        <v/>
      </c>
      <c r="AO351" s="116">
        <f>(Q351-AI351)+AL351</f>
        <v/>
      </c>
      <c r="AP351" s="93">
        <f>IF(AM351&gt;0, "Under",IF(AM351&lt;0,"Over",""))</f>
        <v/>
      </c>
      <c r="AQ351" s="94">
        <f>IF(AN351&gt;0, "Under",IF(AN351&lt;0,"Over",""))</f>
        <v/>
      </c>
      <c r="AR351" s="94">
        <f>IF(AO351&gt;0, "Under",IF(AO351&lt;0,"Over",""))</f>
        <v/>
      </c>
      <c r="AS351" s="3" t="n"/>
    </row>
    <row r="352">
      <c r="C352" s="113" t="n"/>
      <c r="D352" s="114" t="n"/>
      <c r="E352" s="114" t="n"/>
      <c r="F352" s="113" t="n"/>
      <c r="G352" s="114" t="n"/>
      <c r="H352" s="114" t="n"/>
      <c r="I352" s="113" t="n"/>
      <c r="J352" s="114" t="n"/>
      <c r="K352" s="114" t="n"/>
      <c r="L352" s="113" t="n"/>
      <c r="M352" s="114" t="n"/>
      <c r="N352" s="114" t="n"/>
      <c r="O352" s="113">
        <f>L352+I352+F352+C352</f>
        <v/>
      </c>
      <c r="P352" s="114">
        <f>M352+J352+G352+D352</f>
        <v/>
      </c>
      <c r="Q352" s="114">
        <f>N352+K352+H352+E352</f>
        <v/>
      </c>
      <c r="R352" s="113">
        <f>SUMIFS('PO Log'!$E:$E,'PO Log'!$D:$D,'Category Table'!R$2,'PO Log'!$C:$C,'Category Table'!$A352)</f>
        <v/>
      </c>
      <c r="S352" s="114">
        <f>SUMIFS('PO Log'!$E:$E,'PO Log'!$D:$D,'Category Table'!S$2,'PO Log'!$C:$C,'Category Table'!$A352)</f>
        <v/>
      </c>
      <c r="T352" s="114">
        <f>SUMIFS('PO Log'!$E:$E,'PO Log'!$D:$D,'Category Table'!T$2,'PO Log'!$C:$C,'Category Table'!$A352)</f>
        <v/>
      </c>
      <c r="U352" s="113">
        <f>SUMIFS('Committments Dump'!$Q:$Q,'Committments Dump'!$C:$C,'Category Table'!U$2,'Committments Dump'!$B:$B,'Category Table'!$A352)</f>
        <v/>
      </c>
      <c r="V352" s="114">
        <f>SUMIFS('Committments Dump'!$Q:$Q,'Committments Dump'!$C:$C,'Category Table'!V$2,'Committments Dump'!$B:$B,'Category Table'!$A352)</f>
        <v/>
      </c>
      <c r="W352" s="114">
        <f>SUMIFS('Committments Dump'!$Q:$Q,'Committments Dump'!$C:$C,'Category Table'!W$2,'Committments Dump'!$B:$B,'Category Table'!$A352)</f>
        <v/>
      </c>
      <c r="X352" s="113">
        <f>SUMIFS('Committments Dump'!$R:$R,'Committments Dump'!$C:$C,'Category Table'!X$2,'Committments Dump'!$B:$B,'Category Table'!$A352)</f>
        <v/>
      </c>
      <c r="Y352" s="114">
        <f>SUMIFS('Committments Dump'!$R:$R,'Committments Dump'!$C:$C,'Category Table'!Y$2,'Committments Dump'!$B:$B,'Category Table'!$A352)</f>
        <v/>
      </c>
      <c r="Z352" s="114">
        <f>SUMIFS('Committments Dump'!$R:$R,'Committments Dump'!$C:$C,'Category Table'!Z$2,'Committments Dump'!$B:$B,'Category Table'!$A352)</f>
        <v/>
      </c>
      <c r="AA352" s="113">
        <f>SUMIFS('Committments Dump'!$S:$S,'Committments Dump'!$C:$C,'Category Table'!AA$2,'Committments Dump'!$B:$B,'Category Table'!$A352)</f>
        <v/>
      </c>
      <c r="AB352" s="114">
        <f>SUMIFS('Committments Dump'!$S:$S,'Committments Dump'!$C:$C,'Category Table'!AB$2,'Committments Dump'!$B:$B,'Category Table'!$A352)</f>
        <v/>
      </c>
      <c r="AC352" s="114">
        <f>SUMIFS('Committments Dump'!$S:$S,'Committments Dump'!$C:$C,'Category Table'!AC$2,'Committments Dump'!$B:$B,'Category Table'!$A352)</f>
        <v/>
      </c>
      <c r="AD352" s="113">
        <f>U352+X352+AA352</f>
        <v/>
      </c>
      <c r="AE352" s="114">
        <f>V352+Y352+AB352</f>
        <v/>
      </c>
      <c r="AF352" s="114">
        <f>W352+Z352+AC352</f>
        <v/>
      </c>
      <c r="AG352" s="113">
        <f>R352+AD352</f>
        <v/>
      </c>
      <c r="AH352" s="114">
        <f>S352+AE352</f>
        <v/>
      </c>
      <c r="AI352" s="114">
        <f>T352+AF352</f>
        <v/>
      </c>
      <c r="AJ352" s="113" t="n"/>
      <c r="AK352" s="114" t="n"/>
      <c r="AL352" s="114" t="n"/>
      <c r="AM352" s="113">
        <f>(O352-AG352)+AJ352</f>
        <v/>
      </c>
      <c r="AN352" s="114">
        <f>(P352-AH352)+AK352</f>
        <v/>
      </c>
      <c r="AO352" s="114">
        <f>(Q352-AI352)+AL352</f>
        <v/>
      </c>
      <c r="AP352" s="2">
        <f>IF(AM352&gt;0, "Under",IF(AM352&lt;0,"Over",""))</f>
        <v/>
      </c>
      <c r="AQ352" s="1">
        <f>IF(AN352&gt;0, "Under",IF(AN352&lt;0,"Over",""))</f>
        <v/>
      </c>
      <c r="AR352" s="1">
        <f>IF(AO352&gt;0, "Under",IF(AO352&lt;0,"Over",""))</f>
        <v/>
      </c>
      <c r="AS352" s="3" t="n"/>
    </row>
    <row r="353">
      <c r="A353" s="90" t="n"/>
      <c r="B353" s="90" t="n"/>
      <c r="C353" s="115" t="n"/>
      <c r="D353" s="116" t="n"/>
      <c r="E353" s="116" t="n"/>
      <c r="F353" s="115" t="n"/>
      <c r="G353" s="116" t="n"/>
      <c r="H353" s="116" t="n"/>
      <c r="I353" s="115" t="n"/>
      <c r="J353" s="116" t="n"/>
      <c r="K353" s="116" t="n"/>
      <c r="L353" s="115" t="n"/>
      <c r="M353" s="116" t="n"/>
      <c r="N353" s="116" t="n"/>
      <c r="O353" s="115">
        <f>L353+I353+F353+C353</f>
        <v/>
      </c>
      <c r="P353" s="116">
        <f>M353+J353+G353+D353</f>
        <v/>
      </c>
      <c r="Q353" s="116">
        <f>N353+K353+H353+E353</f>
        <v/>
      </c>
      <c r="R353" s="115">
        <f>SUMIFS('PO Log'!$E:$E,'PO Log'!$D:$D,'Category Table'!R$2,'PO Log'!$C:$C,'Category Table'!$A353)</f>
        <v/>
      </c>
      <c r="S353" s="116">
        <f>SUMIFS('PO Log'!$E:$E,'PO Log'!$D:$D,'Category Table'!S$2,'PO Log'!$C:$C,'Category Table'!$A353)</f>
        <v/>
      </c>
      <c r="T353" s="116">
        <f>SUMIFS('PO Log'!$E:$E,'PO Log'!$D:$D,'Category Table'!T$2,'PO Log'!$C:$C,'Category Table'!$A353)</f>
        <v/>
      </c>
      <c r="U353" s="115">
        <f>SUMIFS('Committments Dump'!$Q:$Q,'Committments Dump'!$C:$C,'Category Table'!U$2,'Committments Dump'!$B:$B,'Category Table'!$A353)</f>
        <v/>
      </c>
      <c r="V353" s="116">
        <f>SUMIFS('Committments Dump'!$Q:$Q,'Committments Dump'!$C:$C,'Category Table'!V$2,'Committments Dump'!$B:$B,'Category Table'!$A353)</f>
        <v/>
      </c>
      <c r="W353" s="116">
        <f>SUMIFS('Committments Dump'!$Q:$Q,'Committments Dump'!$C:$C,'Category Table'!W$2,'Committments Dump'!$B:$B,'Category Table'!$A353)</f>
        <v/>
      </c>
      <c r="X353" s="115">
        <f>SUMIFS('Committments Dump'!$R:$R,'Committments Dump'!$C:$C,'Category Table'!X$2,'Committments Dump'!$B:$B,'Category Table'!$A353)</f>
        <v/>
      </c>
      <c r="Y353" s="116">
        <f>SUMIFS('Committments Dump'!$R:$R,'Committments Dump'!$C:$C,'Category Table'!Y$2,'Committments Dump'!$B:$B,'Category Table'!$A353)</f>
        <v/>
      </c>
      <c r="Z353" s="116">
        <f>SUMIFS('Committments Dump'!$R:$R,'Committments Dump'!$C:$C,'Category Table'!Z$2,'Committments Dump'!$B:$B,'Category Table'!$A353)</f>
        <v/>
      </c>
      <c r="AA353" s="115">
        <f>SUMIFS('Committments Dump'!$S:$S,'Committments Dump'!$C:$C,'Category Table'!AA$2,'Committments Dump'!$B:$B,'Category Table'!$A353)</f>
        <v/>
      </c>
      <c r="AB353" s="116">
        <f>SUMIFS('Committments Dump'!$S:$S,'Committments Dump'!$C:$C,'Category Table'!AB$2,'Committments Dump'!$B:$B,'Category Table'!$A353)</f>
        <v/>
      </c>
      <c r="AC353" s="116">
        <f>SUMIFS('Committments Dump'!$S:$S,'Committments Dump'!$C:$C,'Category Table'!AC$2,'Committments Dump'!$B:$B,'Category Table'!$A353)</f>
        <v/>
      </c>
      <c r="AD353" s="115">
        <f>U353+X353+AA353</f>
        <v/>
      </c>
      <c r="AE353" s="116">
        <f>V353+Y353+AB353</f>
        <v/>
      </c>
      <c r="AF353" s="116">
        <f>W353+Z353+AC353</f>
        <v/>
      </c>
      <c r="AG353" s="115">
        <f>R353+AD353</f>
        <v/>
      </c>
      <c r="AH353" s="116">
        <f>S353+AE353</f>
        <v/>
      </c>
      <c r="AI353" s="116">
        <f>T353+AF353</f>
        <v/>
      </c>
      <c r="AJ353" s="115" t="n"/>
      <c r="AK353" s="116" t="n"/>
      <c r="AL353" s="116" t="n"/>
      <c r="AM353" s="115">
        <f>(O353-AG353)+AJ353</f>
        <v/>
      </c>
      <c r="AN353" s="116">
        <f>(P353-AH353)+AK353</f>
        <v/>
      </c>
      <c r="AO353" s="116">
        <f>(Q353-AI353)+AL353</f>
        <v/>
      </c>
      <c r="AP353" s="93">
        <f>IF(AM353&gt;0, "Under",IF(AM353&lt;0,"Over",""))</f>
        <v/>
      </c>
      <c r="AQ353" s="94">
        <f>IF(AN353&gt;0, "Under",IF(AN353&lt;0,"Over",""))</f>
        <v/>
      </c>
      <c r="AR353" s="94">
        <f>IF(AO353&gt;0, "Under",IF(AO353&lt;0,"Over",""))</f>
        <v/>
      </c>
      <c r="AS353" s="3" t="n"/>
    </row>
    <row r="354">
      <c r="C354" s="113" t="n"/>
      <c r="D354" s="114" t="n"/>
      <c r="E354" s="114" t="n"/>
      <c r="F354" s="113" t="n"/>
      <c r="G354" s="114" t="n"/>
      <c r="H354" s="114" t="n"/>
      <c r="I354" s="113" t="n"/>
      <c r="J354" s="114" t="n"/>
      <c r="K354" s="114" t="n"/>
      <c r="L354" s="113" t="n"/>
      <c r="M354" s="114" t="n"/>
      <c r="N354" s="114" t="n"/>
      <c r="O354" s="113">
        <f>L354+I354+F354+C354</f>
        <v/>
      </c>
      <c r="P354" s="114">
        <f>M354+J354+G354+D354</f>
        <v/>
      </c>
      <c r="Q354" s="114">
        <f>N354+K354+H354+E354</f>
        <v/>
      </c>
      <c r="R354" s="113">
        <f>SUMIFS('PO Log'!$E:$E,'PO Log'!$D:$D,'Category Table'!R$2,'PO Log'!$C:$C,'Category Table'!$A354)</f>
        <v/>
      </c>
      <c r="S354" s="114">
        <f>SUMIFS('PO Log'!$E:$E,'PO Log'!$D:$D,'Category Table'!S$2,'PO Log'!$C:$C,'Category Table'!$A354)</f>
        <v/>
      </c>
      <c r="T354" s="114">
        <f>SUMIFS('PO Log'!$E:$E,'PO Log'!$D:$D,'Category Table'!T$2,'PO Log'!$C:$C,'Category Table'!$A354)</f>
        <v/>
      </c>
      <c r="U354" s="113">
        <f>SUMIFS('Committments Dump'!$Q:$Q,'Committments Dump'!$C:$C,'Category Table'!U$2,'Committments Dump'!$B:$B,'Category Table'!$A354)</f>
        <v/>
      </c>
      <c r="V354" s="114">
        <f>SUMIFS('Committments Dump'!$Q:$Q,'Committments Dump'!$C:$C,'Category Table'!V$2,'Committments Dump'!$B:$B,'Category Table'!$A354)</f>
        <v/>
      </c>
      <c r="W354" s="114">
        <f>SUMIFS('Committments Dump'!$Q:$Q,'Committments Dump'!$C:$C,'Category Table'!W$2,'Committments Dump'!$B:$B,'Category Table'!$A354)</f>
        <v/>
      </c>
      <c r="X354" s="113">
        <f>SUMIFS('Committments Dump'!$R:$R,'Committments Dump'!$C:$C,'Category Table'!X$2,'Committments Dump'!$B:$B,'Category Table'!$A354)</f>
        <v/>
      </c>
      <c r="Y354" s="114">
        <f>SUMIFS('Committments Dump'!$R:$R,'Committments Dump'!$C:$C,'Category Table'!Y$2,'Committments Dump'!$B:$B,'Category Table'!$A354)</f>
        <v/>
      </c>
      <c r="Z354" s="114">
        <f>SUMIFS('Committments Dump'!$R:$R,'Committments Dump'!$C:$C,'Category Table'!Z$2,'Committments Dump'!$B:$B,'Category Table'!$A354)</f>
        <v/>
      </c>
      <c r="AA354" s="113">
        <f>SUMIFS('Committments Dump'!$S:$S,'Committments Dump'!$C:$C,'Category Table'!AA$2,'Committments Dump'!$B:$B,'Category Table'!$A354)</f>
        <v/>
      </c>
      <c r="AB354" s="114">
        <f>SUMIFS('Committments Dump'!$S:$S,'Committments Dump'!$C:$C,'Category Table'!AB$2,'Committments Dump'!$B:$B,'Category Table'!$A354)</f>
        <v/>
      </c>
      <c r="AC354" s="114">
        <f>SUMIFS('Committments Dump'!$S:$S,'Committments Dump'!$C:$C,'Category Table'!AC$2,'Committments Dump'!$B:$B,'Category Table'!$A354)</f>
        <v/>
      </c>
      <c r="AD354" s="113">
        <f>U354+X354+AA354</f>
        <v/>
      </c>
      <c r="AE354" s="114">
        <f>V354+Y354+AB354</f>
        <v/>
      </c>
      <c r="AF354" s="114">
        <f>W354+Z354+AC354</f>
        <v/>
      </c>
      <c r="AG354" s="113">
        <f>R354+AD354</f>
        <v/>
      </c>
      <c r="AH354" s="114">
        <f>S354+AE354</f>
        <v/>
      </c>
      <c r="AI354" s="114">
        <f>T354+AF354</f>
        <v/>
      </c>
      <c r="AJ354" s="113" t="n"/>
      <c r="AK354" s="114" t="n"/>
      <c r="AL354" s="114" t="n"/>
      <c r="AM354" s="113">
        <f>(O354-AG354)+AJ354</f>
        <v/>
      </c>
      <c r="AN354" s="114">
        <f>(P354-AH354)+AK354</f>
        <v/>
      </c>
      <c r="AO354" s="114">
        <f>(Q354-AI354)+AL354</f>
        <v/>
      </c>
      <c r="AP354" s="2">
        <f>IF(AM354&gt;0, "Under",IF(AM354&lt;0,"Over",""))</f>
        <v/>
      </c>
      <c r="AQ354" s="1">
        <f>IF(AN354&gt;0, "Under",IF(AN354&lt;0,"Over",""))</f>
        <v/>
      </c>
      <c r="AR354" s="1">
        <f>IF(AO354&gt;0, "Under",IF(AO354&lt;0,"Over",""))</f>
        <v/>
      </c>
      <c r="AS354" s="3" t="n"/>
    </row>
    <row r="355">
      <c r="A355" s="90" t="n"/>
      <c r="B355" s="90" t="n"/>
      <c r="C355" s="115" t="n"/>
      <c r="D355" s="116" t="n"/>
      <c r="E355" s="116" t="n"/>
      <c r="F355" s="115" t="n"/>
      <c r="G355" s="116" t="n"/>
      <c r="H355" s="116" t="n"/>
      <c r="I355" s="115" t="n"/>
      <c r="J355" s="116" t="n"/>
      <c r="K355" s="116" t="n"/>
      <c r="L355" s="115" t="n"/>
      <c r="M355" s="116" t="n"/>
      <c r="N355" s="116" t="n"/>
      <c r="O355" s="115">
        <f>L355+I355+F355+C355</f>
        <v/>
      </c>
      <c r="P355" s="116">
        <f>M355+J355+G355+D355</f>
        <v/>
      </c>
      <c r="Q355" s="116">
        <f>N355+K355+H355+E355</f>
        <v/>
      </c>
      <c r="R355" s="115">
        <f>SUMIFS('PO Log'!$E:$E,'PO Log'!$D:$D,'Category Table'!R$2,'PO Log'!$C:$C,'Category Table'!$A355)</f>
        <v/>
      </c>
      <c r="S355" s="116">
        <f>SUMIFS('PO Log'!$E:$E,'PO Log'!$D:$D,'Category Table'!S$2,'PO Log'!$C:$C,'Category Table'!$A355)</f>
        <v/>
      </c>
      <c r="T355" s="116">
        <f>SUMIFS('PO Log'!$E:$E,'PO Log'!$D:$D,'Category Table'!T$2,'PO Log'!$C:$C,'Category Table'!$A355)</f>
        <v/>
      </c>
      <c r="U355" s="115">
        <f>SUMIFS('Committments Dump'!$Q:$Q,'Committments Dump'!$C:$C,'Category Table'!U$2,'Committments Dump'!$B:$B,'Category Table'!$A355)</f>
        <v/>
      </c>
      <c r="V355" s="116">
        <f>SUMIFS('Committments Dump'!$Q:$Q,'Committments Dump'!$C:$C,'Category Table'!V$2,'Committments Dump'!$B:$B,'Category Table'!$A355)</f>
        <v/>
      </c>
      <c r="W355" s="116">
        <f>SUMIFS('Committments Dump'!$Q:$Q,'Committments Dump'!$C:$C,'Category Table'!W$2,'Committments Dump'!$B:$B,'Category Table'!$A355)</f>
        <v/>
      </c>
      <c r="X355" s="115">
        <f>SUMIFS('Committments Dump'!$R:$R,'Committments Dump'!$C:$C,'Category Table'!X$2,'Committments Dump'!$B:$B,'Category Table'!$A355)</f>
        <v/>
      </c>
      <c r="Y355" s="116">
        <f>SUMIFS('Committments Dump'!$R:$R,'Committments Dump'!$C:$C,'Category Table'!Y$2,'Committments Dump'!$B:$B,'Category Table'!$A355)</f>
        <v/>
      </c>
      <c r="Z355" s="116">
        <f>SUMIFS('Committments Dump'!$R:$R,'Committments Dump'!$C:$C,'Category Table'!Z$2,'Committments Dump'!$B:$B,'Category Table'!$A355)</f>
        <v/>
      </c>
      <c r="AA355" s="115">
        <f>SUMIFS('Committments Dump'!$S:$S,'Committments Dump'!$C:$C,'Category Table'!AA$2,'Committments Dump'!$B:$B,'Category Table'!$A355)</f>
        <v/>
      </c>
      <c r="AB355" s="116">
        <f>SUMIFS('Committments Dump'!$S:$S,'Committments Dump'!$C:$C,'Category Table'!AB$2,'Committments Dump'!$B:$B,'Category Table'!$A355)</f>
        <v/>
      </c>
      <c r="AC355" s="116">
        <f>SUMIFS('Committments Dump'!$S:$S,'Committments Dump'!$C:$C,'Category Table'!AC$2,'Committments Dump'!$B:$B,'Category Table'!$A355)</f>
        <v/>
      </c>
      <c r="AD355" s="115">
        <f>U355+X355+AA355</f>
        <v/>
      </c>
      <c r="AE355" s="116">
        <f>V355+Y355+AB355</f>
        <v/>
      </c>
      <c r="AF355" s="116">
        <f>W355+Z355+AC355</f>
        <v/>
      </c>
      <c r="AG355" s="115">
        <f>R355+AD355</f>
        <v/>
      </c>
      <c r="AH355" s="116">
        <f>S355+AE355</f>
        <v/>
      </c>
      <c r="AI355" s="116">
        <f>T355+AF355</f>
        <v/>
      </c>
      <c r="AJ355" s="115" t="n"/>
      <c r="AK355" s="116" t="n"/>
      <c r="AL355" s="116" t="n"/>
      <c r="AM355" s="115">
        <f>(O355-AG355)+AJ355</f>
        <v/>
      </c>
      <c r="AN355" s="116">
        <f>(P355-AH355)+AK355</f>
        <v/>
      </c>
      <c r="AO355" s="116">
        <f>(Q355-AI355)+AL355</f>
        <v/>
      </c>
      <c r="AP355" s="93">
        <f>IF(AM355&gt;0, "Under",IF(AM355&lt;0,"Over",""))</f>
        <v/>
      </c>
      <c r="AQ355" s="94">
        <f>IF(AN355&gt;0, "Under",IF(AN355&lt;0,"Over",""))</f>
        <v/>
      </c>
      <c r="AR355" s="94">
        <f>IF(AO355&gt;0, "Under",IF(AO355&lt;0,"Over",""))</f>
        <v/>
      </c>
      <c r="AS355" s="3" t="n"/>
    </row>
    <row r="356">
      <c r="C356" s="113" t="n"/>
      <c r="D356" s="114" t="n"/>
      <c r="E356" s="114" t="n"/>
      <c r="F356" s="113" t="n"/>
      <c r="G356" s="114" t="n"/>
      <c r="H356" s="114" t="n"/>
      <c r="I356" s="113" t="n"/>
      <c r="J356" s="114" t="n"/>
      <c r="K356" s="114" t="n"/>
      <c r="L356" s="113" t="n"/>
      <c r="M356" s="114" t="n"/>
      <c r="N356" s="114" t="n"/>
      <c r="O356" s="113">
        <f>L356+I356+F356+C356</f>
        <v/>
      </c>
      <c r="P356" s="114">
        <f>M356+J356+G356+D356</f>
        <v/>
      </c>
      <c r="Q356" s="114">
        <f>N356+K356+H356+E356</f>
        <v/>
      </c>
      <c r="R356" s="113">
        <f>SUMIFS('PO Log'!$E:$E,'PO Log'!$D:$D,'Category Table'!R$2,'PO Log'!$C:$C,'Category Table'!$A356)</f>
        <v/>
      </c>
      <c r="S356" s="114">
        <f>SUMIFS('PO Log'!$E:$E,'PO Log'!$D:$D,'Category Table'!S$2,'PO Log'!$C:$C,'Category Table'!$A356)</f>
        <v/>
      </c>
      <c r="T356" s="114">
        <f>SUMIFS('PO Log'!$E:$E,'PO Log'!$D:$D,'Category Table'!T$2,'PO Log'!$C:$C,'Category Table'!$A356)</f>
        <v/>
      </c>
      <c r="U356" s="113">
        <f>SUMIFS('Committments Dump'!$Q:$Q,'Committments Dump'!$C:$C,'Category Table'!U$2,'Committments Dump'!$B:$B,'Category Table'!$A356)</f>
        <v/>
      </c>
      <c r="V356" s="114">
        <f>SUMIFS('Committments Dump'!$Q:$Q,'Committments Dump'!$C:$C,'Category Table'!V$2,'Committments Dump'!$B:$B,'Category Table'!$A356)</f>
        <v/>
      </c>
      <c r="W356" s="114">
        <f>SUMIFS('Committments Dump'!$Q:$Q,'Committments Dump'!$C:$C,'Category Table'!W$2,'Committments Dump'!$B:$B,'Category Table'!$A356)</f>
        <v/>
      </c>
      <c r="X356" s="113">
        <f>SUMIFS('Committments Dump'!$R:$R,'Committments Dump'!$C:$C,'Category Table'!X$2,'Committments Dump'!$B:$B,'Category Table'!$A356)</f>
        <v/>
      </c>
      <c r="Y356" s="114">
        <f>SUMIFS('Committments Dump'!$R:$R,'Committments Dump'!$C:$C,'Category Table'!Y$2,'Committments Dump'!$B:$B,'Category Table'!$A356)</f>
        <v/>
      </c>
      <c r="Z356" s="114">
        <f>SUMIFS('Committments Dump'!$R:$R,'Committments Dump'!$C:$C,'Category Table'!Z$2,'Committments Dump'!$B:$B,'Category Table'!$A356)</f>
        <v/>
      </c>
      <c r="AA356" s="113">
        <f>SUMIFS('Committments Dump'!$S:$S,'Committments Dump'!$C:$C,'Category Table'!AA$2,'Committments Dump'!$B:$B,'Category Table'!$A356)</f>
        <v/>
      </c>
      <c r="AB356" s="114">
        <f>SUMIFS('Committments Dump'!$S:$S,'Committments Dump'!$C:$C,'Category Table'!AB$2,'Committments Dump'!$B:$B,'Category Table'!$A356)</f>
        <v/>
      </c>
      <c r="AC356" s="114">
        <f>SUMIFS('Committments Dump'!$S:$S,'Committments Dump'!$C:$C,'Category Table'!AC$2,'Committments Dump'!$B:$B,'Category Table'!$A356)</f>
        <v/>
      </c>
      <c r="AD356" s="113">
        <f>U356+X356+AA356</f>
        <v/>
      </c>
      <c r="AE356" s="114">
        <f>V356+Y356+AB356</f>
        <v/>
      </c>
      <c r="AF356" s="114">
        <f>W356+Z356+AC356</f>
        <v/>
      </c>
      <c r="AG356" s="113">
        <f>R356+AD356</f>
        <v/>
      </c>
      <c r="AH356" s="114">
        <f>S356+AE356</f>
        <v/>
      </c>
      <c r="AI356" s="114">
        <f>T356+AF356</f>
        <v/>
      </c>
      <c r="AJ356" s="113" t="n"/>
      <c r="AK356" s="114" t="n"/>
      <c r="AL356" s="114" t="n"/>
      <c r="AM356" s="113">
        <f>(O356-AG356)+AJ356</f>
        <v/>
      </c>
      <c r="AN356" s="114">
        <f>(P356-AH356)+AK356</f>
        <v/>
      </c>
      <c r="AO356" s="114">
        <f>(Q356-AI356)+AL356</f>
        <v/>
      </c>
      <c r="AP356" s="2">
        <f>IF(AM356&gt;0, "Under",IF(AM356&lt;0,"Over",""))</f>
        <v/>
      </c>
      <c r="AQ356" s="1">
        <f>IF(AN356&gt;0, "Under",IF(AN356&lt;0,"Over",""))</f>
        <v/>
      </c>
      <c r="AR356" s="1">
        <f>IF(AO356&gt;0, "Under",IF(AO356&lt;0,"Over",""))</f>
        <v/>
      </c>
      <c r="AS356" s="3" t="n"/>
    </row>
    <row r="357">
      <c r="A357" s="90" t="n"/>
      <c r="B357" s="90" t="n"/>
      <c r="C357" s="115" t="n"/>
      <c r="D357" s="116" t="n"/>
      <c r="E357" s="116" t="n"/>
      <c r="F357" s="115" t="n"/>
      <c r="G357" s="116" t="n"/>
      <c r="H357" s="116" t="n"/>
      <c r="I357" s="115" t="n"/>
      <c r="J357" s="116" t="n"/>
      <c r="K357" s="116" t="n"/>
      <c r="L357" s="115" t="n"/>
      <c r="M357" s="116" t="n"/>
      <c r="N357" s="116" t="n"/>
      <c r="O357" s="115">
        <f>L357+I357+F357+C357</f>
        <v/>
      </c>
      <c r="P357" s="116">
        <f>M357+J357+G357+D357</f>
        <v/>
      </c>
      <c r="Q357" s="116">
        <f>N357+K357+H357+E357</f>
        <v/>
      </c>
      <c r="R357" s="115">
        <f>SUMIFS('PO Log'!$E:$E,'PO Log'!$D:$D,'Category Table'!R$2,'PO Log'!$C:$C,'Category Table'!$A357)</f>
        <v/>
      </c>
      <c r="S357" s="116">
        <f>SUMIFS('PO Log'!$E:$E,'PO Log'!$D:$D,'Category Table'!S$2,'PO Log'!$C:$C,'Category Table'!$A357)</f>
        <v/>
      </c>
      <c r="T357" s="116">
        <f>SUMIFS('PO Log'!$E:$E,'PO Log'!$D:$D,'Category Table'!T$2,'PO Log'!$C:$C,'Category Table'!$A357)</f>
        <v/>
      </c>
      <c r="U357" s="115">
        <f>SUMIFS('Committments Dump'!$Q:$Q,'Committments Dump'!$C:$C,'Category Table'!U$2,'Committments Dump'!$B:$B,'Category Table'!$A357)</f>
        <v/>
      </c>
      <c r="V357" s="116">
        <f>SUMIFS('Committments Dump'!$Q:$Q,'Committments Dump'!$C:$C,'Category Table'!V$2,'Committments Dump'!$B:$B,'Category Table'!$A357)</f>
        <v/>
      </c>
      <c r="W357" s="116">
        <f>SUMIFS('Committments Dump'!$Q:$Q,'Committments Dump'!$C:$C,'Category Table'!W$2,'Committments Dump'!$B:$B,'Category Table'!$A357)</f>
        <v/>
      </c>
      <c r="X357" s="115">
        <f>SUMIFS('Committments Dump'!$R:$R,'Committments Dump'!$C:$C,'Category Table'!X$2,'Committments Dump'!$B:$B,'Category Table'!$A357)</f>
        <v/>
      </c>
      <c r="Y357" s="116">
        <f>SUMIFS('Committments Dump'!$R:$R,'Committments Dump'!$C:$C,'Category Table'!Y$2,'Committments Dump'!$B:$B,'Category Table'!$A357)</f>
        <v/>
      </c>
      <c r="Z357" s="116">
        <f>SUMIFS('Committments Dump'!$R:$R,'Committments Dump'!$C:$C,'Category Table'!Z$2,'Committments Dump'!$B:$B,'Category Table'!$A357)</f>
        <v/>
      </c>
      <c r="AA357" s="115">
        <f>SUMIFS('Committments Dump'!$S:$S,'Committments Dump'!$C:$C,'Category Table'!AA$2,'Committments Dump'!$B:$B,'Category Table'!$A357)</f>
        <v/>
      </c>
      <c r="AB357" s="116">
        <f>SUMIFS('Committments Dump'!$S:$S,'Committments Dump'!$C:$C,'Category Table'!AB$2,'Committments Dump'!$B:$B,'Category Table'!$A357)</f>
        <v/>
      </c>
      <c r="AC357" s="116">
        <f>SUMIFS('Committments Dump'!$S:$S,'Committments Dump'!$C:$C,'Category Table'!AC$2,'Committments Dump'!$B:$B,'Category Table'!$A357)</f>
        <v/>
      </c>
      <c r="AD357" s="115">
        <f>U357+X357+AA357</f>
        <v/>
      </c>
      <c r="AE357" s="116">
        <f>V357+Y357+AB357</f>
        <v/>
      </c>
      <c r="AF357" s="116">
        <f>W357+Z357+AC357</f>
        <v/>
      </c>
      <c r="AG357" s="115">
        <f>R357+AD357</f>
        <v/>
      </c>
      <c r="AH357" s="116">
        <f>S357+AE357</f>
        <v/>
      </c>
      <c r="AI357" s="116">
        <f>T357+AF357</f>
        <v/>
      </c>
      <c r="AJ357" s="115" t="n"/>
      <c r="AK357" s="116" t="n"/>
      <c r="AL357" s="116" t="n"/>
      <c r="AM357" s="115">
        <f>(O357-AG357)+AJ357</f>
        <v/>
      </c>
      <c r="AN357" s="116">
        <f>(P357-AH357)+AK357</f>
        <v/>
      </c>
      <c r="AO357" s="116">
        <f>(Q357-AI357)+AL357</f>
        <v/>
      </c>
      <c r="AP357" s="93">
        <f>IF(AM357&gt;0, "Under",IF(AM357&lt;0,"Over",""))</f>
        <v/>
      </c>
      <c r="AQ357" s="94">
        <f>IF(AN357&gt;0, "Under",IF(AN357&lt;0,"Over",""))</f>
        <v/>
      </c>
      <c r="AR357" s="94">
        <f>IF(AO357&gt;0, "Under",IF(AO357&lt;0,"Over",""))</f>
        <v/>
      </c>
      <c r="AS357" s="3" t="n"/>
    </row>
    <row r="358">
      <c r="C358" s="113" t="n"/>
      <c r="D358" s="114" t="n"/>
      <c r="E358" s="114" t="n"/>
      <c r="F358" s="113" t="n"/>
      <c r="G358" s="114" t="n"/>
      <c r="H358" s="114" t="n"/>
      <c r="I358" s="113" t="n"/>
      <c r="J358" s="114" t="n"/>
      <c r="K358" s="114" t="n"/>
      <c r="L358" s="113" t="n"/>
      <c r="M358" s="114" t="n"/>
      <c r="N358" s="114" t="n"/>
      <c r="O358" s="113">
        <f>L358+I358+F358+C358</f>
        <v/>
      </c>
      <c r="P358" s="114">
        <f>M358+J358+G358+D358</f>
        <v/>
      </c>
      <c r="Q358" s="114">
        <f>N358+K358+H358+E358</f>
        <v/>
      </c>
      <c r="R358" s="113">
        <f>SUMIFS('PO Log'!$E:$E,'PO Log'!$D:$D,'Category Table'!R$2,'PO Log'!$C:$C,'Category Table'!$A358)</f>
        <v/>
      </c>
      <c r="S358" s="114">
        <f>SUMIFS('PO Log'!$E:$E,'PO Log'!$D:$D,'Category Table'!S$2,'PO Log'!$C:$C,'Category Table'!$A358)</f>
        <v/>
      </c>
      <c r="T358" s="114">
        <f>SUMIFS('PO Log'!$E:$E,'PO Log'!$D:$D,'Category Table'!T$2,'PO Log'!$C:$C,'Category Table'!$A358)</f>
        <v/>
      </c>
      <c r="U358" s="113">
        <f>SUMIFS('Committments Dump'!$Q:$Q,'Committments Dump'!$C:$C,'Category Table'!U$2,'Committments Dump'!$B:$B,'Category Table'!$A358)</f>
        <v/>
      </c>
      <c r="V358" s="114">
        <f>SUMIFS('Committments Dump'!$Q:$Q,'Committments Dump'!$C:$C,'Category Table'!V$2,'Committments Dump'!$B:$B,'Category Table'!$A358)</f>
        <v/>
      </c>
      <c r="W358" s="114">
        <f>SUMIFS('Committments Dump'!$Q:$Q,'Committments Dump'!$C:$C,'Category Table'!W$2,'Committments Dump'!$B:$B,'Category Table'!$A358)</f>
        <v/>
      </c>
      <c r="X358" s="113">
        <f>SUMIFS('Committments Dump'!$R:$R,'Committments Dump'!$C:$C,'Category Table'!X$2,'Committments Dump'!$B:$B,'Category Table'!$A358)</f>
        <v/>
      </c>
      <c r="Y358" s="114">
        <f>SUMIFS('Committments Dump'!$R:$R,'Committments Dump'!$C:$C,'Category Table'!Y$2,'Committments Dump'!$B:$B,'Category Table'!$A358)</f>
        <v/>
      </c>
      <c r="Z358" s="114">
        <f>SUMIFS('Committments Dump'!$R:$R,'Committments Dump'!$C:$C,'Category Table'!Z$2,'Committments Dump'!$B:$B,'Category Table'!$A358)</f>
        <v/>
      </c>
      <c r="AA358" s="113">
        <f>SUMIFS('Committments Dump'!$S:$S,'Committments Dump'!$C:$C,'Category Table'!AA$2,'Committments Dump'!$B:$B,'Category Table'!$A358)</f>
        <v/>
      </c>
      <c r="AB358" s="114">
        <f>SUMIFS('Committments Dump'!$S:$S,'Committments Dump'!$C:$C,'Category Table'!AB$2,'Committments Dump'!$B:$B,'Category Table'!$A358)</f>
        <v/>
      </c>
      <c r="AC358" s="114">
        <f>SUMIFS('Committments Dump'!$S:$S,'Committments Dump'!$C:$C,'Category Table'!AC$2,'Committments Dump'!$B:$B,'Category Table'!$A358)</f>
        <v/>
      </c>
      <c r="AD358" s="113">
        <f>U358+X358+AA358</f>
        <v/>
      </c>
      <c r="AE358" s="114">
        <f>V358+Y358+AB358</f>
        <v/>
      </c>
      <c r="AF358" s="114">
        <f>W358+Z358+AC358</f>
        <v/>
      </c>
      <c r="AG358" s="113">
        <f>R358+AD358</f>
        <v/>
      </c>
      <c r="AH358" s="114">
        <f>S358+AE358</f>
        <v/>
      </c>
      <c r="AI358" s="114">
        <f>T358+AF358</f>
        <v/>
      </c>
      <c r="AJ358" s="113" t="n"/>
      <c r="AK358" s="114" t="n"/>
      <c r="AL358" s="114" t="n"/>
      <c r="AM358" s="113">
        <f>(O358-AG358)+AJ358</f>
        <v/>
      </c>
      <c r="AN358" s="114">
        <f>(P358-AH358)+AK358</f>
        <v/>
      </c>
      <c r="AO358" s="114">
        <f>(Q358-AI358)+AL358</f>
        <v/>
      </c>
      <c r="AP358" s="2">
        <f>IF(AM358&gt;0, "Under",IF(AM358&lt;0,"Over",""))</f>
        <v/>
      </c>
      <c r="AQ358" s="1">
        <f>IF(AN358&gt;0, "Under",IF(AN358&lt;0,"Over",""))</f>
        <v/>
      </c>
      <c r="AR358" s="1">
        <f>IF(AO358&gt;0, "Under",IF(AO358&lt;0,"Over",""))</f>
        <v/>
      </c>
      <c r="AS358" s="3" t="n"/>
    </row>
    <row r="359">
      <c r="A359" s="90" t="n"/>
      <c r="B359" s="90" t="n"/>
      <c r="C359" s="115" t="n"/>
      <c r="D359" s="116" t="n"/>
      <c r="E359" s="116" t="n"/>
      <c r="F359" s="115" t="n"/>
      <c r="G359" s="116" t="n"/>
      <c r="H359" s="116" t="n"/>
      <c r="I359" s="115" t="n"/>
      <c r="J359" s="116" t="n"/>
      <c r="K359" s="116" t="n"/>
      <c r="L359" s="115" t="n"/>
      <c r="M359" s="116" t="n"/>
      <c r="N359" s="116" t="n"/>
      <c r="O359" s="115">
        <f>L359+I359+F359+C359</f>
        <v/>
      </c>
      <c r="P359" s="116">
        <f>M359+J359+G359+D359</f>
        <v/>
      </c>
      <c r="Q359" s="116">
        <f>N359+K359+H359+E359</f>
        <v/>
      </c>
      <c r="R359" s="115">
        <f>SUMIFS('PO Log'!$E:$E,'PO Log'!$D:$D,'Category Table'!R$2,'PO Log'!$C:$C,'Category Table'!$A359)</f>
        <v/>
      </c>
      <c r="S359" s="116">
        <f>SUMIFS('PO Log'!$E:$E,'PO Log'!$D:$D,'Category Table'!S$2,'PO Log'!$C:$C,'Category Table'!$A359)</f>
        <v/>
      </c>
      <c r="T359" s="116">
        <f>SUMIFS('PO Log'!$E:$E,'PO Log'!$D:$D,'Category Table'!T$2,'PO Log'!$C:$C,'Category Table'!$A359)</f>
        <v/>
      </c>
      <c r="U359" s="115">
        <f>SUMIFS('Committments Dump'!$Q:$Q,'Committments Dump'!$C:$C,'Category Table'!U$2,'Committments Dump'!$B:$B,'Category Table'!$A359)</f>
        <v/>
      </c>
      <c r="V359" s="116">
        <f>SUMIFS('Committments Dump'!$Q:$Q,'Committments Dump'!$C:$C,'Category Table'!V$2,'Committments Dump'!$B:$B,'Category Table'!$A359)</f>
        <v/>
      </c>
      <c r="W359" s="116">
        <f>SUMIFS('Committments Dump'!$Q:$Q,'Committments Dump'!$C:$C,'Category Table'!W$2,'Committments Dump'!$B:$B,'Category Table'!$A359)</f>
        <v/>
      </c>
      <c r="X359" s="115">
        <f>SUMIFS('Committments Dump'!$R:$R,'Committments Dump'!$C:$C,'Category Table'!X$2,'Committments Dump'!$B:$B,'Category Table'!$A359)</f>
        <v/>
      </c>
      <c r="Y359" s="116">
        <f>SUMIFS('Committments Dump'!$R:$R,'Committments Dump'!$C:$C,'Category Table'!Y$2,'Committments Dump'!$B:$B,'Category Table'!$A359)</f>
        <v/>
      </c>
      <c r="Z359" s="116">
        <f>SUMIFS('Committments Dump'!$R:$R,'Committments Dump'!$C:$C,'Category Table'!Z$2,'Committments Dump'!$B:$B,'Category Table'!$A359)</f>
        <v/>
      </c>
      <c r="AA359" s="115">
        <f>SUMIFS('Committments Dump'!$S:$S,'Committments Dump'!$C:$C,'Category Table'!AA$2,'Committments Dump'!$B:$B,'Category Table'!$A359)</f>
        <v/>
      </c>
      <c r="AB359" s="116">
        <f>SUMIFS('Committments Dump'!$S:$S,'Committments Dump'!$C:$C,'Category Table'!AB$2,'Committments Dump'!$B:$B,'Category Table'!$A359)</f>
        <v/>
      </c>
      <c r="AC359" s="116">
        <f>SUMIFS('Committments Dump'!$S:$S,'Committments Dump'!$C:$C,'Category Table'!AC$2,'Committments Dump'!$B:$B,'Category Table'!$A359)</f>
        <v/>
      </c>
      <c r="AD359" s="115">
        <f>U359+X359+AA359</f>
        <v/>
      </c>
      <c r="AE359" s="116">
        <f>V359+Y359+AB359</f>
        <v/>
      </c>
      <c r="AF359" s="116">
        <f>W359+Z359+AC359</f>
        <v/>
      </c>
      <c r="AG359" s="115">
        <f>R359+AD359</f>
        <v/>
      </c>
      <c r="AH359" s="116">
        <f>S359+AE359</f>
        <v/>
      </c>
      <c r="AI359" s="116">
        <f>T359+AF359</f>
        <v/>
      </c>
      <c r="AJ359" s="115" t="n"/>
      <c r="AK359" s="116" t="n"/>
      <c r="AL359" s="116" t="n"/>
      <c r="AM359" s="115">
        <f>(O359-AG359)+AJ359</f>
        <v/>
      </c>
      <c r="AN359" s="116">
        <f>(P359-AH359)+AK359</f>
        <v/>
      </c>
      <c r="AO359" s="116">
        <f>(Q359-AI359)+AL359</f>
        <v/>
      </c>
      <c r="AP359" s="93">
        <f>IF(AM359&gt;0, "Under",IF(AM359&lt;0,"Over",""))</f>
        <v/>
      </c>
      <c r="AQ359" s="94">
        <f>IF(AN359&gt;0, "Under",IF(AN359&lt;0,"Over",""))</f>
        <v/>
      </c>
      <c r="AR359" s="94">
        <f>IF(AO359&gt;0, "Under",IF(AO359&lt;0,"Over",""))</f>
        <v/>
      </c>
      <c r="AS359" s="3" t="n"/>
    </row>
    <row r="360">
      <c r="C360" s="113" t="n"/>
      <c r="D360" s="114" t="n"/>
      <c r="E360" s="114" t="n"/>
      <c r="F360" s="113" t="n"/>
      <c r="G360" s="114" t="n"/>
      <c r="H360" s="114" t="n"/>
      <c r="I360" s="113" t="n"/>
      <c r="J360" s="114" t="n"/>
      <c r="K360" s="114" t="n"/>
      <c r="L360" s="113" t="n"/>
      <c r="M360" s="114" t="n"/>
      <c r="N360" s="114" t="n"/>
      <c r="O360" s="113">
        <f>L360+I360+F360+C360</f>
        <v/>
      </c>
      <c r="P360" s="114">
        <f>M360+J360+G360+D360</f>
        <v/>
      </c>
      <c r="Q360" s="114">
        <f>N360+K360+H360+E360</f>
        <v/>
      </c>
      <c r="R360" s="113">
        <f>SUMIFS('PO Log'!$E:$E,'PO Log'!$D:$D,'Category Table'!R$2,'PO Log'!$C:$C,'Category Table'!$A360)</f>
        <v/>
      </c>
      <c r="S360" s="114">
        <f>SUMIFS('PO Log'!$E:$E,'PO Log'!$D:$D,'Category Table'!S$2,'PO Log'!$C:$C,'Category Table'!$A360)</f>
        <v/>
      </c>
      <c r="T360" s="114">
        <f>SUMIFS('PO Log'!$E:$E,'PO Log'!$D:$D,'Category Table'!T$2,'PO Log'!$C:$C,'Category Table'!$A360)</f>
        <v/>
      </c>
      <c r="U360" s="113">
        <f>SUMIFS('Committments Dump'!$Q:$Q,'Committments Dump'!$C:$C,'Category Table'!U$2,'Committments Dump'!$B:$B,'Category Table'!$A360)</f>
        <v/>
      </c>
      <c r="V360" s="114">
        <f>SUMIFS('Committments Dump'!$Q:$Q,'Committments Dump'!$C:$C,'Category Table'!V$2,'Committments Dump'!$B:$B,'Category Table'!$A360)</f>
        <v/>
      </c>
      <c r="W360" s="114">
        <f>SUMIFS('Committments Dump'!$Q:$Q,'Committments Dump'!$C:$C,'Category Table'!W$2,'Committments Dump'!$B:$B,'Category Table'!$A360)</f>
        <v/>
      </c>
      <c r="X360" s="113">
        <f>SUMIFS('Committments Dump'!$R:$R,'Committments Dump'!$C:$C,'Category Table'!X$2,'Committments Dump'!$B:$B,'Category Table'!$A360)</f>
        <v/>
      </c>
      <c r="Y360" s="114">
        <f>SUMIFS('Committments Dump'!$R:$R,'Committments Dump'!$C:$C,'Category Table'!Y$2,'Committments Dump'!$B:$B,'Category Table'!$A360)</f>
        <v/>
      </c>
      <c r="Z360" s="114">
        <f>SUMIFS('Committments Dump'!$R:$R,'Committments Dump'!$C:$C,'Category Table'!Z$2,'Committments Dump'!$B:$B,'Category Table'!$A360)</f>
        <v/>
      </c>
      <c r="AA360" s="113">
        <f>SUMIFS('Committments Dump'!$S:$S,'Committments Dump'!$C:$C,'Category Table'!AA$2,'Committments Dump'!$B:$B,'Category Table'!$A360)</f>
        <v/>
      </c>
      <c r="AB360" s="114">
        <f>SUMIFS('Committments Dump'!$S:$S,'Committments Dump'!$C:$C,'Category Table'!AB$2,'Committments Dump'!$B:$B,'Category Table'!$A360)</f>
        <v/>
      </c>
      <c r="AC360" s="114">
        <f>SUMIFS('Committments Dump'!$S:$S,'Committments Dump'!$C:$C,'Category Table'!AC$2,'Committments Dump'!$B:$B,'Category Table'!$A360)</f>
        <v/>
      </c>
      <c r="AD360" s="113">
        <f>U360+X360+AA360</f>
        <v/>
      </c>
      <c r="AE360" s="114">
        <f>V360+Y360+AB360</f>
        <v/>
      </c>
      <c r="AF360" s="114">
        <f>W360+Z360+AC360</f>
        <v/>
      </c>
      <c r="AG360" s="113">
        <f>R360+AD360</f>
        <v/>
      </c>
      <c r="AH360" s="114">
        <f>S360+AE360</f>
        <v/>
      </c>
      <c r="AI360" s="114">
        <f>T360+AF360</f>
        <v/>
      </c>
      <c r="AJ360" s="113" t="n"/>
      <c r="AK360" s="114" t="n"/>
      <c r="AL360" s="114" t="n"/>
      <c r="AM360" s="113">
        <f>(O360-AG360)+AJ360</f>
        <v/>
      </c>
      <c r="AN360" s="114">
        <f>(P360-AH360)+AK360</f>
        <v/>
      </c>
      <c r="AO360" s="114">
        <f>(Q360-AI360)+AL360</f>
        <v/>
      </c>
      <c r="AP360" s="2">
        <f>IF(AM360&gt;0, "Under",IF(AM360&lt;0,"Over",""))</f>
        <v/>
      </c>
      <c r="AQ360" s="1">
        <f>IF(AN360&gt;0, "Under",IF(AN360&lt;0,"Over",""))</f>
        <v/>
      </c>
      <c r="AR360" s="1">
        <f>IF(AO360&gt;0, "Under",IF(AO360&lt;0,"Over",""))</f>
        <v/>
      </c>
      <c r="AS360" s="3" t="n"/>
    </row>
    <row r="361">
      <c r="A361" s="90" t="n"/>
      <c r="B361" s="90" t="n"/>
      <c r="C361" s="115" t="n"/>
      <c r="D361" s="116" t="n"/>
      <c r="E361" s="116" t="n"/>
      <c r="F361" s="115" t="n"/>
      <c r="G361" s="116" t="n"/>
      <c r="H361" s="116" t="n"/>
      <c r="I361" s="115" t="n"/>
      <c r="J361" s="116" t="n"/>
      <c r="K361" s="116" t="n"/>
      <c r="L361" s="115" t="n"/>
      <c r="M361" s="116" t="n"/>
      <c r="N361" s="116" t="n"/>
      <c r="O361" s="115">
        <f>L361+I361+F361+C361</f>
        <v/>
      </c>
      <c r="P361" s="116">
        <f>M361+J361+G361+D361</f>
        <v/>
      </c>
      <c r="Q361" s="116">
        <f>N361+K361+H361+E361</f>
        <v/>
      </c>
      <c r="R361" s="115">
        <f>SUMIFS('PO Log'!$E:$E,'PO Log'!$D:$D,'Category Table'!R$2,'PO Log'!$C:$C,'Category Table'!$A361)</f>
        <v/>
      </c>
      <c r="S361" s="116">
        <f>SUMIFS('PO Log'!$E:$E,'PO Log'!$D:$D,'Category Table'!S$2,'PO Log'!$C:$C,'Category Table'!$A361)</f>
        <v/>
      </c>
      <c r="T361" s="116">
        <f>SUMIFS('PO Log'!$E:$E,'PO Log'!$D:$D,'Category Table'!T$2,'PO Log'!$C:$C,'Category Table'!$A361)</f>
        <v/>
      </c>
      <c r="U361" s="115">
        <f>SUMIFS('Committments Dump'!$Q:$Q,'Committments Dump'!$C:$C,'Category Table'!U$2,'Committments Dump'!$B:$B,'Category Table'!$A361)</f>
        <v/>
      </c>
      <c r="V361" s="116">
        <f>SUMIFS('Committments Dump'!$Q:$Q,'Committments Dump'!$C:$C,'Category Table'!V$2,'Committments Dump'!$B:$B,'Category Table'!$A361)</f>
        <v/>
      </c>
      <c r="W361" s="116">
        <f>SUMIFS('Committments Dump'!$Q:$Q,'Committments Dump'!$C:$C,'Category Table'!W$2,'Committments Dump'!$B:$B,'Category Table'!$A361)</f>
        <v/>
      </c>
      <c r="X361" s="115">
        <f>SUMIFS('Committments Dump'!$R:$R,'Committments Dump'!$C:$C,'Category Table'!X$2,'Committments Dump'!$B:$B,'Category Table'!$A361)</f>
        <v/>
      </c>
      <c r="Y361" s="116">
        <f>SUMIFS('Committments Dump'!$R:$R,'Committments Dump'!$C:$C,'Category Table'!Y$2,'Committments Dump'!$B:$B,'Category Table'!$A361)</f>
        <v/>
      </c>
      <c r="Z361" s="116">
        <f>SUMIFS('Committments Dump'!$R:$R,'Committments Dump'!$C:$C,'Category Table'!Z$2,'Committments Dump'!$B:$B,'Category Table'!$A361)</f>
        <v/>
      </c>
      <c r="AA361" s="115">
        <f>SUMIFS('Committments Dump'!$S:$S,'Committments Dump'!$C:$C,'Category Table'!AA$2,'Committments Dump'!$B:$B,'Category Table'!$A361)</f>
        <v/>
      </c>
      <c r="AB361" s="116">
        <f>SUMIFS('Committments Dump'!$S:$S,'Committments Dump'!$C:$C,'Category Table'!AB$2,'Committments Dump'!$B:$B,'Category Table'!$A361)</f>
        <v/>
      </c>
      <c r="AC361" s="116">
        <f>SUMIFS('Committments Dump'!$S:$S,'Committments Dump'!$C:$C,'Category Table'!AC$2,'Committments Dump'!$B:$B,'Category Table'!$A361)</f>
        <v/>
      </c>
      <c r="AD361" s="115">
        <f>U361+X361+AA361</f>
        <v/>
      </c>
      <c r="AE361" s="116">
        <f>V361+Y361+AB361</f>
        <v/>
      </c>
      <c r="AF361" s="116">
        <f>W361+Z361+AC361</f>
        <v/>
      </c>
      <c r="AG361" s="115">
        <f>R361+AD361</f>
        <v/>
      </c>
      <c r="AH361" s="116">
        <f>S361+AE361</f>
        <v/>
      </c>
      <c r="AI361" s="116">
        <f>T361+AF361</f>
        <v/>
      </c>
      <c r="AJ361" s="115" t="n"/>
      <c r="AK361" s="116" t="n"/>
      <c r="AL361" s="116" t="n"/>
      <c r="AM361" s="115">
        <f>(O361-AG361)+AJ361</f>
        <v/>
      </c>
      <c r="AN361" s="116">
        <f>(P361-AH361)+AK361</f>
        <v/>
      </c>
      <c r="AO361" s="116">
        <f>(Q361-AI361)+AL361</f>
        <v/>
      </c>
      <c r="AP361" s="93">
        <f>IF(AM361&gt;0, "Under",IF(AM361&lt;0,"Over",""))</f>
        <v/>
      </c>
      <c r="AQ361" s="94">
        <f>IF(AN361&gt;0, "Under",IF(AN361&lt;0,"Over",""))</f>
        <v/>
      </c>
      <c r="AR361" s="94">
        <f>IF(AO361&gt;0, "Under",IF(AO361&lt;0,"Over",""))</f>
        <v/>
      </c>
      <c r="AS361" s="3" t="n"/>
    </row>
    <row r="362">
      <c r="C362" s="113" t="n"/>
      <c r="D362" s="114" t="n"/>
      <c r="E362" s="114" t="n"/>
      <c r="F362" s="113" t="n"/>
      <c r="G362" s="114" t="n"/>
      <c r="H362" s="114" t="n"/>
      <c r="I362" s="113" t="n"/>
      <c r="J362" s="114" t="n"/>
      <c r="K362" s="114" t="n"/>
      <c r="L362" s="113" t="n"/>
      <c r="M362" s="114" t="n"/>
      <c r="N362" s="114" t="n"/>
      <c r="O362" s="113">
        <f>L362+I362+F362+C362</f>
        <v/>
      </c>
      <c r="P362" s="114">
        <f>M362+J362+G362+D362</f>
        <v/>
      </c>
      <c r="Q362" s="114">
        <f>N362+K362+H362+E362</f>
        <v/>
      </c>
      <c r="R362" s="113">
        <f>SUMIFS('PO Log'!$E:$E,'PO Log'!$D:$D,'Category Table'!R$2,'PO Log'!$C:$C,'Category Table'!$A362)</f>
        <v/>
      </c>
      <c r="S362" s="114">
        <f>SUMIFS('PO Log'!$E:$E,'PO Log'!$D:$D,'Category Table'!S$2,'PO Log'!$C:$C,'Category Table'!$A362)</f>
        <v/>
      </c>
      <c r="T362" s="114">
        <f>SUMIFS('PO Log'!$E:$E,'PO Log'!$D:$D,'Category Table'!T$2,'PO Log'!$C:$C,'Category Table'!$A362)</f>
        <v/>
      </c>
      <c r="U362" s="113">
        <f>SUMIFS('Committments Dump'!$Q:$Q,'Committments Dump'!$C:$C,'Category Table'!U$2,'Committments Dump'!$B:$B,'Category Table'!$A362)</f>
        <v/>
      </c>
      <c r="V362" s="114">
        <f>SUMIFS('Committments Dump'!$Q:$Q,'Committments Dump'!$C:$C,'Category Table'!V$2,'Committments Dump'!$B:$B,'Category Table'!$A362)</f>
        <v/>
      </c>
      <c r="W362" s="114">
        <f>SUMIFS('Committments Dump'!$Q:$Q,'Committments Dump'!$C:$C,'Category Table'!W$2,'Committments Dump'!$B:$B,'Category Table'!$A362)</f>
        <v/>
      </c>
      <c r="X362" s="113">
        <f>SUMIFS('Committments Dump'!$R:$R,'Committments Dump'!$C:$C,'Category Table'!X$2,'Committments Dump'!$B:$B,'Category Table'!$A362)</f>
        <v/>
      </c>
      <c r="Y362" s="114">
        <f>SUMIFS('Committments Dump'!$R:$R,'Committments Dump'!$C:$C,'Category Table'!Y$2,'Committments Dump'!$B:$B,'Category Table'!$A362)</f>
        <v/>
      </c>
      <c r="Z362" s="114">
        <f>SUMIFS('Committments Dump'!$R:$R,'Committments Dump'!$C:$C,'Category Table'!Z$2,'Committments Dump'!$B:$B,'Category Table'!$A362)</f>
        <v/>
      </c>
      <c r="AA362" s="113">
        <f>SUMIFS('Committments Dump'!$S:$S,'Committments Dump'!$C:$C,'Category Table'!AA$2,'Committments Dump'!$B:$B,'Category Table'!$A362)</f>
        <v/>
      </c>
      <c r="AB362" s="114">
        <f>SUMIFS('Committments Dump'!$S:$S,'Committments Dump'!$C:$C,'Category Table'!AB$2,'Committments Dump'!$B:$B,'Category Table'!$A362)</f>
        <v/>
      </c>
      <c r="AC362" s="114">
        <f>SUMIFS('Committments Dump'!$S:$S,'Committments Dump'!$C:$C,'Category Table'!AC$2,'Committments Dump'!$B:$B,'Category Table'!$A362)</f>
        <v/>
      </c>
      <c r="AD362" s="113">
        <f>U362+X362+AA362</f>
        <v/>
      </c>
      <c r="AE362" s="114">
        <f>V362+Y362+AB362</f>
        <v/>
      </c>
      <c r="AF362" s="114">
        <f>W362+Z362+AC362</f>
        <v/>
      </c>
      <c r="AG362" s="113">
        <f>R362+AD362</f>
        <v/>
      </c>
      <c r="AH362" s="114">
        <f>S362+AE362</f>
        <v/>
      </c>
      <c r="AI362" s="114">
        <f>T362+AF362</f>
        <v/>
      </c>
      <c r="AJ362" s="113" t="n"/>
      <c r="AK362" s="114" t="n"/>
      <c r="AL362" s="114" t="n"/>
      <c r="AM362" s="113">
        <f>(O362-AG362)+AJ362</f>
        <v/>
      </c>
      <c r="AN362" s="114">
        <f>(P362-AH362)+AK362</f>
        <v/>
      </c>
      <c r="AO362" s="114">
        <f>(Q362-AI362)+AL362</f>
        <v/>
      </c>
      <c r="AP362" s="2">
        <f>IF(AM362&gt;0, "Under",IF(AM362&lt;0,"Over",""))</f>
        <v/>
      </c>
      <c r="AQ362" s="1">
        <f>IF(AN362&gt;0, "Under",IF(AN362&lt;0,"Over",""))</f>
        <v/>
      </c>
      <c r="AR362" s="1">
        <f>IF(AO362&gt;0, "Under",IF(AO362&lt;0,"Over",""))</f>
        <v/>
      </c>
      <c r="AS362" s="3" t="n"/>
    </row>
    <row r="363">
      <c r="A363" s="90" t="n"/>
      <c r="B363" s="90" t="n"/>
      <c r="C363" s="115" t="n"/>
      <c r="D363" s="116" t="n"/>
      <c r="E363" s="116" t="n"/>
      <c r="F363" s="115" t="n"/>
      <c r="G363" s="116" t="n"/>
      <c r="H363" s="116" t="n"/>
      <c r="I363" s="115" t="n"/>
      <c r="J363" s="116" t="n"/>
      <c r="K363" s="116" t="n"/>
      <c r="L363" s="115" t="n"/>
      <c r="M363" s="116" t="n"/>
      <c r="N363" s="116" t="n"/>
      <c r="O363" s="115">
        <f>L363+I363+F363+C363</f>
        <v/>
      </c>
      <c r="P363" s="116">
        <f>M363+J363+G363+D363</f>
        <v/>
      </c>
      <c r="Q363" s="116">
        <f>N363+K363+H363+E363</f>
        <v/>
      </c>
      <c r="R363" s="115">
        <f>SUMIFS('PO Log'!$E:$E,'PO Log'!$D:$D,'Category Table'!R$2,'PO Log'!$C:$C,'Category Table'!$A363)</f>
        <v/>
      </c>
      <c r="S363" s="116">
        <f>SUMIFS('PO Log'!$E:$E,'PO Log'!$D:$D,'Category Table'!S$2,'PO Log'!$C:$C,'Category Table'!$A363)</f>
        <v/>
      </c>
      <c r="T363" s="116">
        <f>SUMIFS('PO Log'!$E:$E,'PO Log'!$D:$D,'Category Table'!T$2,'PO Log'!$C:$C,'Category Table'!$A363)</f>
        <v/>
      </c>
      <c r="U363" s="115">
        <f>SUMIFS('Committments Dump'!$Q:$Q,'Committments Dump'!$C:$C,'Category Table'!U$2,'Committments Dump'!$B:$B,'Category Table'!$A363)</f>
        <v/>
      </c>
      <c r="V363" s="116">
        <f>SUMIFS('Committments Dump'!$Q:$Q,'Committments Dump'!$C:$C,'Category Table'!V$2,'Committments Dump'!$B:$B,'Category Table'!$A363)</f>
        <v/>
      </c>
      <c r="W363" s="116">
        <f>SUMIFS('Committments Dump'!$Q:$Q,'Committments Dump'!$C:$C,'Category Table'!W$2,'Committments Dump'!$B:$B,'Category Table'!$A363)</f>
        <v/>
      </c>
      <c r="X363" s="115">
        <f>SUMIFS('Committments Dump'!$R:$R,'Committments Dump'!$C:$C,'Category Table'!X$2,'Committments Dump'!$B:$B,'Category Table'!$A363)</f>
        <v/>
      </c>
      <c r="Y363" s="116">
        <f>SUMIFS('Committments Dump'!$R:$R,'Committments Dump'!$C:$C,'Category Table'!Y$2,'Committments Dump'!$B:$B,'Category Table'!$A363)</f>
        <v/>
      </c>
      <c r="Z363" s="116">
        <f>SUMIFS('Committments Dump'!$R:$R,'Committments Dump'!$C:$C,'Category Table'!Z$2,'Committments Dump'!$B:$B,'Category Table'!$A363)</f>
        <v/>
      </c>
      <c r="AA363" s="115">
        <f>SUMIFS('Committments Dump'!$S:$S,'Committments Dump'!$C:$C,'Category Table'!AA$2,'Committments Dump'!$B:$B,'Category Table'!$A363)</f>
        <v/>
      </c>
      <c r="AB363" s="116">
        <f>SUMIFS('Committments Dump'!$S:$S,'Committments Dump'!$C:$C,'Category Table'!AB$2,'Committments Dump'!$B:$B,'Category Table'!$A363)</f>
        <v/>
      </c>
      <c r="AC363" s="116">
        <f>SUMIFS('Committments Dump'!$S:$S,'Committments Dump'!$C:$C,'Category Table'!AC$2,'Committments Dump'!$B:$B,'Category Table'!$A363)</f>
        <v/>
      </c>
      <c r="AD363" s="115">
        <f>U363+X363+AA363</f>
        <v/>
      </c>
      <c r="AE363" s="116">
        <f>V363+Y363+AB363</f>
        <v/>
      </c>
      <c r="AF363" s="116">
        <f>W363+Z363+AC363</f>
        <v/>
      </c>
      <c r="AG363" s="115">
        <f>R363+AD363</f>
        <v/>
      </c>
      <c r="AH363" s="116">
        <f>S363+AE363</f>
        <v/>
      </c>
      <c r="AI363" s="116">
        <f>T363+AF363</f>
        <v/>
      </c>
      <c r="AJ363" s="115" t="n"/>
      <c r="AK363" s="116" t="n"/>
      <c r="AL363" s="116" t="n"/>
      <c r="AM363" s="115">
        <f>(O363-AG363)+AJ363</f>
        <v/>
      </c>
      <c r="AN363" s="116">
        <f>(P363-AH363)+AK363</f>
        <v/>
      </c>
      <c r="AO363" s="116">
        <f>(Q363-AI363)+AL363</f>
        <v/>
      </c>
      <c r="AP363" s="93">
        <f>IF(AM363&gt;0, "Under",IF(AM363&lt;0,"Over",""))</f>
        <v/>
      </c>
      <c r="AQ363" s="94">
        <f>IF(AN363&gt;0, "Under",IF(AN363&lt;0,"Over",""))</f>
        <v/>
      </c>
      <c r="AR363" s="94">
        <f>IF(AO363&gt;0, "Under",IF(AO363&lt;0,"Over",""))</f>
        <v/>
      </c>
      <c r="AS363" s="3" t="n"/>
    </row>
    <row r="364">
      <c r="C364" s="113" t="n"/>
      <c r="D364" s="114" t="n"/>
      <c r="E364" s="114" t="n"/>
      <c r="F364" s="113" t="n"/>
      <c r="G364" s="114" t="n"/>
      <c r="H364" s="114" t="n"/>
      <c r="I364" s="113" t="n"/>
      <c r="J364" s="114" t="n"/>
      <c r="K364" s="114" t="n"/>
      <c r="L364" s="113" t="n"/>
      <c r="M364" s="114" t="n"/>
      <c r="N364" s="114" t="n"/>
      <c r="O364" s="113">
        <f>L364+I364+F364+C364</f>
        <v/>
      </c>
      <c r="P364" s="114">
        <f>M364+J364+G364+D364</f>
        <v/>
      </c>
      <c r="Q364" s="114">
        <f>N364+K364+H364+E364</f>
        <v/>
      </c>
      <c r="R364" s="113">
        <f>SUMIFS('PO Log'!$E:$E,'PO Log'!$D:$D,'Category Table'!R$2,'PO Log'!$C:$C,'Category Table'!$A364)</f>
        <v/>
      </c>
      <c r="S364" s="114">
        <f>SUMIFS('PO Log'!$E:$E,'PO Log'!$D:$D,'Category Table'!S$2,'PO Log'!$C:$C,'Category Table'!$A364)</f>
        <v/>
      </c>
      <c r="T364" s="114">
        <f>SUMIFS('PO Log'!$E:$E,'PO Log'!$D:$D,'Category Table'!T$2,'PO Log'!$C:$C,'Category Table'!$A364)</f>
        <v/>
      </c>
      <c r="U364" s="113">
        <f>SUMIFS('Committments Dump'!$Q:$Q,'Committments Dump'!$C:$C,'Category Table'!U$2,'Committments Dump'!$B:$B,'Category Table'!$A364)</f>
        <v/>
      </c>
      <c r="V364" s="114">
        <f>SUMIFS('Committments Dump'!$Q:$Q,'Committments Dump'!$C:$C,'Category Table'!V$2,'Committments Dump'!$B:$B,'Category Table'!$A364)</f>
        <v/>
      </c>
      <c r="W364" s="114">
        <f>SUMIFS('Committments Dump'!$Q:$Q,'Committments Dump'!$C:$C,'Category Table'!W$2,'Committments Dump'!$B:$B,'Category Table'!$A364)</f>
        <v/>
      </c>
      <c r="X364" s="113">
        <f>SUMIFS('Committments Dump'!$R:$R,'Committments Dump'!$C:$C,'Category Table'!X$2,'Committments Dump'!$B:$B,'Category Table'!$A364)</f>
        <v/>
      </c>
      <c r="Y364" s="114">
        <f>SUMIFS('Committments Dump'!$R:$R,'Committments Dump'!$C:$C,'Category Table'!Y$2,'Committments Dump'!$B:$B,'Category Table'!$A364)</f>
        <v/>
      </c>
      <c r="Z364" s="114">
        <f>SUMIFS('Committments Dump'!$R:$R,'Committments Dump'!$C:$C,'Category Table'!Z$2,'Committments Dump'!$B:$B,'Category Table'!$A364)</f>
        <v/>
      </c>
      <c r="AA364" s="113">
        <f>SUMIFS('Committments Dump'!$S:$S,'Committments Dump'!$C:$C,'Category Table'!AA$2,'Committments Dump'!$B:$B,'Category Table'!$A364)</f>
        <v/>
      </c>
      <c r="AB364" s="114">
        <f>SUMIFS('Committments Dump'!$S:$S,'Committments Dump'!$C:$C,'Category Table'!AB$2,'Committments Dump'!$B:$B,'Category Table'!$A364)</f>
        <v/>
      </c>
      <c r="AC364" s="114">
        <f>SUMIFS('Committments Dump'!$S:$S,'Committments Dump'!$C:$C,'Category Table'!AC$2,'Committments Dump'!$B:$B,'Category Table'!$A364)</f>
        <v/>
      </c>
      <c r="AD364" s="113">
        <f>U364+X364+AA364</f>
        <v/>
      </c>
      <c r="AE364" s="114">
        <f>V364+Y364+AB364</f>
        <v/>
      </c>
      <c r="AF364" s="114">
        <f>W364+Z364+AC364</f>
        <v/>
      </c>
      <c r="AG364" s="113">
        <f>R364+AD364</f>
        <v/>
      </c>
      <c r="AH364" s="114">
        <f>S364+AE364</f>
        <v/>
      </c>
      <c r="AI364" s="114">
        <f>T364+AF364</f>
        <v/>
      </c>
      <c r="AJ364" s="113" t="n"/>
      <c r="AK364" s="114" t="n"/>
      <c r="AL364" s="114" t="n"/>
      <c r="AM364" s="113">
        <f>(O364-AG364)+AJ364</f>
        <v/>
      </c>
      <c r="AN364" s="114">
        <f>(P364-AH364)+AK364</f>
        <v/>
      </c>
      <c r="AO364" s="114">
        <f>(Q364-AI364)+AL364</f>
        <v/>
      </c>
      <c r="AP364" s="2">
        <f>IF(AM364&gt;0, "Under",IF(AM364&lt;0,"Over",""))</f>
        <v/>
      </c>
      <c r="AQ364" s="1">
        <f>IF(AN364&gt;0, "Under",IF(AN364&lt;0,"Over",""))</f>
        <v/>
      </c>
      <c r="AR364" s="1">
        <f>IF(AO364&gt;0, "Under",IF(AO364&lt;0,"Over",""))</f>
        <v/>
      </c>
      <c r="AS364" s="3" t="n"/>
    </row>
    <row r="365">
      <c r="A365" s="90" t="n"/>
      <c r="B365" s="90" t="n"/>
      <c r="C365" s="115" t="n"/>
      <c r="D365" s="116" t="n"/>
      <c r="E365" s="116" t="n"/>
      <c r="F365" s="115" t="n"/>
      <c r="G365" s="116" t="n"/>
      <c r="H365" s="116" t="n"/>
      <c r="I365" s="115" t="n"/>
      <c r="J365" s="116" t="n"/>
      <c r="K365" s="116" t="n"/>
      <c r="L365" s="115" t="n"/>
      <c r="M365" s="116" t="n"/>
      <c r="N365" s="116" t="n"/>
      <c r="O365" s="115">
        <f>L365+I365+F365+C365</f>
        <v/>
      </c>
      <c r="P365" s="116">
        <f>M365+J365+G365+D365</f>
        <v/>
      </c>
      <c r="Q365" s="116">
        <f>N365+K365+H365+E365</f>
        <v/>
      </c>
      <c r="R365" s="115">
        <f>SUMIFS('PO Log'!$E:$E,'PO Log'!$D:$D,'Category Table'!R$2,'PO Log'!$C:$C,'Category Table'!$A365)</f>
        <v/>
      </c>
      <c r="S365" s="116">
        <f>SUMIFS('PO Log'!$E:$E,'PO Log'!$D:$D,'Category Table'!S$2,'PO Log'!$C:$C,'Category Table'!$A365)</f>
        <v/>
      </c>
      <c r="T365" s="116">
        <f>SUMIFS('PO Log'!$E:$E,'PO Log'!$D:$D,'Category Table'!T$2,'PO Log'!$C:$C,'Category Table'!$A365)</f>
        <v/>
      </c>
      <c r="U365" s="115">
        <f>SUMIFS('Committments Dump'!$Q:$Q,'Committments Dump'!$C:$C,'Category Table'!U$2,'Committments Dump'!$B:$B,'Category Table'!$A365)</f>
        <v/>
      </c>
      <c r="V365" s="116">
        <f>SUMIFS('Committments Dump'!$Q:$Q,'Committments Dump'!$C:$C,'Category Table'!V$2,'Committments Dump'!$B:$B,'Category Table'!$A365)</f>
        <v/>
      </c>
      <c r="W365" s="116">
        <f>SUMIFS('Committments Dump'!$Q:$Q,'Committments Dump'!$C:$C,'Category Table'!W$2,'Committments Dump'!$B:$B,'Category Table'!$A365)</f>
        <v/>
      </c>
      <c r="X365" s="115">
        <f>SUMIFS('Committments Dump'!$R:$R,'Committments Dump'!$C:$C,'Category Table'!X$2,'Committments Dump'!$B:$B,'Category Table'!$A365)</f>
        <v/>
      </c>
      <c r="Y365" s="116">
        <f>SUMIFS('Committments Dump'!$R:$R,'Committments Dump'!$C:$C,'Category Table'!Y$2,'Committments Dump'!$B:$B,'Category Table'!$A365)</f>
        <v/>
      </c>
      <c r="Z365" s="116">
        <f>SUMIFS('Committments Dump'!$R:$R,'Committments Dump'!$C:$C,'Category Table'!Z$2,'Committments Dump'!$B:$B,'Category Table'!$A365)</f>
        <v/>
      </c>
      <c r="AA365" s="115">
        <f>SUMIFS('Committments Dump'!$S:$S,'Committments Dump'!$C:$C,'Category Table'!AA$2,'Committments Dump'!$B:$B,'Category Table'!$A365)</f>
        <v/>
      </c>
      <c r="AB365" s="116">
        <f>SUMIFS('Committments Dump'!$S:$S,'Committments Dump'!$C:$C,'Category Table'!AB$2,'Committments Dump'!$B:$B,'Category Table'!$A365)</f>
        <v/>
      </c>
      <c r="AC365" s="116">
        <f>SUMIFS('Committments Dump'!$S:$S,'Committments Dump'!$C:$C,'Category Table'!AC$2,'Committments Dump'!$B:$B,'Category Table'!$A365)</f>
        <v/>
      </c>
      <c r="AD365" s="115">
        <f>U365+X365+AA365</f>
        <v/>
      </c>
      <c r="AE365" s="116">
        <f>V365+Y365+AB365</f>
        <v/>
      </c>
      <c r="AF365" s="116">
        <f>W365+Z365+AC365</f>
        <v/>
      </c>
      <c r="AG365" s="115">
        <f>R365+AD365</f>
        <v/>
      </c>
      <c r="AH365" s="116">
        <f>S365+AE365</f>
        <v/>
      </c>
      <c r="AI365" s="116">
        <f>T365+AF365</f>
        <v/>
      </c>
      <c r="AJ365" s="115" t="n"/>
      <c r="AK365" s="116" t="n"/>
      <c r="AL365" s="116" t="n"/>
      <c r="AM365" s="115">
        <f>(O365-AG365)+AJ365</f>
        <v/>
      </c>
      <c r="AN365" s="116">
        <f>(P365-AH365)+AK365</f>
        <v/>
      </c>
      <c r="AO365" s="116">
        <f>(Q365-AI365)+AL365</f>
        <v/>
      </c>
      <c r="AP365" s="93">
        <f>IF(AM365&gt;0, "Under",IF(AM365&lt;0,"Over",""))</f>
        <v/>
      </c>
      <c r="AQ365" s="94">
        <f>IF(AN365&gt;0, "Under",IF(AN365&lt;0,"Over",""))</f>
        <v/>
      </c>
      <c r="AR365" s="94">
        <f>IF(AO365&gt;0, "Under",IF(AO365&lt;0,"Over",""))</f>
        <v/>
      </c>
      <c r="AS365" s="3" t="n"/>
    </row>
    <row r="366">
      <c r="C366" s="113" t="n"/>
      <c r="D366" s="114" t="n"/>
      <c r="E366" s="114" t="n"/>
      <c r="F366" s="113" t="n"/>
      <c r="G366" s="114" t="n"/>
      <c r="H366" s="114" t="n"/>
      <c r="I366" s="113" t="n"/>
      <c r="J366" s="114" t="n"/>
      <c r="K366" s="114" t="n"/>
      <c r="L366" s="113" t="n"/>
      <c r="M366" s="114" t="n"/>
      <c r="N366" s="114" t="n"/>
      <c r="O366" s="113">
        <f>L366+I366+F366+C366</f>
        <v/>
      </c>
      <c r="P366" s="114">
        <f>M366+J366+G366+D366</f>
        <v/>
      </c>
      <c r="Q366" s="114">
        <f>N366+K366+H366+E366</f>
        <v/>
      </c>
      <c r="R366" s="113">
        <f>SUMIFS('PO Log'!$E:$E,'PO Log'!$D:$D,'Category Table'!R$2,'PO Log'!$C:$C,'Category Table'!$A366)</f>
        <v/>
      </c>
      <c r="S366" s="114">
        <f>SUMIFS('PO Log'!$E:$E,'PO Log'!$D:$D,'Category Table'!S$2,'PO Log'!$C:$C,'Category Table'!$A366)</f>
        <v/>
      </c>
      <c r="T366" s="114">
        <f>SUMIFS('PO Log'!$E:$E,'PO Log'!$D:$D,'Category Table'!T$2,'PO Log'!$C:$C,'Category Table'!$A366)</f>
        <v/>
      </c>
      <c r="U366" s="113">
        <f>SUMIFS('Committments Dump'!$Q:$Q,'Committments Dump'!$C:$C,'Category Table'!U$2,'Committments Dump'!$B:$B,'Category Table'!$A366)</f>
        <v/>
      </c>
      <c r="V366" s="114">
        <f>SUMIFS('Committments Dump'!$Q:$Q,'Committments Dump'!$C:$C,'Category Table'!V$2,'Committments Dump'!$B:$B,'Category Table'!$A366)</f>
        <v/>
      </c>
      <c r="W366" s="114">
        <f>SUMIFS('Committments Dump'!$Q:$Q,'Committments Dump'!$C:$C,'Category Table'!W$2,'Committments Dump'!$B:$B,'Category Table'!$A366)</f>
        <v/>
      </c>
      <c r="X366" s="113">
        <f>SUMIFS('Committments Dump'!$R:$R,'Committments Dump'!$C:$C,'Category Table'!X$2,'Committments Dump'!$B:$B,'Category Table'!$A366)</f>
        <v/>
      </c>
      <c r="Y366" s="114">
        <f>SUMIFS('Committments Dump'!$R:$R,'Committments Dump'!$C:$C,'Category Table'!Y$2,'Committments Dump'!$B:$B,'Category Table'!$A366)</f>
        <v/>
      </c>
      <c r="Z366" s="114">
        <f>SUMIFS('Committments Dump'!$R:$R,'Committments Dump'!$C:$C,'Category Table'!Z$2,'Committments Dump'!$B:$B,'Category Table'!$A366)</f>
        <v/>
      </c>
      <c r="AA366" s="113">
        <f>SUMIFS('Committments Dump'!$S:$S,'Committments Dump'!$C:$C,'Category Table'!AA$2,'Committments Dump'!$B:$B,'Category Table'!$A366)</f>
        <v/>
      </c>
      <c r="AB366" s="114">
        <f>SUMIFS('Committments Dump'!$S:$S,'Committments Dump'!$C:$C,'Category Table'!AB$2,'Committments Dump'!$B:$B,'Category Table'!$A366)</f>
        <v/>
      </c>
      <c r="AC366" s="114">
        <f>SUMIFS('Committments Dump'!$S:$S,'Committments Dump'!$C:$C,'Category Table'!AC$2,'Committments Dump'!$B:$B,'Category Table'!$A366)</f>
        <v/>
      </c>
      <c r="AD366" s="113">
        <f>U366+X366+AA366</f>
        <v/>
      </c>
      <c r="AE366" s="114">
        <f>V366+Y366+AB366</f>
        <v/>
      </c>
      <c r="AF366" s="114">
        <f>W366+Z366+AC366</f>
        <v/>
      </c>
      <c r="AG366" s="113">
        <f>R366+AD366</f>
        <v/>
      </c>
      <c r="AH366" s="114">
        <f>S366+AE366</f>
        <v/>
      </c>
      <c r="AI366" s="114">
        <f>T366+AF366</f>
        <v/>
      </c>
      <c r="AJ366" s="113" t="n"/>
      <c r="AK366" s="114" t="n"/>
      <c r="AL366" s="114" t="n"/>
      <c r="AM366" s="113">
        <f>(O366-AG366)+AJ366</f>
        <v/>
      </c>
      <c r="AN366" s="114">
        <f>(P366-AH366)+AK366</f>
        <v/>
      </c>
      <c r="AO366" s="114">
        <f>(Q366-AI366)+AL366</f>
        <v/>
      </c>
      <c r="AP366" s="2">
        <f>IF(AM366&gt;0, "Under",IF(AM366&lt;0,"Over",""))</f>
        <v/>
      </c>
      <c r="AQ366" s="1">
        <f>IF(AN366&gt;0, "Under",IF(AN366&lt;0,"Over",""))</f>
        <v/>
      </c>
      <c r="AR366" s="1">
        <f>IF(AO366&gt;0, "Under",IF(AO366&lt;0,"Over",""))</f>
        <v/>
      </c>
      <c r="AS366" s="3" t="n"/>
    </row>
    <row r="367">
      <c r="A367" s="90" t="n"/>
      <c r="B367" s="90" t="n"/>
      <c r="C367" s="115" t="n"/>
      <c r="D367" s="116" t="n"/>
      <c r="E367" s="116" t="n"/>
      <c r="F367" s="115" t="n"/>
      <c r="G367" s="116" t="n"/>
      <c r="H367" s="116" t="n"/>
      <c r="I367" s="115" t="n"/>
      <c r="J367" s="116" t="n"/>
      <c r="K367" s="116" t="n"/>
      <c r="L367" s="115" t="n"/>
      <c r="M367" s="116" t="n"/>
      <c r="N367" s="116" t="n"/>
      <c r="O367" s="115">
        <f>L367+I367+F367+C367</f>
        <v/>
      </c>
      <c r="P367" s="116">
        <f>M367+J367+G367+D367</f>
        <v/>
      </c>
      <c r="Q367" s="116">
        <f>N367+K367+H367+E367</f>
        <v/>
      </c>
      <c r="R367" s="115">
        <f>SUMIFS('PO Log'!$E:$E,'PO Log'!$D:$D,'Category Table'!R$2,'PO Log'!$C:$C,'Category Table'!$A367)</f>
        <v/>
      </c>
      <c r="S367" s="116">
        <f>SUMIFS('PO Log'!$E:$E,'PO Log'!$D:$D,'Category Table'!S$2,'PO Log'!$C:$C,'Category Table'!$A367)</f>
        <v/>
      </c>
      <c r="T367" s="116">
        <f>SUMIFS('PO Log'!$E:$E,'PO Log'!$D:$D,'Category Table'!T$2,'PO Log'!$C:$C,'Category Table'!$A367)</f>
        <v/>
      </c>
      <c r="U367" s="115">
        <f>SUMIFS('Committments Dump'!$Q:$Q,'Committments Dump'!$C:$C,'Category Table'!U$2,'Committments Dump'!$B:$B,'Category Table'!$A367)</f>
        <v/>
      </c>
      <c r="V367" s="116">
        <f>SUMIFS('Committments Dump'!$Q:$Q,'Committments Dump'!$C:$C,'Category Table'!V$2,'Committments Dump'!$B:$B,'Category Table'!$A367)</f>
        <v/>
      </c>
      <c r="W367" s="116">
        <f>SUMIFS('Committments Dump'!$Q:$Q,'Committments Dump'!$C:$C,'Category Table'!W$2,'Committments Dump'!$B:$B,'Category Table'!$A367)</f>
        <v/>
      </c>
      <c r="X367" s="115">
        <f>SUMIFS('Committments Dump'!$R:$R,'Committments Dump'!$C:$C,'Category Table'!X$2,'Committments Dump'!$B:$B,'Category Table'!$A367)</f>
        <v/>
      </c>
      <c r="Y367" s="116">
        <f>SUMIFS('Committments Dump'!$R:$R,'Committments Dump'!$C:$C,'Category Table'!Y$2,'Committments Dump'!$B:$B,'Category Table'!$A367)</f>
        <v/>
      </c>
      <c r="Z367" s="116">
        <f>SUMIFS('Committments Dump'!$R:$R,'Committments Dump'!$C:$C,'Category Table'!Z$2,'Committments Dump'!$B:$B,'Category Table'!$A367)</f>
        <v/>
      </c>
      <c r="AA367" s="115">
        <f>SUMIFS('Committments Dump'!$S:$S,'Committments Dump'!$C:$C,'Category Table'!AA$2,'Committments Dump'!$B:$B,'Category Table'!$A367)</f>
        <v/>
      </c>
      <c r="AB367" s="116">
        <f>SUMIFS('Committments Dump'!$S:$S,'Committments Dump'!$C:$C,'Category Table'!AB$2,'Committments Dump'!$B:$B,'Category Table'!$A367)</f>
        <v/>
      </c>
      <c r="AC367" s="116">
        <f>SUMIFS('Committments Dump'!$S:$S,'Committments Dump'!$C:$C,'Category Table'!AC$2,'Committments Dump'!$B:$B,'Category Table'!$A367)</f>
        <v/>
      </c>
      <c r="AD367" s="115">
        <f>U367+X367+AA367</f>
        <v/>
      </c>
      <c r="AE367" s="116">
        <f>V367+Y367+AB367</f>
        <v/>
      </c>
      <c r="AF367" s="116">
        <f>W367+Z367+AC367</f>
        <v/>
      </c>
      <c r="AG367" s="115">
        <f>R367+AD367</f>
        <v/>
      </c>
      <c r="AH367" s="116">
        <f>S367+AE367</f>
        <v/>
      </c>
      <c r="AI367" s="116">
        <f>T367+AF367</f>
        <v/>
      </c>
      <c r="AJ367" s="115" t="n"/>
      <c r="AK367" s="116" t="n"/>
      <c r="AL367" s="116" t="n"/>
      <c r="AM367" s="115">
        <f>(O367-AG367)+AJ367</f>
        <v/>
      </c>
      <c r="AN367" s="116">
        <f>(P367-AH367)+AK367</f>
        <v/>
      </c>
      <c r="AO367" s="116">
        <f>(Q367-AI367)+AL367</f>
        <v/>
      </c>
      <c r="AP367" s="93">
        <f>IF(AM367&gt;0, "Under",IF(AM367&lt;0,"Over",""))</f>
        <v/>
      </c>
      <c r="AQ367" s="94">
        <f>IF(AN367&gt;0, "Under",IF(AN367&lt;0,"Over",""))</f>
        <v/>
      </c>
      <c r="AR367" s="94">
        <f>IF(AO367&gt;0, "Under",IF(AO367&lt;0,"Over",""))</f>
        <v/>
      </c>
      <c r="AS367" s="3" t="n"/>
    </row>
    <row r="368">
      <c r="C368" s="113" t="n"/>
      <c r="D368" s="114" t="n"/>
      <c r="E368" s="114" t="n"/>
      <c r="F368" s="113" t="n"/>
      <c r="G368" s="114" t="n"/>
      <c r="H368" s="114" t="n"/>
      <c r="I368" s="113" t="n"/>
      <c r="J368" s="114" t="n"/>
      <c r="K368" s="114" t="n"/>
      <c r="L368" s="113" t="n"/>
      <c r="M368" s="114" t="n"/>
      <c r="N368" s="114" t="n"/>
      <c r="O368" s="113">
        <f>L368+I368+F368+C368</f>
        <v/>
      </c>
      <c r="P368" s="114">
        <f>M368+J368+G368+D368</f>
        <v/>
      </c>
      <c r="Q368" s="114">
        <f>N368+K368+H368+E368</f>
        <v/>
      </c>
      <c r="R368" s="113">
        <f>SUMIFS('PO Log'!$E:$E,'PO Log'!$D:$D,'Category Table'!R$2,'PO Log'!$C:$C,'Category Table'!$A368)</f>
        <v/>
      </c>
      <c r="S368" s="114">
        <f>SUMIFS('PO Log'!$E:$E,'PO Log'!$D:$D,'Category Table'!S$2,'PO Log'!$C:$C,'Category Table'!$A368)</f>
        <v/>
      </c>
      <c r="T368" s="114">
        <f>SUMIFS('PO Log'!$E:$E,'PO Log'!$D:$D,'Category Table'!T$2,'PO Log'!$C:$C,'Category Table'!$A368)</f>
        <v/>
      </c>
      <c r="U368" s="113">
        <f>SUMIFS('Committments Dump'!$Q:$Q,'Committments Dump'!$C:$C,'Category Table'!U$2,'Committments Dump'!$B:$B,'Category Table'!$A368)</f>
        <v/>
      </c>
      <c r="V368" s="114">
        <f>SUMIFS('Committments Dump'!$Q:$Q,'Committments Dump'!$C:$C,'Category Table'!V$2,'Committments Dump'!$B:$B,'Category Table'!$A368)</f>
        <v/>
      </c>
      <c r="W368" s="114">
        <f>SUMIFS('Committments Dump'!$Q:$Q,'Committments Dump'!$C:$C,'Category Table'!W$2,'Committments Dump'!$B:$B,'Category Table'!$A368)</f>
        <v/>
      </c>
      <c r="X368" s="113">
        <f>SUMIFS('Committments Dump'!$R:$R,'Committments Dump'!$C:$C,'Category Table'!X$2,'Committments Dump'!$B:$B,'Category Table'!$A368)</f>
        <v/>
      </c>
      <c r="Y368" s="114">
        <f>SUMIFS('Committments Dump'!$R:$R,'Committments Dump'!$C:$C,'Category Table'!Y$2,'Committments Dump'!$B:$B,'Category Table'!$A368)</f>
        <v/>
      </c>
      <c r="Z368" s="114">
        <f>SUMIFS('Committments Dump'!$R:$R,'Committments Dump'!$C:$C,'Category Table'!Z$2,'Committments Dump'!$B:$B,'Category Table'!$A368)</f>
        <v/>
      </c>
      <c r="AA368" s="113">
        <f>SUMIFS('Committments Dump'!$S:$S,'Committments Dump'!$C:$C,'Category Table'!AA$2,'Committments Dump'!$B:$B,'Category Table'!$A368)</f>
        <v/>
      </c>
      <c r="AB368" s="114">
        <f>SUMIFS('Committments Dump'!$S:$S,'Committments Dump'!$C:$C,'Category Table'!AB$2,'Committments Dump'!$B:$B,'Category Table'!$A368)</f>
        <v/>
      </c>
      <c r="AC368" s="114">
        <f>SUMIFS('Committments Dump'!$S:$S,'Committments Dump'!$C:$C,'Category Table'!AC$2,'Committments Dump'!$B:$B,'Category Table'!$A368)</f>
        <v/>
      </c>
      <c r="AD368" s="113">
        <f>U368+X368+AA368</f>
        <v/>
      </c>
      <c r="AE368" s="114">
        <f>V368+Y368+AB368</f>
        <v/>
      </c>
      <c r="AF368" s="114">
        <f>W368+Z368+AC368</f>
        <v/>
      </c>
      <c r="AG368" s="113">
        <f>R368+AD368</f>
        <v/>
      </c>
      <c r="AH368" s="114">
        <f>S368+AE368</f>
        <v/>
      </c>
      <c r="AI368" s="114">
        <f>T368+AF368</f>
        <v/>
      </c>
      <c r="AJ368" s="113" t="n"/>
      <c r="AK368" s="114" t="n"/>
      <c r="AL368" s="114" t="n"/>
      <c r="AM368" s="113">
        <f>(O368-AG368)+AJ368</f>
        <v/>
      </c>
      <c r="AN368" s="114">
        <f>(P368-AH368)+AK368</f>
        <v/>
      </c>
      <c r="AO368" s="114">
        <f>(Q368-AI368)+AL368</f>
        <v/>
      </c>
      <c r="AP368" s="2">
        <f>IF(AM368&gt;0, "Under",IF(AM368&lt;0,"Over",""))</f>
        <v/>
      </c>
      <c r="AQ368" s="1">
        <f>IF(AN368&gt;0, "Under",IF(AN368&lt;0,"Over",""))</f>
        <v/>
      </c>
      <c r="AR368" s="1">
        <f>IF(AO368&gt;0, "Under",IF(AO368&lt;0,"Over",""))</f>
        <v/>
      </c>
      <c r="AS368" s="3" t="n"/>
    </row>
    <row r="369">
      <c r="A369" s="90" t="n"/>
      <c r="B369" s="90" t="n"/>
      <c r="C369" s="115" t="n"/>
      <c r="D369" s="116" t="n"/>
      <c r="E369" s="116" t="n"/>
      <c r="F369" s="115" t="n"/>
      <c r="G369" s="116" t="n"/>
      <c r="H369" s="116" t="n"/>
      <c r="I369" s="115" t="n"/>
      <c r="J369" s="116" t="n"/>
      <c r="K369" s="116" t="n"/>
      <c r="L369" s="115" t="n"/>
      <c r="M369" s="116" t="n"/>
      <c r="N369" s="116" t="n"/>
      <c r="O369" s="115">
        <f>L369+I369+F369+C369</f>
        <v/>
      </c>
      <c r="P369" s="116">
        <f>M369+J369+G369+D369</f>
        <v/>
      </c>
      <c r="Q369" s="116">
        <f>N369+K369+H369+E369</f>
        <v/>
      </c>
      <c r="R369" s="115">
        <f>SUMIFS('PO Log'!$E:$E,'PO Log'!$D:$D,'Category Table'!R$2,'PO Log'!$C:$C,'Category Table'!$A369)</f>
        <v/>
      </c>
      <c r="S369" s="116">
        <f>SUMIFS('PO Log'!$E:$E,'PO Log'!$D:$D,'Category Table'!S$2,'PO Log'!$C:$C,'Category Table'!$A369)</f>
        <v/>
      </c>
      <c r="T369" s="116">
        <f>SUMIFS('PO Log'!$E:$E,'PO Log'!$D:$D,'Category Table'!T$2,'PO Log'!$C:$C,'Category Table'!$A369)</f>
        <v/>
      </c>
      <c r="U369" s="115">
        <f>SUMIFS('Committments Dump'!$Q:$Q,'Committments Dump'!$C:$C,'Category Table'!U$2,'Committments Dump'!$B:$B,'Category Table'!$A369)</f>
        <v/>
      </c>
      <c r="V369" s="116">
        <f>SUMIFS('Committments Dump'!$Q:$Q,'Committments Dump'!$C:$C,'Category Table'!V$2,'Committments Dump'!$B:$B,'Category Table'!$A369)</f>
        <v/>
      </c>
      <c r="W369" s="116">
        <f>SUMIFS('Committments Dump'!$Q:$Q,'Committments Dump'!$C:$C,'Category Table'!W$2,'Committments Dump'!$B:$B,'Category Table'!$A369)</f>
        <v/>
      </c>
      <c r="X369" s="115">
        <f>SUMIFS('Committments Dump'!$R:$R,'Committments Dump'!$C:$C,'Category Table'!X$2,'Committments Dump'!$B:$B,'Category Table'!$A369)</f>
        <v/>
      </c>
      <c r="Y369" s="116">
        <f>SUMIFS('Committments Dump'!$R:$R,'Committments Dump'!$C:$C,'Category Table'!Y$2,'Committments Dump'!$B:$B,'Category Table'!$A369)</f>
        <v/>
      </c>
      <c r="Z369" s="116">
        <f>SUMIFS('Committments Dump'!$R:$R,'Committments Dump'!$C:$C,'Category Table'!Z$2,'Committments Dump'!$B:$B,'Category Table'!$A369)</f>
        <v/>
      </c>
      <c r="AA369" s="115">
        <f>SUMIFS('Committments Dump'!$S:$S,'Committments Dump'!$C:$C,'Category Table'!AA$2,'Committments Dump'!$B:$B,'Category Table'!$A369)</f>
        <v/>
      </c>
      <c r="AB369" s="116">
        <f>SUMIFS('Committments Dump'!$S:$S,'Committments Dump'!$C:$C,'Category Table'!AB$2,'Committments Dump'!$B:$B,'Category Table'!$A369)</f>
        <v/>
      </c>
      <c r="AC369" s="116">
        <f>SUMIFS('Committments Dump'!$S:$S,'Committments Dump'!$C:$C,'Category Table'!AC$2,'Committments Dump'!$B:$B,'Category Table'!$A369)</f>
        <v/>
      </c>
      <c r="AD369" s="115">
        <f>U369+X369+AA369</f>
        <v/>
      </c>
      <c r="AE369" s="116">
        <f>V369+Y369+AB369</f>
        <v/>
      </c>
      <c r="AF369" s="116">
        <f>W369+Z369+AC369</f>
        <v/>
      </c>
      <c r="AG369" s="115">
        <f>R369+AD369</f>
        <v/>
      </c>
      <c r="AH369" s="116">
        <f>S369+AE369</f>
        <v/>
      </c>
      <c r="AI369" s="116">
        <f>T369+AF369</f>
        <v/>
      </c>
      <c r="AJ369" s="115" t="n"/>
      <c r="AK369" s="116" t="n"/>
      <c r="AL369" s="116" t="n"/>
      <c r="AM369" s="115">
        <f>(O369-AG369)+AJ369</f>
        <v/>
      </c>
      <c r="AN369" s="116">
        <f>(P369-AH369)+AK369</f>
        <v/>
      </c>
      <c r="AO369" s="116">
        <f>(Q369-AI369)+AL369</f>
        <v/>
      </c>
      <c r="AP369" s="93">
        <f>IF(AM369&gt;0, "Under",IF(AM369&lt;0,"Over",""))</f>
        <v/>
      </c>
      <c r="AQ369" s="94">
        <f>IF(AN369&gt;0, "Under",IF(AN369&lt;0,"Over",""))</f>
        <v/>
      </c>
      <c r="AR369" s="94">
        <f>IF(AO369&gt;0, "Under",IF(AO369&lt;0,"Over",""))</f>
        <v/>
      </c>
      <c r="AS369" s="3" t="n"/>
    </row>
    <row r="370">
      <c r="C370" s="113" t="n"/>
      <c r="D370" s="114" t="n"/>
      <c r="E370" s="114" t="n"/>
      <c r="F370" s="113" t="n"/>
      <c r="G370" s="114" t="n"/>
      <c r="H370" s="114" t="n"/>
      <c r="I370" s="113" t="n"/>
      <c r="J370" s="114" t="n"/>
      <c r="K370" s="114" t="n"/>
      <c r="L370" s="113" t="n"/>
      <c r="M370" s="114" t="n"/>
      <c r="N370" s="114" t="n"/>
      <c r="O370" s="113">
        <f>L370+I370+F370+C370</f>
        <v/>
      </c>
      <c r="P370" s="114">
        <f>M370+J370+G370+D370</f>
        <v/>
      </c>
      <c r="Q370" s="114">
        <f>N370+K370+H370+E370</f>
        <v/>
      </c>
      <c r="R370" s="113">
        <f>SUMIFS('PO Log'!$E:$E,'PO Log'!$D:$D,'Category Table'!R$2,'PO Log'!$C:$C,'Category Table'!$A370)</f>
        <v/>
      </c>
      <c r="S370" s="114">
        <f>SUMIFS('PO Log'!$E:$E,'PO Log'!$D:$D,'Category Table'!S$2,'PO Log'!$C:$C,'Category Table'!$A370)</f>
        <v/>
      </c>
      <c r="T370" s="114">
        <f>SUMIFS('PO Log'!$E:$E,'PO Log'!$D:$D,'Category Table'!T$2,'PO Log'!$C:$C,'Category Table'!$A370)</f>
        <v/>
      </c>
      <c r="U370" s="113">
        <f>SUMIFS('Committments Dump'!$Q:$Q,'Committments Dump'!$C:$C,'Category Table'!U$2,'Committments Dump'!$B:$B,'Category Table'!$A370)</f>
        <v/>
      </c>
      <c r="V370" s="114">
        <f>SUMIFS('Committments Dump'!$Q:$Q,'Committments Dump'!$C:$C,'Category Table'!V$2,'Committments Dump'!$B:$B,'Category Table'!$A370)</f>
        <v/>
      </c>
      <c r="W370" s="114">
        <f>SUMIFS('Committments Dump'!$Q:$Q,'Committments Dump'!$C:$C,'Category Table'!W$2,'Committments Dump'!$B:$B,'Category Table'!$A370)</f>
        <v/>
      </c>
      <c r="X370" s="113">
        <f>SUMIFS('Committments Dump'!$R:$R,'Committments Dump'!$C:$C,'Category Table'!X$2,'Committments Dump'!$B:$B,'Category Table'!$A370)</f>
        <v/>
      </c>
      <c r="Y370" s="114">
        <f>SUMIFS('Committments Dump'!$R:$R,'Committments Dump'!$C:$C,'Category Table'!Y$2,'Committments Dump'!$B:$B,'Category Table'!$A370)</f>
        <v/>
      </c>
      <c r="Z370" s="114">
        <f>SUMIFS('Committments Dump'!$R:$R,'Committments Dump'!$C:$C,'Category Table'!Z$2,'Committments Dump'!$B:$B,'Category Table'!$A370)</f>
        <v/>
      </c>
      <c r="AA370" s="113">
        <f>SUMIFS('Committments Dump'!$S:$S,'Committments Dump'!$C:$C,'Category Table'!AA$2,'Committments Dump'!$B:$B,'Category Table'!$A370)</f>
        <v/>
      </c>
      <c r="AB370" s="114">
        <f>SUMIFS('Committments Dump'!$S:$S,'Committments Dump'!$C:$C,'Category Table'!AB$2,'Committments Dump'!$B:$B,'Category Table'!$A370)</f>
        <v/>
      </c>
      <c r="AC370" s="114">
        <f>SUMIFS('Committments Dump'!$S:$S,'Committments Dump'!$C:$C,'Category Table'!AC$2,'Committments Dump'!$B:$B,'Category Table'!$A370)</f>
        <v/>
      </c>
      <c r="AD370" s="113">
        <f>U370+X370+AA370</f>
        <v/>
      </c>
      <c r="AE370" s="114">
        <f>V370+Y370+AB370</f>
        <v/>
      </c>
      <c r="AF370" s="114">
        <f>W370+Z370+AC370</f>
        <v/>
      </c>
      <c r="AG370" s="113">
        <f>R370+AD370</f>
        <v/>
      </c>
      <c r="AH370" s="114">
        <f>S370+AE370</f>
        <v/>
      </c>
      <c r="AI370" s="114">
        <f>T370+AF370</f>
        <v/>
      </c>
      <c r="AJ370" s="113" t="n"/>
      <c r="AK370" s="114" t="n"/>
      <c r="AL370" s="114" t="n"/>
      <c r="AM370" s="113">
        <f>(O370-AG370)+AJ370</f>
        <v/>
      </c>
      <c r="AN370" s="114">
        <f>(P370-AH370)+AK370</f>
        <v/>
      </c>
      <c r="AO370" s="114">
        <f>(Q370-AI370)+AL370</f>
        <v/>
      </c>
      <c r="AP370" s="2">
        <f>IF(AM370&gt;0, "Under",IF(AM370&lt;0,"Over",""))</f>
        <v/>
      </c>
      <c r="AQ370" s="1">
        <f>IF(AN370&gt;0, "Under",IF(AN370&lt;0,"Over",""))</f>
        <v/>
      </c>
      <c r="AR370" s="1">
        <f>IF(AO370&gt;0, "Under",IF(AO370&lt;0,"Over",""))</f>
        <v/>
      </c>
      <c r="AS370" s="3" t="n"/>
    </row>
  </sheetData>
  <autoFilter ref="A3:AR370"/>
  <conditionalFormatting sqref="AP4:AR370">
    <cfRule type="containsText" priority="1" operator="containsText" dxfId="0" text="Over">
      <formula>NOT(ISERROR(SEARCH("Over",AP4)))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E5" sqref="E5"/>
    </sheetView>
  </sheetViews>
  <sheetFormatPr baseColWidth="8" defaultRowHeight="14.4"/>
  <cols>
    <col width="13.5546875" customWidth="1" style="42" min="1" max="1"/>
    <col width="17" customWidth="1" style="42" min="2" max="2"/>
    <col width="15.21875" customWidth="1" style="38" min="3" max="3"/>
    <col width="17" customWidth="1" style="72" min="4" max="4"/>
    <col width="17" customWidth="1" style="114" min="5" max="5"/>
    <col width="34.44140625" customWidth="1" min="6" max="6"/>
  </cols>
  <sheetData>
    <row r="1" ht="15" customHeight="1" thickBot="1">
      <c r="E1" s="114">
        <f>SUBTOTAL(9,E3:E150)</f>
        <v/>
      </c>
    </row>
    <row r="2" ht="15" customFormat="1" customHeight="1" s="1" thickBot="1">
      <c r="A2" s="54" t="inlineStr">
        <is>
          <t>Date</t>
        </is>
      </c>
      <c r="B2" s="55" t="inlineStr">
        <is>
          <t>PO Number</t>
        </is>
      </c>
      <c r="C2" s="55" t="inlineStr">
        <is>
          <t>Cost Code</t>
        </is>
      </c>
      <c r="D2" s="55" t="inlineStr">
        <is>
          <t>Category</t>
        </is>
      </c>
      <c r="E2" s="56" t="inlineStr">
        <is>
          <t>Amount</t>
        </is>
      </c>
      <c r="F2" s="57" t="inlineStr">
        <is>
          <t>Description of Cost</t>
        </is>
      </c>
    </row>
    <row r="3" ht="15" customHeight="1" thickTop="1">
      <c r="A3" s="58" t="n"/>
      <c r="B3" s="67" t="n"/>
      <c r="E3" s="117" t="n"/>
      <c r="F3" s="59" t="n"/>
    </row>
    <row r="4">
      <c r="A4" s="60" t="n"/>
      <c r="B4" s="66" t="n"/>
      <c r="C4" s="61" t="n"/>
      <c r="D4" s="73" t="n"/>
      <c r="E4" s="118" t="n"/>
      <c r="F4" s="62" t="n"/>
    </row>
    <row r="5">
      <c r="A5" s="58" t="n"/>
      <c r="B5" s="67" t="n"/>
      <c r="E5" s="117" t="n"/>
      <c r="F5" s="59" t="n"/>
    </row>
    <row r="6">
      <c r="A6" s="60" t="n"/>
      <c r="B6" s="66" t="n"/>
      <c r="C6" s="61" t="n"/>
      <c r="D6" s="73" t="n"/>
      <c r="E6" s="118" t="n"/>
      <c r="F6" s="62" t="n"/>
    </row>
    <row r="7">
      <c r="A7" s="58" t="n"/>
      <c r="B7" s="67" t="n"/>
      <c r="E7" s="117" t="n"/>
      <c r="F7" s="59" t="n"/>
    </row>
    <row r="8">
      <c r="A8" s="60" t="n"/>
      <c r="B8" s="66" t="n"/>
      <c r="C8" s="61" t="n"/>
      <c r="D8" s="73" t="n"/>
      <c r="E8" s="118" t="n"/>
      <c r="F8" s="62" t="n"/>
    </row>
    <row r="9">
      <c r="A9" s="58" t="n"/>
      <c r="B9" s="67" t="n"/>
      <c r="E9" s="117" t="n"/>
      <c r="F9" s="59" t="n"/>
    </row>
    <row r="10">
      <c r="A10" s="60" t="n"/>
      <c r="B10" s="66" t="n"/>
      <c r="C10" s="61" t="n"/>
      <c r="D10" s="73" t="n"/>
      <c r="E10" s="118" t="n"/>
      <c r="F10" s="62" t="n"/>
    </row>
    <row r="11">
      <c r="A11" s="58" t="n"/>
      <c r="B11" s="67" t="n"/>
      <c r="E11" s="117" t="n"/>
      <c r="F11" s="59" t="n"/>
    </row>
    <row r="12">
      <c r="A12" s="60" t="n"/>
      <c r="B12" s="66" t="n"/>
      <c r="C12" s="61" t="n"/>
      <c r="D12" s="73" t="n"/>
      <c r="E12" s="118" t="n"/>
      <c r="F12" s="62" t="n"/>
    </row>
    <row r="13">
      <c r="A13" s="58" t="n"/>
      <c r="B13" s="67" t="n"/>
      <c r="E13" s="117" t="n"/>
      <c r="F13" s="59" t="n"/>
    </row>
    <row r="14">
      <c r="A14" s="60" t="n"/>
      <c r="B14" s="66" t="n"/>
      <c r="C14" s="61" t="n"/>
      <c r="D14" s="73" t="n"/>
      <c r="E14" s="118" t="n"/>
      <c r="F14" s="62" t="n"/>
    </row>
    <row r="15">
      <c r="A15" s="58" t="n"/>
      <c r="B15" s="67" t="n"/>
      <c r="E15" s="117" t="n"/>
      <c r="F15" s="59" t="n"/>
    </row>
    <row r="16">
      <c r="A16" s="60" t="n"/>
      <c r="B16" s="66" t="n"/>
      <c r="C16" s="61" t="n"/>
      <c r="D16" s="73" t="n"/>
      <c r="E16" s="118" t="n"/>
      <c r="F16" s="62" t="n"/>
    </row>
    <row r="17">
      <c r="A17" s="58" t="n"/>
      <c r="B17" s="67" t="n"/>
      <c r="E17" s="117" t="n"/>
      <c r="F17" s="59" t="n"/>
    </row>
    <row r="18">
      <c r="A18" s="60" t="n"/>
      <c r="B18" s="66" t="n"/>
      <c r="C18" s="61" t="n"/>
      <c r="D18" s="73" t="n"/>
      <c r="E18" s="118" t="n"/>
      <c r="F18" s="62" t="n"/>
    </row>
    <row r="19">
      <c r="A19" s="58" t="n"/>
      <c r="B19" s="67" t="n"/>
      <c r="E19" s="117" t="n"/>
      <c r="F19" s="59" t="n"/>
    </row>
    <row r="20">
      <c r="A20" s="60" t="n"/>
      <c r="B20" s="66" t="n"/>
      <c r="C20" s="61" t="n"/>
      <c r="D20" s="73" t="n"/>
      <c r="E20" s="118" t="n"/>
      <c r="F20" s="62" t="n"/>
    </row>
    <row r="21">
      <c r="A21" s="58" t="n"/>
      <c r="B21" s="67" t="n"/>
      <c r="E21" s="117" t="n"/>
      <c r="F21" s="59" t="n"/>
    </row>
    <row r="22">
      <c r="A22" s="60" t="n"/>
      <c r="B22" s="66" t="n"/>
      <c r="C22" s="61" t="n"/>
      <c r="D22" s="73" t="n"/>
      <c r="E22" s="118" t="n"/>
      <c r="F22" s="62" t="n"/>
    </row>
    <row r="23">
      <c r="A23" s="58" t="n"/>
      <c r="B23" s="67" t="n"/>
      <c r="E23" s="117" t="n"/>
      <c r="F23" s="59" t="n"/>
    </row>
    <row r="24">
      <c r="A24" s="60" t="n"/>
      <c r="B24" s="66" t="n"/>
      <c r="C24" s="61" t="n"/>
      <c r="D24" s="73" t="n"/>
      <c r="E24" s="118" t="n"/>
      <c r="F24" s="62" t="n"/>
    </row>
    <row r="25">
      <c r="A25" s="58" t="n"/>
      <c r="B25" s="67" t="n"/>
      <c r="E25" s="117" t="n"/>
      <c r="F25" s="59" t="n"/>
    </row>
    <row r="26">
      <c r="A26" s="60" t="n"/>
      <c r="B26" s="66" t="n"/>
      <c r="C26" s="61" t="n"/>
      <c r="D26" s="73" t="n"/>
      <c r="E26" s="118" t="n"/>
      <c r="F26" s="62" t="n"/>
    </row>
    <row r="27">
      <c r="A27" s="58" t="n"/>
      <c r="B27" s="67" t="n"/>
      <c r="E27" s="117" t="n"/>
      <c r="F27" s="59" t="n"/>
    </row>
    <row r="28">
      <c r="A28" s="60" t="n"/>
      <c r="B28" s="66" t="n"/>
      <c r="C28" s="61" t="n"/>
      <c r="D28" s="73" t="n"/>
      <c r="E28" s="118" t="n"/>
      <c r="F28" s="62" t="n"/>
    </row>
    <row r="29">
      <c r="A29" s="58" t="n"/>
      <c r="B29" s="67" t="n"/>
      <c r="E29" s="117" t="n"/>
      <c r="F29" s="59" t="n"/>
    </row>
    <row r="30">
      <c r="A30" s="60" t="n"/>
      <c r="B30" s="66" t="n"/>
      <c r="C30" s="61" t="n"/>
      <c r="D30" s="73" t="n"/>
      <c r="E30" s="118" t="n"/>
      <c r="F30" s="62" t="n"/>
    </row>
    <row r="31">
      <c r="A31" s="58" t="n"/>
      <c r="B31" s="67" t="n"/>
      <c r="E31" s="117" t="n"/>
      <c r="F31" s="59" t="n"/>
    </row>
    <row r="32">
      <c r="A32" s="60" t="n"/>
      <c r="B32" s="66" t="n"/>
      <c r="C32" s="61" t="n"/>
      <c r="D32" s="73" t="n"/>
      <c r="E32" s="118" t="n"/>
      <c r="F32" s="62" t="n"/>
    </row>
    <row r="33">
      <c r="A33" s="58" t="n"/>
      <c r="B33" s="67" t="n"/>
      <c r="E33" s="117" t="n"/>
      <c r="F33" s="59" t="n"/>
    </row>
    <row r="34">
      <c r="A34" s="60" t="n"/>
      <c r="B34" s="66" t="n"/>
      <c r="C34" s="61" t="n"/>
      <c r="D34" s="73" t="n"/>
      <c r="E34" s="118" t="n"/>
      <c r="F34" s="62" t="n"/>
    </row>
    <row r="35">
      <c r="A35" s="58" t="n"/>
      <c r="B35" s="67" t="n"/>
      <c r="E35" s="117" t="n"/>
      <c r="F35" s="59" t="n"/>
    </row>
    <row r="36">
      <c r="A36" s="60" t="n"/>
      <c r="B36" s="66" t="n"/>
      <c r="C36" s="61" t="n"/>
      <c r="D36" s="73" t="n"/>
      <c r="E36" s="118" t="n"/>
      <c r="F36" s="62" t="n"/>
    </row>
    <row r="37">
      <c r="A37" s="58" t="n"/>
      <c r="B37" s="67" t="n"/>
      <c r="E37" s="117" t="n"/>
      <c r="F37" s="59" t="n"/>
    </row>
    <row r="38">
      <c r="A38" s="60" t="n"/>
      <c r="B38" s="66" t="n"/>
      <c r="C38" s="61" t="n"/>
      <c r="D38" s="73" t="n"/>
      <c r="E38" s="118" t="n"/>
      <c r="F38" s="62" t="n"/>
    </row>
    <row r="39">
      <c r="A39" s="58" t="n"/>
      <c r="B39" s="67" t="n"/>
      <c r="E39" s="117" t="n"/>
      <c r="F39" s="59" t="n"/>
    </row>
    <row r="40">
      <c r="A40" s="60" t="n"/>
      <c r="B40" s="66" t="n"/>
      <c r="C40" s="61" t="n"/>
      <c r="D40" s="73" t="n"/>
      <c r="E40" s="118" t="n"/>
      <c r="F40" s="62" t="n"/>
    </row>
    <row r="41">
      <c r="A41" s="58" t="n"/>
      <c r="B41" s="67" t="n"/>
      <c r="E41" s="117" t="n"/>
      <c r="F41" s="59" t="n"/>
    </row>
    <row r="42">
      <c r="A42" s="60" t="n"/>
      <c r="B42" s="66" t="n"/>
      <c r="C42" s="61" t="n"/>
      <c r="D42" s="73" t="n"/>
      <c r="E42" s="118" t="n"/>
      <c r="F42" s="62" t="n"/>
    </row>
    <row r="43">
      <c r="A43" s="58" t="n"/>
      <c r="B43" s="67" t="n"/>
      <c r="E43" s="117" t="n"/>
      <c r="F43" s="59" t="n"/>
    </row>
    <row r="44">
      <c r="A44" s="60" t="n"/>
      <c r="B44" s="66" t="n"/>
      <c r="C44" s="61" t="n"/>
      <c r="D44" s="73" t="n"/>
      <c r="E44" s="118" t="n"/>
      <c r="F44" s="62" t="n"/>
    </row>
    <row r="45">
      <c r="A45" s="58" t="n"/>
      <c r="B45" s="67" t="n"/>
      <c r="E45" s="117" t="n"/>
      <c r="F45" s="59" t="n"/>
    </row>
    <row r="46">
      <c r="A46" s="60" t="n"/>
      <c r="B46" s="66" t="n"/>
      <c r="C46" s="61" t="n"/>
      <c r="D46" s="73" t="n"/>
      <c r="E46" s="118" t="n"/>
      <c r="F46" s="62" t="n"/>
    </row>
    <row r="47">
      <c r="A47" s="58" t="n"/>
      <c r="B47" s="67" t="n"/>
      <c r="E47" s="117" t="n"/>
      <c r="F47" s="59" t="n"/>
    </row>
    <row r="48">
      <c r="A48" s="60" t="n"/>
      <c r="B48" s="66" t="n"/>
      <c r="C48" s="61" t="n"/>
      <c r="D48" s="73" t="n"/>
      <c r="E48" s="118" t="n"/>
      <c r="F48" s="62" t="n"/>
    </row>
    <row r="49">
      <c r="A49" s="58" t="n"/>
      <c r="B49" s="67" t="n"/>
      <c r="E49" s="117" t="n"/>
      <c r="F49" s="59" t="n"/>
    </row>
    <row r="50">
      <c r="A50" s="60" t="n"/>
      <c r="B50" s="66" t="n"/>
      <c r="C50" s="61" t="n"/>
      <c r="D50" s="73" t="n"/>
      <c r="E50" s="118" t="n"/>
      <c r="F50" s="62" t="n"/>
    </row>
    <row r="51">
      <c r="A51" s="58" t="n"/>
      <c r="B51" s="67" t="n"/>
      <c r="E51" s="117" t="n"/>
      <c r="F51" s="59" t="n"/>
    </row>
    <row r="52">
      <c r="A52" s="60" t="n"/>
      <c r="B52" s="66" t="n"/>
      <c r="C52" s="61" t="n"/>
      <c r="D52" s="73" t="n"/>
      <c r="E52" s="118" t="n"/>
      <c r="F52" s="62" t="n"/>
    </row>
    <row r="53">
      <c r="A53" s="58" t="n"/>
      <c r="B53" s="67" t="n"/>
      <c r="E53" s="117" t="n"/>
      <c r="F53" s="59" t="n"/>
    </row>
    <row r="54">
      <c r="A54" s="60" t="n"/>
      <c r="B54" s="66" t="n"/>
      <c r="C54" s="61" t="n"/>
      <c r="D54" s="73" t="n"/>
      <c r="E54" s="118" t="n"/>
      <c r="F54" s="62" t="n"/>
    </row>
    <row r="55">
      <c r="A55" s="58" t="n"/>
      <c r="B55" s="67" t="n"/>
      <c r="E55" s="117" t="n"/>
      <c r="F55" s="59" t="n"/>
    </row>
    <row r="56">
      <c r="A56" s="60" t="n"/>
      <c r="B56" s="66" t="n"/>
      <c r="C56" s="61" t="n"/>
      <c r="D56" s="73" t="n"/>
      <c r="E56" s="118" t="n"/>
      <c r="F56" s="62" t="n"/>
    </row>
    <row r="57">
      <c r="A57" s="58" t="n"/>
      <c r="B57" s="67" t="n"/>
      <c r="E57" s="117" t="n"/>
      <c r="F57" s="59" t="n"/>
    </row>
    <row r="58">
      <c r="A58" s="60" t="n"/>
      <c r="B58" s="66" t="n"/>
      <c r="C58" s="61" t="n"/>
      <c r="D58" s="73" t="n"/>
      <c r="E58" s="118" t="n"/>
      <c r="F58" s="62" t="n"/>
    </row>
    <row r="59">
      <c r="A59" s="58" t="n"/>
      <c r="B59" s="67" t="n"/>
      <c r="E59" s="117" t="n"/>
      <c r="F59" s="59" t="n"/>
    </row>
    <row r="60">
      <c r="A60" s="60" t="n"/>
      <c r="B60" s="66" t="n"/>
      <c r="C60" s="61" t="n"/>
      <c r="D60" s="73" t="n"/>
      <c r="E60" s="118" t="n"/>
      <c r="F60" s="62" t="n"/>
    </row>
    <row r="61">
      <c r="A61" s="58" t="n"/>
      <c r="B61" s="67" t="n"/>
      <c r="E61" s="117" t="n"/>
      <c r="F61" s="59" t="n"/>
    </row>
    <row r="62">
      <c r="A62" s="60" t="n"/>
      <c r="B62" s="66" t="n"/>
      <c r="C62" s="61" t="n"/>
      <c r="D62" s="73" t="n"/>
      <c r="E62" s="118" t="n"/>
      <c r="F62" s="62" t="n"/>
    </row>
    <row r="63">
      <c r="A63" s="58" t="n"/>
      <c r="B63" s="67" t="n"/>
      <c r="E63" s="117" t="n"/>
      <c r="F63" s="59" t="n"/>
    </row>
    <row r="64">
      <c r="A64" s="60" t="n"/>
      <c r="B64" s="66" t="n"/>
      <c r="C64" s="61" t="n"/>
      <c r="D64" s="73" t="n"/>
      <c r="E64" s="118" t="n"/>
      <c r="F64" s="62" t="n"/>
    </row>
    <row r="65">
      <c r="A65" s="58" t="n"/>
      <c r="B65" s="67" t="n"/>
      <c r="E65" s="117" t="n"/>
      <c r="F65" s="59" t="n"/>
    </row>
    <row r="66">
      <c r="A66" s="60" t="n"/>
      <c r="B66" s="66" t="n"/>
      <c r="C66" s="61" t="n"/>
      <c r="D66" s="73" t="n"/>
      <c r="E66" s="118" t="n"/>
      <c r="F66" s="62" t="n"/>
    </row>
    <row r="67">
      <c r="A67" s="58" t="n"/>
      <c r="B67" s="67" t="n"/>
      <c r="E67" s="117" t="n"/>
      <c r="F67" s="59" t="n"/>
    </row>
    <row r="68">
      <c r="A68" s="60" t="n"/>
      <c r="B68" s="66" t="n"/>
      <c r="C68" s="61" t="n"/>
      <c r="D68" s="73" t="n"/>
      <c r="E68" s="118" t="n"/>
      <c r="F68" s="62" t="n"/>
    </row>
    <row r="69">
      <c r="A69" s="58" t="n"/>
      <c r="B69" s="67" t="n"/>
      <c r="E69" s="117" t="n"/>
      <c r="F69" s="59" t="n"/>
    </row>
    <row r="70">
      <c r="A70" s="60" t="n"/>
      <c r="B70" s="66" t="n"/>
      <c r="C70" s="61" t="n"/>
      <c r="D70" s="73" t="n"/>
      <c r="E70" s="118" t="n"/>
      <c r="F70" s="62" t="n"/>
    </row>
    <row r="71">
      <c r="A71" s="58" t="n"/>
      <c r="B71" s="67" t="n"/>
      <c r="E71" s="117" t="n"/>
      <c r="F71" s="59" t="n"/>
    </row>
    <row r="72">
      <c r="A72" s="60" t="n"/>
      <c r="B72" s="66" t="n"/>
      <c r="C72" s="61" t="n"/>
      <c r="D72" s="73" t="n"/>
      <c r="E72" s="118" t="n"/>
      <c r="F72" s="62" t="n"/>
    </row>
    <row r="73">
      <c r="A73" s="58" t="n"/>
      <c r="B73" s="67" t="n"/>
      <c r="E73" s="117" t="n"/>
      <c r="F73" s="59" t="n"/>
    </row>
    <row r="74">
      <c r="A74" s="60" t="n"/>
      <c r="B74" s="66" t="n"/>
      <c r="C74" s="61" t="n"/>
      <c r="D74" s="73" t="n"/>
      <c r="E74" s="118" t="n"/>
      <c r="F74" s="62" t="n"/>
    </row>
    <row r="75">
      <c r="A75" s="58" t="n"/>
      <c r="B75" s="67" t="n"/>
      <c r="E75" s="117" t="n"/>
      <c r="F75" s="59" t="n"/>
    </row>
    <row r="76">
      <c r="A76" s="60" t="n"/>
      <c r="B76" s="66" t="n"/>
      <c r="C76" s="61" t="n"/>
      <c r="D76" s="73" t="n"/>
      <c r="E76" s="118" t="n"/>
      <c r="F76" s="62" t="n"/>
    </row>
    <row r="77">
      <c r="A77" s="58" t="n"/>
      <c r="B77" s="67" t="n"/>
      <c r="E77" s="117" t="n"/>
      <c r="F77" s="59" t="n"/>
    </row>
    <row r="78">
      <c r="A78" s="60" t="n"/>
      <c r="B78" s="66" t="n"/>
      <c r="C78" s="61" t="n"/>
      <c r="D78" s="73" t="n"/>
      <c r="E78" s="118" t="n"/>
      <c r="F78" s="62" t="n"/>
    </row>
    <row r="79">
      <c r="A79" s="58" t="n"/>
      <c r="B79" s="67" t="n"/>
      <c r="E79" s="117" t="n"/>
      <c r="F79" s="59" t="n"/>
    </row>
    <row r="80">
      <c r="A80" s="60" t="n"/>
      <c r="B80" s="66" t="n"/>
      <c r="C80" s="61" t="n"/>
      <c r="D80" s="73" t="n"/>
      <c r="E80" s="118" t="n"/>
      <c r="F80" s="62" t="n"/>
    </row>
    <row r="81">
      <c r="A81" s="58" t="n"/>
      <c r="B81" s="67" t="n"/>
      <c r="E81" s="117" t="n"/>
      <c r="F81" s="59" t="n"/>
    </row>
    <row r="82">
      <c r="A82" s="60" t="n"/>
      <c r="B82" s="66" t="n"/>
      <c r="C82" s="61" t="n"/>
      <c r="D82" s="73" t="n"/>
      <c r="E82" s="118" t="n"/>
      <c r="F82" s="62" t="n"/>
    </row>
    <row r="83">
      <c r="A83" s="58" t="n"/>
      <c r="B83" s="67" t="n"/>
      <c r="E83" s="117" t="n"/>
      <c r="F83" s="59" t="n"/>
    </row>
    <row r="84">
      <c r="A84" s="60" t="n"/>
      <c r="B84" s="66" t="n"/>
      <c r="C84" s="61" t="n"/>
      <c r="D84" s="73" t="n"/>
      <c r="E84" s="118" t="n"/>
      <c r="F84" s="62" t="n"/>
    </row>
    <row r="85">
      <c r="A85" s="58" t="n"/>
      <c r="B85" s="67" t="n"/>
      <c r="E85" s="117" t="n"/>
      <c r="F85" s="59" t="n"/>
    </row>
    <row r="86">
      <c r="A86" s="60" t="n"/>
      <c r="B86" s="66" t="n"/>
      <c r="C86" s="61" t="n"/>
      <c r="D86" s="73" t="n"/>
      <c r="E86" s="118" t="n"/>
      <c r="F86" s="62" t="n"/>
    </row>
    <row r="87">
      <c r="A87" s="58" t="n"/>
      <c r="B87" s="67" t="n"/>
      <c r="E87" s="117" t="n"/>
      <c r="F87" s="59" t="n"/>
    </row>
    <row r="88">
      <c r="A88" s="60" t="n"/>
      <c r="B88" s="66" t="n"/>
      <c r="C88" s="61" t="n"/>
      <c r="D88" s="73" t="n"/>
      <c r="E88" s="118" t="n"/>
      <c r="F88" s="62" t="n"/>
    </row>
    <row r="89">
      <c r="A89" s="58" t="n"/>
      <c r="B89" s="67" t="n"/>
      <c r="E89" s="117" t="n"/>
      <c r="F89" s="59" t="n"/>
    </row>
    <row r="90">
      <c r="A90" s="60" t="n"/>
      <c r="B90" s="66" t="n"/>
      <c r="C90" s="61" t="n"/>
      <c r="D90" s="73" t="n"/>
      <c r="E90" s="118" t="n"/>
      <c r="F90" s="62" t="n"/>
    </row>
    <row r="91">
      <c r="A91" s="58" t="n"/>
      <c r="B91" s="67" t="n"/>
      <c r="E91" s="117" t="n"/>
      <c r="F91" s="59" t="n"/>
    </row>
    <row r="92">
      <c r="A92" s="60" t="n"/>
      <c r="B92" s="66" t="n"/>
      <c r="C92" s="61" t="n"/>
      <c r="D92" s="73" t="n"/>
      <c r="E92" s="118" t="n"/>
      <c r="F92" s="62" t="n"/>
    </row>
    <row r="93">
      <c r="A93" s="58" t="n"/>
      <c r="B93" s="67" t="n"/>
      <c r="E93" s="117" t="n"/>
      <c r="F93" s="59" t="n"/>
    </row>
    <row r="94">
      <c r="A94" s="60" t="n"/>
      <c r="B94" s="66" t="n"/>
      <c r="C94" s="61" t="n"/>
      <c r="D94" s="73" t="n"/>
      <c r="E94" s="118" t="n"/>
      <c r="F94" s="62" t="n"/>
    </row>
    <row r="95">
      <c r="A95" s="58" t="n"/>
      <c r="B95" s="67" t="n"/>
      <c r="E95" s="117" t="n"/>
      <c r="F95" s="59" t="n"/>
    </row>
    <row r="96">
      <c r="A96" s="60" t="n"/>
      <c r="B96" s="66" t="n"/>
      <c r="C96" s="61" t="n"/>
      <c r="D96" s="73" t="n"/>
      <c r="E96" s="118" t="n"/>
      <c r="F96" s="62" t="n"/>
    </row>
    <row r="97">
      <c r="A97" s="58" t="n"/>
      <c r="B97" s="67" t="n"/>
      <c r="E97" s="117" t="n"/>
      <c r="F97" s="59" t="n"/>
    </row>
    <row r="98">
      <c r="A98" s="60" t="n"/>
      <c r="B98" s="66" t="n"/>
      <c r="C98" s="61" t="n"/>
      <c r="D98" s="73" t="n"/>
      <c r="E98" s="118" t="n"/>
      <c r="F98" s="62" t="n"/>
    </row>
    <row r="99">
      <c r="A99" s="58" t="n"/>
      <c r="B99" s="67" t="n"/>
      <c r="E99" s="117" t="n"/>
      <c r="F99" s="59" t="n"/>
    </row>
    <row r="100">
      <c r="A100" s="60" t="n"/>
      <c r="B100" s="66" t="n"/>
      <c r="C100" s="61" t="n"/>
      <c r="D100" s="73" t="n"/>
      <c r="E100" s="118" t="n"/>
      <c r="F100" s="62" t="n"/>
    </row>
    <row r="101">
      <c r="A101" s="58" t="n"/>
      <c r="B101" s="67" t="n"/>
      <c r="E101" s="117" t="n"/>
      <c r="F101" s="59" t="n"/>
    </row>
    <row r="102">
      <c r="A102" s="60" t="n"/>
      <c r="B102" s="66" t="n"/>
      <c r="C102" s="61" t="n"/>
      <c r="D102" s="73" t="n"/>
      <c r="E102" s="118" t="n"/>
      <c r="F102" s="62" t="n"/>
    </row>
    <row r="103">
      <c r="A103" s="58" t="n"/>
      <c r="B103" s="67" t="n"/>
      <c r="E103" s="117" t="n"/>
      <c r="F103" s="59" t="n"/>
    </row>
    <row r="104">
      <c r="A104" s="60" t="n"/>
      <c r="B104" s="66" t="n"/>
      <c r="C104" s="61" t="n"/>
      <c r="D104" s="73" t="n"/>
      <c r="E104" s="118" t="n"/>
      <c r="F104" s="62" t="n"/>
    </row>
    <row r="105">
      <c r="A105" s="58" t="n"/>
      <c r="B105" s="67" t="n"/>
      <c r="E105" s="117" t="n"/>
      <c r="F105" s="59" t="n"/>
    </row>
    <row r="106">
      <c r="A106" s="60" t="n"/>
      <c r="B106" s="66" t="n"/>
      <c r="C106" s="61" t="n"/>
      <c r="D106" s="73" t="n"/>
      <c r="E106" s="118" t="n"/>
      <c r="F106" s="62" t="n"/>
    </row>
    <row r="107">
      <c r="A107" s="58" t="n"/>
      <c r="B107" s="67" t="n"/>
      <c r="E107" s="117" t="n"/>
      <c r="F107" s="59" t="n"/>
    </row>
    <row r="108">
      <c r="A108" s="60" t="n"/>
      <c r="B108" s="66" t="n"/>
      <c r="C108" s="61" t="n"/>
      <c r="D108" s="73" t="n"/>
      <c r="E108" s="118" t="n"/>
      <c r="F108" s="62" t="n"/>
    </row>
    <row r="109">
      <c r="A109" s="58" t="n"/>
      <c r="B109" s="67" t="n"/>
      <c r="E109" s="117" t="n"/>
      <c r="F109" s="59" t="n"/>
    </row>
    <row r="110">
      <c r="A110" s="60" t="n"/>
      <c r="B110" s="66" t="n"/>
      <c r="C110" s="61" t="n"/>
      <c r="D110" s="73" t="n"/>
      <c r="E110" s="118" t="n"/>
      <c r="F110" s="62" t="n"/>
    </row>
    <row r="111">
      <c r="A111" s="58" t="n"/>
      <c r="B111" s="67" t="n"/>
      <c r="E111" s="117" t="n"/>
      <c r="F111" s="59" t="n"/>
    </row>
    <row r="112">
      <c r="A112" s="60" t="n"/>
      <c r="B112" s="66" t="n"/>
      <c r="C112" s="61" t="n"/>
      <c r="D112" s="73" t="n"/>
      <c r="E112" s="118" t="n"/>
      <c r="F112" s="62" t="n"/>
    </row>
    <row r="113">
      <c r="A113" s="58" t="n"/>
      <c r="B113" s="67" t="n"/>
      <c r="E113" s="117" t="n"/>
      <c r="F113" s="59" t="n"/>
    </row>
    <row r="114">
      <c r="A114" s="60" t="n"/>
      <c r="B114" s="66" t="n"/>
      <c r="C114" s="61" t="n"/>
      <c r="D114" s="73" t="n"/>
      <c r="E114" s="118" t="n"/>
      <c r="F114" s="62" t="n"/>
    </row>
    <row r="115">
      <c r="A115" s="58" t="n"/>
      <c r="B115" s="67" t="n"/>
      <c r="E115" s="117" t="n"/>
      <c r="F115" s="59" t="n"/>
    </row>
    <row r="116">
      <c r="A116" s="60" t="n"/>
      <c r="B116" s="66" t="n"/>
      <c r="C116" s="61" t="n"/>
      <c r="D116" s="73" t="n"/>
      <c r="E116" s="118" t="n"/>
      <c r="F116" s="62" t="n"/>
    </row>
    <row r="117">
      <c r="A117" s="58" t="n"/>
      <c r="B117" s="67" t="n"/>
      <c r="E117" s="117" t="n"/>
      <c r="F117" s="59" t="n"/>
    </row>
    <row r="118">
      <c r="A118" s="60" t="n"/>
      <c r="B118" s="66" t="n"/>
      <c r="C118" s="61" t="n"/>
      <c r="D118" s="73" t="n"/>
      <c r="E118" s="118" t="n"/>
      <c r="F118" s="62" t="n"/>
    </row>
    <row r="119">
      <c r="A119" s="58" t="n"/>
      <c r="B119" s="67" t="n"/>
      <c r="E119" s="117" t="n"/>
      <c r="F119" s="59" t="n"/>
    </row>
    <row r="120">
      <c r="A120" s="60" t="n"/>
      <c r="B120" s="66" t="n"/>
      <c r="C120" s="61" t="n"/>
      <c r="D120" s="73" t="n"/>
      <c r="E120" s="118" t="n"/>
      <c r="F120" s="62" t="n"/>
    </row>
    <row r="121">
      <c r="A121" s="58" t="n"/>
      <c r="B121" s="67" t="n"/>
      <c r="E121" s="117" t="n"/>
      <c r="F121" s="59" t="n"/>
    </row>
    <row r="122">
      <c r="A122" s="60" t="n"/>
      <c r="B122" s="66" t="n"/>
      <c r="C122" s="61" t="n"/>
      <c r="D122" s="73" t="n"/>
      <c r="E122" s="118" t="n"/>
      <c r="F122" s="62" t="n"/>
    </row>
    <row r="123">
      <c r="A123" s="58" t="n"/>
      <c r="B123" s="67" t="n"/>
      <c r="E123" s="117" t="n"/>
      <c r="F123" s="59" t="n"/>
    </row>
    <row r="124">
      <c r="A124" s="60" t="n"/>
      <c r="B124" s="66" t="n"/>
      <c r="C124" s="61" t="n"/>
      <c r="D124" s="73" t="n"/>
      <c r="E124" s="118" t="n"/>
      <c r="F124" s="62" t="n"/>
    </row>
    <row r="125">
      <c r="A125" s="58" t="n"/>
      <c r="B125" s="67" t="n"/>
      <c r="E125" s="117" t="n"/>
      <c r="F125" s="59" t="n"/>
    </row>
    <row r="126">
      <c r="A126" s="60" t="n"/>
      <c r="B126" s="66" t="n"/>
      <c r="C126" s="61" t="n"/>
      <c r="D126" s="73" t="n"/>
      <c r="E126" s="118" t="n"/>
      <c r="F126" s="62" t="n"/>
    </row>
    <row r="127">
      <c r="A127" s="58" t="n"/>
      <c r="B127" s="67" t="n"/>
      <c r="E127" s="117" t="n"/>
      <c r="F127" s="59" t="n"/>
    </row>
    <row r="128">
      <c r="A128" s="60" t="n"/>
      <c r="B128" s="66" t="n"/>
      <c r="C128" s="61" t="n"/>
      <c r="D128" s="73" t="n"/>
      <c r="E128" s="118" t="n"/>
      <c r="F128" s="62" t="n"/>
    </row>
    <row r="129">
      <c r="A129" s="58" t="n"/>
      <c r="B129" s="67" t="n"/>
      <c r="E129" s="117" t="n"/>
      <c r="F129" s="59" t="n"/>
    </row>
    <row r="130">
      <c r="A130" s="60" t="n"/>
      <c r="B130" s="66" t="n"/>
      <c r="C130" s="61" t="n"/>
      <c r="D130" s="73" t="n"/>
      <c r="E130" s="118" t="n"/>
      <c r="F130" s="62" t="n"/>
    </row>
    <row r="131">
      <c r="A131" s="58" t="n"/>
      <c r="B131" s="67" t="n"/>
      <c r="E131" s="117" t="n"/>
      <c r="F131" s="59" t="n"/>
    </row>
    <row r="132">
      <c r="A132" s="60" t="n"/>
      <c r="B132" s="66" t="n"/>
      <c r="C132" s="61" t="n"/>
      <c r="D132" s="73" t="n"/>
      <c r="E132" s="118" t="n"/>
      <c r="F132" s="62" t="n"/>
    </row>
    <row r="133">
      <c r="A133" s="58" t="n"/>
      <c r="B133" s="67" t="n"/>
      <c r="E133" s="117" t="n"/>
      <c r="F133" s="59" t="n"/>
    </row>
    <row r="134">
      <c r="A134" s="60" t="n"/>
      <c r="B134" s="66" t="n"/>
      <c r="C134" s="61" t="n"/>
      <c r="D134" s="73" t="n"/>
      <c r="E134" s="118" t="n"/>
      <c r="F134" s="62" t="n"/>
    </row>
    <row r="135">
      <c r="A135" s="58" t="n"/>
      <c r="B135" s="67" t="n"/>
      <c r="E135" s="117" t="n"/>
      <c r="F135" s="59" t="n"/>
    </row>
    <row r="136">
      <c r="A136" s="60" t="n"/>
      <c r="B136" s="66" t="n"/>
      <c r="C136" s="61" t="n"/>
      <c r="D136" s="73" t="n"/>
      <c r="E136" s="118" t="n"/>
      <c r="F136" s="62" t="n"/>
    </row>
    <row r="137">
      <c r="A137" s="58" t="n"/>
      <c r="B137" s="67" t="n"/>
      <c r="E137" s="117" t="n"/>
      <c r="F137" s="59" t="n"/>
    </row>
    <row r="138">
      <c r="A138" s="60" t="n"/>
      <c r="B138" s="66" t="n"/>
      <c r="C138" s="61" t="n"/>
      <c r="D138" s="73" t="n"/>
      <c r="E138" s="118" t="n"/>
      <c r="F138" s="62" t="n"/>
    </row>
    <row r="139">
      <c r="A139" s="58" t="n"/>
      <c r="B139" s="67" t="n"/>
      <c r="E139" s="117" t="n"/>
      <c r="F139" s="59" t="n"/>
    </row>
    <row r="140">
      <c r="A140" s="60" t="n"/>
      <c r="B140" s="66" t="n"/>
      <c r="C140" s="61" t="n"/>
      <c r="D140" s="73" t="n"/>
      <c r="E140" s="118" t="n"/>
      <c r="F140" s="62" t="n"/>
    </row>
    <row r="141">
      <c r="A141" s="58" t="n"/>
      <c r="B141" s="67" t="n"/>
      <c r="E141" s="117" t="n"/>
      <c r="F141" s="59" t="n"/>
    </row>
    <row r="142">
      <c r="A142" s="60" t="n"/>
      <c r="B142" s="66" t="n"/>
      <c r="C142" s="61" t="n"/>
      <c r="D142" s="73" t="n"/>
      <c r="E142" s="118" t="n"/>
      <c r="F142" s="62" t="n"/>
    </row>
    <row r="143">
      <c r="A143" s="58" t="n"/>
      <c r="B143" s="67" t="n"/>
      <c r="E143" s="117" t="n"/>
      <c r="F143" s="59" t="n"/>
    </row>
    <row r="144">
      <c r="A144" s="60" t="n"/>
      <c r="B144" s="66" t="n"/>
      <c r="C144" s="61" t="n"/>
      <c r="D144" s="73" t="n"/>
      <c r="E144" s="118" t="n"/>
      <c r="F144" s="62" t="n"/>
    </row>
    <row r="145">
      <c r="A145" s="58" t="n"/>
      <c r="B145" s="67" t="n"/>
      <c r="E145" s="117" t="n"/>
      <c r="F145" s="59" t="n"/>
    </row>
    <row r="146">
      <c r="A146" s="60" t="n"/>
      <c r="B146" s="66" t="n"/>
      <c r="C146" s="61" t="n"/>
      <c r="D146" s="73" t="n"/>
      <c r="E146" s="118" t="n"/>
      <c r="F146" s="62" t="n"/>
    </row>
    <row r="147">
      <c r="A147" s="58" t="n"/>
      <c r="B147" s="67" t="n"/>
      <c r="E147" s="117" t="n"/>
      <c r="F147" s="59" t="n"/>
    </row>
    <row r="148">
      <c r="A148" s="60" t="n"/>
      <c r="B148" s="66" t="n"/>
      <c r="C148" s="61" t="n"/>
      <c r="D148" s="73" t="n"/>
      <c r="E148" s="118" t="n"/>
      <c r="F148" s="62" t="n"/>
    </row>
    <row r="149">
      <c r="A149" s="58" t="n"/>
      <c r="B149" s="67" t="n"/>
      <c r="E149" s="117" t="n"/>
      <c r="F149" s="59" t="n"/>
    </row>
    <row r="150" ht="15" customHeight="1" thickBot="1">
      <c r="A150" s="63" t="n"/>
      <c r="B150" s="70" t="n"/>
      <c r="C150" s="64" t="n"/>
      <c r="D150" s="74" t="n"/>
      <c r="E150" s="119" t="n"/>
      <c r="F150" s="65" t="n"/>
    </row>
  </sheetData>
  <autoFilter ref="A2:F3"/>
  <dataValidations count="1">
    <dataValidation sqref="D3:D150" showDropDown="0" showInputMessage="1" showErrorMessage="1" allowBlank="1" type="list">
      <formula1>"SU, OC, MA"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463"/>
  <sheetViews>
    <sheetView workbookViewId="0">
      <selection activeCell="S1" sqref="S1:S1048576"/>
    </sheetView>
  </sheetViews>
  <sheetFormatPr baseColWidth="8" defaultRowHeight="14.4"/>
  <cols>
    <col width="9" customWidth="1" min="1" max="16"/>
    <col width="14.77734375" bestFit="1" customWidth="1" min="17" max="17"/>
    <col width="20.6640625" bestFit="1" customWidth="1" min="18" max="18"/>
    <col width="17.33203125" bestFit="1" customWidth="1" min="19" max="19"/>
    <col width="11.77734375" bestFit="1" customWidth="1" min="20" max="20"/>
  </cols>
  <sheetData>
    <row r="1" ht="15.6" customHeight="1" thickBot="1">
      <c r="A1" s="18" t="inlineStr">
        <is>
          <t>Record Type</t>
        </is>
      </c>
      <c r="B1" s="19" t="inlineStr">
        <is>
          <t>Cost Code</t>
        </is>
      </c>
      <c r="C1" s="20" t="inlineStr">
        <is>
          <t>Category</t>
        </is>
      </c>
      <c r="D1" s="20" t="inlineStr">
        <is>
          <t>ttJTrans.ponumber</t>
        </is>
      </c>
      <c r="E1" s="21" t="inlineStr">
        <is>
          <t>CA</t>
        </is>
      </c>
      <c r="F1" s="20" t="inlineStr">
        <is>
          <t>PO Number</t>
        </is>
      </c>
      <c r="G1" s="22" t="inlineStr">
        <is>
          <t>Order Date</t>
        </is>
      </c>
      <c r="H1" s="120" t="inlineStr">
        <is>
          <t>Post Date</t>
        </is>
      </c>
      <c r="I1" s="20" t="inlineStr">
        <is>
          <t>Item</t>
        </is>
      </c>
      <c r="J1" s="24" t="inlineStr">
        <is>
          <t>Cost Code</t>
        </is>
      </c>
      <c r="K1" s="20" t="inlineStr">
        <is>
          <t>Description</t>
        </is>
      </c>
      <c r="L1" s="121" t="inlineStr">
        <is>
          <t>Quantity</t>
        </is>
      </c>
      <c r="M1" s="122" t="inlineStr">
        <is>
          <t>Current Order Value</t>
        </is>
      </c>
      <c r="N1" s="20" t="inlineStr">
        <is>
          <t>Type</t>
        </is>
      </c>
      <c r="O1" s="20" t="inlineStr">
        <is>
          <t>Account Number</t>
        </is>
      </c>
      <c r="P1" s="20" t="inlineStr">
        <is>
          <t>Name</t>
        </is>
      </c>
      <c r="Q1" s="123" t="inlineStr">
        <is>
          <t>Accrued Costs</t>
        </is>
      </c>
      <c r="R1" s="123" t="inlineStr">
        <is>
          <t>Actual Costs To Date</t>
        </is>
      </c>
      <c r="S1" s="123" t="inlineStr">
        <is>
          <t>Committed Costs</t>
        </is>
      </c>
      <c r="T1" s="29" t="inlineStr">
        <is>
          <t>Labor Hours</t>
        </is>
      </c>
    </row>
    <row r="2">
      <c r="A2" s="30" t="inlineStr">
        <is>
          <t>ttJTrans</t>
        </is>
      </c>
      <c r="B2" s="30" t="inlineStr">
        <is>
          <t>0-4000</t>
        </is>
      </c>
      <c r="C2" s="30" t="inlineStr">
        <is>
          <t>EQ</t>
        </is>
      </c>
      <c r="D2" s="30" t="inlineStr"/>
      <c r="E2" s="30" t="inlineStr">
        <is>
          <t>EQ</t>
        </is>
      </c>
      <c r="F2" s="30" t="inlineStr"/>
      <c r="G2" s="30" t="inlineStr"/>
      <c r="H2" s="124" t="n">
        <v>46131</v>
      </c>
      <c r="I2" s="30" t="inlineStr"/>
      <c r="J2" s="30" t="inlineStr">
        <is>
          <t>0-4000</t>
        </is>
      </c>
      <c r="K2" s="30" t="inlineStr">
        <is>
          <t>HT060 2020 PETERBILT 389 SLEEPER 2020 PETERBILT 389 SLEEPER</t>
        </is>
      </c>
      <c r="L2" s="30" t="n">
        <v>0</v>
      </c>
      <c r="M2" s="30" t="n">
        <v>0</v>
      </c>
      <c r="N2" s="30" t="inlineStr"/>
      <c r="O2" s="30" t="inlineStr">
        <is>
          <t>HT060</t>
        </is>
      </c>
      <c r="P2" s="30" t="inlineStr"/>
      <c r="Q2" s="30" t="n">
        <v>0</v>
      </c>
      <c r="R2" s="30" t="n">
        <v>250</v>
      </c>
      <c r="S2" s="30" t="n">
        <v>0</v>
      </c>
      <c r="T2" s="30" t="n">
        <v>0</v>
      </c>
    </row>
    <row r="3">
      <c r="A3" s="32" t="inlineStr">
        <is>
          <t>ttJTrans</t>
        </is>
      </c>
      <c r="B3" s="32" t="inlineStr">
        <is>
          <t>0-4000</t>
        </is>
      </c>
      <c r="C3" s="32" t="inlineStr">
        <is>
          <t>EQ</t>
        </is>
      </c>
      <c r="D3" s="32" t="inlineStr"/>
      <c r="E3" s="32" t="inlineStr">
        <is>
          <t>EQ</t>
        </is>
      </c>
      <c r="F3" s="32" t="inlineStr"/>
      <c r="G3" s="125" t="inlineStr"/>
      <c r="H3" s="126" t="n">
        <v>46131</v>
      </c>
      <c r="I3" s="32" t="inlineStr"/>
      <c r="J3" s="32" t="inlineStr">
        <is>
          <t>0-4000</t>
        </is>
      </c>
      <c r="K3" s="32" t="inlineStr">
        <is>
          <t>HT060 2020 PETERBILT 389 SLEEPER 2020 PETERBILT 389 SLEEPER</t>
        </is>
      </c>
      <c r="L3" s="32" t="n">
        <v>0</v>
      </c>
      <c r="M3" s="32" t="n">
        <v>0</v>
      </c>
      <c r="N3" s="32" t="inlineStr"/>
      <c r="O3" s="32" t="inlineStr">
        <is>
          <t>HT060</t>
        </is>
      </c>
      <c r="P3" s="32" t="inlineStr"/>
      <c r="Q3" s="32" t="n">
        <v>0</v>
      </c>
      <c r="R3" s="32" t="n">
        <v>250</v>
      </c>
      <c r="S3" s="32" t="n">
        <v>0</v>
      </c>
      <c r="T3" s="32" t="n">
        <v>0</v>
      </c>
    </row>
    <row r="4">
      <c r="A4" s="32" t="inlineStr">
        <is>
          <t>ttJTrans</t>
        </is>
      </c>
      <c r="B4" s="32" t="inlineStr">
        <is>
          <t>0-4000</t>
        </is>
      </c>
      <c r="C4" s="32" t="inlineStr">
        <is>
          <t>EQ</t>
        </is>
      </c>
      <c r="D4" s="32" t="inlineStr"/>
      <c r="E4" s="32" t="inlineStr">
        <is>
          <t>EQ</t>
        </is>
      </c>
      <c r="F4" s="32" t="inlineStr"/>
      <c r="G4" s="125" t="inlineStr"/>
      <c r="H4" s="126" t="n">
        <v>46131</v>
      </c>
      <c r="I4" s="32" t="inlineStr"/>
      <c r="J4" s="32" t="inlineStr">
        <is>
          <t>0-4000</t>
        </is>
      </c>
      <c r="K4" s="32" t="inlineStr">
        <is>
          <t>HT060 2020 PETERBILT 389 SLEEPER 2020 PETERBILT 389 SLEEPER</t>
        </is>
      </c>
      <c r="L4" s="32" t="n">
        <v>0</v>
      </c>
      <c r="M4" s="32" t="n">
        <v>0</v>
      </c>
      <c r="N4" s="32" t="inlineStr"/>
      <c r="O4" s="32" t="inlineStr">
        <is>
          <t>HT060</t>
        </is>
      </c>
      <c r="P4" s="32" t="inlineStr"/>
      <c r="Q4" s="32" t="n">
        <v>0</v>
      </c>
      <c r="R4" s="32" t="n">
        <v>250</v>
      </c>
      <c r="S4" s="32" t="n">
        <v>0</v>
      </c>
      <c r="T4" s="32" t="n">
        <v>0</v>
      </c>
    </row>
    <row r="5">
      <c r="A5" s="32" t="inlineStr">
        <is>
          <t>ttJTrans</t>
        </is>
      </c>
      <c r="B5" s="32" t="inlineStr">
        <is>
          <t>0-4000</t>
        </is>
      </c>
      <c r="C5" s="32" t="inlineStr">
        <is>
          <t>EQ</t>
        </is>
      </c>
      <c r="D5" s="32" t="inlineStr"/>
      <c r="E5" s="32" t="inlineStr">
        <is>
          <t>EQ</t>
        </is>
      </c>
      <c r="F5" s="32" t="inlineStr"/>
      <c r="G5" s="32" t="inlineStr"/>
      <c r="H5" s="126" t="n">
        <v>46131</v>
      </c>
      <c r="I5" s="32" t="inlineStr"/>
      <c r="J5" s="32" t="inlineStr">
        <is>
          <t>0-4000</t>
        </is>
      </c>
      <c r="K5" s="32" t="inlineStr">
        <is>
          <t>HT060 2020 PETERBILT 389 SLEEPER 2020 PETERBILT 389 SLEEPER</t>
        </is>
      </c>
      <c r="L5" s="32" t="n">
        <v>0</v>
      </c>
      <c r="M5" s="32" t="n">
        <v>0</v>
      </c>
      <c r="N5" s="32" t="inlineStr"/>
      <c r="O5" s="32" t="inlineStr">
        <is>
          <t>HT060</t>
        </is>
      </c>
      <c r="P5" s="32" t="inlineStr"/>
      <c r="Q5" s="32" t="n">
        <v>0</v>
      </c>
      <c r="R5" s="32" t="n">
        <v>250</v>
      </c>
      <c r="S5" s="32" t="n">
        <v>0</v>
      </c>
      <c r="T5" s="32" t="n">
        <v>0</v>
      </c>
    </row>
    <row r="6">
      <c r="A6" s="32" t="inlineStr">
        <is>
          <t>ttJTrans</t>
        </is>
      </c>
      <c r="B6" s="32" t="inlineStr">
        <is>
          <t>0-4000</t>
        </is>
      </c>
      <c r="C6" s="32" t="inlineStr">
        <is>
          <t>EQ</t>
        </is>
      </c>
      <c r="D6" s="32" t="inlineStr"/>
      <c r="E6" s="32" t="inlineStr">
        <is>
          <t>EQ</t>
        </is>
      </c>
      <c r="F6" s="32" t="inlineStr"/>
      <c r="G6" s="32" t="inlineStr"/>
      <c r="H6" s="126" t="n">
        <v>46131</v>
      </c>
      <c r="I6" s="32" t="inlineStr"/>
      <c r="J6" s="32" t="inlineStr">
        <is>
          <t>0-4000</t>
        </is>
      </c>
      <c r="K6" s="32" t="inlineStr">
        <is>
          <t>HT064 2025 PETERBILT 589 SLEEPER CAB 2025 PETERBILT 589 SLEEPER CAB</t>
        </is>
      </c>
      <c r="L6" s="32" t="n">
        <v>0</v>
      </c>
      <c r="M6" s="32" t="n">
        <v>0</v>
      </c>
      <c r="N6" s="32" t="inlineStr"/>
      <c r="O6" s="32" t="inlineStr">
        <is>
          <t>HT064</t>
        </is>
      </c>
      <c r="P6" s="32" t="inlineStr"/>
      <c r="Q6" s="32" t="n">
        <v>0</v>
      </c>
      <c r="R6" s="32" t="n">
        <v>250</v>
      </c>
      <c r="S6" s="32" t="n">
        <v>0</v>
      </c>
      <c r="T6" s="32" t="n">
        <v>0</v>
      </c>
    </row>
    <row r="7">
      <c r="A7" s="32" t="inlineStr">
        <is>
          <t>ttJTrans</t>
        </is>
      </c>
      <c r="B7" s="32" t="inlineStr">
        <is>
          <t>0-4000</t>
        </is>
      </c>
      <c r="C7" s="32" t="inlineStr">
        <is>
          <t>EQ</t>
        </is>
      </c>
      <c r="D7" s="32" t="inlineStr"/>
      <c r="E7" s="32" t="inlineStr">
        <is>
          <t>EQ</t>
        </is>
      </c>
      <c r="F7" s="32" t="inlineStr"/>
      <c r="G7" s="35" t="inlineStr"/>
      <c r="H7" s="126" t="n">
        <v>46131</v>
      </c>
      <c r="I7" s="32" t="inlineStr"/>
      <c r="J7" s="32" t="inlineStr">
        <is>
          <t>0-4000</t>
        </is>
      </c>
      <c r="K7" s="32" t="inlineStr">
        <is>
          <t>HT064 2025 PETERBILT 589 SLEEPER CAB 2025 PETERBILT 589 SLEEPER CAB</t>
        </is>
      </c>
      <c r="L7" s="32" t="n">
        <v>0</v>
      </c>
      <c r="M7" s="32" t="n">
        <v>0</v>
      </c>
      <c r="N7" s="32" t="inlineStr"/>
      <c r="O7" s="32" t="inlineStr">
        <is>
          <t>HT064</t>
        </is>
      </c>
      <c r="P7" s="32" t="inlineStr"/>
      <c r="Q7" s="32" t="n">
        <v>0</v>
      </c>
      <c r="R7" s="32" t="n">
        <v>250</v>
      </c>
      <c r="S7" s="32" t="n">
        <v>0</v>
      </c>
      <c r="T7" s="32" t="n">
        <v>0</v>
      </c>
    </row>
    <row r="8">
      <c r="A8" s="32" t="inlineStr">
        <is>
          <t>ttJTrans</t>
        </is>
      </c>
      <c r="B8" s="32" t="inlineStr">
        <is>
          <t>0-4000</t>
        </is>
      </c>
      <c r="C8" s="32" t="inlineStr">
        <is>
          <t>EQ</t>
        </is>
      </c>
      <c r="D8" s="32" t="inlineStr"/>
      <c r="E8" s="32" t="inlineStr">
        <is>
          <t>EQ</t>
        </is>
      </c>
      <c r="F8" s="32" t="inlineStr"/>
      <c r="G8" s="35" t="inlineStr"/>
      <c r="H8" s="126" t="n">
        <v>46131</v>
      </c>
      <c r="I8" s="32" t="inlineStr"/>
      <c r="J8" s="32" t="inlineStr">
        <is>
          <t>0-4000</t>
        </is>
      </c>
      <c r="K8" s="32" t="inlineStr">
        <is>
          <t>HT064 2025 PETERBILT 589 SLEEPER CAB 2025 PETERBILT 589 SLEEPER CAB</t>
        </is>
      </c>
      <c r="L8" s="32" t="n">
        <v>0</v>
      </c>
      <c r="M8" s="32" t="n">
        <v>0</v>
      </c>
      <c r="N8" s="32" t="inlineStr"/>
      <c r="O8" s="32" t="inlineStr">
        <is>
          <t>HT064</t>
        </is>
      </c>
      <c r="P8" s="32" t="inlineStr"/>
      <c r="Q8" s="32" t="n">
        <v>0</v>
      </c>
      <c r="R8" s="32" t="n">
        <v>250</v>
      </c>
      <c r="S8" s="32" t="n">
        <v>0</v>
      </c>
      <c r="T8" s="32" t="n">
        <v>0</v>
      </c>
    </row>
    <row r="9">
      <c r="A9" s="32" t="inlineStr">
        <is>
          <t>ttJTrans</t>
        </is>
      </c>
      <c r="B9" s="32" t="inlineStr">
        <is>
          <t>0-4000</t>
        </is>
      </c>
      <c r="C9" s="32" t="inlineStr">
        <is>
          <t>EQ</t>
        </is>
      </c>
      <c r="D9" s="32" t="inlineStr"/>
      <c r="E9" s="32" t="inlineStr">
        <is>
          <t>EQ</t>
        </is>
      </c>
      <c r="F9" s="32" t="inlineStr"/>
      <c r="G9" s="32" t="inlineStr"/>
      <c r="H9" s="126" t="n">
        <v>46131</v>
      </c>
      <c r="I9" s="32" t="inlineStr"/>
      <c r="J9" s="32" t="inlineStr">
        <is>
          <t>0-4000</t>
        </is>
      </c>
      <c r="K9" s="32" t="inlineStr">
        <is>
          <t>HT064 2025 PETERBILT 589 SLEEPER CAB 2025 PETERBILT 589 SLEEPER CAB</t>
        </is>
      </c>
      <c r="L9" s="32" t="n">
        <v>0</v>
      </c>
      <c r="M9" s="32" t="n">
        <v>0</v>
      </c>
      <c r="N9" s="32" t="inlineStr"/>
      <c r="O9" s="32" t="inlineStr">
        <is>
          <t>HT064</t>
        </is>
      </c>
      <c r="P9" s="32" t="inlineStr"/>
      <c r="Q9" s="32" t="n">
        <v>0</v>
      </c>
      <c r="R9" s="32" t="n">
        <v>250</v>
      </c>
      <c r="S9" s="32" t="n">
        <v>0</v>
      </c>
      <c r="T9" s="32" t="n">
        <v>0</v>
      </c>
    </row>
    <row r="10">
      <c r="A10" s="32" t="inlineStr">
        <is>
          <t>ttJTrans</t>
        </is>
      </c>
      <c r="B10" s="32" t="inlineStr">
        <is>
          <t>0-4000</t>
        </is>
      </c>
      <c r="C10" s="32" t="inlineStr">
        <is>
          <t>EQ</t>
        </is>
      </c>
      <c r="D10" s="32" t="inlineStr"/>
      <c r="E10" s="32" t="inlineStr">
        <is>
          <t>EQ</t>
        </is>
      </c>
      <c r="F10" s="32" t="inlineStr"/>
      <c r="G10" s="32" t="inlineStr"/>
      <c r="H10" s="126" t="n">
        <v>46131</v>
      </c>
      <c r="I10" s="32" t="inlineStr"/>
      <c r="J10" s="32" t="inlineStr">
        <is>
          <t>0-4000</t>
        </is>
      </c>
      <c r="K10" s="32" t="inlineStr">
        <is>
          <t>WHV001 2025 PETERBILT 589 SLEEPER CAB 2025 PETERBILT 589 SLEEPER CAB</t>
        </is>
      </c>
      <c r="L10" s="32" t="n">
        <v>0</v>
      </c>
      <c r="M10" s="32" t="n">
        <v>0</v>
      </c>
      <c r="N10" s="32" t="inlineStr"/>
      <c r="O10" s="32" t="inlineStr">
        <is>
          <t>WHV001</t>
        </is>
      </c>
      <c r="P10" s="32" t="inlineStr"/>
      <c r="Q10" s="32" t="n">
        <v>0</v>
      </c>
      <c r="R10" s="32" t="n">
        <v>250</v>
      </c>
      <c r="S10" s="32" t="n">
        <v>0</v>
      </c>
      <c r="T10" s="32" t="n">
        <v>0</v>
      </c>
    </row>
    <row r="11">
      <c r="A11" s="32" t="inlineStr">
        <is>
          <t>ttJTrans</t>
        </is>
      </c>
      <c r="B11" s="32" t="inlineStr">
        <is>
          <t>0-4000</t>
        </is>
      </c>
      <c r="C11" s="32" t="inlineStr">
        <is>
          <t>EQ</t>
        </is>
      </c>
      <c r="D11" s="32" t="inlineStr"/>
      <c r="E11" s="32" t="inlineStr">
        <is>
          <t>EQ</t>
        </is>
      </c>
      <c r="F11" s="32" t="inlineStr"/>
      <c r="G11" s="32" t="inlineStr"/>
      <c r="H11" s="126" t="n">
        <v>46131</v>
      </c>
      <c r="I11" s="32" t="inlineStr"/>
      <c r="J11" s="32" t="inlineStr">
        <is>
          <t>0-4000</t>
        </is>
      </c>
      <c r="K11" s="32" t="inlineStr">
        <is>
          <t>WHV001 2025 PETERBILT 589 SLEEPER CAB 2025 PETERBILT 589 SLEEPER CAB</t>
        </is>
      </c>
      <c r="L11" s="32" t="n">
        <v>0</v>
      </c>
      <c r="M11" s="32" t="n">
        <v>0</v>
      </c>
      <c r="N11" s="32" t="inlineStr"/>
      <c r="O11" s="32" t="inlineStr">
        <is>
          <t>WHV001</t>
        </is>
      </c>
      <c r="P11" s="32" t="inlineStr"/>
      <c r="Q11" s="32" t="n">
        <v>0</v>
      </c>
      <c r="R11" s="32" t="n">
        <v>250</v>
      </c>
      <c r="S11" s="32" t="n">
        <v>0</v>
      </c>
      <c r="T11" s="32" t="n">
        <v>0</v>
      </c>
    </row>
    <row r="12">
      <c r="A12" s="32" t="inlineStr">
        <is>
          <t>ttJTrans</t>
        </is>
      </c>
      <c r="B12" s="32" t="inlineStr">
        <is>
          <t>0-4000</t>
        </is>
      </c>
      <c r="C12" s="32" t="inlineStr">
        <is>
          <t>EQ</t>
        </is>
      </c>
      <c r="D12" s="32" t="inlineStr"/>
      <c r="E12" s="32" t="inlineStr">
        <is>
          <t>EQ</t>
        </is>
      </c>
      <c r="F12" s="32" t="inlineStr"/>
      <c r="G12" s="32" t="inlineStr"/>
      <c r="H12" s="126" t="n">
        <v>46131</v>
      </c>
      <c r="I12" s="32" t="inlineStr"/>
      <c r="J12" s="32" t="inlineStr">
        <is>
          <t>0-4000</t>
        </is>
      </c>
      <c r="K12" s="32" t="inlineStr">
        <is>
          <t>TR407 2020 48' KALYN SIEBERT DROP DECK TRAILER 2020 48' KALYN SIEBERT DROP DECK TRAILER</t>
        </is>
      </c>
      <c r="L12" s="32" t="n">
        <v>0</v>
      </c>
      <c r="M12" s="32" t="n">
        <v>0</v>
      </c>
      <c r="N12" s="32" t="inlineStr"/>
      <c r="O12" s="32" t="inlineStr">
        <is>
          <t>TR407</t>
        </is>
      </c>
      <c r="P12" s="32" t="inlineStr"/>
      <c r="Q12" s="32" t="n">
        <v>0</v>
      </c>
      <c r="R12" s="32" t="n">
        <v>0</v>
      </c>
      <c r="S12" s="32" t="n">
        <v>0</v>
      </c>
      <c r="T12" s="32" t="n">
        <v>0</v>
      </c>
    </row>
    <row r="13">
      <c r="A13" s="32" t="inlineStr">
        <is>
          <t>ttJTrans</t>
        </is>
      </c>
      <c r="B13" s="32" t="inlineStr">
        <is>
          <t>0-4000</t>
        </is>
      </c>
      <c r="C13" s="32" t="inlineStr">
        <is>
          <t>EQ</t>
        </is>
      </c>
      <c r="D13" s="32" t="inlineStr"/>
      <c r="E13" s="32" t="inlineStr">
        <is>
          <t>EQ</t>
        </is>
      </c>
      <c r="F13" s="32" t="inlineStr"/>
      <c r="G13" s="32" t="inlineStr"/>
      <c r="H13" s="126" t="n">
        <v>46131</v>
      </c>
      <c r="I13" s="32" t="inlineStr"/>
      <c r="J13" s="32" t="inlineStr">
        <is>
          <t>0-4000</t>
        </is>
      </c>
      <c r="K13" s="32" t="inlineStr">
        <is>
          <t>TR407 2020 48' KALYN SIEBERT DROP DECK TRAILER 2020 48' KALYN SIEBERT DROP DECK TRAILER</t>
        </is>
      </c>
      <c r="L13" s="32" t="n">
        <v>0</v>
      </c>
      <c r="M13" s="32" t="n">
        <v>0</v>
      </c>
      <c r="N13" s="32" t="inlineStr"/>
      <c r="O13" s="32" t="inlineStr">
        <is>
          <t>TR407</t>
        </is>
      </c>
      <c r="P13" s="32" t="inlineStr"/>
      <c r="Q13" s="32" t="n">
        <v>0</v>
      </c>
      <c r="R13" s="32" t="n">
        <v>0</v>
      </c>
      <c r="S13" s="32" t="n">
        <v>0</v>
      </c>
      <c r="T13" s="32" t="n">
        <v>0</v>
      </c>
    </row>
    <row r="14">
      <c r="A14" s="32" t="inlineStr">
        <is>
          <t>ttJTrans</t>
        </is>
      </c>
      <c r="B14" s="32" t="inlineStr">
        <is>
          <t>0-4000</t>
        </is>
      </c>
      <c r="C14" s="32" t="inlineStr">
        <is>
          <t>EQ</t>
        </is>
      </c>
      <c r="D14" s="32" t="inlineStr"/>
      <c r="E14" s="32" t="inlineStr">
        <is>
          <t>EQ</t>
        </is>
      </c>
      <c r="F14" s="32" t="inlineStr"/>
      <c r="G14" s="32" t="inlineStr"/>
      <c r="H14" s="126" t="n">
        <v>46131</v>
      </c>
      <c r="I14" s="32" t="inlineStr"/>
      <c r="J14" s="32" t="inlineStr">
        <is>
          <t>0-4000</t>
        </is>
      </c>
      <c r="K14" s="32" t="inlineStr">
        <is>
          <t>TR407 2020 48' KALYN SIEBERT DROP DECK TRAILER 2020 48' KALYN SIEBERT DROP DECK TRAILER</t>
        </is>
      </c>
      <c r="L14" s="32" t="n">
        <v>0</v>
      </c>
      <c r="M14" s="32" t="n">
        <v>0</v>
      </c>
      <c r="N14" s="32" t="inlineStr"/>
      <c r="O14" s="32" t="inlineStr">
        <is>
          <t>TR407</t>
        </is>
      </c>
      <c r="P14" s="32" t="inlineStr"/>
      <c r="Q14" s="32" t="n">
        <v>0</v>
      </c>
      <c r="R14" s="32" t="n">
        <v>0</v>
      </c>
      <c r="S14" s="32" t="n">
        <v>0</v>
      </c>
      <c r="T14" s="32" t="n">
        <v>0</v>
      </c>
    </row>
    <row r="15">
      <c r="A15" s="32" t="inlineStr">
        <is>
          <t>ttJTrans</t>
        </is>
      </c>
      <c r="B15" s="32" t="inlineStr">
        <is>
          <t>0-4000</t>
        </is>
      </c>
      <c r="C15" s="32" t="inlineStr">
        <is>
          <t>EQ</t>
        </is>
      </c>
      <c r="D15" s="32" t="inlineStr"/>
      <c r="E15" s="32" t="inlineStr">
        <is>
          <t>EQ</t>
        </is>
      </c>
      <c r="F15" s="32" t="inlineStr"/>
      <c r="G15" s="32" t="inlineStr"/>
      <c r="H15" s="126" t="n">
        <v>46131</v>
      </c>
      <c r="I15" s="32" t="inlineStr"/>
      <c r="J15" s="32" t="inlineStr">
        <is>
          <t>0-4000</t>
        </is>
      </c>
      <c r="K15" s="32" t="inlineStr">
        <is>
          <t>TR407 2020 48' KALYN SIEBERT DROP DECK TRAILER 2020 48' KALYN SIEBERT DROP DECK TRAILER</t>
        </is>
      </c>
      <c r="L15" s="32" t="n">
        <v>0</v>
      </c>
      <c r="M15" s="32" t="n">
        <v>0</v>
      </c>
      <c r="N15" s="32" t="inlineStr"/>
      <c r="O15" s="32" t="inlineStr">
        <is>
          <t>TR407</t>
        </is>
      </c>
      <c r="P15" s="32" t="inlineStr"/>
      <c r="Q15" s="32" t="n">
        <v>0</v>
      </c>
      <c r="R15" s="32" t="n">
        <v>0</v>
      </c>
      <c r="S15" s="32" t="n">
        <v>0</v>
      </c>
      <c r="T15" s="32" t="n">
        <v>0</v>
      </c>
    </row>
    <row r="16">
      <c r="A16" s="32" t="inlineStr">
        <is>
          <t>ttJTrans</t>
        </is>
      </c>
      <c r="B16" s="32" t="inlineStr">
        <is>
          <t>0-4000</t>
        </is>
      </c>
      <c r="C16" s="32" t="inlineStr">
        <is>
          <t>EQ</t>
        </is>
      </c>
      <c r="D16" s="32" t="inlineStr"/>
      <c r="E16" s="32" t="inlineStr">
        <is>
          <t>EQ</t>
        </is>
      </c>
      <c r="F16" s="32" t="inlineStr"/>
      <c r="G16" s="32" t="inlineStr"/>
      <c r="H16" s="126" t="n">
        <v>46131</v>
      </c>
      <c r="I16" s="32" t="inlineStr"/>
      <c r="J16" s="32" t="inlineStr">
        <is>
          <t>0-4000</t>
        </is>
      </c>
      <c r="K16" s="32" t="inlineStr">
        <is>
          <t>TR410 2022 LANDOLL 455-53 53FT 55 TON TRAILER 2022 LANDOLL 455-53 53FT 55 TON TRAILER</t>
        </is>
      </c>
      <c r="L16" s="32" t="n">
        <v>0</v>
      </c>
      <c r="M16" s="32" t="n">
        <v>0</v>
      </c>
      <c r="N16" s="32" t="inlineStr"/>
      <c r="O16" s="32" t="inlineStr">
        <is>
          <t>TR410</t>
        </is>
      </c>
      <c r="P16" s="32" t="inlineStr"/>
      <c r="Q16" s="32" t="n">
        <v>0</v>
      </c>
      <c r="R16" s="32" t="n">
        <v>0</v>
      </c>
      <c r="S16" s="32" t="n">
        <v>0</v>
      </c>
      <c r="T16" s="32" t="n">
        <v>0</v>
      </c>
    </row>
    <row r="17">
      <c r="A17" s="32" t="inlineStr">
        <is>
          <t>ttJTrans</t>
        </is>
      </c>
      <c r="B17" s="32" t="inlineStr">
        <is>
          <t>0-4000</t>
        </is>
      </c>
      <c r="C17" s="32" t="inlineStr">
        <is>
          <t>EQ</t>
        </is>
      </c>
      <c r="D17" s="32" t="inlineStr"/>
      <c r="E17" s="32" t="inlineStr">
        <is>
          <t>EQ</t>
        </is>
      </c>
      <c r="F17" s="32" t="inlineStr"/>
      <c r="G17" s="32" t="inlineStr"/>
      <c r="H17" s="126" t="n">
        <v>46131</v>
      </c>
      <c r="I17" s="32" t="inlineStr"/>
      <c r="J17" s="32" t="inlineStr">
        <is>
          <t>0-4000</t>
        </is>
      </c>
      <c r="K17" s="32" t="inlineStr">
        <is>
          <t>TR410 2022 LANDOLL 455-53 53FT 55 TON TRAILER 2022 LANDOLL 455-53 53FT 55 TON TRAILER</t>
        </is>
      </c>
      <c r="L17" s="32" t="n">
        <v>0</v>
      </c>
      <c r="M17" s="32" t="n">
        <v>0</v>
      </c>
      <c r="N17" s="32" t="inlineStr"/>
      <c r="O17" s="32" t="inlineStr">
        <is>
          <t>TR410</t>
        </is>
      </c>
      <c r="P17" s="32" t="inlineStr"/>
      <c r="Q17" s="32" t="n">
        <v>0</v>
      </c>
      <c r="R17" s="32" t="n">
        <v>0</v>
      </c>
      <c r="S17" s="32" t="n">
        <v>0</v>
      </c>
      <c r="T17" s="32" t="n">
        <v>0</v>
      </c>
    </row>
    <row r="18">
      <c r="A18" s="32" t="inlineStr">
        <is>
          <t>ttJTrans</t>
        </is>
      </c>
      <c r="B18" s="32" t="inlineStr">
        <is>
          <t>0-4000</t>
        </is>
      </c>
      <c r="C18" s="32" t="inlineStr">
        <is>
          <t>EQ</t>
        </is>
      </c>
      <c r="D18" s="32" t="inlineStr"/>
      <c r="E18" s="32" t="inlineStr">
        <is>
          <t>EQ</t>
        </is>
      </c>
      <c r="F18" s="32" t="inlineStr"/>
      <c r="G18" s="32" t="inlineStr"/>
      <c r="H18" s="126" t="n">
        <v>46131</v>
      </c>
      <c r="I18" s="32" t="inlineStr"/>
      <c r="J18" s="32" t="inlineStr">
        <is>
          <t>0-4000</t>
        </is>
      </c>
      <c r="K18" s="32" t="inlineStr">
        <is>
          <t>TR410 2022 LANDOLL 455-53 53FT 55 TON TRAILER 2022 LANDOLL 455-53 53FT 55 TON TRAILER</t>
        </is>
      </c>
      <c r="L18" s="32" t="n">
        <v>0</v>
      </c>
      <c r="M18" s="32" t="n">
        <v>0</v>
      </c>
      <c r="N18" s="32" t="inlineStr"/>
      <c r="O18" s="32" t="inlineStr">
        <is>
          <t>TR410</t>
        </is>
      </c>
      <c r="P18" s="32" t="inlineStr"/>
      <c r="Q18" s="32" t="n">
        <v>0</v>
      </c>
      <c r="R18" s="32" t="n">
        <v>0</v>
      </c>
      <c r="S18" s="32" t="n">
        <v>0</v>
      </c>
      <c r="T18" s="32" t="n">
        <v>0</v>
      </c>
    </row>
    <row r="19">
      <c r="A19" s="32" t="inlineStr">
        <is>
          <t>ttJTrans</t>
        </is>
      </c>
      <c r="B19" s="32" t="inlineStr">
        <is>
          <t>0-4000</t>
        </is>
      </c>
      <c r="C19" s="32" t="inlineStr">
        <is>
          <t>EQ</t>
        </is>
      </c>
      <c r="D19" s="32" t="inlineStr"/>
      <c r="E19" s="32" t="inlineStr">
        <is>
          <t>EQ</t>
        </is>
      </c>
      <c r="F19" s="32" t="inlineStr"/>
      <c r="G19" s="32" t="inlineStr"/>
      <c r="H19" s="126" t="n">
        <v>46131</v>
      </c>
      <c r="I19" s="32" t="inlineStr"/>
      <c r="J19" s="32" t="inlineStr">
        <is>
          <t>0-4000</t>
        </is>
      </c>
      <c r="K19" s="32" t="inlineStr">
        <is>
          <t>TR410 2022 LANDOLL 455-53 53FT 55 TON TRAILER 2022 LANDOLL 455-53 53FT 55 TON TRAILER</t>
        </is>
      </c>
      <c r="L19" s="32" t="n">
        <v>0</v>
      </c>
      <c r="M19" s="32" t="n">
        <v>0</v>
      </c>
      <c r="N19" s="32" t="inlineStr"/>
      <c r="O19" s="32" t="inlineStr">
        <is>
          <t>TR410</t>
        </is>
      </c>
      <c r="P19" s="32" t="inlineStr"/>
      <c r="Q19" s="32" t="n">
        <v>0</v>
      </c>
      <c r="R19" s="32" t="n">
        <v>0</v>
      </c>
      <c r="S19" s="32" t="n">
        <v>0</v>
      </c>
      <c r="T19" s="32" t="n">
        <v>0</v>
      </c>
    </row>
    <row r="20">
      <c r="A20" s="32" t="inlineStr">
        <is>
          <t>ttJTrans</t>
        </is>
      </c>
      <c r="B20" s="32" t="inlineStr">
        <is>
          <t>0-4000</t>
        </is>
      </c>
      <c r="C20" s="32" t="inlineStr">
        <is>
          <t>EQ</t>
        </is>
      </c>
      <c r="D20" s="32" t="inlineStr"/>
      <c r="E20" s="32" t="inlineStr">
        <is>
          <t>EQ</t>
        </is>
      </c>
      <c r="F20" s="32" t="inlineStr"/>
      <c r="G20" s="32" t="inlineStr"/>
      <c r="H20" s="126" t="n">
        <v>46131</v>
      </c>
      <c r="I20" s="32" t="inlineStr"/>
      <c r="J20" s="32" t="inlineStr">
        <is>
          <t>0-4000</t>
        </is>
      </c>
      <c r="K20" s="32" t="inlineStr">
        <is>
          <t>TR473 LANDOLL 53FT LOWBOY LANDOLL 53FT LOWBOY</t>
        </is>
      </c>
      <c r="L20" s="32" t="n">
        <v>0</v>
      </c>
      <c r="M20" s="32" t="n">
        <v>0</v>
      </c>
      <c r="N20" s="32" t="inlineStr"/>
      <c r="O20" s="32" t="inlineStr">
        <is>
          <t>TR473</t>
        </is>
      </c>
      <c r="P20" s="32" t="inlineStr"/>
      <c r="Q20" s="32" t="n">
        <v>0</v>
      </c>
      <c r="R20" s="32" t="n">
        <v>0</v>
      </c>
      <c r="S20" s="32" t="n">
        <v>0</v>
      </c>
      <c r="T20" s="32" t="n">
        <v>0</v>
      </c>
    </row>
    <row r="21">
      <c r="A21" s="32" t="inlineStr">
        <is>
          <t>ttJTrans</t>
        </is>
      </c>
      <c r="B21" s="32" t="inlineStr">
        <is>
          <t>0-4000</t>
        </is>
      </c>
      <c r="C21" s="32" t="inlineStr">
        <is>
          <t>EQ</t>
        </is>
      </c>
      <c r="D21" s="32" t="inlineStr"/>
      <c r="E21" s="32" t="inlineStr">
        <is>
          <t>EQ</t>
        </is>
      </c>
      <c r="F21" s="32" t="inlineStr"/>
      <c r="G21" s="32" t="inlineStr"/>
      <c r="H21" s="126" t="n">
        <v>46131</v>
      </c>
      <c r="I21" s="32" t="inlineStr"/>
      <c r="J21" s="32" t="inlineStr">
        <is>
          <t>0-4000</t>
        </is>
      </c>
      <c r="K21" s="32" t="inlineStr">
        <is>
          <t>TR473 LANDOLL 53FT LOWBOY LANDOLL 53FT LOWBOY</t>
        </is>
      </c>
      <c r="L21" s="32" t="n">
        <v>0</v>
      </c>
      <c r="M21" s="32" t="n">
        <v>0</v>
      </c>
      <c r="N21" s="32" t="inlineStr"/>
      <c r="O21" s="32" t="inlineStr">
        <is>
          <t>TR473</t>
        </is>
      </c>
      <c r="P21" s="32" t="inlineStr"/>
      <c r="Q21" s="32" t="n">
        <v>0</v>
      </c>
      <c r="R21" s="32" t="n">
        <v>0</v>
      </c>
      <c r="S21" s="32" t="n">
        <v>0</v>
      </c>
      <c r="T21" s="32" t="n">
        <v>0</v>
      </c>
    </row>
    <row r="22">
      <c r="A22" s="32" t="inlineStr">
        <is>
          <t>ttJTrans</t>
        </is>
      </c>
      <c r="B22" s="32" t="inlineStr">
        <is>
          <t>0-4000</t>
        </is>
      </c>
      <c r="C22" s="32" t="inlineStr">
        <is>
          <t>EQ</t>
        </is>
      </c>
      <c r="D22" s="32" t="inlineStr"/>
      <c r="E22" s="32" t="inlineStr">
        <is>
          <t>EQ</t>
        </is>
      </c>
      <c r="F22" s="32" t="inlineStr"/>
      <c r="G22" s="32" t="inlineStr"/>
      <c r="H22" s="126" t="n">
        <v>46138</v>
      </c>
      <c r="I22" s="32" t="inlineStr"/>
      <c r="J22" s="32" t="inlineStr">
        <is>
          <t>0-4000</t>
        </is>
      </c>
      <c r="K22" s="32" t="inlineStr">
        <is>
          <t>HT060 2020 PETERBILT 389 SLEEPER 2020 PETERBILT 389 SLEEPER</t>
        </is>
      </c>
      <c r="L22" s="32" t="n">
        <v>0</v>
      </c>
      <c r="M22" s="32" t="n">
        <v>0</v>
      </c>
      <c r="N22" s="32" t="inlineStr"/>
      <c r="O22" s="32" t="inlineStr">
        <is>
          <t>HT060</t>
        </is>
      </c>
      <c r="P22" s="32" t="inlineStr"/>
      <c r="Q22" s="32" t="n">
        <v>0</v>
      </c>
      <c r="R22" s="32" t="n">
        <v>250</v>
      </c>
      <c r="S22" s="32" t="n">
        <v>0</v>
      </c>
      <c r="T22" s="32" t="n">
        <v>0</v>
      </c>
    </row>
    <row r="23">
      <c r="A23" s="32" t="inlineStr">
        <is>
          <t>ttJTrans</t>
        </is>
      </c>
      <c r="B23" s="32" t="inlineStr">
        <is>
          <t>0-4000</t>
        </is>
      </c>
      <c r="C23" s="32" t="inlineStr">
        <is>
          <t>EQ</t>
        </is>
      </c>
      <c r="D23" s="32" t="inlineStr"/>
      <c r="E23" s="32" t="inlineStr">
        <is>
          <t>EQ</t>
        </is>
      </c>
      <c r="F23" s="32" t="inlineStr"/>
      <c r="G23" s="32" t="inlineStr"/>
      <c r="H23" s="126" t="n">
        <v>46138</v>
      </c>
      <c r="I23" s="32" t="inlineStr"/>
      <c r="J23" s="32" t="inlineStr">
        <is>
          <t>0-4000</t>
        </is>
      </c>
      <c r="K23" s="32" t="inlineStr">
        <is>
          <t>HT060 2020 PETERBILT 389 SLEEPER 2020 PETERBILT 389 SLEEPER</t>
        </is>
      </c>
      <c r="L23" s="32" t="n">
        <v>0</v>
      </c>
      <c r="M23" s="32" t="n">
        <v>0</v>
      </c>
      <c r="N23" s="32" t="inlineStr"/>
      <c r="O23" s="32" t="inlineStr">
        <is>
          <t>HT060</t>
        </is>
      </c>
      <c r="P23" s="32" t="inlineStr"/>
      <c r="Q23" s="32" t="n">
        <v>0</v>
      </c>
      <c r="R23" s="32" t="n">
        <v>250</v>
      </c>
      <c r="S23" s="32" t="n">
        <v>0</v>
      </c>
      <c r="T23" s="32" t="n">
        <v>0</v>
      </c>
    </row>
    <row r="24">
      <c r="A24" s="32" t="inlineStr">
        <is>
          <t>ttJTrans</t>
        </is>
      </c>
      <c r="B24" s="32" t="inlineStr">
        <is>
          <t>0-4000</t>
        </is>
      </c>
      <c r="C24" s="32" t="inlineStr">
        <is>
          <t>EQ</t>
        </is>
      </c>
      <c r="D24" s="32" t="inlineStr"/>
      <c r="E24" s="32" t="inlineStr">
        <is>
          <t>EQ</t>
        </is>
      </c>
      <c r="F24" s="32" t="inlineStr"/>
      <c r="G24" s="32" t="inlineStr"/>
      <c r="H24" s="126" t="n">
        <v>46138</v>
      </c>
      <c r="I24" s="32" t="inlineStr"/>
      <c r="J24" s="32" t="inlineStr">
        <is>
          <t>0-4000</t>
        </is>
      </c>
      <c r="K24" s="32" t="inlineStr">
        <is>
          <t>TR410 2022 LANDOLL 455-53 53FT 55 TON TRAILER 2022 LANDOLL 455-53 53FT 55 TON TRAILER</t>
        </is>
      </c>
      <c r="L24" s="32" t="n">
        <v>0</v>
      </c>
      <c r="M24" s="32" t="n">
        <v>0</v>
      </c>
      <c r="N24" s="32" t="inlineStr"/>
      <c r="O24" s="32" t="inlineStr">
        <is>
          <t>TR410</t>
        </is>
      </c>
      <c r="P24" s="32" t="inlineStr"/>
      <c r="Q24" s="32" t="n">
        <v>0</v>
      </c>
      <c r="R24" s="32" t="n">
        <v>0</v>
      </c>
      <c r="S24" s="32" t="n">
        <v>0</v>
      </c>
      <c r="T24" s="32" t="n">
        <v>0</v>
      </c>
    </row>
    <row r="25">
      <c r="A25" s="32" t="inlineStr">
        <is>
          <t>ttJTrans</t>
        </is>
      </c>
      <c r="B25" s="32" t="inlineStr">
        <is>
          <t>0-4000</t>
        </is>
      </c>
      <c r="C25" s="32" t="inlineStr">
        <is>
          <t>EQ</t>
        </is>
      </c>
      <c r="D25" s="32" t="inlineStr"/>
      <c r="E25" s="32" t="inlineStr">
        <is>
          <t>EQ</t>
        </is>
      </c>
      <c r="F25" s="32" t="inlineStr"/>
      <c r="G25" s="32" t="inlineStr"/>
      <c r="H25" s="126" t="n">
        <v>46138</v>
      </c>
      <c r="I25" s="32" t="inlineStr"/>
      <c r="J25" s="32" t="inlineStr">
        <is>
          <t>0-4000</t>
        </is>
      </c>
      <c r="K25" s="32" t="inlineStr">
        <is>
          <t>TR410 2022 LANDOLL 455-53 53FT 55 TON TRAILER 2022 LANDOLL 455-53 53FT 55 TON TRAILER</t>
        </is>
      </c>
      <c r="L25" s="32" t="n">
        <v>0</v>
      </c>
      <c r="M25" s="32" t="n">
        <v>0</v>
      </c>
      <c r="N25" s="32" t="inlineStr"/>
      <c r="O25" s="32" t="inlineStr">
        <is>
          <t>TR410</t>
        </is>
      </c>
      <c r="P25" s="32" t="inlineStr"/>
      <c r="Q25" s="32" t="n">
        <v>0</v>
      </c>
      <c r="R25" s="32" t="n">
        <v>0</v>
      </c>
      <c r="S25" s="32" t="n">
        <v>0</v>
      </c>
      <c r="T25" s="32" t="n">
        <v>0</v>
      </c>
    </row>
    <row r="26">
      <c r="A26" s="32" t="inlineStr">
        <is>
          <t>ttJTrans</t>
        </is>
      </c>
      <c r="B26" s="32" t="inlineStr">
        <is>
          <t>0-4000</t>
        </is>
      </c>
      <c r="C26" s="32" t="inlineStr">
        <is>
          <t>EQ</t>
        </is>
      </c>
      <c r="D26" s="32" t="inlineStr"/>
      <c r="E26" s="32" t="inlineStr">
        <is>
          <t>EQ</t>
        </is>
      </c>
      <c r="F26" s="32" t="inlineStr"/>
      <c r="G26" s="32" t="inlineStr"/>
      <c r="H26" s="126" t="n">
        <v>46142</v>
      </c>
      <c r="I26" s="32" t="inlineStr"/>
      <c r="J26" s="32" t="inlineStr">
        <is>
          <t>0-4000</t>
        </is>
      </c>
      <c r="K26" s="32" t="inlineStr">
        <is>
          <t>HT060 2020 PETERBILT 389 SLEEPER 2020 PETERBILT 389 SLEEPER</t>
        </is>
      </c>
      <c r="L26" s="32" t="n">
        <v>0</v>
      </c>
      <c r="M26" s="32" t="n">
        <v>0</v>
      </c>
      <c r="N26" s="32" t="inlineStr"/>
      <c r="O26" s="32" t="inlineStr">
        <is>
          <t>HT060</t>
        </is>
      </c>
      <c r="P26" s="32" t="inlineStr"/>
      <c r="Q26" s="32" t="n">
        <v>0</v>
      </c>
      <c r="R26" s="32" t="n">
        <v>250</v>
      </c>
      <c r="S26" s="32" t="n">
        <v>0</v>
      </c>
      <c r="T26" s="32" t="n">
        <v>0</v>
      </c>
    </row>
    <row r="27">
      <c r="A27" s="32" t="inlineStr">
        <is>
          <t>ttJTrans</t>
        </is>
      </c>
      <c r="B27" s="32" t="inlineStr">
        <is>
          <t>0-4000</t>
        </is>
      </c>
      <c r="C27" s="32" t="inlineStr">
        <is>
          <t>EQ</t>
        </is>
      </c>
      <c r="D27" s="32" t="inlineStr"/>
      <c r="E27" s="32" t="inlineStr">
        <is>
          <t>EQ</t>
        </is>
      </c>
      <c r="F27" s="32" t="inlineStr"/>
      <c r="G27" s="32" t="inlineStr"/>
      <c r="H27" s="126" t="n">
        <v>46142</v>
      </c>
      <c r="I27" s="32" t="inlineStr"/>
      <c r="J27" s="32" t="inlineStr">
        <is>
          <t>0-4000</t>
        </is>
      </c>
      <c r="K27" s="32" t="inlineStr">
        <is>
          <t>TR410 2022 LANDOLL 455-53 53FT 55 TON TRAILER 2022 LANDOLL 455-53 53FT 55 TON TRAILER</t>
        </is>
      </c>
      <c r="L27" s="32" t="n">
        <v>0</v>
      </c>
      <c r="M27" s="32" t="n">
        <v>0</v>
      </c>
      <c r="N27" s="32" t="inlineStr"/>
      <c r="O27" s="32" t="inlineStr">
        <is>
          <t>TR410</t>
        </is>
      </c>
      <c r="P27" s="32" t="inlineStr"/>
      <c r="Q27" s="32" t="n">
        <v>0</v>
      </c>
      <c r="R27" s="32" t="n">
        <v>0</v>
      </c>
      <c r="S27" s="32" t="n">
        <v>0</v>
      </c>
      <c r="T27" s="32" t="n">
        <v>0</v>
      </c>
    </row>
    <row r="28">
      <c r="A28" s="32" t="inlineStr">
        <is>
          <t>ttJTrans</t>
        </is>
      </c>
      <c r="B28" s="32" t="inlineStr">
        <is>
          <t>0-4000</t>
        </is>
      </c>
      <c r="C28" s="32" t="inlineStr">
        <is>
          <t>EQ</t>
        </is>
      </c>
      <c r="D28" s="32" t="inlineStr"/>
      <c r="E28" s="32" t="inlineStr">
        <is>
          <t>EQ</t>
        </is>
      </c>
      <c r="F28" s="32" t="inlineStr"/>
      <c r="G28" s="32" t="inlineStr"/>
      <c r="H28" s="126" t="n">
        <v>46152</v>
      </c>
      <c r="I28" s="32" t="inlineStr"/>
      <c r="J28" s="32" t="inlineStr">
        <is>
          <t>0-4000</t>
        </is>
      </c>
      <c r="K28" s="32" t="inlineStr">
        <is>
          <t>HT056 2020 PETERBILT MODEL 389 DAY CAB 2020 PETERBILT MODEL  389 DAY CAB</t>
        </is>
      </c>
      <c r="L28" s="32" t="n">
        <v>0</v>
      </c>
      <c r="M28" s="32" t="n">
        <v>0</v>
      </c>
      <c r="N28" s="32" t="inlineStr"/>
      <c r="O28" s="32" t="inlineStr">
        <is>
          <t>HT056</t>
        </is>
      </c>
      <c r="P28" s="32" t="inlineStr"/>
      <c r="Q28" s="32" t="n">
        <v>0</v>
      </c>
      <c r="R28" s="32" t="n">
        <v>250</v>
      </c>
      <c r="S28" s="32" t="n">
        <v>0</v>
      </c>
      <c r="T28" s="32" t="n">
        <v>0</v>
      </c>
    </row>
    <row r="29">
      <c r="A29" s="32" t="inlineStr">
        <is>
          <t>ttJTrans</t>
        </is>
      </c>
      <c r="B29" s="32" t="inlineStr">
        <is>
          <t>0-4000</t>
        </is>
      </c>
      <c r="C29" s="32" t="inlineStr">
        <is>
          <t>EQ</t>
        </is>
      </c>
      <c r="D29" s="32" t="inlineStr"/>
      <c r="E29" s="32" t="inlineStr">
        <is>
          <t>EQ</t>
        </is>
      </c>
      <c r="F29" s="32" t="inlineStr"/>
      <c r="G29" s="32" t="inlineStr"/>
      <c r="H29" s="126" t="n">
        <v>46152</v>
      </c>
      <c r="I29" s="32" t="inlineStr"/>
      <c r="J29" s="32" t="inlineStr">
        <is>
          <t>0-4000</t>
        </is>
      </c>
      <c r="K29" s="32" t="inlineStr">
        <is>
          <t>TR401 2014 53' GREAT DANE DROP DECK TRAILER 2014 53' GREAT DANE DROP DECK TRAILER</t>
        </is>
      </c>
      <c r="L29" s="32" t="n">
        <v>0</v>
      </c>
      <c r="M29" s="32" t="n">
        <v>0</v>
      </c>
      <c r="N29" s="32" t="inlineStr"/>
      <c r="O29" s="32" t="inlineStr">
        <is>
          <t>TR401</t>
        </is>
      </c>
      <c r="P29" s="32" t="inlineStr"/>
      <c r="Q29" s="32" t="n">
        <v>0</v>
      </c>
      <c r="R29" s="32" t="n">
        <v>0</v>
      </c>
      <c r="S29" s="32" t="n">
        <v>0</v>
      </c>
      <c r="T29" s="32" t="n">
        <v>0</v>
      </c>
    </row>
    <row r="30">
      <c r="A30" s="32" t="inlineStr">
        <is>
          <t>ttJTrans</t>
        </is>
      </c>
      <c r="B30" s="32" t="inlineStr">
        <is>
          <t>0-4000</t>
        </is>
      </c>
      <c r="C30" s="32" t="inlineStr">
        <is>
          <t>ER</t>
        </is>
      </c>
      <c r="D30" s="32" t="inlineStr"/>
      <c r="E30" s="32" t="inlineStr">
        <is>
          <t>ER</t>
        </is>
      </c>
      <c r="F30" s="32" t="inlineStr"/>
      <c r="G30" s="32" t="inlineStr"/>
      <c r="H30" s="126" t="n">
        <v>46124</v>
      </c>
      <c r="I30" s="32" t="inlineStr"/>
      <c r="J30" s="32" t="inlineStr">
        <is>
          <t>0-4000</t>
        </is>
      </c>
      <c r="K30" s="32" t="inlineStr">
        <is>
          <t>RLD292 CATERPILLAR 299D3 TRACK SKID STEER LOADER CATERPILLAR 299D3 TRACK SKID STEER LOADER</t>
        </is>
      </c>
      <c r="L30" s="32" t="n">
        <v>0</v>
      </c>
      <c r="M30" s="32" t="n">
        <v>0</v>
      </c>
      <c r="N30" s="32" t="inlineStr"/>
      <c r="O30" s="32" t="inlineStr">
        <is>
          <t>RLD292</t>
        </is>
      </c>
      <c r="P30" s="32" t="inlineStr"/>
      <c r="Q30" s="32" t="n">
        <v>0</v>
      </c>
      <c r="R30" s="32" t="n">
        <v>186.27</v>
      </c>
      <c r="S30" s="32" t="n">
        <v>0</v>
      </c>
      <c r="T30" s="32" t="n">
        <v>0</v>
      </c>
    </row>
    <row r="31">
      <c r="A31" s="32" t="inlineStr">
        <is>
          <t>ttJTrans</t>
        </is>
      </c>
      <c r="B31" s="32" t="inlineStr">
        <is>
          <t>0-4005</t>
        </is>
      </c>
      <c r="C31" s="32" t="inlineStr">
        <is>
          <t>LA</t>
        </is>
      </c>
      <c r="D31" s="32" t="inlineStr"/>
      <c r="E31" s="32" t="inlineStr">
        <is>
          <t>LA</t>
        </is>
      </c>
      <c r="F31" s="32" t="inlineStr"/>
      <c r="G31" s="32" t="inlineStr"/>
      <c r="H31" s="126" t="n">
        <v>46093</v>
      </c>
      <c r="I31" s="32" t="inlineStr"/>
      <c r="J31" s="32" t="inlineStr">
        <is>
          <t>0-4005</t>
        </is>
      </c>
      <c r="K31" s="32" t="inlineStr">
        <is>
          <t>PR P0COST 000521 (PR) Summary</t>
        </is>
      </c>
      <c r="L31" s="32" t="n">
        <v>0</v>
      </c>
      <c r="M31" s="32" t="n">
        <v>0</v>
      </c>
      <c r="N31" s="32" t="inlineStr"/>
      <c r="O31" s="32" t="inlineStr"/>
      <c r="P31" s="32" t="inlineStr"/>
      <c r="Q31" s="32" t="n">
        <v>0</v>
      </c>
      <c r="R31" s="32" t="n">
        <v>567.16</v>
      </c>
      <c r="S31" s="32" t="n">
        <v>0</v>
      </c>
      <c r="T31" s="32" t="n">
        <v>12.31</v>
      </c>
    </row>
    <row r="32">
      <c r="A32" s="32" t="inlineStr">
        <is>
          <t>ttJTrans</t>
        </is>
      </c>
      <c r="B32" s="32" t="inlineStr">
        <is>
          <t>0-4005</t>
        </is>
      </c>
      <c r="C32" s="32" t="inlineStr">
        <is>
          <t>LA</t>
        </is>
      </c>
      <c r="D32" s="32" t="inlineStr"/>
      <c r="E32" s="32" t="inlineStr">
        <is>
          <t>LA</t>
        </is>
      </c>
      <c r="F32" s="32" t="inlineStr"/>
      <c r="G32" s="32" t="inlineStr"/>
      <c r="H32" s="126" t="n">
        <v>46093</v>
      </c>
      <c r="I32" s="32" t="inlineStr"/>
      <c r="J32" s="32" t="inlineStr">
        <is>
          <t>0-4005</t>
        </is>
      </c>
      <c r="K32" s="32" t="inlineStr">
        <is>
          <t>PR P0COST 000521 (PR) Summary</t>
        </is>
      </c>
      <c r="L32" s="32" t="n">
        <v>0</v>
      </c>
      <c r="M32" s="32" t="n">
        <v>0</v>
      </c>
      <c r="N32" s="32" t="inlineStr"/>
      <c r="O32" s="32" t="inlineStr"/>
      <c r="P32" s="32" t="inlineStr"/>
      <c r="Q32" s="32" t="n">
        <v>0</v>
      </c>
      <c r="R32" s="32" t="n">
        <v>645.04</v>
      </c>
      <c r="S32" s="32" t="n">
        <v>0</v>
      </c>
      <c r="T32" s="32" t="n">
        <v>11.05</v>
      </c>
    </row>
    <row r="33">
      <c r="A33" s="32" t="inlineStr">
        <is>
          <t>ttJTrans</t>
        </is>
      </c>
      <c r="B33" s="32" t="inlineStr">
        <is>
          <t>0-4005</t>
        </is>
      </c>
      <c r="C33" s="32" t="inlineStr">
        <is>
          <t>LA</t>
        </is>
      </c>
      <c r="D33" s="32" t="inlineStr"/>
      <c r="E33" s="32" t="inlineStr">
        <is>
          <t>LA</t>
        </is>
      </c>
      <c r="F33" s="32" t="inlineStr"/>
      <c r="G33" s="125" t="inlineStr"/>
      <c r="H33" s="126" t="n">
        <v>46093</v>
      </c>
      <c r="I33" s="32" t="inlineStr"/>
      <c r="J33" s="32" t="inlineStr">
        <is>
          <t>0-4005</t>
        </is>
      </c>
      <c r="K33" s="32" t="inlineStr">
        <is>
          <t>PR P0COST 000521 (PR) Summary</t>
        </is>
      </c>
      <c r="L33" s="32" t="n">
        <v>0</v>
      </c>
      <c r="M33" s="32" t="n">
        <v>0</v>
      </c>
      <c r="N33" s="32" t="inlineStr"/>
      <c r="O33" s="32" t="inlineStr"/>
      <c r="P33" s="32" t="inlineStr"/>
      <c r="Q33" s="32" t="n">
        <v>0</v>
      </c>
      <c r="R33" s="32" t="n">
        <v>645.04</v>
      </c>
      <c r="S33" s="32" t="n">
        <v>0</v>
      </c>
      <c r="T33" s="32" t="n">
        <v>11.85</v>
      </c>
    </row>
    <row r="34">
      <c r="A34" s="32" t="inlineStr">
        <is>
          <t>ttJTrans</t>
        </is>
      </c>
      <c r="B34" s="32" t="inlineStr">
        <is>
          <t>0-4005</t>
        </is>
      </c>
      <c r="C34" s="32" t="inlineStr">
        <is>
          <t>LA</t>
        </is>
      </c>
      <c r="D34" s="32" t="inlineStr"/>
      <c r="E34" s="32" t="inlineStr">
        <is>
          <t>LA</t>
        </is>
      </c>
      <c r="F34" s="32" t="inlineStr"/>
      <c r="G34" s="125" t="inlineStr"/>
      <c r="H34" s="126" t="n">
        <v>46128</v>
      </c>
      <c r="I34" s="32" t="inlineStr"/>
      <c r="J34" s="32" t="inlineStr">
        <is>
          <t>0-4005</t>
        </is>
      </c>
      <c r="K34" s="32" t="inlineStr">
        <is>
          <t>PR P0COST 000526 (PR) Summary</t>
        </is>
      </c>
      <c r="L34" s="32" t="n">
        <v>0</v>
      </c>
      <c r="M34" s="32" t="n">
        <v>0</v>
      </c>
      <c r="N34" s="32" t="inlineStr"/>
      <c r="O34" s="32" t="inlineStr"/>
      <c r="P34" s="32" t="inlineStr"/>
      <c r="Q34" s="32" t="n">
        <v>0</v>
      </c>
      <c r="R34" s="32" t="n">
        <v>3577.56</v>
      </c>
      <c r="S34" s="32" t="n">
        <v>0</v>
      </c>
      <c r="T34" s="32" t="n">
        <v>53.5</v>
      </c>
    </row>
    <row r="35">
      <c r="A35" s="32" t="inlineStr">
        <is>
          <t>ttJTrans</t>
        </is>
      </c>
      <c r="B35" s="32" t="inlineStr">
        <is>
          <t>0-4005</t>
        </is>
      </c>
      <c r="C35" s="32" t="inlineStr">
        <is>
          <t>LA</t>
        </is>
      </c>
      <c r="D35" s="32" t="inlineStr"/>
      <c r="E35" s="32" t="inlineStr">
        <is>
          <t>LA</t>
        </is>
      </c>
      <c r="F35" s="32" t="inlineStr"/>
      <c r="G35" s="125" t="inlineStr"/>
      <c r="H35" s="126" t="n">
        <v>46128</v>
      </c>
      <c r="I35" s="32" t="inlineStr"/>
      <c r="J35" s="32" t="inlineStr">
        <is>
          <t>0-4005</t>
        </is>
      </c>
      <c r="K35" s="32" t="inlineStr">
        <is>
          <t>PR P0COST 000526 (PR) Summary</t>
        </is>
      </c>
      <c r="L35" s="32" t="n">
        <v>0</v>
      </c>
      <c r="M35" s="32" t="n">
        <v>0</v>
      </c>
      <c r="N35" s="32" t="inlineStr"/>
      <c r="O35" s="32" t="inlineStr"/>
      <c r="P35" s="32" t="inlineStr"/>
      <c r="Q35" s="32" t="n">
        <v>0</v>
      </c>
      <c r="R35" s="32" t="n">
        <v>3654.76</v>
      </c>
      <c r="S35" s="32" t="n">
        <v>0</v>
      </c>
      <c r="T35" s="32" t="n">
        <v>81.55</v>
      </c>
    </row>
    <row r="36">
      <c r="A36" s="32" t="inlineStr">
        <is>
          <t>ttJTrans</t>
        </is>
      </c>
      <c r="B36" s="32" t="inlineStr">
        <is>
          <t>0-4005</t>
        </is>
      </c>
      <c r="C36" s="32" t="inlineStr">
        <is>
          <t>LA</t>
        </is>
      </c>
      <c r="D36" s="32" t="inlineStr"/>
      <c r="E36" s="32" t="inlineStr">
        <is>
          <t>LA</t>
        </is>
      </c>
      <c r="F36" s="32" t="inlineStr"/>
      <c r="G36" s="125" t="inlineStr"/>
      <c r="H36" s="126" t="n">
        <v>46135</v>
      </c>
      <c r="I36" s="32" t="inlineStr"/>
      <c r="J36" s="32" t="inlineStr">
        <is>
          <t>0-4005</t>
        </is>
      </c>
      <c r="K36" s="32" t="inlineStr">
        <is>
          <t>PR P0COST 000527 (PR) Summary</t>
        </is>
      </c>
      <c r="L36" s="32" t="n">
        <v>0</v>
      </c>
      <c r="M36" s="32" t="n">
        <v>0</v>
      </c>
      <c r="N36" s="32" t="inlineStr"/>
      <c r="O36" s="32" t="inlineStr"/>
      <c r="P36" s="32" t="inlineStr"/>
      <c r="Q36" s="32" t="n">
        <v>0</v>
      </c>
      <c r="R36" s="32" t="n">
        <v>638.16</v>
      </c>
      <c r="S36" s="32" t="n">
        <v>0</v>
      </c>
      <c r="T36" s="32" t="n">
        <v>13.34</v>
      </c>
    </row>
    <row r="37">
      <c r="A37" s="32" t="inlineStr">
        <is>
          <t>ttJTrans</t>
        </is>
      </c>
      <c r="B37" s="32" t="inlineStr">
        <is>
          <t>0-4005</t>
        </is>
      </c>
      <c r="C37" s="32" t="inlineStr">
        <is>
          <t>LA</t>
        </is>
      </c>
      <c r="D37" s="32" t="inlineStr"/>
      <c r="E37" s="32" t="inlineStr">
        <is>
          <t>LA</t>
        </is>
      </c>
      <c r="F37" s="32" t="inlineStr"/>
      <c r="G37" s="125" t="inlineStr"/>
      <c r="H37" s="126" t="n">
        <v>46135</v>
      </c>
      <c r="I37" s="32" t="inlineStr"/>
      <c r="J37" s="32" t="inlineStr">
        <is>
          <t>0-4005</t>
        </is>
      </c>
      <c r="K37" s="32" t="inlineStr">
        <is>
          <t>PR P0COST 000527 (PR) Summary</t>
        </is>
      </c>
      <c r="L37" s="32" t="n">
        <v>0</v>
      </c>
      <c r="M37" s="32" t="n">
        <v>0</v>
      </c>
      <c r="N37" s="32" t="inlineStr"/>
      <c r="O37" s="32" t="inlineStr"/>
      <c r="P37" s="32" t="inlineStr"/>
      <c r="Q37" s="32" t="n">
        <v>0</v>
      </c>
      <c r="R37" s="32" t="n">
        <v>555.8099999999999</v>
      </c>
      <c r="S37" s="32" t="n">
        <v>0</v>
      </c>
      <c r="T37" s="32" t="n">
        <v>11.26</v>
      </c>
    </row>
    <row r="38">
      <c r="A38" s="32" t="inlineStr">
        <is>
          <t>ttJTrans</t>
        </is>
      </c>
      <c r="B38" s="32" t="inlineStr">
        <is>
          <t>0-4005</t>
        </is>
      </c>
      <c r="C38" s="32" t="inlineStr">
        <is>
          <t>LA</t>
        </is>
      </c>
      <c r="D38" s="32" t="inlineStr"/>
      <c r="E38" s="32" t="inlineStr">
        <is>
          <t>LA</t>
        </is>
      </c>
      <c r="F38" s="32" t="inlineStr"/>
      <c r="G38" s="125" t="inlineStr"/>
      <c r="H38" s="126" t="n">
        <v>46139</v>
      </c>
      <c r="I38" s="32" t="inlineStr"/>
      <c r="J38" s="32" t="inlineStr">
        <is>
          <t>0-4005</t>
        </is>
      </c>
      <c r="K38" s="32" t="inlineStr">
        <is>
          <t>PR P2COST 000290 (PR) Summary</t>
        </is>
      </c>
      <c r="L38" s="32" t="n">
        <v>0</v>
      </c>
      <c r="M38" s="32" t="n">
        <v>0</v>
      </c>
      <c r="N38" s="32" t="inlineStr"/>
      <c r="O38" s="32" t="inlineStr"/>
      <c r="P38" s="32" t="inlineStr"/>
      <c r="Q38" s="32" t="n">
        <v>0</v>
      </c>
      <c r="R38" s="32" t="n">
        <v>589.6</v>
      </c>
      <c r="S38" s="32" t="n">
        <v>0</v>
      </c>
      <c r="T38" s="32" t="n">
        <v>8</v>
      </c>
    </row>
    <row r="39">
      <c r="A39" s="32" t="inlineStr">
        <is>
          <t>ttJTrans</t>
        </is>
      </c>
      <c r="B39" s="32" t="inlineStr">
        <is>
          <t>0-4005</t>
        </is>
      </c>
      <c r="C39" s="32" t="inlineStr">
        <is>
          <t>LA</t>
        </is>
      </c>
      <c r="D39" s="32" t="inlineStr"/>
      <c r="E39" s="32" t="inlineStr">
        <is>
          <t>LA</t>
        </is>
      </c>
      <c r="F39" s="32" t="inlineStr"/>
      <c r="G39" s="125" t="inlineStr"/>
      <c r="H39" s="126" t="n">
        <v>46142</v>
      </c>
      <c r="I39" s="32" t="inlineStr"/>
      <c r="J39" s="32" t="inlineStr">
        <is>
          <t>0-4005</t>
        </is>
      </c>
      <c r="K39" s="32" t="inlineStr">
        <is>
          <t>PR P0COST 000528 (PR) Summary</t>
        </is>
      </c>
      <c r="L39" s="32" t="n">
        <v>0</v>
      </c>
      <c r="M39" s="32" t="n">
        <v>0</v>
      </c>
      <c r="N39" s="32" t="inlineStr"/>
      <c r="O39" s="32" t="inlineStr"/>
      <c r="P39" s="32" t="inlineStr"/>
      <c r="Q39" s="32" t="n">
        <v>0</v>
      </c>
      <c r="R39" s="32" t="n">
        <v>661.01</v>
      </c>
      <c r="S39" s="32" t="n">
        <v>0</v>
      </c>
      <c r="T39" s="32" t="n">
        <v>13.9</v>
      </c>
    </row>
    <row r="40">
      <c r="A40" s="32" t="inlineStr">
        <is>
          <t>ttJTrans</t>
        </is>
      </c>
      <c r="B40" s="32" t="inlineStr">
        <is>
          <t>0-4005</t>
        </is>
      </c>
      <c r="C40" s="32" t="inlineStr">
        <is>
          <t>LA</t>
        </is>
      </c>
      <c r="D40" s="32" t="inlineStr"/>
      <c r="E40" s="32" t="inlineStr">
        <is>
          <t>LA</t>
        </is>
      </c>
      <c r="F40" s="32" t="inlineStr"/>
      <c r="G40" s="125" t="inlineStr"/>
      <c r="H40" s="126" t="n">
        <v>46150</v>
      </c>
      <c r="I40" s="32" t="inlineStr"/>
      <c r="J40" s="32" t="inlineStr">
        <is>
          <t>0-4005</t>
        </is>
      </c>
      <c r="K40" s="32" t="inlineStr">
        <is>
          <t>COST CODE TRANSFER 25-4005</t>
        </is>
      </c>
      <c r="L40" s="32" t="n">
        <v>0</v>
      </c>
      <c r="M40" s="32" t="n">
        <v>0</v>
      </c>
      <c r="N40" s="32" t="inlineStr"/>
      <c r="O40" s="32" t="inlineStr"/>
      <c r="P40" s="32" t="inlineStr"/>
      <c r="Q40" s="32" t="n">
        <v>0</v>
      </c>
      <c r="R40" s="32" t="n">
        <v>-10283.53</v>
      </c>
      <c r="S40" s="32" t="n">
        <v>0</v>
      </c>
      <c r="T40" s="32" t="n">
        <v>-194.86</v>
      </c>
    </row>
    <row r="41">
      <c r="A41" s="32" t="inlineStr">
        <is>
          <t>ttJTrans</t>
        </is>
      </c>
      <c r="B41" s="32" t="inlineStr">
        <is>
          <t>0-4005</t>
        </is>
      </c>
      <c r="C41" s="32" t="inlineStr">
        <is>
          <t>LA</t>
        </is>
      </c>
      <c r="D41" s="32" t="inlineStr"/>
      <c r="E41" s="32" t="inlineStr">
        <is>
          <t>LA</t>
        </is>
      </c>
      <c r="F41" s="32" t="inlineStr"/>
      <c r="G41" s="125" t="inlineStr"/>
      <c r="H41" s="126" t="n">
        <v>46149</v>
      </c>
      <c r="I41" s="32" t="inlineStr"/>
      <c r="J41" s="32" t="inlineStr">
        <is>
          <t>0-4005</t>
        </is>
      </c>
      <c r="K41" s="32" t="inlineStr">
        <is>
          <t>PR P0COST 000529 (PR) Summary</t>
        </is>
      </c>
      <c r="L41" s="32" t="n">
        <v>0</v>
      </c>
      <c r="M41" s="32" t="n">
        <v>0</v>
      </c>
      <c r="N41" s="32" t="inlineStr"/>
      <c r="O41" s="32" t="inlineStr"/>
      <c r="P41" s="32" t="inlineStr"/>
      <c r="Q41" s="32" t="n">
        <v>0</v>
      </c>
      <c r="R41" s="32" t="n">
        <v>439.25</v>
      </c>
      <c r="S41" s="32" t="n">
        <v>0</v>
      </c>
      <c r="T41" s="32" t="n">
        <v>5.82</v>
      </c>
    </row>
    <row r="42">
      <c r="A42" s="32" t="inlineStr">
        <is>
          <t>ttJTrans</t>
        </is>
      </c>
      <c r="B42" s="32" t="inlineStr">
        <is>
          <t>0-4005</t>
        </is>
      </c>
      <c r="C42" s="32" t="inlineStr">
        <is>
          <t>LA</t>
        </is>
      </c>
      <c r="D42" s="32" t="inlineStr"/>
      <c r="E42" s="32" t="inlineStr">
        <is>
          <t>LA</t>
        </is>
      </c>
      <c r="F42" s="32" t="inlineStr"/>
      <c r="G42" s="125" t="inlineStr"/>
      <c r="H42" s="126" t="n">
        <v>46154</v>
      </c>
      <c r="I42" s="32" t="inlineStr"/>
      <c r="J42" s="32" t="inlineStr">
        <is>
          <t>0-4005</t>
        </is>
      </c>
      <c r="K42" s="32" t="inlineStr">
        <is>
          <t>PR P2COST 000292 (PR) Summary</t>
        </is>
      </c>
      <c r="L42" s="32" t="n">
        <v>0</v>
      </c>
      <c r="M42" s="32" t="n">
        <v>0</v>
      </c>
      <c r="N42" s="32" t="inlineStr"/>
      <c r="O42" s="32" t="inlineStr"/>
      <c r="P42" s="32" t="inlineStr"/>
      <c r="Q42" s="32" t="n">
        <v>0</v>
      </c>
      <c r="R42" s="32" t="n">
        <v>299.5</v>
      </c>
      <c r="S42" s="32" t="n">
        <v>0</v>
      </c>
      <c r="T42" s="32" t="n">
        <v>4</v>
      </c>
    </row>
    <row r="43">
      <c r="A43" s="32" t="inlineStr">
        <is>
          <t>ttJTrans</t>
        </is>
      </c>
      <c r="B43" s="32" t="inlineStr">
        <is>
          <t>0-4005</t>
        </is>
      </c>
      <c r="C43" s="32" t="inlineStr">
        <is>
          <t>LA</t>
        </is>
      </c>
      <c r="D43" s="32" t="inlineStr"/>
      <c r="E43" s="32" t="inlineStr">
        <is>
          <t>LA</t>
        </is>
      </c>
      <c r="F43" s="32" t="inlineStr"/>
      <c r="G43" s="125" t="inlineStr"/>
      <c r="H43" s="126" t="n">
        <v>46154</v>
      </c>
      <c r="I43" s="32" t="inlineStr"/>
      <c r="J43" s="32" t="inlineStr">
        <is>
          <t>0-4005</t>
        </is>
      </c>
      <c r="K43" s="32" t="inlineStr">
        <is>
          <t>PR P2COST 000292 (PR) Summary</t>
        </is>
      </c>
      <c r="L43" s="32" t="n">
        <v>0</v>
      </c>
      <c r="M43" s="32" t="n">
        <v>0</v>
      </c>
      <c r="N43" s="32" t="inlineStr"/>
      <c r="O43" s="32" t="inlineStr"/>
      <c r="P43" s="32" t="inlineStr"/>
      <c r="Q43" s="32" t="n">
        <v>0</v>
      </c>
      <c r="R43" s="32" t="n">
        <v>598.95</v>
      </c>
      <c r="S43" s="32" t="n">
        <v>0</v>
      </c>
      <c r="T43" s="32" t="n">
        <v>8</v>
      </c>
    </row>
    <row r="44">
      <c r="A44" s="32" t="inlineStr">
        <is>
          <t>ttJTrans</t>
        </is>
      </c>
      <c r="B44" s="32" t="inlineStr">
        <is>
          <t>0-4005</t>
        </is>
      </c>
      <c r="C44" s="32" t="inlineStr">
        <is>
          <t>LA</t>
        </is>
      </c>
      <c r="D44" s="32" t="inlineStr"/>
      <c r="E44" s="32" t="inlineStr">
        <is>
          <t>LA</t>
        </is>
      </c>
      <c r="F44" s="32" t="inlineStr"/>
      <c r="G44" s="125" t="inlineStr"/>
      <c r="H44" s="126" t="n">
        <v>46154</v>
      </c>
      <c r="I44" s="32" t="inlineStr"/>
      <c r="J44" s="32" t="inlineStr">
        <is>
          <t>0-4005</t>
        </is>
      </c>
      <c r="K44" s="32" t="inlineStr">
        <is>
          <t>PR P2COST 000292 (PR) Summary</t>
        </is>
      </c>
      <c r="L44" s="32" t="n">
        <v>0</v>
      </c>
      <c r="M44" s="32" t="n">
        <v>0</v>
      </c>
      <c r="N44" s="32" t="inlineStr"/>
      <c r="O44" s="32" t="inlineStr"/>
      <c r="P44" s="32" t="inlineStr"/>
      <c r="Q44" s="32" t="n">
        <v>0</v>
      </c>
      <c r="R44" s="32" t="n">
        <v>599</v>
      </c>
      <c r="S44" s="32" t="n">
        <v>0</v>
      </c>
      <c r="T44" s="32" t="n">
        <v>8</v>
      </c>
    </row>
    <row r="45">
      <c r="A45" s="32" t="inlineStr">
        <is>
          <t>ttJTrans</t>
        </is>
      </c>
      <c r="B45" s="32" t="inlineStr">
        <is>
          <t>0-4000</t>
        </is>
      </c>
      <c r="C45" s="32" t="inlineStr">
        <is>
          <t>OC</t>
        </is>
      </c>
      <c r="D45" s="32" t="inlineStr">
        <is>
          <t>MA1009024</t>
        </is>
      </c>
      <c r="E45" s="32" t="inlineStr">
        <is>
          <t>OC</t>
        </is>
      </c>
      <c r="F45" s="32" t="inlineStr">
        <is>
          <t>MA1009024</t>
        </is>
      </c>
      <c r="G45" s="125" t="n">
        <v>45973</v>
      </c>
      <c r="H45" s="126" t="n">
        <v>45973</v>
      </c>
      <c r="I45" s="32" t="inlineStr">
        <is>
          <t>1</t>
        </is>
      </c>
      <c r="J45" s="32" t="inlineStr">
        <is>
          <t>0-4000</t>
        </is>
      </c>
      <c r="K45" s="32" t="inlineStr">
        <is>
          <t>PC88 MINE EX, JCB 3TS SKIDSTEER &amp; SILT FENCE</t>
        </is>
      </c>
      <c r="L45" s="32" t="n">
        <v>1</v>
      </c>
      <c r="M45" s="32" t="n">
        <v>1659.45</v>
      </c>
      <c r="N45" s="32" t="inlineStr">
        <is>
          <t>PO:COMMIT</t>
        </is>
      </c>
      <c r="O45" s="32" t="inlineStr">
        <is>
          <t>20050</t>
        </is>
      </c>
      <c r="P45" s="32" t="inlineStr">
        <is>
          <t>STANDARD FREIGHT LOGISTICS, LLC</t>
        </is>
      </c>
      <c r="Q45" s="32" t="n">
        <v>0</v>
      </c>
      <c r="R45" s="32" t="n">
        <v>0</v>
      </c>
      <c r="S45" s="32" t="n">
        <v>1659.45</v>
      </c>
      <c r="T45" s="32" t="n">
        <v>0</v>
      </c>
    </row>
    <row r="46">
      <c r="A46" s="32" t="inlineStr">
        <is>
          <t>ttJTrans</t>
        </is>
      </c>
      <c r="B46" s="32" t="inlineStr">
        <is>
          <t>0-4000</t>
        </is>
      </c>
      <c r="C46" s="32" t="inlineStr">
        <is>
          <t>OC</t>
        </is>
      </c>
      <c r="D46" s="32" t="inlineStr">
        <is>
          <t>MA1009024</t>
        </is>
      </c>
      <c r="E46" s="32" t="inlineStr">
        <is>
          <t>OC</t>
        </is>
      </c>
      <c r="F46" s="32" t="inlineStr">
        <is>
          <t>MA1009024</t>
        </is>
      </c>
      <c r="G46" s="125" t="n">
        <v>45973</v>
      </c>
      <c r="H46" s="126" t="n">
        <v>45973</v>
      </c>
      <c r="I46" s="32" t="inlineStr">
        <is>
          <t>1</t>
        </is>
      </c>
      <c r="J46" s="32" t="inlineStr">
        <is>
          <t>0-4000</t>
        </is>
      </c>
      <c r="K46" s="32" t="inlineStr">
        <is>
          <t>PC88 MINE EX, JCB 3TS SKIDSTEER &amp; SILT FENCE</t>
        </is>
      </c>
      <c r="L46" s="32" t="n">
        <v>1</v>
      </c>
      <c r="M46" s="32" t="n">
        <v>1659.45</v>
      </c>
      <c r="N46" s="32" t="inlineStr">
        <is>
          <t>INVOICE:ADJ-COMMIT</t>
        </is>
      </c>
      <c r="O46" s="32" t="inlineStr">
        <is>
          <t>20050</t>
        </is>
      </c>
      <c r="P46" s="32" t="inlineStr">
        <is>
          <t>STANDARD FREIGHT LOGISTICS, LLC</t>
        </is>
      </c>
      <c r="Q46" s="32" t="n">
        <v>0</v>
      </c>
      <c r="R46" s="32" t="n">
        <v>0</v>
      </c>
      <c r="S46" s="32" t="n">
        <v>-1659.45</v>
      </c>
      <c r="T46" s="32" t="n">
        <v>0</v>
      </c>
    </row>
    <row r="47">
      <c r="A47" s="32" t="inlineStr">
        <is>
          <t>ttJTrans</t>
        </is>
      </c>
      <c r="B47" s="32" t="inlineStr">
        <is>
          <t>0-4000</t>
        </is>
      </c>
      <c r="C47" s="32" t="inlineStr">
        <is>
          <t>OC</t>
        </is>
      </c>
      <c r="D47" s="32" t="inlineStr">
        <is>
          <t>MA1009024</t>
        </is>
      </c>
      <c r="E47" s="32" t="inlineStr">
        <is>
          <t>OC</t>
        </is>
      </c>
      <c r="F47" s="32" t="inlineStr">
        <is>
          <t>MA1009024</t>
        </is>
      </c>
      <c r="G47" s="125" t="n">
        <v>45973</v>
      </c>
      <c r="H47" s="126" t="n">
        <v>45983</v>
      </c>
      <c r="I47" s="32" t="inlineStr">
        <is>
          <t>1</t>
        </is>
      </c>
      <c r="J47" s="32" t="inlineStr">
        <is>
          <t>0-4000</t>
        </is>
      </c>
      <c r="K47" s="32" t="inlineStr">
        <is>
          <t>PC88 MINE EX, JCB 3TS SKIDSTEER &amp; SILT FENCE</t>
        </is>
      </c>
      <c r="L47" s="32" t="n">
        <v>1</v>
      </c>
      <c r="M47" s="32" t="n">
        <v>1659.45</v>
      </c>
      <c r="N47" s="32" t="inlineStr">
        <is>
          <t>INVOICE</t>
        </is>
      </c>
      <c r="O47" s="32" t="inlineStr">
        <is>
          <t>20050</t>
        </is>
      </c>
      <c r="P47" s="32" t="inlineStr">
        <is>
          <t>STANDARD FREIGHT LOGISTICS, LLC</t>
        </is>
      </c>
      <c r="Q47" s="32" t="n">
        <v>0</v>
      </c>
      <c r="R47" s="32" t="n">
        <v>0</v>
      </c>
      <c r="S47" s="32" t="n">
        <v>0</v>
      </c>
      <c r="T47" s="32" t="n">
        <v>0</v>
      </c>
    </row>
    <row r="48">
      <c r="A48" s="32" t="inlineStr">
        <is>
          <t>ttJTrans</t>
        </is>
      </c>
      <c r="B48" s="32" t="inlineStr">
        <is>
          <t>0-4000</t>
        </is>
      </c>
      <c r="C48" s="32" t="inlineStr">
        <is>
          <t>OC</t>
        </is>
      </c>
      <c r="D48" s="32" t="inlineStr">
        <is>
          <t>MA1010372</t>
        </is>
      </c>
      <c r="E48" s="32" t="inlineStr">
        <is>
          <t>OC</t>
        </is>
      </c>
      <c r="F48" s="32" t="inlineStr">
        <is>
          <t>MA1010372</t>
        </is>
      </c>
      <c r="G48" s="125" t="n">
        <v>46083</v>
      </c>
      <c r="H48" s="126" t="n">
        <v>46090</v>
      </c>
      <c r="I48" s="32" t="inlineStr">
        <is>
          <t>1</t>
        </is>
      </c>
      <c r="J48" s="32" t="inlineStr">
        <is>
          <t>0-4000</t>
        </is>
      </c>
      <c r="K48" s="32" t="inlineStr">
        <is>
          <t>PALLET OF ROAD SIGNS FROM MIDLAND TO WHARTON</t>
        </is>
      </c>
      <c r="L48" s="32" t="n">
        <v>1</v>
      </c>
      <c r="M48" s="32" t="n">
        <v>832.5</v>
      </c>
      <c r="N48" s="32" t="inlineStr">
        <is>
          <t>INVOICE</t>
        </is>
      </c>
      <c r="O48" s="32" t="inlineStr">
        <is>
          <t>20050</t>
        </is>
      </c>
      <c r="P48" s="32" t="inlineStr">
        <is>
          <t>STANDARD FREIGHT LOGISTICS, LLC</t>
        </is>
      </c>
      <c r="Q48" s="32" t="n">
        <v>0</v>
      </c>
      <c r="R48" s="32" t="n">
        <v>0</v>
      </c>
      <c r="S48" s="32" t="n">
        <v>0</v>
      </c>
      <c r="T48" s="32" t="n">
        <v>0</v>
      </c>
    </row>
    <row r="49">
      <c r="A49" s="32" t="inlineStr">
        <is>
          <t>ttJTrans</t>
        </is>
      </c>
      <c r="B49" s="32" t="inlineStr">
        <is>
          <t>0-4000</t>
        </is>
      </c>
      <c r="C49" s="32" t="inlineStr">
        <is>
          <t>OC</t>
        </is>
      </c>
      <c r="D49" s="32" t="inlineStr">
        <is>
          <t>MA1010372</t>
        </is>
      </c>
      <c r="E49" s="32" t="inlineStr">
        <is>
          <t>OC</t>
        </is>
      </c>
      <c r="F49" s="32" t="inlineStr">
        <is>
          <t>MA1010372</t>
        </is>
      </c>
      <c r="G49" s="125" t="n">
        <v>46083</v>
      </c>
      <c r="H49" s="126" t="n">
        <v>46084</v>
      </c>
      <c r="I49" s="32" t="inlineStr">
        <is>
          <t>1</t>
        </is>
      </c>
      <c r="J49" s="32" t="inlineStr">
        <is>
          <t>0-4000</t>
        </is>
      </c>
      <c r="K49" s="32" t="inlineStr">
        <is>
          <t>PALLET OF ROAD SIGNS FROM MIDLAND TO WHARTON</t>
        </is>
      </c>
      <c r="L49" s="32" t="n">
        <v>1</v>
      </c>
      <c r="M49" s="32" t="n">
        <v>832.5</v>
      </c>
      <c r="N49" s="32" t="inlineStr">
        <is>
          <t>INVOICE:ADJ-COMMIT</t>
        </is>
      </c>
      <c r="O49" s="32" t="inlineStr">
        <is>
          <t>20050</t>
        </is>
      </c>
      <c r="P49" s="32" t="inlineStr">
        <is>
          <t>STANDARD FREIGHT LOGISTICS, LLC</t>
        </is>
      </c>
      <c r="Q49" s="32" t="n">
        <v>0</v>
      </c>
      <c r="R49" s="32" t="n">
        <v>0</v>
      </c>
      <c r="S49" s="32" t="n">
        <v>-832.5</v>
      </c>
      <c r="T49" s="32" t="n">
        <v>0</v>
      </c>
    </row>
    <row r="50">
      <c r="A50" s="32" t="inlineStr">
        <is>
          <t>ttJTrans</t>
        </is>
      </c>
      <c r="B50" s="32" t="inlineStr">
        <is>
          <t>0-4000</t>
        </is>
      </c>
      <c r="C50" s="32" t="inlineStr">
        <is>
          <t>OC</t>
        </is>
      </c>
      <c r="D50" s="32" t="inlineStr">
        <is>
          <t>MA1010372</t>
        </is>
      </c>
      <c r="E50" s="32" t="inlineStr">
        <is>
          <t>OC</t>
        </is>
      </c>
      <c r="F50" s="32" t="inlineStr">
        <is>
          <t>MA1010372</t>
        </is>
      </c>
      <c r="G50" s="125" t="n">
        <v>46083</v>
      </c>
      <c r="H50" s="126" t="n">
        <v>46084</v>
      </c>
      <c r="I50" s="32" t="inlineStr">
        <is>
          <t>1</t>
        </is>
      </c>
      <c r="J50" s="32" t="inlineStr">
        <is>
          <t>0-4000</t>
        </is>
      </c>
      <c r="K50" s="32" t="inlineStr">
        <is>
          <t>PALLET OF ROAD SIGNS FROM MIDLAND TO WHARTON</t>
        </is>
      </c>
      <c r="L50" s="32" t="n">
        <v>1</v>
      </c>
      <c r="M50" s="32" t="n">
        <v>832.5</v>
      </c>
      <c r="N50" s="32" t="inlineStr">
        <is>
          <t>PO:COMMIT</t>
        </is>
      </c>
      <c r="O50" s="32" t="inlineStr">
        <is>
          <t>20050</t>
        </is>
      </c>
      <c r="P50" s="32" t="inlineStr">
        <is>
          <t>STANDARD FREIGHT LOGISTICS, LLC</t>
        </is>
      </c>
      <c r="Q50" s="32" t="n">
        <v>0</v>
      </c>
      <c r="R50" s="32" t="n">
        <v>0</v>
      </c>
      <c r="S50" s="32" t="n">
        <v>832.5</v>
      </c>
      <c r="T50" s="32" t="n">
        <v>0</v>
      </c>
    </row>
    <row r="51">
      <c r="A51" s="32" t="inlineStr">
        <is>
          <t>ttJTrans</t>
        </is>
      </c>
      <c r="B51" s="32" t="inlineStr">
        <is>
          <t>0-4000</t>
        </is>
      </c>
      <c r="C51" s="32" t="inlineStr">
        <is>
          <t>OC</t>
        </is>
      </c>
      <c r="D51" s="32" t="inlineStr">
        <is>
          <t>MA1010514</t>
        </is>
      </c>
      <c r="E51" s="32" t="inlineStr">
        <is>
          <t>OC</t>
        </is>
      </c>
      <c r="F51" s="32" t="inlineStr">
        <is>
          <t>MA1010514</t>
        </is>
      </c>
      <c r="G51" s="125" t="n">
        <v>46092</v>
      </c>
      <c r="H51" s="126" t="n">
        <v>46091</v>
      </c>
      <c r="I51" s="32" t="inlineStr">
        <is>
          <t>1</t>
        </is>
      </c>
      <c r="J51" s="32" t="inlineStr">
        <is>
          <t>0-4000</t>
        </is>
      </c>
      <c r="K51" s="32" t="inlineStr">
        <is>
          <t>MOB IN TR419 R1107238 FROM MIDLAND TO</t>
        </is>
      </c>
      <c r="L51" s="32" t="n">
        <v>1</v>
      </c>
      <c r="M51" s="32" t="n">
        <v>2497.5</v>
      </c>
      <c r="N51" s="32" t="inlineStr">
        <is>
          <t>INVOICE:ADJ-COMMIT</t>
        </is>
      </c>
      <c r="O51" s="32" t="inlineStr">
        <is>
          <t>20050</t>
        </is>
      </c>
      <c r="P51" s="32" t="inlineStr">
        <is>
          <t>STANDARD FREIGHT LOGISTICS, LLC</t>
        </is>
      </c>
      <c r="Q51" s="32" t="n">
        <v>0</v>
      </c>
      <c r="R51" s="32" t="n">
        <v>0</v>
      </c>
      <c r="S51" s="32" t="n">
        <v>-2497.5</v>
      </c>
      <c r="T51" s="32" t="n">
        <v>0</v>
      </c>
    </row>
    <row r="52">
      <c r="A52" s="32" t="inlineStr">
        <is>
          <t>ttJTrans</t>
        </is>
      </c>
      <c r="B52" s="32" t="inlineStr">
        <is>
          <t>0-4000</t>
        </is>
      </c>
      <c r="C52" s="32" t="inlineStr">
        <is>
          <t>OC</t>
        </is>
      </c>
      <c r="D52" s="32" t="inlineStr">
        <is>
          <t>MA1010514</t>
        </is>
      </c>
      <c r="E52" s="32" t="inlineStr">
        <is>
          <t>OC</t>
        </is>
      </c>
      <c r="F52" s="32" t="inlineStr">
        <is>
          <t>MA1010514</t>
        </is>
      </c>
      <c r="G52" s="125" t="n">
        <v>46092</v>
      </c>
      <c r="H52" s="126" t="n">
        <v>46091</v>
      </c>
      <c r="I52" s="32" t="inlineStr">
        <is>
          <t>1</t>
        </is>
      </c>
      <c r="J52" s="32" t="inlineStr">
        <is>
          <t>0-4000</t>
        </is>
      </c>
      <c r="K52" s="32" t="inlineStr">
        <is>
          <t>MOB IN TR419 R1107238 FROM MIDLAND TO</t>
        </is>
      </c>
      <c r="L52" s="32" t="n">
        <v>1</v>
      </c>
      <c r="M52" s="32" t="n">
        <v>2497.5</v>
      </c>
      <c r="N52" s="32" t="inlineStr">
        <is>
          <t>PO:COMMIT</t>
        </is>
      </c>
      <c r="O52" s="32" t="inlineStr">
        <is>
          <t>20050</t>
        </is>
      </c>
      <c r="P52" s="32" t="inlineStr">
        <is>
          <t>STANDARD FREIGHT LOGISTICS, LLC</t>
        </is>
      </c>
      <c r="Q52" s="32" t="n">
        <v>0</v>
      </c>
      <c r="R52" s="32" t="n">
        <v>0</v>
      </c>
      <c r="S52" s="32" t="n">
        <v>2497.5</v>
      </c>
      <c r="T52" s="32" t="n">
        <v>0</v>
      </c>
    </row>
    <row r="53">
      <c r="A53" s="32" t="inlineStr">
        <is>
          <t>ttJTrans</t>
        </is>
      </c>
      <c r="B53" s="32" t="inlineStr">
        <is>
          <t>0-4000</t>
        </is>
      </c>
      <c r="C53" s="32" t="inlineStr">
        <is>
          <t>OC</t>
        </is>
      </c>
      <c r="D53" s="32" t="inlineStr">
        <is>
          <t>MA1010514</t>
        </is>
      </c>
      <c r="E53" s="32" t="inlineStr">
        <is>
          <t>OC</t>
        </is>
      </c>
      <c r="F53" s="32" t="inlineStr">
        <is>
          <t>MA1010514</t>
        </is>
      </c>
      <c r="G53" s="125" t="n">
        <v>46092</v>
      </c>
      <c r="H53" s="126" t="n">
        <v>46108</v>
      </c>
      <c r="I53" s="32" t="inlineStr">
        <is>
          <t>1</t>
        </is>
      </c>
      <c r="J53" s="32" t="inlineStr">
        <is>
          <t>0-4000</t>
        </is>
      </c>
      <c r="K53" s="32" t="inlineStr">
        <is>
          <t>MOB IN TR419 R1107238 FROM MIDLAND TO</t>
        </is>
      </c>
      <c r="L53" s="32" t="n">
        <v>1</v>
      </c>
      <c r="M53" s="32" t="n">
        <v>2497.5</v>
      </c>
      <c r="N53" s="32" t="inlineStr">
        <is>
          <t>INVOICE</t>
        </is>
      </c>
      <c r="O53" s="32" t="inlineStr">
        <is>
          <t>20050</t>
        </is>
      </c>
      <c r="P53" s="32" t="inlineStr">
        <is>
          <t>STANDARD FREIGHT LOGISTICS, LLC</t>
        </is>
      </c>
      <c r="Q53" s="32" t="n">
        <v>0</v>
      </c>
      <c r="R53" s="32" t="n">
        <v>0</v>
      </c>
      <c r="S53" s="32" t="n">
        <v>0</v>
      </c>
      <c r="T53" s="32" t="n">
        <v>0</v>
      </c>
    </row>
    <row r="54">
      <c r="A54" s="32" t="inlineStr">
        <is>
          <t>ttJTrans</t>
        </is>
      </c>
      <c r="B54" s="32" t="inlineStr">
        <is>
          <t>0-4000</t>
        </is>
      </c>
      <c r="C54" s="32" t="inlineStr">
        <is>
          <t>OC</t>
        </is>
      </c>
      <c r="D54" s="32" t="inlineStr">
        <is>
          <t>MA1010985</t>
        </is>
      </c>
      <c r="E54" s="32" t="inlineStr">
        <is>
          <t>OC</t>
        </is>
      </c>
      <c r="F54" s="32" t="inlineStr">
        <is>
          <t>MA1010985</t>
        </is>
      </c>
      <c r="G54" s="125" t="n">
        <v>46118</v>
      </c>
      <c r="H54" s="126" t="n">
        <v>46126</v>
      </c>
      <c r="I54" s="32" t="inlineStr">
        <is>
          <t>1</t>
        </is>
      </c>
      <c r="J54" s="32" t="inlineStr">
        <is>
          <t>0-4000</t>
        </is>
      </c>
      <c r="K54" s="32" t="inlineStr">
        <is>
          <t>2 P/u Trucks RT1447 Rt1385</t>
        </is>
      </c>
      <c r="L54" s="32" t="n">
        <v>1</v>
      </c>
      <c r="M54" s="32" t="n">
        <v>2081.25</v>
      </c>
      <c r="N54" s="32" t="inlineStr">
        <is>
          <t>INVOICE</t>
        </is>
      </c>
      <c r="O54" s="32" t="inlineStr">
        <is>
          <t>20050</t>
        </is>
      </c>
      <c r="P54" s="32" t="inlineStr">
        <is>
          <t>STANDARD FREIGHT LOGISTICS, LLC</t>
        </is>
      </c>
      <c r="Q54" s="32" t="n">
        <v>0</v>
      </c>
      <c r="R54" s="32" t="n">
        <v>0</v>
      </c>
      <c r="S54" s="32" t="n">
        <v>0</v>
      </c>
      <c r="T54" s="32" t="n">
        <v>0</v>
      </c>
    </row>
    <row r="55">
      <c r="A55" s="32" t="inlineStr">
        <is>
          <t>ttJTrans</t>
        </is>
      </c>
      <c r="B55" s="32" t="inlineStr">
        <is>
          <t>0-4000</t>
        </is>
      </c>
      <c r="C55" s="32" t="inlineStr">
        <is>
          <t>OC</t>
        </is>
      </c>
      <c r="D55" s="32" t="inlineStr">
        <is>
          <t>MA1010985</t>
        </is>
      </c>
      <c r="E55" s="32" t="inlineStr">
        <is>
          <t>OC</t>
        </is>
      </c>
      <c r="F55" s="32" t="inlineStr">
        <is>
          <t>MA1010985</t>
        </is>
      </c>
      <c r="G55" s="125" t="n">
        <v>46118</v>
      </c>
      <c r="H55" s="126" t="n">
        <v>46140</v>
      </c>
      <c r="I55" s="32" t="inlineStr">
        <is>
          <t>2</t>
        </is>
      </c>
      <c r="J55" s="32" t="inlineStr">
        <is>
          <t>0-4000</t>
        </is>
      </c>
      <c r="K55" s="32" t="inlineStr">
        <is>
          <t>Stack trailers, Plow</t>
        </is>
      </c>
      <c r="L55" s="32" t="n">
        <v>1</v>
      </c>
      <c r="M55" s="32" t="n">
        <v>1598.4</v>
      </c>
      <c r="N55" s="32" t="inlineStr">
        <is>
          <t>INVOICE</t>
        </is>
      </c>
      <c r="O55" s="32" t="inlineStr">
        <is>
          <t>20050</t>
        </is>
      </c>
      <c r="P55" s="32" t="inlineStr">
        <is>
          <t>STANDARD FREIGHT LOGISTICS, LLC</t>
        </is>
      </c>
      <c r="Q55" s="32" t="n">
        <v>0</v>
      </c>
      <c r="R55" s="32" t="n">
        <v>0</v>
      </c>
      <c r="S55" s="32" t="n">
        <v>0</v>
      </c>
      <c r="T55" s="32" t="n">
        <v>0</v>
      </c>
    </row>
    <row r="56">
      <c r="A56" s="32" t="inlineStr">
        <is>
          <t>ttJTrans</t>
        </is>
      </c>
      <c r="B56" s="32" t="inlineStr">
        <is>
          <t>0-4000</t>
        </is>
      </c>
      <c r="C56" s="32" t="inlineStr">
        <is>
          <t>OC</t>
        </is>
      </c>
      <c r="D56" s="32" t="inlineStr">
        <is>
          <t>MA1010985</t>
        </is>
      </c>
      <c r="E56" s="32" t="inlineStr">
        <is>
          <t>OC</t>
        </is>
      </c>
      <c r="F56" s="32" t="inlineStr">
        <is>
          <t>MA1010985</t>
        </is>
      </c>
      <c r="G56" s="125" t="n">
        <v>46118</v>
      </c>
      <c r="H56" s="126" t="n">
        <v>46140</v>
      </c>
      <c r="I56" s="32" t="inlineStr">
        <is>
          <t>3</t>
        </is>
      </c>
      <c r="J56" s="32" t="inlineStr">
        <is>
          <t>0-4000</t>
        </is>
      </c>
      <c r="K56" s="32" t="inlineStr">
        <is>
          <t>Power only enclosed trailer TR425</t>
        </is>
      </c>
      <c r="L56" s="32" t="n">
        <v>1</v>
      </c>
      <c r="M56" s="32" t="n">
        <v>1387.5</v>
      </c>
      <c r="N56" s="32" t="inlineStr">
        <is>
          <t>INVOICE</t>
        </is>
      </c>
      <c r="O56" s="32" t="inlineStr">
        <is>
          <t>20050</t>
        </is>
      </c>
      <c r="P56" s="32" t="inlineStr">
        <is>
          <t>STANDARD FREIGHT LOGISTICS, LLC</t>
        </is>
      </c>
      <c r="Q56" s="32" t="n">
        <v>0</v>
      </c>
      <c r="R56" s="32" t="n">
        <v>0</v>
      </c>
      <c r="S56" s="32" t="n">
        <v>0</v>
      </c>
      <c r="T56" s="32" t="n">
        <v>0</v>
      </c>
    </row>
    <row r="57">
      <c r="A57" s="32" t="inlineStr">
        <is>
          <t>ttJTrans</t>
        </is>
      </c>
      <c r="B57" s="32" t="inlineStr">
        <is>
          <t>0-4000</t>
        </is>
      </c>
      <c r="C57" s="32" t="inlineStr">
        <is>
          <t>OC</t>
        </is>
      </c>
      <c r="D57" s="32" t="inlineStr">
        <is>
          <t>MA1010985</t>
        </is>
      </c>
      <c r="E57" s="32" t="inlineStr">
        <is>
          <t>OC</t>
        </is>
      </c>
      <c r="F57" s="32" t="inlineStr">
        <is>
          <t>MA1010985</t>
        </is>
      </c>
      <c r="G57" s="125" t="n">
        <v>46118</v>
      </c>
      <c r="H57" s="126" t="n">
        <v>46119</v>
      </c>
      <c r="I57" s="32" t="inlineStr">
        <is>
          <t>2</t>
        </is>
      </c>
      <c r="J57" s="32" t="inlineStr">
        <is>
          <t>0-4000</t>
        </is>
      </c>
      <c r="K57" s="32" t="inlineStr">
        <is>
          <t>Stack trailers, Plow</t>
        </is>
      </c>
      <c r="L57" s="32" t="n">
        <v>1</v>
      </c>
      <c r="M57" s="32" t="n">
        <v>1598.4</v>
      </c>
      <c r="N57" s="32" t="inlineStr">
        <is>
          <t>PO:COMMIT</t>
        </is>
      </c>
      <c r="O57" s="32" t="inlineStr">
        <is>
          <t>20050</t>
        </is>
      </c>
      <c r="P57" s="32" t="inlineStr">
        <is>
          <t>STANDARD FREIGHT LOGISTICS, LLC</t>
        </is>
      </c>
      <c r="Q57" s="32" t="n">
        <v>0</v>
      </c>
      <c r="R57" s="32" t="n">
        <v>0</v>
      </c>
      <c r="S57" s="32" t="n">
        <v>1598.4</v>
      </c>
      <c r="T57" s="32" t="n">
        <v>0</v>
      </c>
    </row>
    <row r="58">
      <c r="A58" s="32" t="inlineStr">
        <is>
          <t>ttJTrans</t>
        </is>
      </c>
      <c r="B58" s="32" t="inlineStr">
        <is>
          <t>0-4000</t>
        </is>
      </c>
      <c r="C58" s="32" t="inlineStr">
        <is>
          <t>OC</t>
        </is>
      </c>
      <c r="D58" s="32" t="inlineStr">
        <is>
          <t>MA1010985</t>
        </is>
      </c>
      <c r="E58" s="32" t="inlineStr">
        <is>
          <t>OC</t>
        </is>
      </c>
      <c r="F58" s="32" t="inlineStr">
        <is>
          <t>MA1010985</t>
        </is>
      </c>
      <c r="G58" s="125" t="n">
        <v>46118</v>
      </c>
      <c r="H58" s="126" t="n">
        <v>46119</v>
      </c>
      <c r="I58" s="32" t="inlineStr">
        <is>
          <t>3</t>
        </is>
      </c>
      <c r="J58" s="32" t="inlineStr">
        <is>
          <t>0-4000</t>
        </is>
      </c>
      <c r="K58" s="32" t="inlineStr">
        <is>
          <t>Power only enclosed trailer TR425</t>
        </is>
      </c>
      <c r="L58" s="32" t="n">
        <v>1</v>
      </c>
      <c r="M58" s="32" t="n">
        <v>1387.5</v>
      </c>
      <c r="N58" s="32" t="inlineStr">
        <is>
          <t>INVOICE:ADJ-COMMIT</t>
        </is>
      </c>
      <c r="O58" s="32" t="inlineStr">
        <is>
          <t>20050</t>
        </is>
      </c>
      <c r="P58" s="32" t="inlineStr">
        <is>
          <t>STANDARD FREIGHT LOGISTICS, LLC</t>
        </is>
      </c>
      <c r="Q58" s="32" t="n">
        <v>0</v>
      </c>
      <c r="R58" s="32" t="n">
        <v>0</v>
      </c>
      <c r="S58" s="32" t="n">
        <v>-1387.5</v>
      </c>
      <c r="T58" s="32" t="n">
        <v>0</v>
      </c>
    </row>
    <row r="59">
      <c r="A59" s="32" t="inlineStr">
        <is>
          <t>ttJTrans</t>
        </is>
      </c>
      <c r="B59" s="32" t="inlineStr">
        <is>
          <t>0-4000</t>
        </is>
      </c>
      <c r="C59" s="32" t="inlineStr">
        <is>
          <t>OC</t>
        </is>
      </c>
      <c r="D59" s="32" t="inlineStr">
        <is>
          <t>MA1010985</t>
        </is>
      </c>
      <c r="E59" s="32" t="inlineStr">
        <is>
          <t>OC</t>
        </is>
      </c>
      <c r="F59" s="32" t="inlineStr">
        <is>
          <t>MA1010985</t>
        </is>
      </c>
      <c r="G59" s="125" t="n">
        <v>46118</v>
      </c>
      <c r="H59" s="126" t="n">
        <v>46119</v>
      </c>
      <c r="I59" s="32" t="inlineStr">
        <is>
          <t>2</t>
        </is>
      </c>
      <c r="J59" s="32" t="inlineStr">
        <is>
          <t>0-4000</t>
        </is>
      </c>
      <c r="K59" s="32" t="inlineStr">
        <is>
          <t>Stack trailers, Plow</t>
        </is>
      </c>
      <c r="L59" s="32" t="n">
        <v>1</v>
      </c>
      <c r="M59" s="32" t="n">
        <v>1598.4</v>
      </c>
      <c r="N59" s="32" t="inlineStr">
        <is>
          <t>INVOICE:ADJ-COMMIT</t>
        </is>
      </c>
      <c r="O59" s="32" t="inlineStr">
        <is>
          <t>20050</t>
        </is>
      </c>
      <c r="P59" s="32" t="inlineStr">
        <is>
          <t>STANDARD FREIGHT LOGISTICS, LLC</t>
        </is>
      </c>
      <c r="Q59" s="32" t="n">
        <v>0</v>
      </c>
      <c r="R59" s="32" t="n">
        <v>0</v>
      </c>
      <c r="S59" s="32" t="n">
        <v>-1598.4</v>
      </c>
      <c r="T59" s="32" t="n">
        <v>0</v>
      </c>
    </row>
    <row r="60">
      <c r="A60" s="32" t="inlineStr">
        <is>
          <t>ttJTrans</t>
        </is>
      </c>
      <c r="B60" s="32" t="inlineStr">
        <is>
          <t>0-4000</t>
        </is>
      </c>
      <c r="C60" s="32" t="inlineStr">
        <is>
          <t>OC</t>
        </is>
      </c>
      <c r="D60" s="32" t="inlineStr">
        <is>
          <t>MA1010985</t>
        </is>
      </c>
      <c r="E60" s="32" t="inlineStr">
        <is>
          <t>OC</t>
        </is>
      </c>
      <c r="F60" s="32" t="inlineStr">
        <is>
          <t>MA1010985</t>
        </is>
      </c>
      <c r="G60" s="125" t="n">
        <v>46118</v>
      </c>
      <c r="H60" s="126" t="n">
        <v>46119</v>
      </c>
      <c r="I60" s="32" t="inlineStr">
        <is>
          <t>1</t>
        </is>
      </c>
      <c r="J60" s="32" t="inlineStr">
        <is>
          <t>0-4000</t>
        </is>
      </c>
      <c r="K60" s="32" t="inlineStr">
        <is>
          <t>2 P/u Trucks RT1447 Rt1385</t>
        </is>
      </c>
      <c r="L60" s="32" t="n">
        <v>1</v>
      </c>
      <c r="M60" s="32" t="n">
        <v>2081.25</v>
      </c>
      <c r="N60" s="32" t="inlineStr">
        <is>
          <t>INVOICE:ADJ-COMMIT</t>
        </is>
      </c>
      <c r="O60" s="32" t="inlineStr">
        <is>
          <t>20050</t>
        </is>
      </c>
      <c r="P60" s="32" t="inlineStr">
        <is>
          <t>STANDARD FREIGHT LOGISTICS, LLC</t>
        </is>
      </c>
      <c r="Q60" s="32" t="n">
        <v>0</v>
      </c>
      <c r="R60" s="32" t="n">
        <v>0</v>
      </c>
      <c r="S60" s="32" t="n">
        <v>-2081.25</v>
      </c>
      <c r="T60" s="32" t="n">
        <v>0</v>
      </c>
    </row>
    <row r="61">
      <c r="A61" s="32" t="inlineStr">
        <is>
          <t>ttJTrans</t>
        </is>
      </c>
      <c r="B61" s="32" t="inlineStr">
        <is>
          <t>0-4000</t>
        </is>
      </c>
      <c r="C61" s="32" t="inlineStr">
        <is>
          <t>OC</t>
        </is>
      </c>
      <c r="D61" s="32" t="inlineStr">
        <is>
          <t>MA1010985</t>
        </is>
      </c>
      <c r="E61" s="32" t="inlineStr">
        <is>
          <t>OC</t>
        </is>
      </c>
      <c r="F61" s="32" t="inlineStr">
        <is>
          <t>MA1010985</t>
        </is>
      </c>
      <c r="G61" s="125" t="n">
        <v>46118</v>
      </c>
      <c r="H61" s="126" t="n">
        <v>46119</v>
      </c>
      <c r="I61" s="32" t="inlineStr">
        <is>
          <t>1</t>
        </is>
      </c>
      <c r="J61" s="32" t="inlineStr">
        <is>
          <t>0-4000</t>
        </is>
      </c>
      <c r="K61" s="32" t="inlineStr">
        <is>
          <t>2 P/u Trucks RT1447 Rt1385</t>
        </is>
      </c>
      <c r="L61" s="32" t="n">
        <v>1</v>
      </c>
      <c r="M61" s="32" t="n">
        <v>2081.25</v>
      </c>
      <c r="N61" s="32" t="inlineStr">
        <is>
          <t>PO:COMMIT</t>
        </is>
      </c>
      <c r="O61" s="32" t="inlineStr">
        <is>
          <t>20050</t>
        </is>
      </c>
      <c r="P61" s="32" t="inlineStr">
        <is>
          <t>STANDARD FREIGHT LOGISTICS, LLC</t>
        </is>
      </c>
      <c r="Q61" s="32" t="n">
        <v>0</v>
      </c>
      <c r="R61" s="32" t="n">
        <v>0</v>
      </c>
      <c r="S61" s="32" t="n">
        <v>2081.25</v>
      </c>
      <c r="T61" s="32" t="n">
        <v>0</v>
      </c>
    </row>
    <row r="62">
      <c r="A62" s="32" t="inlineStr">
        <is>
          <t>ttJTrans</t>
        </is>
      </c>
      <c r="B62" s="32" t="inlineStr">
        <is>
          <t>0-4000</t>
        </is>
      </c>
      <c r="C62" s="32" t="inlineStr">
        <is>
          <t>OC</t>
        </is>
      </c>
      <c r="D62" s="32" t="inlineStr">
        <is>
          <t>MA1010985</t>
        </is>
      </c>
      <c r="E62" s="32" t="inlineStr">
        <is>
          <t>OC</t>
        </is>
      </c>
      <c r="F62" s="32" t="inlineStr">
        <is>
          <t>MA1010985</t>
        </is>
      </c>
      <c r="G62" s="35" t="n">
        <v>46118</v>
      </c>
      <c r="H62" s="126" t="n">
        <v>46119</v>
      </c>
      <c r="I62" s="32" t="inlineStr">
        <is>
          <t>3</t>
        </is>
      </c>
      <c r="J62" s="32" t="inlineStr">
        <is>
          <t>0-4000</t>
        </is>
      </c>
      <c r="K62" s="32" t="inlineStr">
        <is>
          <t>Power only enclosed trailer TR425</t>
        </is>
      </c>
      <c r="L62" s="32" t="n">
        <v>1</v>
      </c>
      <c r="M62" s="32" t="n">
        <v>1387.5</v>
      </c>
      <c r="N62" s="32" t="inlineStr">
        <is>
          <t>PO:COMMIT</t>
        </is>
      </c>
      <c r="O62" s="32" t="inlineStr">
        <is>
          <t>20050</t>
        </is>
      </c>
      <c r="P62" s="32" t="inlineStr">
        <is>
          <t>STANDARD FREIGHT LOGISTICS, LLC</t>
        </is>
      </c>
      <c r="Q62" s="32" t="n">
        <v>0</v>
      </c>
      <c r="R62" s="32" t="n">
        <v>0</v>
      </c>
      <c r="S62" s="32" t="n">
        <v>1387.5</v>
      </c>
      <c r="T62" s="32" t="n">
        <v>0</v>
      </c>
    </row>
    <row r="63">
      <c r="A63" s="32" t="inlineStr">
        <is>
          <t>ttJTrans</t>
        </is>
      </c>
      <c r="B63" s="32" t="inlineStr">
        <is>
          <t>0-4000</t>
        </is>
      </c>
      <c r="C63" s="32" t="inlineStr">
        <is>
          <t>OC</t>
        </is>
      </c>
      <c r="D63" s="32" t="inlineStr">
        <is>
          <t>MA1011022</t>
        </is>
      </c>
      <c r="E63" s="32" t="inlineStr">
        <is>
          <t>OC</t>
        </is>
      </c>
      <c r="F63" s="32" t="inlineStr">
        <is>
          <t>MA1011022</t>
        </is>
      </c>
      <c r="G63" s="35" t="n">
        <v>46119</v>
      </c>
      <c r="H63" s="126" t="n">
        <v>46119</v>
      </c>
      <c r="I63" s="32" t="inlineStr">
        <is>
          <t>1</t>
        </is>
      </c>
      <c r="J63" s="32" t="inlineStr">
        <is>
          <t>0-4000</t>
        </is>
      </c>
      <c r="K63" s="32" t="inlineStr">
        <is>
          <t>Deliver Farm tractor FT011 W/ Brush hog FE017</t>
        </is>
      </c>
      <c r="L63" s="32" t="n">
        <v>1</v>
      </c>
      <c r="M63" s="32" t="n">
        <v>2430.9</v>
      </c>
      <c r="N63" s="32" t="inlineStr">
        <is>
          <t>PO:COMMIT</t>
        </is>
      </c>
      <c r="O63" s="32" t="inlineStr">
        <is>
          <t>20050</t>
        </is>
      </c>
      <c r="P63" s="32" t="inlineStr">
        <is>
          <t>STANDARD FREIGHT LOGISTICS, LLC</t>
        </is>
      </c>
      <c r="Q63" s="32" t="n">
        <v>0</v>
      </c>
      <c r="R63" s="32" t="n">
        <v>0</v>
      </c>
      <c r="S63" s="32" t="n">
        <v>2430.9</v>
      </c>
      <c r="T63" s="32" t="n">
        <v>0</v>
      </c>
    </row>
    <row r="64">
      <c r="A64" s="32" t="inlineStr">
        <is>
          <t>ttJTrans</t>
        </is>
      </c>
      <c r="B64" s="32" t="inlineStr">
        <is>
          <t>0-4000</t>
        </is>
      </c>
      <c r="C64" s="32" t="inlineStr">
        <is>
          <t>OC</t>
        </is>
      </c>
      <c r="D64" s="32" t="inlineStr">
        <is>
          <t>MA1011022</t>
        </is>
      </c>
      <c r="E64" s="32" t="inlineStr">
        <is>
          <t>OC</t>
        </is>
      </c>
      <c r="F64" s="32" t="inlineStr">
        <is>
          <t>MA1011022</t>
        </is>
      </c>
      <c r="G64" s="35" t="n">
        <v>46119</v>
      </c>
      <c r="H64" s="126" t="n">
        <v>46119</v>
      </c>
      <c r="I64" s="32" t="inlineStr">
        <is>
          <t>1</t>
        </is>
      </c>
      <c r="J64" s="32" t="inlineStr">
        <is>
          <t>0-4000</t>
        </is>
      </c>
      <c r="K64" s="32" t="inlineStr">
        <is>
          <t>Deliver Farm tractor FT011 W/ Brush hog FE017</t>
        </is>
      </c>
      <c r="L64" s="32" t="n">
        <v>1</v>
      </c>
      <c r="M64" s="32" t="n">
        <v>2430.9</v>
      </c>
      <c r="N64" s="32" t="inlineStr">
        <is>
          <t>INVOICE:ADJ-COMMIT</t>
        </is>
      </c>
      <c r="O64" s="32" t="inlineStr">
        <is>
          <t>20050</t>
        </is>
      </c>
      <c r="P64" s="32" t="inlineStr">
        <is>
          <t>STANDARD FREIGHT LOGISTICS, LLC</t>
        </is>
      </c>
      <c r="Q64" s="32" t="n">
        <v>0</v>
      </c>
      <c r="R64" s="32" t="n">
        <v>0</v>
      </c>
      <c r="S64" s="32" t="n">
        <v>-2430.9</v>
      </c>
      <c r="T64" s="32" t="n">
        <v>0</v>
      </c>
    </row>
    <row r="65">
      <c r="A65" s="32" t="inlineStr">
        <is>
          <t>ttJTrans</t>
        </is>
      </c>
      <c r="B65" s="32" t="inlineStr">
        <is>
          <t>0-4000</t>
        </is>
      </c>
      <c r="C65" s="32" t="inlineStr">
        <is>
          <t>OC</t>
        </is>
      </c>
      <c r="D65" s="32" t="inlineStr">
        <is>
          <t>MA1011022</t>
        </is>
      </c>
      <c r="E65" s="32" t="inlineStr">
        <is>
          <t>OC</t>
        </is>
      </c>
      <c r="F65" s="32" t="inlineStr">
        <is>
          <t>MA1011022</t>
        </is>
      </c>
      <c r="G65" s="32" t="n">
        <v>46119</v>
      </c>
      <c r="H65" s="126" t="n">
        <v>46128</v>
      </c>
      <c r="I65" s="32" t="inlineStr">
        <is>
          <t>1</t>
        </is>
      </c>
      <c r="J65" s="32" t="inlineStr">
        <is>
          <t>0-4000</t>
        </is>
      </c>
      <c r="K65" s="32" t="inlineStr">
        <is>
          <t>Deliver Farm tractor FT011 W/ Brush hog FE017</t>
        </is>
      </c>
      <c r="L65" s="32" t="n">
        <v>1</v>
      </c>
      <c r="M65" s="32" t="n">
        <v>2430.9</v>
      </c>
      <c r="N65" s="32" t="inlineStr">
        <is>
          <t>INVOICE</t>
        </is>
      </c>
      <c r="O65" s="32" t="inlineStr">
        <is>
          <t>20050</t>
        </is>
      </c>
      <c r="P65" s="32" t="inlineStr">
        <is>
          <t>STANDARD FREIGHT LOGISTICS, LLC</t>
        </is>
      </c>
      <c r="Q65" s="32" t="n">
        <v>0</v>
      </c>
      <c r="R65" s="32" t="n">
        <v>0</v>
      </c>
      <c r="S65" s="32" t="n">
        <v>0</v>
      </c>
      <c r="T65" s="32" t="n">
        <v>0</v>
      </c>
    </row>
    <row r="66">
      <c r="A66" s="32" t="inlineStr">
        <is>
          <t>ttJTrans</t>
        </is>
      </c>
      <c r="B66" s="32" t="inlineStr">
        <is>
          <t>0-4000</t>
        </is>
      </c>
      <c r="C66" s="32" t="inlineStr">
        <is>
          <t>OC</t>
        </is>
      </c>
      <c r="D66" s="32" t="inlineStr">
        <is>
          <t>MA1011045</t>
        </is>
      </c>
      <c r="E66" s="32" t="inlineStr">
        <is>
          <t>OC</t>
        </is>
      </c>
      <c r="F66" s="32" t="inlineStr">
        <is>
          <t>MA1011045</t>
        </is>
      </c>
      <c r="G66" s="32" t="n">
        <v>46120</v>
      </c>
      <c r="H66" s="126" t="n">
        <v>46128</v>
      </c>
      <c r="I66" s="32" t="inlineStr">
        <is>
          <t>1</t>
        </is>
      </c>
      <c r="J66" s="32" t="inlineStr">
        <is>
          <t>0-4000</t>
        </is>
      </c>
      <c r="K66" s="32" t="inlineStr">
        <is>
          <t>Deliver Enclosed trailer TR145 to Luke</t>
        </is>
      </c>
      <c r="L66" s="32" t="n">
        <v>1</v>
      </c>
      <c r="M66" s="32" t="n">
        <v>2103.45</v>
      </c>
      <c r="N66" s="32" t="inlineStr">
        <is>
          <t>INVOICE</t>
        </is>
      </c>
      <c r="O66" s="32" t="inlineStr">
        <is>
          <t>20050</t>
        </is>
      </c>
      <c r="P66" s="32" t="inlineStr">
        <is>
          <t>STANDARD FREIGHT LOGISTICS, LLC</t>
        </is>
      </c>
      <c r="Q66" s="32" t="n">
        <v>0</v>
      </c>
      <c r="R66" s="32" t="n">
        <v>0</v>
      </c>
      <c r="S66" s="32" t="n">
        <v>0</v>
      </c>
      <c r="T66" s="32" t="n">
        <v>0</v>
      </c>
    </row>
    <row r="67">
      <c r="A67" s="32" t="inlineStr">
        <is>
          <t>ttJTrans</t>
        </is>
      </c>
      <c r="B67" s="32" t="inlineStr">
        <is>
          <t>0-4000</t>
        </is>
      </c>
      <c r="C67" s="32" t="inlineStr">
        <is>
          <t>OC</t>
        </is>
      </c>
      <c r="D67" s="32" t="inlineStr">
        <is>
          <t>MA1011045</t>
        </is>
      </c>
      <c r="E67" s="32" t="inlineStr">
        <is>
          <t>OC</t>
        </is>
      </c>
      <c r="F67" s="32" t="inlineStr">
        <is>
          <t>MA1011045</t>
        </is>
      </c>
      <c r="G67" s="32" t="n">
        <v>46120</v>
      </c>
      <c r="H67" s="126" t="n">
        <v>46120</v>
      </c>
      <c r="I67" s="32" t="inlineStr">
        <is>
          <t>1</t>
        </is>
      </c>
      <c r="J67" s="32" t="inlineStr">
        <is>
          <t>0-4000</t>
        </is>
      </c>
      <c r="K67" s="32" t="inlineStr">
        <is>
          <t>Deliver Enclosed trailer TR145 to Luke</t>
        </is>
      </c>
      <c r="L67" s="32" t="n">
        <v>1</v>
      </c>
      <c r="M67" s="32" t="n">
        <v>2103.45</v>
      </c>
      <c r="N67" s="32" t="inlineStr">
        <is>
          <t>PO:COMMIT</t>
        </is>
      </c>
      <c r="O67" s="32" t="inlineStr">
        <is>
          <t>20050</t>
        </is>
      </c>
      <c r="P67" s="32" t="inlineStr">
        <is>
          <t>STANDARD FREIGHT LOGISTICS, LLC</t>
        </is>
      </c>
      <c r="Q67" s="32" t="n">
        <v>0</v>
      </c>
      <c r="R67" s="32" t="n">
        <v>0</v>
      </c>
      <c r="S67" s="32" t="n">
        <v>2103.45</v>
      </c>
      <c r="T67" s="32" t="n">
        <v>0</v>
      </c>
    </row>
    <row r="68">
      <c r="A68" s="32" t="inlineStr">
        <is>
          <t>ttJTrans</t>
        </is>
      </c>
      <c r="B68" s="32" t="inlineStr">
        <is>
          <t>0-4000</t>
        </is>
      </c>
      <c r="C68" s="32" t="inlineStr">
        <is>
          <t>OC</t>
        </is>
      </c>
      <c r="D68" s="32" t="inlineStr">
        <is>
          <t>MA1011045</t>
        </is>
      </c>
      <c r="E68" s="32" t="inlineStr">
        <is>
          <t>OC</t>
        </is>
      </c>
      <c r="F68" s="32" t="inlineStr">
        <is>
          <t>MA1011045</t>
        </is>
      </c>
      <c r="G68" s="125" t="n">
        <v>46120</v>
      </c>
      <c r="H68" s="126" t="n">
        <v>46120</v>
      </c>
      <c r="I68" s="32" t="inlineStr">
        <is>
          <t>1</t>
        </is>
      </c>
      <c r="J68" s="32" t="inlineStr">
        <is>
          <t>0-4000</t>
        </is>
      </c>
      <c r="K68" s="32" t="inlineStr">
        <is>
          <t>Deliver Enclosed trailer TR145 to Luke</t>
        </is>
      </c>
      <c r="L68" s="32" t="n">
        <v>1</v>
      </c>
      <c r="M68" s="32" t="n">
        <v>2103.45</v>
      </c>
      <c r="N68" s="32" t="inlineStr">
        <is>
          <t>INVOICE:ADJ-COMMIT</t>
        </is>
      </c>
      <c r="O68" s="32" t="inlineStr">
        <is>
          <t>20050</t>
        </is>
      </c>
      <c r="P68" s="32" t="inlineStr">
        <is>
          <t>STANDARD FREIGHT LOGISTICS, LLC</t>
        </is>
      </c>
      <c r="Q68" s="32" t="n">
        <v>0</v>
      </c>
      <c r="R68" s="32" t="n">
        <v>0</v>
      </c>
      <c r="S68" s="32" t="n">
        <v>-2103.45</v>
      </c>
      <c r="T68" s="32" t="n">
        <v>0</v>
      </c>
    </row>
    <row r="69">
      <c r="A69" s="32" t="inlineStr">
        <is>
          <t>ttJTrans</t>
        </is>
      </c>
      <c r="B69" s="32" t="inlineStr">
        <is>
          <t>0-4000</t>
        </is>
      </c>
      <c r="C69" s="32" t="inlineStr">
        <is>
          <t>OC</t>
        </is>
      </c>
      <c r="D69" s="32" t="inlineStr">
        <is>
          <t>MA1011046</t>
        </is>
      </c>
      <c r="E69" s="32" t="inlineStr">
        <is>
          <t>OC</t>
        </is>
      </c>
      <c r="F69" s="32" t="inlineStr">
        <is>
          <t>MA1011046</t>
        </is>
      </c>
      <c r="G69" s="32" t="n">
        <v>46120</v>
      </c>
      <c r="H69" s="126" t="n">
        <v>46120</v>
      </c>
      <c r="I69" s="32" t="inlineStr">
        <is>
          <t>1</t>
        </is>
      </c>
      <c r="J69" s="32" t="inlineStr">
        <is>
          <t>0-4000</t>
        </is>
      </c>
      <c r="K69" s="32" t="inlineStr">
        <is>
          <t>Deliver Tool van TR260 to Ruben</t>
        </is>
      </c>
      <c r="L69" s="32" t="n">
        <v>1</v>
      </c>
      <c r="M69" s="32" t="n">
        <v>2769.45</v>
      </c>
      <c r="N69" s="32" t="inlineStr">
        <is>
          <t>PO:COMMIT</t>
        </is>
      </c>
      <c r="O69" s="32" t="inlineStr">
        <is>
          <t>20050</t>
        </is>
      </c>
      <c r="P69" s="32" t="inlineStr">
        <is>
          <t>STANDARD FREIGHT LOGISTICS, LLC</t>
        </is>
      </c>
      <c r="Q69" s="32" t="n">
        <v>0</v>
      </c>
      <c r="R69" s="32" t="n">
        <v>0</v>
      </c>
      <c r="S69" s="32" t="n">
        <v>2769.45</v>
      </c>
      <c r="T69" s="32" t="n">
        <v>0</v>
      </c>
    </row>
    <row r="70">
      <c r="A70" s="32" t="inlineStr">
        <is>
          <t>ttJTrans</t>
        </is>
      </c>
      <c r="B70" s="32" t="inlineStr">
        <is>
          <t>0-4000</t>
        </is>
      </c>
      <c r="C70" s="32" t="inlineStr">
        <is>
          <t>OC</t>
        </is>
      </c>
      <c r="D70" s="32" t="inlineStr">
        <is>
          <t>MA1011046</t>
        </is>
      </c>
      <c r="E70" s="32" t="inlineStr">
        <is>
          <t>OC</t>
        </is>
      </c>
      <c r="F70" s="32" t="inlineStr">
        <is>
          <t>MA1011046</t>
        </is>
      </c>
      <c r="G70" s="125" t="n">
        <v>46120</v>
      </c>
      <c r="H70" s="126" t="n">
        <v>46120</v>
      </c>
      <c r="I70" s="32" t="inlineStr">
        <is>
          <t>1</t>
        </is>
      </c>
      <c r="J70" s="32" t="inlineStr">
        <is>
          <t>0-4000</t>
        </is>
      </c>
      <c r="K70" s="32" t="inlineStr">
        <is>
          <t>Deliver Tool van TR260 to Ruben</t>
        </is>
      </c>
      <c r="L70" s="32" t="n">
        <v>1</v>
      </c>
      <c r="M70" s="32" t="n">
        <v>2769.45</v>
      </c>
      <c r="N70" s="32" t="inlineStr">
        <is>
          <t>INVOICE:ADJ-COMMIT</t>
        </is>
      </c>
      <c r="O70" s="32" t="inlineStr">
        <is>
          <t>20050</t>
        </is>
      </c>
      <c r="P70" s="32" t="inlineStr">
        <is>
          <t>STANDARD FREIGHT LOGISTICS, LLC</t>
        </is>
      </c>
      <c r="Q70" s="32" t="n">
        <v>0</v>
      </c>
      <c r="R70" s="32" t="n">
        <v>0</v>
      </c>
      <c r="S70" s="32" t="n">
        <v>-2769.45</v>
      </c>
      <c r="T70" s="32" t="n">
        <v>0</v>
      </c>
    </row>
    <row r="71">
      <c r="A71" s="32" t="inlineStr">
        <is>
          <t>ttJTrans</t>
        </is>
      </c>
      <c r="B71" s="32" t="inlineStr">
        <is>
          <t>0-4000</t>
        </is>
      </c>
      <c r="C71" s="32" t="inlineStr">
        <is>
          <t>OC</t>
        </is>
      </c>
      <c r="D71" s="32" t="inlineStr">
        <is>
          <t>MA1011046</t>
        </is>
      </c>
      <c r="E71" s="32" t="inlineStr">
        <is>
          <t>OC</t>
        </is>
      </c>
      <c r="F71" s="32" t="inlineStr">
        <is>
          <t>MA1011046</t>
        </is>
      </c>
      <c r="G71" s="125" t="n">
        <v>46120</v>
      </c>
      <c r="H71" s="126" t="n">
        <v>46126</v>
      </c>
      <c r="I71" s="32" t="inlineStr">
        <is>
          <t>1</t>
        </is>
      </c>
      <c r="J71" s="32" t="inlineStr">
        <is>
          <t>0-4000</t>
        </is>
      </c>
      <c r="K71" s="32" t="inlineStr">
        <is>
          <t>Deliver Tool van TR260 to Ruben</t>
        </is>
      </c>
      <c r="L71" s="32" t="n">
        <v>1</v>
      </c>
      <c r="M71" s="32" t="n">
        <v>2769.45</v>
      </c>
      <c r="N71" s="32" t="inlineStr">
        <is>
          <t>INVOICE</t>
        </is>
      </c>
      <c r="O71" s="32" t="inlineStr">
        <is>
          <t>20050</t>
        </is>
      </c>
      <c r="P71" s="32" t="inlineStr">
        <is>
          <t>STANDARD FREIGHT LOGISTICS, LLC</t>
        </is>
      </c>
      <c r="Q71" s="32" t="n">
        <v>0</v>
      </c>
      <c r="R71" s="32" t="n">
        <v>0</v>
      </c>
      <c r="S71" s="32" t="n">
        <v>0</v>
      </c>
      <c r="T71" s="32" t="n">
        <v>0</v>
      </c>
    </row>
    <row r="72">
      <c r="A72" s="32" t="inlineStr">
        <is>
          <t>ttJTrans</t>
        </is>
      </c>
      <c r="B72" s="32" t="inlineStr">
        <is>
          <t>0-4000</t>
        </is>
      </c>
      <c r="C72" s="32" t="inlineStr">
        <is>
          <t>OC</t>
        </is>
      </c>
      <c r="D72" s="32" t="inlineStr">
        <is>
          <t>MA1011247</t>
        </is>
      </c>
      <c r="E72" s="32" t="inlineStr">
        <is>
          <t>OC</t>
        </is>
      </c>
      <c r="F72" s="32" t="inlineStr">
        <is>
          <t>MA1011247</t>
        </is>
      </c>
      <c r="G72" s="32" t="n">
        <v>46127</v>
      </c>
      <c r="H72" s="126" t="n">
        <v>46135</v>
      </c>
      <c r="I72" s="32" t="inlineStr">
        <is>
          <t>1</t>
        </is>
      </c>
      <c r="J72" s="32" t="inlineStr">
        <is>
          <t>0-4000</t>
        </is>
      </c>
      <c r="K72" s="32" t="inlineStr">
        <is>
          <t>Transport 2 utility Trailers TR154 TR280</t>
        </is>
      </c>
      <c r="L72" s="32" t="n">
        <v>1</v>
      </c>
      <c r="M72" s="32" t="n">
        <v>2103.45</v>
      </c>
      <c r="N72" s="32" t="inlineStr">
        <is>
          <t>INVOICE</t>
        </is>
      </c>
      <c r="O72" s="32" t="inlineStr">
        <is>
          <t>20050</t>
        </is>
      </c>
      <c r="P72" s="32" t="inlineStr">
        <is>
          <t>STANDARD FREIGHT LOGISTICS, LLC</t>
        </is>
      </c>
      <c r="Q72" s="32" t="n">
        <v>0</v>
      </c>
      <c r="R72" s="32" t="n">
        <v>0</v>
      </c>
      <c r="S72" s="32" t="n">
        <v>0</v>
      </c>
      <c r="T72" s="32" t="n">
        <v>0</v>
      </c>
    </row>
    <row r="73">
      <c r="A73" s="32" t="inlineStr">
        <is>
          <t>ttJTrans</t>
        </is>
      </c>
      <c r="B73" s="32" t="inlineStr">
        <is>
          <t>0-4000</t>
        </is>
      </c>
      <c r="C73" s="32" t="inlineStr">
        <is>
          <t>OC</t>
        </is>
      </c>
      <c r="D73" s="32" t="inlineStr">
        <is>
          <t>MA1011247</t>
        </is>
      </c>
      <c r="E73" s="32" t="inlineStr">
        <is>
          <t>OC</t>
        </is>
      </c>
      <c r="F73" s="32" t="inlineStr">
        <is>
          <t>MA1011247</t>
        </is>
      </c>
      <c r="G73" s="32" t="n">
        <v>46127</v>
      </c>
      <c r="H73" s="126" t="n">
        <v>46127</v>
      </c>
      <c r="I73" s="32" t="inlineStr">
        <is>
          <t>1</t>
        </is>
      </c>
      <c r="J73" s="32" t="inlineStr">
        <is>
          <t>0-4000</t>
        </is>
      </c>
      <c r="K73" s="32" t="inlineStr">
        <is>
          <t>Transport 2 utility Trailers TR154 TR280</t>
        </is>
      </c>
      <c r="L73" s="32" t="n">
        <v>1</v>
      </c>
      <c r="M73" s="32" t="n">
        <v>2103.45</v>
      </c>
      <c r="N73" s="32" t="inlineStr">
        <is>
          <t>INVOICE:ADJ-COMMIT</t>
        </is>
      </c>
      <c r="O73" s="32" t="inlineStr">
        <is>
          <t>20050</t>
        </is>
      </c>
      <c r="P73" s="32" t="inlineStr">
        <is>
          <t>STANDARD FREIGHT LOGISTICS, LLC</t>
        </is>
      </c>
      <c r="Q73" s="32" t="n">
        <v>0</v>
      </c>
      <c r="R73" s="32" t="n">
        <v>0</v>
      </c>
      <c r="S73" s="32" t="n">
        <v>-2103.45</v>
      </c>
      <c r="T73" s="32" t="n">
        <v>0</v>
      </c>
    </row>
    <row r="74">
      <c r="A74" s="32" t="inlineStr">
        <is>
          <t>ttJTrans</t>
        </is>
      </c>
      <c r="B74" s="32" t="inlineStr">
        <is>
          <t>0-4000</t>
        </is>
      </c>
      <c r="C74" s="32" t="inlineStr">
        <is>
          <t>OC</t>
        </is>
      </c>
      <c r="D74" s="32" t="inlineStr">
        <is>
          <t>MA1011247</t>
        </is>
      </c>
      <c r="E74" s="32" t="inlineStr">
        <is>
          <t>OC</t>
        </is>
      </c>
      <c r="F74" s="32" t="inlineStr">
        <is>
          <t>MA1011247</t>
        </is>
      </c>
      <c r="G74" s="32" t="n">
        <v>46127</v>
      </c>
      <c r="H74" s="126" t="n">
        <v>46127</v>
      </c>
      <c r="I74" s="32" t="inlineStr">
        <is>
          <t>1</t>
        </is>
      </c>
      <c r="J74" s="32" t="inlineStr">
        <is>
          <t>0-4000</t>
        </is>
      </c>
      <c r="K74" s="32" t="inlineStr">
        <is>
          <t>Transport 2 utility Trailers TR154 TR280</t>
        </is>
      </c>
      <c r="L74" s="32" t="n">
        <v>1</v>
      </c>
      <c r="M74" s="32" t="n">
        <v>2103.45</v>
      </c>
      <c r="N74" s="32" t="inlineStr">
        <is>
          <t>PO:COMMIT</t>
        </is>
      </c>
      <c r="O74" s="32" t="inlineStr">
        <is>
          <t>20050</t>
        </is>
      </c>
      <c r="P74" s="32" t="inlineStr">
        <is>
          <t>STANDARD FREIGHT LOGISTICS, LLC</t>
        </is>
      </c>
      <c r="Q74" s="32" t="n">
        <v>0</v>
      </c>
      <c r="R74" s="32" t="n">
        <v>0</v>
      </c>
      <c r="S74" s="32" t="n">
        <v>2103.45</v>
      </c>
      <c r="T74" s="32" t="n">
        <v>0</v>
      </c>
    </row>
    <row r="75">
      <c r="A75" s="32" t="inlineStr">
        <is>
          <t>ttJTrans</t>
        </is>
      </c>
      <c r="B75" s="32" t="inlineStr">
        <is>
          <t>0-4000</t>
        </is>
      </c>
      <c r="C75" s="32" t="inlineStr">
        <is>
          <t>OC</t>
        </is>
      </c>
      <c r="D75" s="32" t="inlineStr">
        <is>
          <t>MA1011473</t>
        </is>
      </c>
      <c r="E75" s="32" t="inlineStr">
        <is>
          <t>OC</t>
        </is>
      </c>
      <c r="F75" s="32" t="inlineStr">
        <is>
          <t>MA1011473</t>
        </is>
      </c>
      <c r="G75" s="32" t="n">
        <v>46136</v>
      </c>
      <c r="H75" s="126" t="n">
        <v>46139</v>
      </c>
      <c r="I75" s="32" t="inlineStr">
        <is>
          <t>1</t>
        </is>
      </c>
      <c r="J75" s="32" t="inlineStr">
        <is>
          <t>0-4000</t>
        </is>
      </c>
      <c r="K75" s="32" t="inlineStr">
        <is>
          <t>Transport forklift, 2 Cable real trailers</t>
        </is>
      </c>
      <c r="L75" s="32" t="n">
        <v>1</v>
      </c>
      <c r="M75" s="32" t="n">
        <v>2430.9</v>
      </c>
      <c r="N75" s="32" t="inlineStr">
        <is>
          <t>PO:COMMIT</t>
        </is>
      </c>
      <c r="O75" s="32" t="inlineStr">
        <is>
          <t>20050</t>
        </is>
      </c>
      <c r="P75" s="32" t="inlineStr">
        <is>
          <t>STANDARD FREIGHT LOGISTICS, LLC</t>
        </is>
      </c>
      <c r="Q75" s="32" t="n">
        <v>0</v>
      </c>
      <c r="R75" s="32" t="n">
        <v>0</v>
      </c>
      <c r="S75" s="32" t="n">
        <v>2430.9</v>
      </c>
      <c r="T75" s="32" t="n">
        <v>0</v>
      </c>
    </row>
    <row r="76">
      <c r="A76" s="32" t="inlineStr">
        <is>
          <t>ttJTrans</t>
        </is>
      </c>
      <c r="B76" s="32" t="inlineStr">
        <is>
          <t>0-4000</t>
        </is>
      </c>
      <c r="C76" s="32" t="inlineStr">
        <is>
          <t>OC</t>
        </is>
      </c>
      <c r="D76" s="32" t="inlineStr">
        <is>
          <t>MA1011473</t>
        </is>
      </c>
      <c r="E76" s="32" t="inlineStr">
        <is>
          <t>OC</t>
        </is>
      </c>
      <c r="F76" s="32" t="inlineStr">
        <is>
          <t>MA1011473</t>
        </is>
      </c>
      <c r="G76" s="32" t="n">
        <v>46136</v>
      </c>
      <c r="H76" s="126" t="n">
        <v>46139</v>
      </c>
      <c r="I76" s="32" t="inlineStr">
        <is>
          <t>2</t>
        </is>
      </c>
      <c r="J76" s="32" t="inlineStr">
        <is>
          <t>0-4000</t>
        </is>
      </c>
      <c r="K76" s="32" t="inlineStr">
        <is>
          <t>Transport 2 Dodge truck, 1 Cable real trailer</t>
        </is>
      </c>
      <c r="L76" s="32" t="n">
        <v>1</v>
      </c>
      <c r="M76" s="32" t="n">
        <v>1942.5</v>
      </c>
      <c r="N76" s="32" t="inlineStr">
        <is>
          <t>PO:COMMIT</t>
        </is>
      </c>
      <c r="O76" s="32" t="inlineStr">
        <is>
          <t>20050</t>
        </is>
      </c>
      <c r="P76" s="32" t="inlineStr">
        <is>
          <t>STANDARD FREIGHT LOGISTICS, LLC</t>
        </is>
      </c>
      <c r="Q76" s="32" t="n">
        <v>0</v>
      </c>
      <c r="R76" s="32" t="n">
        <v>0</v>
      </c>
      <c r="S76" s="32" t="n">
        <v>1942.5</v>
      </c>
      <c r="T76" s="32" t="n">
        <v>0</v>
      </c>
    </row>
    <row r="77">
      <c r="A77" s="32" t="inlineStr">
        <is>
          <t>ttJTrans</t>
        </is>
      </c>
      <c r="B77" s="32" t="inlineStr">
        <is>
          <t>0-4000</t>
        </is>
      </c>
      <c r="C77" s="32" t="inlineStr">
        <is>
          <t>OC</t>
        </is>
      </c>
      <c r="D77" s="32" t="inlineStr">
        <is>
          <t>MA1011473</t>
        </is>
      </c>
      <c r="E77" s="32" t="inlineStr">
        <is>
          <t>OC</t>
        </is>
      </c>
      <c r="F77" s="32" t="inlineStr">
        <is>
          <t>MA1011473</t>
        </is>
      </c>
      <c r="G77" s="32" t="n">
        <v>46136</v>
      </c>
      <c r="H77" s="126" t="n">
        <v>46139</v>
      </c>
      <c r="I77" s="32" t="inlineStr">
        <is>
          <t>1</t>
        </is>
      </c>
      <c r="J77" s="32" t="inlineStr">
        <is>
          <t>0-4000</t>
        </is>
      </c>
      <c r="K77" s="32" t="inlineStr">
        <is>
          <t>Transport forklift, 2 Cable real trailers</t>
        </is>
      </c>
      <c r="L77" s="32" t="n">
        <v>1</v>
      </c>
      <c r="M77" s="32" t="n">
        <v>2430.9</v>
      </c>
      <c r="N77" s="32" t="inlineStr">
        <is>
          <t>INVOICE:ADJ-COMMIT</t>
        </is>
      </c>
      <c r="O77" s="32" t="inlineStr">
        <is>
          <t>20050</t>
        </is>
      </c>
      <c r="P77" s="32" t="inlineStr">
        <is>
          <t>STANDARD FREIGHT LOGISTICS, LLC</t>
        </is>
      </c>
      <c r="Q77" s="32" t="n">
        <v>0</v>
      </c>
      <c r="R77" s="32" t="n">
        <v>0</v>
      </c>
      <c r="S77" s="32" t="n">
        <v>-2430.9</v>
      </c>
      <c r="T77" s="32" t="n">
        <v>0</v>
      </c>
    </row>
    <row r="78">
      <c r="A78" s="32" t="inlineStr">
        <is>
          <t>ttJTrans</t>
        </is>
      </c>
      <c r="B78" s="32" t="inlineStr">
        <is>
          <t>0-4000</t>
        </is>
      </c>
      <c r="C78" s="32" t="inlineStr">
        <is>
          <t>OC</t>
        </is>
      </c>
      <c r="D78" s="32" t="inlineStr">
        <is>
          <t>MA1011473</t>
        </is>
      </c>
      <c r="E78" s="32" t="inlineStr">
        <is>
          <t>OC</t>
        </is>
      </c>
      <c r="F78" s="32" t="inlineStr">
        <is>
          <t>MA1011473</t>
        </is>
      </c>
      <c r="G78" s="32" t="n">
        <v>46136</v>
      </c>
      <c r="H78" s="126" t="n">
        <v>46139</v>
      </c>
      <c r="I78" s="32" t="inlineStr">
        <is>
          <t>2</t>
        </is>
      </c>
      <c r="J78" s="32" t="inlineStr">
        <is>
          <t>0-4000</t>
        </is>
      </c>
      <c r="K78" s="32" t="inlineStr">
        <is>
          <t>Transport 2 Dodge truck, 1 Cable real trailer</t>
        </is>
      </c>
      <c r="L78" s="32" t="n">
        <v>1</v>
      </c>
      <c r="M78" s="32" t="n">
        <v>1942.5</v>
      </c>
      <c r="N78" s="32" t="inlineStr">
        <is>
          <t>INVOICE:ADJ-COMMIT</t>
        </is>
      </c>
      <c r="O78" s="32" t="inlineStr">
        <is>
          <t>20050</t>
        </is>
      </c>
      <c r="P78" s="32" t="inlineStr">
        <is>
          <t>STANDARD FREIGHT LOGISTICS, LLC</t>
        </is>
      </c>
      <c r="Q78" s="32" t="n">
        <v>0</v>
      </c>
      <c r="R78" s="32" t="n">
        <v>0</v>
      </c>
      <c r="S78" s="32" t="n">
        <v>-1942.5</v>
      </c>
      <c r="T78" s="32" t="n">
        <v>0</v>
      </c>
    </row>
    <row r="79">
      <c r="A79" s="32" t="inlineStr">
        <is>
          <t>ttJTrans</t>
        </is>
      </c>
      <c r="B79" s="32" t="inlineStr">
        <is>
          <t>0-4000</t>
        </is>
      </c>
      <c r="C79" s="32" t="inlineStr">
        <is>
          <t>OC</t>
        </is>
      </c>
      <c r="D79" s="32" t="inlineStr">
        <is>
          <t>MA1011473</t>
        </is>
      </c>
      <c r="E79" s="32" t="inlineStr">
        <is>
          <t>OC</t>
        </is>
      </c>
      <c r="F79" s="32" t="inlineStr">
        <is>
          <t>MA1011473</t>
        </is>
      </c>
      <c r="G79" s="32" t="n">
        <v>46136</v>
      </c>
      <c r="H79" s="126" t="n">
        <v>46149</v>
      </c>
      <c r="I79" s="32" t="inlineStr">
        <is>
          <t>2</t>
        </is>
      </c>
      <c r="J79" s="32" t="inlineStr">
        <is>
          <t>0-4000</t>
        </is>
      </c>
      <c r="K79" s="32" t="inlineStr">
        <is>
          <t>Transport 2 Dodge truck, 1 Cable real trailer</t>
        </is>
      </c>
      <c r="L79" s="32" t="n">
        <v>1</v>
      </c>
      <c r="M79" s="32" t="n">
        <v>1942.5</v>
      </c>
      <c r="N79" s="32" t="inlineStr">
        <is>
          <t>INVOICE</t>
        </is>
      </c>
      <c r="O79" s="32" t="inlineStr">
        <is>
          <t>20050</t>
        </is>
      </c>
      <c r="P79" s="32" t="inlineStr">
        <is>
          <t>STANDARD FREIGHT LOGISTICS, LLC</t>
        </is>
      </c>
      <c r="Q79" s="32" t="n">
        <v>0</v>
      </c>
      <c r="R79" s="32" t="n">
        <v>0</v>
      </c>
      <c r="S79" s="32" t="n">
        <v>0</v>
      </c>
      <c r="T79" s="32" t="n">
        <v>0</v>
      </c>
    </row>
    <row r="80">
      <c r="A80" s="32" t="inlineStr">
        <is>
          <t>ttJTrans</t>
        </is>
      </c>
      <c r="B80" s="32" t="inlineStr">
        <is>
          <t>0-4000</t>
        </is>
      </c>
      <c r="C80" s="32" t="inlineStr">
        <is>
          <t>OC</t>
        </is>
      </c>
      <c r="D80" s="32" t="inlineStr">
        <is>
          <t>MA1011473</t>
        </is>
      </c>
      <c r="E80" s="32" t="inlineStr">
        <is>
          <t>OC</t>
        </is>
      </c>
      <c r="F80" s="32" t="inlineStr">
        <is>
          <t>MA1011473</t>
        </is>
      </c>
      <c r="G80" s="32" t="n">
        <v>46136</v>
      </c>
      <c r="H80" s="126" t="n">
        <v>46149</v>
      </c>
      <c r="I80" s="32" t="inlineStr">
        <is>
          <t>1</t>
        </is>
      </c>
      <c r="J80" s="32" t="inlineStr">
        <is>
          <t>0-4000</t>
        </is>
      </c>
      <c r="K80" s="32" t="inlineStr">
        <is>
          <t>Transport forklift, 2 Cable real trailers</t>
        </is>
      </c>
      <c r="L80" s="32" t="n">
        <v>1</v>
      </c>
      <c r="M80" s="32" t="n">
        <v>2430.9</v>
      </c>
      <c r="N80" s="32" t="inlineStr">
        <is>
          <t>INVOICE</t>
        </is>
      </c>
      <c r="O80" s="32" t="inlineStr">
        <is>
          <t>20050</t>
        </is>
      </c>
      <c r="P80" s="32" t="inlineStr">
        <is>
          <t>STANDARD FREIGHT LOGISTICS, LLC</t>
        </is>
      </c>
      <c r="Q80" s="32" t="n">
        <v>0</v>
      </c>
      <c r="R80" s="32" t="n">
        <v>0</v>
      </c>
      <c r="S80" s="32" t="n">
        <v>0</v>
      </c>
      <c r="T80" s="32" t="n">
        <v>0</v>
      </c>
    </row>
    <row r="81">
      <c r="A81" s="32" t="inlineStr">
        <is>
          <t>ttJTrans</t>
        </is>
      </c>
      <c r="B81" s="32" t="inlineStr">
        <is>
          <t>0-4000</t>
        </is>
      </c>
      <c r="C81" s="32" t="inlineStr">
        <is>
          <t>OC</t>
        </is>
      </c>
      <c r="D81" s="32" t="inlineStr">
        <is>
          <t>MA1011576</t>
        </is>
      </c>
      <c r="E81" s="32" t="inlineStr">
        <is>
          <t>OC</t>
        </is>
      </c>
      <c r="F81" s="32" t="inlineStr">
        <is>
          <t>MA1011576</t>
        </is>
      </c>
      <c r="G81" s="32" t="n">
        <v>46141</v>
      </c>
      <c r="H81" s="126" t="n">
        <v>46153</v>
      </c>
      <c r="I81" s="32" t="inlineStr">
        <is>
          <t>1</t>
        </is>
      </c>
      <c r="J81" s="32" t="inlineStr">
        <is>
          <t>0-4000</t>
        </is>
      </c>
      <c r="K81" s="32" t="inlineStr">
        <is>
          <t>PC88 MINI EXCAVATOR &amp; SKID STEER GRAPPLE</t>
        </is>
      </c>
      <c r="L81" s="32" t="n">
        <v>1</v>
      </c>
      <c r="M81" s="32" t="n">
        <v>2430.9</v>
      </c>
      <c r="N81" s="32" t="inlineStr">
        <is>
          <t>INVOICE</t>
        </is>
      </c>
      <c r="O81" s="32" t="inlineStr">
        <is>
          <t>20050</t>
        </is>
      </c>
      <c r="P81" s="32" t="inlineStr">
        <is>
          <t>STANDARD FREIGHT LOGISTICS, LLC</t>
        </is>
      </c>
      <c r="Q81" s="32" t="n">
        <v>0</v>
      </c>
      <c r="R81" s="32" t="n">
        <v>0</v>
      </c>
      <c r="S81" s="32" t="n">
        <v>0</v>
      </c>
      <c r="T81" s="32" t="n">
        <v>0</v>
      </c>
    </row>
    <row r="82">
      <c r="A82" s="32" t="inlineStr">
        <is>
          <t>ttJTrans</t>
        </is>
      </c>
      <c r="B82" s="32" t="inlineStr">
        <is>
          <t>0-4000</t>
        </is>
      </c>
      <c r="C82" s="32" t="inlineStr">
        <is>
          <t>OC</t>
        </is>
      </c>
      <c r="D82" s="32" t="inlineStr">
        <is>
          <t>MA1011576</t>
        </is>
      </c>
      <c r="E82" s="32" t="inlineStr">
        <is>
          <t>OC</t>
        </is>
      </c>
      <c r="F82" s="32" t="inlineStr">
        <is>
          <t>MA1011576</t>
        </is>
      </c>
      <c r="G82" s="32" t="n">
        <v>46141</v>
      </c>
      <c r="H82" s="126" t="n">
        <v>46141</v>
      </c>
      <c r="I82" s="32" t="inlineStr">
        <is>
          <t>1</t>
        </is>
      </c>
      <c r="J82" s="32" t="inlineStr">
        <is>
          <t>0-4000</t>
        </is>
      </c>
      <c r="K82" s="32" t="inlineStr">
        <is>
          <t>PC88 MINI EXCAVATOR &amp; SKID STEER GRAPPLE</t>
        </is>
      </c>
      <c r="L82" s="32" t="n">
        <v>1</v>
      </c>
      <c r="M82" s="32" t="n">
        <v>2430.9</v>
      </c>
      <c r="N82" s="32" t="inlineStr">
        <is>
          <t>PO:COMMIT</t>
        </is>
      </c>
      <c r="O82" s="32" t="inlineStr">
        <is>
          <t>20050</t>
        </is>
      </c>
      <c r="P82" s="32" t="inlineStr">
        <is>
          <t>STANDARD FREIGHT LOGISTICS, LLC</t>
        </is>
      </c>
      <c r="Q82" s="32" t="n">
        <v>0</v>
      </c>
      <c r="R82" s="32" t="n">
        <v>0</v>
      </c>
      <c r="S82" s="32" t="n">
        <v>2430.9</v>
      </c>
      <c r="T82" s="32" t="n">
        <v>0</v>
      </c>
    </row>
    <row r="83">
      <c r="A83" s="32" t="inlineStr">
        <is>
          <t>ttJTrans</t>
        </is>
      </c>
      <c r="B83" s="32" t="inlineStr">
        <is>
          <t>0-4000</t>
        </is>
      </c>
      <c r="C83" s="32" t="inlineStr">
        <is>
          <t>OC</t>
        </is>
      </c>
      <c r="D83" s="32" t="inlineStr">
        <is>
          <t>MA1011576</t>
        </is>
      </c>
      <c r="E83" s="32" t="inlineStr">
        <is>
          <t>OC</t>
        </is>
      </c>
      <c r="F83" s="32" t="inlineStr">
        <is>
          <t>MA1011576</t>
        </is>
      </c>
      <c r="G83" s="32" t="n">
        <v>46141</v>
      </c>
      <c r="H83" s="126" t="n">
        <v>46141</v>
      </c>
      <c r="I83" s="32" t="inlineStr">
        <is>
          <t>1</t>
        </is>
      </c>
      <c r="J83" s="32" t="inlineStr">
        <is>
          <t>0-4000</t>
        </is>
      </c>
      <c r="K83" s="32" t="inlineStr">
        <is>
          <t>PC88 MINI EXCAVATOR &amp; SKID STEER GRAPPLE</t>
        </is>
      </c>
      <c r="L83" s="32" t="n">
        <v>1</v>
      </c>
      <c r="M83" s="32" t="n">
        <v>2430.9</v>
      </c>
      <c r="N83" s="32" t="inlineStr">
        <is>
          <t>INVOICE:ADJ-COMMIT</t>
        </is>
      </c>
      <c r="O83" s="32" t="inlineStr">
        <is>
          <t>20050</t>
        </is>
      </c>
      <c r="P83" s="32" t="inlineStr">
        <is>
          <t>STANDARD FREIGHT LOGISTICS, LLC</t>
        </is>
      </c>
      <c r="Q83" s="32" t="n">
        <v>0</v>
      </c>
      <c r="R83" s="32" t="n">
        <v>0</v>
      </c>
      <c r="S83" s="32" t="n">
        <v>-2430.9</v>
      </c>
      <c r="T83" s="32" t="n">
        <v>0</v>
      </c>
    </row>
    <row r="84">
      <c r="A84" s="32" t="inlineStr">
        <is>
          <t>ttJTrans</t>
        </is>
      </c>
      <c r="B84" s="32" t="inlineStr">
        <is>
          <t>0-4000</t>
        </is>
      </c>
      <c r="C84" s="32" t="inlineStr">
        <is>
          <t>OC</t>
        </is>
      </c>
      <c r="D84" s="32" t="inlineStr">
        <is>
          <t>MA1011704</t>
        </is>
      </c>
      <c r="E84" s="32" t="inlineStr">
        <is>
          <t>OC</t>
        </is>
      </c>
      <c r="F84" s="32" t="inlineStr">
        <is>
          <t>MA1011704</t>
        </is>
      </c>
      <c r="G84" s="32" t="n">
        <v>46148</v>
      </c>
      <c r="H84" s="126" t="n">
        <v>46148</v>
      </c>
      <c r="I84" s="32" t="inlineStr">
        <is>
          <t>1</t>
        </is>
      </c>
      <c r="J84" s="32" t="inlineStr">
        <is>
          <t>0-4000</t>
        </is>
      </c>
      <c r="K84" s="32" t="inlineStr">
        <is>
          <t>Trucking Barrels &amp; T-Post to job site</t>
        </is>
      </c>
      <c r="L84" s="32" t="n">
        <v>1</v>
      </c>
      <c r="M84" s="32" t="n">
        <v>1942.5</v>
      </c>
      <c r="N84" s="32" t="inlineStr">
        <is>
          <t>INVOICE:ADJ-COMMIT</t>
        </is>
      </c>
      <c r="O84" s="32" t="inlineStr">
        <is>
          <t>20050</t>
        </is>
      </c>
      <c r="P84" s="32" t="inlineStr">
        <is>
          <t>STANDARD FREIGHT LOGISTICS, LLC</t>
        </is>
      </c>
      <c r="Q84" s="32" t="n">
        <v>0</v>
      </c>
      <c r="R84" s="32" t="n">
        <v>0</v>
      </c>
      <c r="S84" s="32" t="n">
        <v>-1942.5</v>
      </c>
      <c r="T84" s="32" t="n">
        <v>0</v>
      </c>
    </row>
    <row r="85">
      <c r="A85" s="32" t="inlineStr">
        <is>
          <t>ttJTrans</t>
        </is>
      </c>
      <c r="B85" s="32" t="inlineStr">
        <is>
          <t>0-4000</t>
        </is>
      </c>
      <c r="C85" s="32" t="inlineStr">
        <is>
          <t>OC</t>
        </is>
      </c>
      <c r="D85" s="32" t="inlineStr">
        <is>
          <t>MA1011704</t>
        </is>
      </c>
      <c r="E85" s="32" t="inlineStr">
        <is>
          <t>OC</t>
        </is>
      </c>
      <c r="F85" s="32" t="inlineStr">
        <is>
          <t>MA1011704</t>
        </is>
      </c>
      <c r="G85" s="32" t="n">
        <v>46148</v>
      </c>
      <c r="H85" s="126" t="n">
        <v>46148</v>
      </c>
      <c r="I85" s="32" t="inlineStr">
        <is>
          <t>1</t>
        </is>
      </c>
      <c r="J85" s="32" t="inlineStr">
        <is>
          <t>0-4000</t>
        </is>
      </c>
      <c r="K85" s="32" t="inlineStr">
        <is>
          <t>Trucking Barrels &amp; T-Post to job site</t>
        </is>
      </c>
      <c r="L85" s="32" t="n">
        <v>1</v>
      </c>
      <c r="M85" s="32" t="n">
        <v>1942.5</v>
      </c>
      <c r="N85" s="32" t="inlineStr">
        <is>
          <t>PO:COMMIT</t>
        </is>
      </c>
      <c r="O85" s="32" t="inlineStr">
        <is>
          <t>20050</t>
        </is>
      </c>
      <c r="P85" s="32" t="inlineStr">
        <is>
          <t>STANDARD FREIGHT LOGISTICS, LLC</t>
        </is>
      </c>
      <c r="Q85" s="32" t="n">
        <v>0</v>
      </c>
      <c r="R85" s="32" t="n">
        <v>0</v>
      </c>
      <c r="S85" s="32" t="n">
        <v>1942.5</v>
      </c>
      <c r="T85" s="32" t="n">
        <v>0</v>
      </c>
    </row>
    <row r="86">
      <c r="A86" s="32" t="inlineStr">
        <is>
          <t>ttJTrans</t>
        </is>
      </c>
      <c r="B86" s="32" t="inlineStr">
        <is>
          <t>0-4000</t>
        </is>
      </c>
      <c r="C86" s="32" t="inlineStr">
        <is>
          <t>OC</t>
        </is>
      </c>
      <c r="D86" s="32" t="inlineStr">
        <is>
          <t>MA1011704</t>
        </is>
      </c>
      <c r="E86" s="32" t="inlineStr">
        <is>
          <t>OC</t>
        </is>
      </c>
      <c r="F86" s="32" t="inlineStr">
        <is>
          <t>MA1011704</t>
        </is>
      </c>
      <c r="G86" s="32" t="n">
        <v>46148</v>
      </c>
      <c r="H86" s="126" t="n">
        <v>46156</v>
      </c>
      <c r="I86" s="32" t="inlineStr">
        <is>
          <t>1</t>
        </is>
      </c>
      <c r="J86" s="32" t="inlineStr">
        <is>
          <t>0-4000</t>
        </is>
      </c>
      <c r="K86" s="32" t="inlineStr">
        <is>
          <t>Trucking Barrels &amp; T-Post to job site</t>
        </is>
      </c>
      <c r="L86" s="32" t="n">
        <v>1</v>
      </c>
      <c r="M86" s="32" t="n">
        <v>1942.5</v>
      </c>
      <c r="N86" s="32" t="inlineStr">
        <is>
          <t>INVOICE</t>
        </is>
      </c>
      <c r="O86" s="32" t="inlineStr">
        <is>
          <t>20050</t>
        </is>
      </c>
      <c r="P86" s="32" t="inlineStr">
        <is>
          <t>STANDARD FREIGHT LOGISTICS, LLC</t>
        </is>
      </c>
      <c r="Q86" s="32" t="n">
        <v>0</v>
      </c>
      <c r="R86" s="32" t="n">
        <v>0</v>
      </c>
      <c r="S86" s="32" t="n">
        <v>0</v>
      </c>
      <c r="T86" s="32" t="n">
        <v>0</v>
      </c>
    </row>
    <row r="87">
      <c r="A87" s="32" t="inlineStr">
        <is>
          <t>ttJTrans</t>
        </is>
      </c>
      <c r="B87" s="32" t="inlineStr">
        <is>
          <t>0-4000</t>
        </is>
      </c>
      <c r="C87" s="32" t="inlineStr">
        <is>
          <t>OC</t>
        </is>
      </c>
      <c r="D87" s="32" t="inlineStr">
        <is>
          <t>MA1011898</t>
        </is>
      </c>
      <c r="E87" s="32" t="inlineStr">
        <is>
          <t>OC</t>
        </is>
      </c>
      <c r="F87" s="32" t="inlineStr">
        <is>
          <t>MA1011898</t>
        </is>
      </c>
      <c r="G87" s="32" t="n">
        <v>46155</v>
      </c>
      <c r="H87" s="126" t="n">
        <v>46164</v>
      </c>
      <c r="I87" s="32" t="inlineStr">
        <is>
          <t>2</t>
        </is>
      </c>
      <c r="J87" s="32" t="inlineStr">
        <is>
          <t>0-4000</t>
        </is>
      </c>
      <c r="K87" s="32" t="inlineStr">
        <is>
          <t>Haul 3 loads mats F/ Midland yard T/ Wharton</t>
        </is>
      </c>
      <c r="L87" s="32" t="n">
        <v>1</v>
      </c>
      <c r="M87" s="32" t="n">
        <v>6160.5</v>
      </c>
      <c r="N87" s="32" t="inlineStr">
        <is>
          <t>INVOICE</t>
        </is>
      </c>
      <c r="O87" s="32" t="inlineStr">
        <is>
          <t>20050</t>
        </is>
      </c>
      <c r="P87" s="32" t="inlineStr">
        <is>
          <t>STANDARD FREIGHT LOGISTICS, LLC</t>
        </is>
      </c>
      <c r="Q87" s="32" t="n">
        <v>0</v>
      </c>
      <c r="R87" s="32" t="n">
        <v>0</v>
      </c>
      <c r="S87" s="32" t="n">
        <v>0</v>
      </c>
      <c r="T87" s="32" t="n">
        <v>0</v>
      </c>
    </row>
    <row r="88">
      <c r="A88" s="32" t="inlineStr">
        <is>
          <t>ttJTrans</t>
        </is>
      </c>
      <c r="B88" s="32" t="inlineStr">
        <is>
          <t>0-4000</t>
        </is>
      </c>
      <c r="C88" s="32" t="inlineStr">
        <is>
          <t>OC</t>
        </is>
      </c>
      <c r="D88" s="32" t="inlineStr">
        <is>
          <t>MA1011898</t>
        </is>
      </c>
      <c r="E88" s="32" t="inlineStr">
        <is>
          <t>OC</t>
        </is>
      </c>
      <c r="F88" s="32" t="inlineStr">
        <is>
          <t>MA1011898</t>
        </is>
      </c>
      <c r="G88" s="32" t="n">
        <v>46155</v>
      </c>
      <c r="H88" s="126" t="n">
        <v>46164</v>
      </c>
      <c r="I88" s="32" t="inlineStr">
        <is>
          <t>1</t>
        </is>
      </c>
      <c r="J88" s="32" t="inlineStr">
        <is>
          <t>0-4000</t>
        </is>
      </c>
      <c r="K88" s="32" t="inlineStr">
        <is>
          <t>Haul 5 loads mats F/ Midland yard T/ Wharton</t>
        </is>
      </c>
      <c r="L88" s="32" t="n">
        <v>1</v>
      </c>
      <c r="M88" s="32" t="n">
        <v>10267.5</v>
      </c>
      <c r="N88" s="32" t="inlineStr">
        <is>
          <t>INVOICE</t>
        </is>
      </c>
      <c r="O88" s="32" t="inlineStr">
        <is>
          <t>20050</t>
        </is>
      </c>
      <c r="P88" s="32" t="inlineStr">
        <is>
          <t>STANDARD FREIGHT LOGISTICS, LLC</t>
        </is>
      </c>
      <c r="Q88" s="32" t="n">
        <v>0</v>
      </c>
      <c r="R88" s="32" t="n">
        <v>0</v>
      </c>
      <c r="S88" s="32" t="n">
        <v>0</v>
      </c>
      <c r="T88" s="32" t="n">
        <v>0</v>
      </c>
    </row>
    <row r="89">
      <c r="A89" s="32" t="inlineStr">
        <is>
          <t>ttJTrans</t>
        </is>
      </c>
      <c r="B89" s="32" t="inlineStr">
        <is>
          <t>0-4000</t>
        </is>
      </c>
      <c r="C89" s="32" t="inlineStr">
        <is>
          <t>OC</t>
        </is>
      </c>
      <c r="D89" s="32" t="inlineStr">
        <is>
          <t>MA1011898</t>
        </is>
      </c>
      <c r="E89" s="32" t="inlineStr">
        <is>
          <t>OC</t>
        </is>
      </c>
      <c r="F89" s="32" t="inlineStr">
        <is>
          <t>MA1011898</t>
        </is>
      </c>
      <c r="G89" s="32" t="n">
        <v>46155</v>
      </c>
      <c r="H89" s="126" t="n">
        <v>46164</v>
      </c>
      <c r="I89" s="32" t="inlineStr">
        <is>
          <t>1</t>
        </is>
      </c>
      <c r="J89" s="32" t="inlineStr">
        <is>
          <t>0-4000</t>
        </is>
      </c>
      <c r="K89" s="32" t="inlineStr">
        <is>
          <t>Haul 5 loads mats F/ Midland yard T/ Wharton</t>
        </is>
      </c>
      <c r="L89" s="32" t="n">
        <v>1</v>
      </c>
      <c r="M89" s="32" t="n">
        <v>10267.5</v>
      </c>
      <c r="N89" s="32" t="inlineStr">
        <is>
          <t>INVOICE</t>
        </is>
      </c>
      <c r="O89" s="32" t="inlineStr">
        <is>
          <t>20050</t>
        </is>
      </c>
      <c r="P89" s="32" t="inlineStr">
        <is>
          <t>STANDARD FREIGHT LOGISTICS, LLC</t>
        </is>
      </c>
      <c r="Q89" s="32" t="n">
        <v>0</v>
      </c>
      <c r="R89" s="32" t="n">
        <v>0</v>
      </c>
      <c r="S89" s="32" t="n">
        <v>0</v>
      </c>
      <c r="T89" s="32" t="n">
        <v>0</v>
      </c>
    </row>
    <row r="90">
      <c r="A90" s="32" t="inlineStr">
        <is>
          <t>ttJTrans</t>
        </is>
      </c>
      <c r="B90" s="32" t="inlineStr">
        <is>
          <t>0-4000</t>
        </is>
      </c>
      <c r="C90" s="32" t="inlineStr">
        <is>
          <t>OC</t>
        </is>
      </c>
      <c r="D90" s="32" t="inlineStr">
        <is>
          <t>MA1011898</t>
        </is>
      </c>
      <c r="E90" s="32" t="inlineStr">
        <is>
          <t>OC</t>
        </is>
      </c>
      <c r="F90" s="32" t="inlineStr">
        <is>
          <t>MA1011898</t>
        </is>
      </c>
      <c r="G90" s="32" t="n">
        <v>46155</v>
      </c>
      <c r="H90" s="126" t="n">
        <v>46164</v>
      </c>
      <c r="I90" s="32" t="inlineStr">
        <is>
          <t>1</t>
        </is>
      </c>
      <c r="J90" s="32" t="inlineStr">
        <is>
          <t>0-4000</t>
        </is>
      </c>
      <c r="K90" s="32" t="inlineStr">
        <is>
          <t>Haul 5 loads mats F/ Midland yard T/ Wharton</t>
        </is>
      </c>
      <c r="L90" s="32" t="n">
        <v>1</v>
      </c>
      <c r="M90" s="32" t="n">
        <v>10267.5</v>
      </c>
      <c r="N90" s="32" t="inlineStr">
        <is>
          <t>INVOICE</t>
        </is>
      </c>
      <c r="O90" s="32" t="inlineStr">
        <is>
          <t>20050</t>
        </is>
      </c>
      <c r="P90" s="32" t="inlineStr">
        <is>
          <t>STANDARD FREIGHT LOGISTICS, LLC</t>
        </is>
      </c>
      <c r="Q90" s="32" t="n">
        <v>0</v>
      </c>
      <c r="R90" s="32" t="n">
        <v>0</v>
      </c>
      <c r="S90" s="32" t="n">
        <v>0</v>
      </c>
      <c r="T90" s="32" t="n">
        <v>0</v>
      </c>
    </row>
    <row r="91">
      <c r="A91" s="32" t="inlineStr">
        <is>
          <t>ttJTrans</t>
        </is>
      </c>
      <c r="B91" s="32" t="inlineStr">
        <is>
          <t>0-4000</t>
        </is>
      </c>
      <c r="C91" s="32" t="inlineStr">
        <is>
          <t>OC</t>
        </is>
      </c>
      <c r="D91" s="32" t="inlineStr">
        <is>
          <t>MA1011898</t>
        </is>
      </c>
      <c r="E91" s="32" t="inlineStr">
        <is>
          <t>OC</t>
        </is>
      </c>
      <c r="F91" s="32" t="inlineStr">
        <is>
          <t>MA1011898</t>
        </is>
      </c>
      <c r="G91" s="32" t="n">
        <v>46155</v>
      </c>
      <c r="H91" s="126" t="n">
        <v>46164</v>
      </c>
      <c r="I91" s="32" t="inlineStr">
        <is>
          <t>1</t>
        </is>
      </c>
      <c r="J91" s="32" t="inlineStr">
        <is>
          <t>0-4000</t>
        </is>
      </c>
      <c r="K91" s="32" t="inlineStr">
        <is>
          <t>Haul 5 loads mats F/ Midland yard T/ Wharton</t>
        </is>
      </c>
      <c r="L91" s="32" t="n">
        <v>1</v>
      </c>
      <c r="M91" s="32" t="n">
        <v>10267.5</v>
      </c>
      <c r="N91" s="32" t="inlineStr">
        <is>
          <t>INVOICE</t>
        </is>
      </c>
      <c r="O91" s="32" t="inlineStr">
        <is>
          <t>20050</t>
        </is>
      </c>
      <c r="P91" s="32" t="inlineStr">
        <is>
          <t>STANDARD FREIGHT LOGISTICS, LLC</t>
        </is>
      </c>
      <c r="Q91" s="32" t="n">
        <v>0</v>
      </c>
      <c r="R91" s="32" t="n">
        <v>0</v>
      </c>
      <c r="S91" s="32" t="n">
        <v>0</v>
      </c>
      <c r="T91" s="32" t="n">
        <v>0</v>
      </c>
    </row>
    <row r="92">
      <c r="A92" s="32" t="inlineStr">
        <is>
          <t>ttJTrans</t>
        </is>
      </c>
      <c r="B92" s="32" t="inlineStr">
        <is>
          <t>0-4000</t>
        </is>
      </c>
      <c r="C92" s="32" t="inlineStr">
        <is>
          <t>OC</t>
        </is>
      </c>
      <c r="D92" s="32" t="inlineStr">
        <is>
          <t>MA1011898</t>
        </is>
      </c>
      <c r="E92" s="32" t="inlineStr">
        <is>
          <t>OC</t>
        </is>
      </c>
      <c r="F92" s="32" t="inlineStr">
        <is>
          <t>MA1011898</t>
        </is>
      </c>
      <c r="G92" s="32" t="n">
        <v>46155</v>
      </c>
      <c r="H92" s="126" t="n">
        <v>46164</v>
      </c>
      <c r="I92" s="32" t="inlineStr">
        <is>
          <t>1</t>
        </is>
      </c>
      <c r="J92" s="32" t="inlineStr">
        <is>
          <t>0-4000</t>
        </is>
      </c>
      <c r="K92" s="32" t="inlineStr">
        <is>
          <t>Haul 5 loads mats F/ Midland yard T/ Wharton</t>
        </is>
      </c>
      <c r="L92" s="32" t="n">
        <v>1</v>
      </c>
      <c r="M92" s="32" t="n">
        <v>10267.5</v>
      </c>
      <c r="N92" s="32" t="inlineStr">
        <is>
          <t>INVOICE</t>
        </is>
      </c>
      <c r="O92" s="32" t="inlineStr">
        <is>
          <t>20050</t>
        </is>
      </c>
      <c r="P92" s="32" t="inlineStr">
        <is>
          <t>STANDARD FREIGHT LOGISTICS, LLC</t>
        </is>
      </c>
      <c r="Q92" s="32" t="n">
        <v>0</v>
      </c>
      <c r="R92" s="32" t="n">
        <v>0</v>
      </c>
      <c r="S92" s="32" t="n">
        <v>0</v>
      </c>
      <c r="T92" s="32" t="n">
        <v>0</v>
      </c>
    </row>
    <row r="93">
      <c r="A93" s="32" t="inlineStr">
        <is>
          <t>ttJTrans</t>
        </is>
      </c>
      <c r="B93" s="32" t="inlineStr">
        <is>
          <t>0-4000</t>
        </is>
      </c>
      <c r="C93" s="32" t="inlineStr">
        <is>
          <t>OC</t>
        </is>
      </c>
      <c r="D93" s="32" t="inlineStr">
        <is>
          <t>MA1011898</t>
        </is>
      </c>
      <c r="E93" s="32" t="inlineStr">
        <is>
          <t>OC</t>
        </is>
      </c>
      <c r="F93" s="32" t="inlineStr">
        <is>
          <t>MA1011898</t>
        </is>
      </c>
      <c r="G93" s="32" t="n">
        <v>46155</v>
      </c>
      <c r="H93" s="126" t="n">
        <v>46164</v>
      </c>
      <c r="I93" s="32" t="inlineStr">
        <is>
          <t>2</t>
        </is>
      </c>
      <c r="J93" s="32" t="inlineStr">
        <is>
          <t>0-4000</t>
        </is>
      </c>
      <c r="K93" s="32" t="inlineStr">
        <is>
          <t>Haul 3 loads mats F/ Midland yard T/ Wharton</t>
        </is>
      </c>
      <c r="L93" s="32" t="n">
        <v>1</v>
      </c>
      <c r="M93" s="32" t="n">
        <v>6160.5</v>
      </c>
      <c r="N93" s="32" t="inlineStr">
        <is>
          <t>INVOICE</t>
        </is>
      </c>
      <c r="O93" s="32" t="inlineStr">
        <is>
          <t>20050</t>
        </is>
      </c>
      <c r="P93" s="32" t="inlineStr">
        <is>
          <t>STANDARD FREIGHT LOGISTICS, LLC</t>
        </is>
      </c>
      <c r="Q93" s="32" t="n">
        <v>0</v>
      </c>
      <c r="R93" s="32" t="n">
        <v>0</v>
      </c>
      <c r="S93" s="32" t="n">
        <v>0</v>
      </c>
      <c r="T93" s="32" t="n">
        <v>0</v>
      </c>
    </row>
    <row r="94">
      <c r="A94" s="32" t="inlineStr">
        <is>
          <t>ttJTrans</t>
        </is>
      </c>
      <c r="B94" s="32" t="inlineStr">
        <is>
          <t>0-4000</t>
        </is>
      </c>
      <c r="C94" s="32" t="inlineStr">
        <is>
          <t>OC</t>
        </is>
      </c>
      <c r="D94" s="32" t="inlineStr">
        <is>
          <t>MA1011898</t>
        </is>
      </c>
      <c r="E94" s="32" t="inlineStr">
        <is>
          <t>OC</t>
        </is>
      </c>
      <c r="F94" s="32" t="inlineStr">
        <is>
          <t>MA1011898</t>
        </is>
      </c>
      <c r="G94" s="32" t="n">
        <v>46155</v>
      </c>
      <c r="H94" s="126" t="n">
        <v>46162</v>
      </c>
      <c r="I94" s="32" t="inlineStr">
        <is>
          <t>1</t>
        </is>
      </c>
      <c r="J94" s="32" t="inlineStr">
        <is>
          <t>0-4000</t>
        </is>
      </c>
      <c r="K94" s="32" t="inlineStr">
        <is>
          <t>Haul 5 loads mats F/ Midland yard T/ Wharton</t>
        </is>
      </c>
      <c r="L94" s="32" t="n">
        <v>1</v>
      </c>
      <c r="M94" s="32" t="n">
        <v>10267.5</v>
      </c>
      <c r="N94" s="32" t="inlineStr">
        <is>
          <t>PO:COMMIT</t>
        </is>
      </c>
      <c r="O94" s="32" t="inlineStr">
        <is>
          <t>20050</t>
        </is>
      </c>
      <c r="P94" s="32" t="inlineStr">
        <is>
          <t>STANDARD FREIGHT LOGISTICS, LLC</t>
        </is>
      </c>
      <c r="Q94" s="32" t="n">
        <v>0</v>
      </c>
      <c r="R94" s="32" t="n">
        <v>0</v>
      </c>
      <c r="S94" s="32" t="n">
        <v>10267.5</v>
      </c>
      <c r="T94" s="32" t="n">
        <v>0</v>
      </c>
    </row>
    <row r="95">
      <c r="A95" s="32" t="inlineStr">
        <is>
          <t>ttJTrans</t>
        </is>
      </c>
      <c r="B95" s="32" t="inlineStr">
        <is>
          <t>0-4000</t>
        </is>
      </c>
      <c r="C95" s="32" t="inlineStr">
        <is>
          <t>OC</t>
        </is>
      </c>
      <c r="D95" s="32" t="inlineStr">
        <is>
          <t>MA1011898</t>
        </is>
      </c>
      <c r="E95" s="32" t="inlineStr">
        <is>
          <t>OC</t>
        </is>
      </c>
      <c r="F95" s="32" t="inlineStr">
        <is>
          <t>MA1011898</t>
        </is>
      </c>
      <c r="G95" s="32" t="n">
        <v>46155</v>
      </c>
      <c r="H95" s="126" t="n">
        <v>46162</v>
      </c>
      <c r="I95" s="32" t="inlineStr">
        <is>
          <t>2</t>
        </is>
      </c>
      <c r="J95" s="32" t="inlineStr">
        <is>
          <t>0-4000</t>
        </is>
      </c>
      <c r="K95" s="32" t="inlineStr">
        <is>
          <t>Haul 3 loads mats F/ Midland yard T/ Wharton</t>
        </is>
      </c>
      <c r="L95" s="32" t="n">
        <v>1</v>
      </c>
      <c r="M95" s="32" t="n">
        <v>6160.5</v>
      </c>
      <c r="N95" s="32" t="inlineStr">
        <is>
          <t>PO:COMMIT</t>
        </is>
      </c>
      <c r="O95" s="32" t="inlineStr">
        <is>
          <t>20050</t>
        </is>
      </c>
      <c r="P95" s="32" t="inlineStr">
        <is>
          <t>STANDARD FREIGHT LOGISTICS, LLC</t>
        </is>
      </c>
      <c r="Q95" s="32" t="n">
        <v>0</v>
      </c>
      <c r="R95" s="32" t="n">
        <v>0</v>
      </c>
      <c r="S95" s="32" t="n">
        <v>6160.5</v>
      </c>
      <c r="T95" s="32" t="n">
        <v>0</v>
      </c>
    </row>
    <row r="96">
      <c r="A96" s="32" t="inlineStr">
        <is>
          <t>ttJTrans</t>
        </is>
      </c>
      <c r="B96" s="32" t="inlineStr">
        <is>
          <t>0-4000</t>
        </is>
      </c>
      <c r="C96" s="32" t="inlineStr">
        <is>
          <t>OC</t>
        </is>
      </c>
      <c r="D96" s="32" t="inlineStr">
        <is>
          <t>MA1011898</t>
        </is>
      </c>
      <c r="E96" s="32" t="inlineStr">
        <is>
          <t>OC</t>
        </is>
      </c>
      <c r="F96" s="32" t="inlineStr">
        <is>
          <t>MA1011898</t>
        </is>
      </c>
      <c r="G96" s="32" t="n">
        <v>46155</v>
      </c>
      <c r="H96" s="126" t="n">
        <v>46162</v>
      </c>
      <c r="I96" s="32" t="inlineStr">
        <is>
          <t>2</t>
        </is>
      </c>
      <c r="J96" s="32" t="inlineStr">
        <is>
          <t>0-4000</t>
        </is>
      </c>
      <c r="K96" s="32" t="inlineStr">
        <is>
          <t>Haul 3 loads mats F/ Midland yard T/ Wharton</t>
        </is>
      </c>
      <c r="L96" s="32" t="n">
        <v>1</v>
      </c>
      <c r="M96" s="32" t="n">
        <v>6160.5</v>
      </c>
      <c r="N96" s="32" t="inlineStr">
        <is>
          <t>INVOICE:ADJ-COMMIT</t>
        </is>
      </c>
      <c r="O96" s="32" t="inlineStr">
        <is>
          <t>20050</t>
        </is>
      </c>
      <c r="P96" s="32" t="inlineStr">
        <is>
          <t>STANDARD FREIGHT LOGISTICS, LLC</t>
        </is>
      </c>
      <c r="Q96" s="32" t="n">
        <v>0</v>
      </c>
      <c r="R96" s="32" t="n">
        <v>0</v>
      </c>
      <c r="S96" s="32" t="n">
        <v>-2053.5</v>
      </c>
      <c r="T96" s="32" t="n">
        <v>0</v>
      </c>
    </row>
    <row r="97">
      <c r="A97" s="32" t="inlineStr">
        <is>
          <t>ttJTrans</t>
        </is>
      </c>
      <c r="B97" s="32" t="inlineStr">
        <is>
          <t>0-4000</t>
        </is>
      </c>
      <c r="C97" s="32" t="inlineStr">
        <is>
          <t>OC</t>
        </is>
      </c>
      <c r="D97" s="32" t="inlineStr">
        <is>
          <t>MA1011898</t>
        </is>
      </c>
      <c r="E97" s="32" t="inlineStr">
        <is>
          <t>OC</t>
        </is>
      </c>
      <c r="F97" s="32" t="inlineStr">
        <is>
          <t>MA1011898</t>
        </is>
      </c>
      <c r="G97" s="32" t="n">
        <v>46155</v>
      </c>
      <c r="H97" s="126" t="n">
        <v>46162</v>
      </c>
      <c r="I97" s="32" t="inlineStr">
        <is>
          <t>1</t>
        </is>
      </c>
      <c r="J97" s="32" t="inlineStr">
        <is>
          <t>0-4000</t>
        </is>
      </c>
      <c r="K97" s="32" t="inlineStr">
        <is>
          <t>Haul 5 loads mats F/ Midland yard T/ Wharton</t>
        </is>
      </c>
      <c r="L97" s="32" t="n">
        <v>1</v>
      </c>
      <c r="M97" s="32" t="n">
        <v>10267.5</v>
      </c>
      <c r="N97" s="32" t="inlineStr">
        <is>
          <t>INVOICE:ADJ-COMMIT</t>
        </is>
      </c>
      <c r="O97" s="32" t="inlineStr">
        <is>
          <t>20050</t>
        </is>
      </c>
      <c r="P97" s="32" t="inlineStr">
        <is>
          <t>STANDARD FREIGHT LOGISTICS, LLC</t>
        </is>
      </c>
      <c r="Q97" s="32" t="n">
        <v>0</v>
      </c>
      <c r="R97" s="32" t="n">
        <v>0</v>
      </c>
      <c r="S97" s="32" t="n">
        <v>-2053.5</v>
      </c>
      <c r="T97" s="32" t="n">
        <v>0</v>
      </c>
    </row>
    <row r="98">
      <c r="A98" s="32" t="inlineStr">
        <is>
          <t>ttJTrans</t>
        </is>
      </c>
      <c r="B98" s="32" t="inlineStr">
        <is>
          <t>0-4000</t>
        </is>
      </c>
      <c r="C98" s="32" t="inlineStr">
        <is>
          <t>OC</t>
        </is>
      </c>
      <c r="D98" s="32" t="inlineStr">
        <is>
          <t>MA1011898</t>
        </is>
      </c>
      <c r="E98" s="32" t="inlineStr">
        <is>
          <t>OC</t>
        </is>
      </c>
      <c r="F98" s="32" t="inlineStr">
        <is>
          <t>MA1011898</t>
        </is>
      </c>
      <c r="G98" s="32" t="n">
        <v>46155</v>
      </c>
      <c r="H98" s="126" t="n">
        <v>46162</v>
      </c>
      <c r="I98" s="32" t="inlineStr">
        <is>
          <t>1</t>
        </is>
      </c>
      <c r="J98" s="32" t="inlineStr">
        <is>
          <t>0-4000</t>
        </is>
      </c>
      <c r="K98" s="32" t="inlineStr">
        <is>
          <t>Haul 5 loads mats F/ Midland yard T/ Wharton</t>
        </is>
      </c>
      <c r="L98" s="32" t="n">
        <v>1</v>
      </c>
      <c r="M98" s="32" t="n">
        <v>10267.5</v>
      </c>
      <c r="N98" s="32" t="inlineStr">
        <is>
          <t>INVOICE:ADJ-COMMIT</t>
        </is>
      </c>
      <c r="O98" s="32" t="inlineStr">
        <is>
          <t>20050</t>
        </is>
      </c>
      <c r="P98" s="32" t="inlineStr">
        <is>
          <t>STANDARD FREIGHT LOGISTICS, LLC</t>
        </is>
      </c>
      <c r="Q98" s="32" t="n">
        <v>0</v>
      </c>
      <c r="R98" s="32" t="n">
        <v>0</v>
      </c>
      <c r="S98" s="32" t="n">
        <v>-2053.5</v>
      </c>
      <c r="T98" s="32" t="n">
        <v>0</v>
      </c>
    </row>
    <row r="99">
      <c r="A99" s="32" t="inlineStr">
        <is>
          <t>ttJTrans</t>
        </is>
      </c>
      <c r="B99" s="32" t="inlineStr">
        <is>
          <t>0-4000</t>
        </is>
      </c>
      <c r="C99" s="32" t="inlineStr">
        <is>
          <t>OC</t>
        </is>
      </c>
      <c r="D99" s="32" t="inlineStr">
        <is>
          <t>MA1011898</t>
        </is>
      </c>
      <c r="E99" s="32" t="inlineStr">
        <is>
          <t>OC</t>
        </is>
      </c>
      <c r="F99" s="32" t="inlineStr">
        <is>
          <t>MA1011898</t>
        </is>
      </c>
      <c r="G99" s="32" t="n">
        <v>46155</v>
      </c>
      <c r="H99" s="126" t="n">
        <v>46162</v>
      </c>
      <c r="I99" s="32" t="inlineStr">
        <is>
          <t>1</t>
        </is>
      </c>
      <c r="J99" s="32" t="inlineStr">
        <is>
          <t>0-4000</t>
        </is>
      </c>
      <c r="K99" s="32" t="inlineStr">
        <is>
          <t>Haul 5 loads mats F/ Midland yard T/ Wharton</t>
        </is>
      </c>
      <c r="L99" s="32" t="n">
        <v>1</v>
      </c>
      <c r="M99" s="32" t="n">
        <v>10267.5</v>
      </c>
      <c r="N99" s="32" t="inlineStr">
        <is>
          <t>INVOICE:ADJ-COMMIT</t>
        </is>
      </c>
      <c r="O99" s="32" t="inlineStr">
        <is>
          <t>20050</t>
        </is>
      </c>
      <c r="P99" s="32" t="inlineStr">
        <is>
          <t>STANDARD FREIGHT LOGISTICS, LLC</t>
        </is>
      </c>
      <c r="Q99" s="32" t="n">
        <v>0</v>
      </c>
      <c r="R99" s="32" t="n">
        <v>0</v>
      </c>
      <c r="S99" s="32" t="n">
        <v>-2053.5</v>
      </c>
      <c r="T99" s="32" t="n">
        <v>0</v>
      </c>
    </row>
    <row r="100">
      <c r="A100" s="32" t="inlineStr">
        <is>
          <t>ttJTrans</t>
        </is>
      </c>
      <c r="B100" s="32" t="inlineStr">
        <is>
          <t>0-4000</t>
        </is>
      </c>
      <c r="C100" s="32" t="inlineStr">
        <is>
          <t>OC</t>
        </is>
      </c>
      <c r="D100" s="32" t="inlineStr">
        <is>
          <t>MA1011898</t>
        </is>
      </c>
      <c r="E100" s="32" t="inlineStr">
        <is>
          <t>OC</t>
        </is>
      </c>
      <c r="F100" s="32" t="inlineStr">
        <is>
          <t>MA1011898</t>
        </is>
      </c>
      <c r="G100" s="32" t="n">
        <v>46155</v>
      </c>
      <c r="H100" s="126" t="n">
        <v>46162</v>
      </c>
      <c r="I100" s="32" t="inlineStr">
        <is>
          <t>1</t>
        </is>
      </c>
      <c r="J100" s="32" t="inlineStr">
        <is>
          <t>0-4000</t>
        </is>
      </c>
      <c r="K100" s="32" t="inlineStr">
        <is>
          <t>Haul 5 loads mats F/ Midland yard T/ Wharton</t>
        </is>
      </c>
      <c r="L100" s="32" t="n">
        <v>1</v>
      </c>
      <c r="M100" s="32" t="n">
        <v>10267.5</v>
      </c>
      <c r="N100" s="32" t="inlineStr">
        <is>
          <t>INVOICE:ADJ-COMMIT</t>
        </is>
      </c>
      <c r="O100" s="32" t="inlineStr">
        <is>
          <t>20050</t>
        </is>
      </c>
      <c r="P100" s="32" t="inlineStr">
        <is>
          <t>STANDARD FREIGHT LOGISTICS, LLC</t>
        </is>
      </c>
      <c r="Q100" s="32" t="n">
        <v>0</v>
      </c>
      <c r="R100" s="32" t="n">
        <v>0</v>
      </c>
      <c r="S100" s="32" t="n">
        <v>-2053.5</v>
      </c>
      <c r="T100" s="32" t="n">
        <v>0</v>
      </c>
    </row>
    <row r="101">
      <c r="A101" s="32" t="inlineStr">
        <is>
          <t>ttJTrans</t>
        </is>
      </c>
      <c r="B101" s="32" t="inlineStr">
        <is>
          <t>0-4000</t>
        </is>
      </c>
      <c r="C101" s="32" t="inlineStr">
        <is>
          <t>OC</t>
        </is>
      </c>
      <c r="D101" s="32" t="inlineStr">
        <is>
          <t>MA1011898</t>
        </is>
      </c>
      <c r="E101" s="32" t="inlineStr">
        <is>
          <t>OC</t>
        </is>
      </c>
      <c r="F101" s="32" t="inlineStr">
        <is>
          <t>MA1011898</t>
        </is>
      </c>
      <c r="G101" s="32" t="n">
        <v>46155</v>
      </c>
      <c r="H101" s="126" t="n">
        <v>46162</v>
      </c>
      <c r="I101" s="32" t="inlineStr">
        <is>
          <t>1</t>
        </is>
      </c>
      <c r="J101" s="32" t="inlineStr">
        <is>
          <t>0-4000</t>
        </is>
      </c>
      <c r="K101" s="32" t="inlineStr">
        <is>
          <t>Haul 5 loads mats F/ Midland yard T/ Wharton</t>
        </is>
      </c>
      <c r="L101" s="32" t="n">
        <v>1</v>
      </c>
      <c r="M101" s="32" t="n">
        <v>10267.5</v>
      </c>
      <c r="N101" s="32" t="inlineStr">
        <is>
          <t>INVOICE:ADJ-COMMIT</t>
        </is>
      </c>
      <c r="O101" s="32" t="inlineStr">
        <is>
          <t>20050</t>
        </is>
      </c>
      <c r="P101" s="32" t="inlineStr">
        <is>
          <t>STANDARD FREIGHT LOGISTICS, LLC</t>
        </is>
      </c>
      <c r="Q101" s="32" t="n">
        <v>0</v>
      </c>
      <c r="R101" s="32" t="n">
        <v>0</v>
      </c>
      <c r="S101" s="32" t="n">
        <v>-2053.5</v>
      </c>
      <c r="T101" s="32" t="n">
        <v>0</v>
      </c>
    </row>
    <row r="102">
      <c r="A102" s="32" t="inlineStr">
        <is>
          <t>ttJTrans</t>
        </is>
      </c>
      <c r="B102" s="32" t="inlineStr">
        <is>
          <t>0-4000</t>
        </is>
      </c>
      <c r="C102" s="32" t="inlineStr">
        <is>
          <t>OC</t>
        </is>
      </c>
      <c r="D102" s="32" t="inlineStr">
        <is>
          <t>MA1011898</t>
        </is>
      </c>
      <c r="E102" s="32" t="inlineStr">
        <is>
          <t>OC</t>
        </is>
      </c>
      <c r="F102" s="32" t="inlineStr">
        <is>
          <t>MA1011898</t>
        </is>
      </c>
      <c r="G102" s="32" t="n">
        <v>46155</v>
      </c>
      <c r="H102" s="126" t="n">
        <v>46162</v>
      </c>
      <c r="I102" s="32" t="inlineStr">
        <is>
          <t>2</t>
        </is>
      </c>
      <c r="J102" s="32" t="inlineStr">
        <is>
          <t>0-4000</t>
        </is>
      </c>
      <c r="K102" s="32" t="inlineStr">
        <is>
          <t>Haul 3 loads mats F/ Midland yard T/ Wharton</t>
        </is>
      </c>
      <c r="L102" s="32" t="n">
        <v>1</v>
      </c>
      <c r="M102" s="32" t="n">
        <v>6160.5</v>
      </c>
      <c r="N102" s="32" t="inlineStr">
        <is>
          <t>INVOICE:ADJ-COMMIT</t>
        </is>
      </c>
      <c r="O102" s="32" t="inlineStr">
        <is>
          <t>20050</t>
        </is>
      </c>
      <c r="P102" s="32" t="inlineStr">
        <is>
          <t>STANDARD FREIGHT LOGISTICS, LLC</t>
        </is>
      </c>
      <c r="Q102" s="32" t="n">
        <v>0</v>
      </c>
      <c r="R102" s="32" t="n">
        <v>0</v>
      </c>
      <c r="S102" s="32" t="n">
        <v>-2053.5</v>
      </c>
      <c r="T102" s="32" t="n">
        <v>0</v>
      </c>
    </row>
    <row r="103">
      <c r="A103" s="32" t="inlineStr">
        <is>
          <t>ttJTrans</t>
        </is>
      </c>
      <c r="B103" s="32" t="inlineStr">
        <is>
          <t>0-4000</t>
        </is>
      </c>
      <c r="C103" s="32" t="inlineStr">
        <is>
          <t>OC</t>
        </is>
      </c>
      <c r="D103" s="32" t="inlineStr">
        <is>
          <t>MA1011898</t>
        </is>
      </c>
      <c r="E103" s="32" t="inlineStr">
        <is>
          <t>OC</t>
        </is>
      </c>
      <c r="F103" s="32" t="inlineStr">
        <is>
          <t>MA1011898</t>
        </is>
      </c>
      <c r="G103" s="32" t="n">
        <v>46155</v>
      </c>
      <c r="H103" s="126" t="n">
        <v>46162</v>
      </c>
      <c r="I103" s="32" t="inlineStr">
        <is>
          <t>2</t>
        </is>
      </c>
      <c r="J103" s="32" t="inlineStr">
        <is>
          <t>0-4000</t>
        </is>
      </c>
      <c r="K103" s="32" t="inlineStr">
        <is>
          <t>Haul 3 loads mats F/ Midland yard T/ Wharton</t>
        </is>
      </c>
      <c r="L103" s="32" t="n">
        <v>1</v>
      </c>
      <c r="M103" s="32" t="n">
        <v>6160.5</v>
      </c>
      <c r="N103" s="32" t="inlineStr">
        <is>
          <t>INVOICE:ADJ-COMMIT</t>
        </is>
      </c>
      <c r="O103" s="32" t="inlineStr">
        <is>
          <t>20050</t>
        </is>
      </c>
      <c r="P103" s="32" t="inlineStr">
        <is>
          <t>STANDARD FREIGHT LOGISTICS, LLC</t>
        </is>
      </c>
      <c r="Q103" s="32" t="n">
        <v>0</v>
      </c>
      <c r="R103" s="32" t="n">
        <v>0</v>
      </c>
      <c r="S103" s="32" t="n">
        <v>-2053.5</v>
      </c>
      <c r="T103" s="32" t="n">
        <v>0</v>
      </c>
    </row>
    <row r="104">
      <c r="A104" s="32" t="inlineStr">
        <is>
          <t>ttJTrans</t>
        </is>
      </c>
      <c r="B104" s="32" t="inlineStr">
        <is>
          <t>0-4000</t>
        </is>
      </c>
      <c r="C104" s="32" t="inlineStr">
        <is>
          <t>OC</t>
        </is>
      </c>
      <c r="D104" s="32" t="inlineStr"/>
      <c r="E104" s="32" t="inlineStr">
        <is>
          <t>OC</t>
        </is>
      </c>
      <c r="F104" s="32" t="inlineStr"/>
      <c r="G104" s="125" t="inlineStr"/>
      <c r="H104" s="126" t="n">
        <v>45983</v>
      </c>
      <c r="I104" s="32" t="inlineStr"/>
      <c r="J104" s="32" t="inlineStr">
        <is>
          <t>0-4000</t>
        </is>
      </c>
      <c r="K104" s="32" t="inlineStr">
        <is>
          <t>HAULING PC88 MINI EX SN:BH235/JCB 3TS SKIDSTEER SN:WLD110/SILT FENCE PLOW SN:WLD144 FROM WHC MIDLAND TO WHC BOLING TX</t>
        </is>
      </c>
      <c r="L104" s="32" t="n">
        <v>0</v>
      </c>
      <c r="M104" s="32" t="n">
        <v>0</v>
      </c>
      <c r="N104" s="32" t="inlineStr"/>
      <c r="O104" s="32" t="inlineStr">
        <is>
          <t>20050</t>
        </is>
      </c>
      <c r="P104" s="32" t="inlineStr">
        <is>
          <t>STANDARD FREIGHT LOGISTICS, LLC</t>
        </is>
      </c>
      <c r="Q104" s="32" t="n">
        <v>0</v>
      </c>
      <c r="R104" s="32" t="n">
        <v>1495</v>
      </c>
      <c r="S104" s="32" t="n">
        <v>0</v>
      </c>
      <c r="T104" s="32" t="n">
        <v>0</v>
      </c>
    </row>
    <row r="105">
      <c r="A105" s="32" t="inlineStr">
        <is>
          <t>ttJTrans</t>
        </is>
      </c>
      <c r="B105" s="32" t="inlineStr">
        <is>
          <t>0-4000</t>
        </is>
      </c>
      <c r="C105" s="32" t="inlineStr">
        <is>
          <t>OC</t>
        </is>
      </c>
      <c r="D105" s="32" t="inlineStr"/>
      <c r="E105" s="32" t="inlineStr">
        <is>
          <t>OC</t>
        </is>
      </c>
      <c r="F105" s="32" t="inlineStr"/>
      <c r="G105" s="125" t="inlineStr"/>
      <c r="H105" s="126" t="n">
        <v>46064</v>
      </c>
      <c r="I105" s="32" t="inlineStr"/>
      <c r="J105" s="32" t="inlineStr">
        <is>
          <t>0-4000</t>
        </is>
      </c>
      <c r="K105" s="32" t="inlineStr">
        <is>
          <t>260100459,LYLE MACHINERY,11/13-12/10 HYPER VR BASE &amp; ROVER,11/30/25,R48918</t>
        </is>
      </c>
      <c r="L105" s="32" t="n">
        <v>0</v>
      </c>
      <c r="M105" s="32" t="n">
        <v>0</v>
      </c>
      <c r="N105" s="32" t="inlineStr"/>
      <c r="O105" s="32" t="inlineStr"/>
      <c r="P105" s="32" t="inlineStr"/>
      <c r="Q105" s="32" t="n">
        <v>0</v>
      </c>
      <c r="R105" s="32" t="n">
        <v>500</v>
      </c>
      <c r="S105" s="32" t="n">
        <v>0</v>
      </c>
      <c r="T105" s="32" t="n">
        <v>0</v>
      </c>
    </row>
    <row r="106">
      <c r="A106" s="32" t="inlineStr">
        <is>
          <t>ttJTrans</t>
        </is>
      </c>
      <c r="B106" s="32" t="inlineStr">
        <is>
          <t>0-4000</t>
        </is>
      </c>
      <c r="C106" s="32" t="inlineStr">
        <is>
          <t>OC</t>
        </is>
      </c>
      <c r="D106" s="32" t="inlineStr"/>
      <c r="E106" s="32" t="inlineStr">
        <is>
          <t>OC</t>
        </is>
      </c>
      <c r="F106" s="32" t="inlineStr"/>
      <c r="G106" s="35" t="inlineStr"/>
      <c r="H106" s="126" t="n">
        <v>46090</v>
      </c>
      <c r="I106" s="32" t="inlineStr"/>
      <c r="J106" s="32" t="inlineStr">
        <is>
          <t>0-4000</t>
        </is>
      </c>
      <c r="K106" s="32" t="inlineStr">
        <is>
          <t>PALLET OF ROAD SIGNS FROM MIDLAND TO WHARTON TX</t>
        </is>
      </c>
      <c r="L106" s="32" t="n">
        <v>0</v>
      </c>
      <c r="M106" s="32" t="n">
        <v>0</v>
      </c>
      <c r="N106" s="32" t="inlineStr"/>
      <c r="O106" s="32" t="inlineStr">
        <is>
          <t>20050</t>
        </is>
      </c>
      <c r="P106" s="32" t="inlineStr">
        <is>
          <t>STANDARD FREIGHT LOGISTICS, LLC</t>
        </is>
      </c>
      <c r="Q106" s="32" t="n">
        <v>0</v>
      </c>
      <c r="R106" s="32" t="n">
        <v>750</v>
      </c>
      <c r="S106" s="32" t="n">
        <v>0</v>
      </c>
      <c r="T106" s="32" t="n">
        <v>0</v>
      </c>
    </row>
    <row r="107">
      <c r="A107" s="32" t="inlineStr">
        <is>
          <t>ttJTrans</t>
        </is>
      </c>
      <c r="B107" s="32" t="inlineStr">
        <is>
          <t>0-4000</t>
        </is>
      </c>
      <c r="C107" s="32" t="inlineStr">
        <is>
          <t>OC</t>
        </is>
      </c>
      <c r="D107" s="32" t="inlineStr"/>
      <c r="E107" s="32" t="inlineStr">
        <is>
          <t>OC</t>
        </is>
      </c>
      <c r="F107" s="32" t="inlineStr"/>
      <c r="G107" s="35" t="inlineStr"/>
      <c r="H107" s="126" t="n">
        <v>46108</v>
      </c>
      <c r="I107" s="32" t="inlineStr"/>
      <c r="J107" s="32" t="inlineStr">
        <is>
          <t>0-4000</t>
        </is>
      </c>
      <c r="K107" s="32" t="inlineStr">
        <is>
          <t>HAULING ENCLOSED CARGO TRAILER FROM WHC MIDLAND TO WHC WHARTON TX</t>
        </is>
      </c>
      <c r="L107" s="32" t="n">
        <v>0</v>
      </c>
      <c r="M107" s="32" t="n">
        <v>0</v>
      </c>
      <c r="N107" s="32" t="inlineStr"/>
      <c r="O107" s="32" t="inlineStr">
        <is>
          <t>20050</t>
        </is>
      </c>
      <c r="P107" s="32" t="inlineStr">
        <is>
          <t>STANDARD FREIGHT LOGISTICS, LLC</t>
        </is>
      </c>
      <c r="Q107" s="32" t="n">
        <v>0</v>
      </c>
      <c r="R107" s="32" t="n">
        <v>2250</v>
      </c>
      <c r="S107" s="32" t="n">
        <v>0</v>
      </c>
      <c r="T107" s="32" t="n">
        <v>0</v>
      </c>
    </row>
    <row r="108">
      <c r="A108" s="32" t="inlineStr">
        <is>
          <t>ttJTrans</t>
        </is>
      </c>
      <c r="B108" s="32" t="inlineStr">
        <is>
          <t>0-4000</t>
        </is>
      </c>
      <c r="C108" s="32" t="inlineStr">
        <is>
          <t>OC</t>
        </is>
      </c>
      <c r="D108" s="32" t="inlineStr"/>
      <c r="E108" s="32" t="inlineStr">
        <is>
          <t>OC</t>
        </is>
      </c>
      <c r="F108" s="32" t="inlineStr"/>
      <c r="G108" s="35" t="inlineStr"/>
      <c r="H108" s="126" t="n">
        <v>46128</v>
      </c>
      <c r="I108" s="32" t="inlineStr"/>
      <c r="J108" s="32" t="inlineStr">
        <is>
          <t>0-4000</t>
        </is>
      </c>
      <c r="K108" s="32" t="inlineStr">
        <is>
          <t>HAULING ENCLOSED TRAILER TR145 FROM MIDLAND TO WHARTON TX</t>
        </is>
      </c>
      <c r="L108" s="32" t="n">
        <v>0</v>
      </c>
      <c r="M108" s="32" t="n">
        <v>0</v>
      </c>
      <c r="N108" s="32" t="inlineStr"/>
      <c r="O108" s="32" t="inlineStr">
        <is>
          <t>20050</t>
        </is>
      </c>
      <c r="P108" s="32" t="inlineStr">
        <is>
          <t>STANDARD FREIGHT LOGISTICS, LLC</t>
        </is>
      </c>
      <c r="Q108" s="32" t="n">
        <v>0</v>
      </c>
      <c r="R108" s="32" t="n">
        <v>1895</v>
      </c>
      <c r="S108" s="32" t="n">
        <v>0</v>
      </c>
      <c r="T108" s="32" t="n">
        <v>0</v>
      </c>
    </row>
    <row r="109">
      <c r="A109" s="32" t="inlineStr">
        <is>
          <t>ttJTrans</t>
        </is>
      </c>
      <c r="B109" s="32" t="inlineStr">
        <is>
          <t>0-4000</t>
        </is>
      </c>
      <c r="C109" s="32" t="inlineStr">
        <is>
          <t>OC</t>
        </is>
      </c>
      <c r="D109" s="32" t="inlineStr"/>
      <c r="E109" s="32" t="inlineStr">
        <is>
          <t>OC</t>
        </is>
      </c>
      <c r="F109" s="32" t="inlineStr"/>
      <c r="G109" s="32" t="inlineStr"/>
      <c r="H109" s="126" t="n">
        <v>46128</v>
      </c>
      <c r="I109" s="32" t="inlineStr"/>
      <c r="J109" s="32" t="inlineStr">
        <is>
          <t>0-4000</t>
        </is>
      </c>
      <c r="K109" s="32" t="inlineStr">
        <is>
          <t>HAULING JD6130 W/BUCKET &amp;BUSH HOG FT011 &amp;FE017 FROM MIDLAND TO WHARTON TX</t>
        </is>
      </c>
      <c r="L109" s="32" t="n">
        <v>0</v>
      </c>
      <c r="M109" s="32" t="n">
        <v>0</v>
      </c>
      <c r="N109" s="32" t="inlineStr"/>
      <c r="O109" s="32" t="inlineStr">
        <is>
          <t>20050</t>
        </is>
      </c>
      <c r="P109" s="32" t="inlineStr">
        <is>
          <t>STANDARD FREIGHT LOGISTICS, LLC</t>
        </is>
      </c>
      <c r="Q109" s="32" t="n">
        <v>0</v>
      </c>
      <c r="R109" s="32" t="n">
        <v>2190</v>
      </c>
      <c r="S109" s="32" t="n">
        <v>0</v>
      </c>
      <c r="T109" s="32" t="n">
        <v>0</v>
      </c>
    </row>
    <row r="110">
      <c r="A110" s="32" t="inlineStr">
        <is>
          <t>ttJTrans</t>
        </is>
      </c>
      <c r="B110" s="32" t="inlineStr">
        <is>
          <t>0-4000</t>
        </is>
      </c>
      <c r="C110" s="32" t="inlineStr">
        <is>
          <t>OC</t>
        </is>
      </c>
      <c r="D110" s="32" t="inlineStr"/>
      <c r="E110" s="32" t="inlineStr">
        <is>
          <t>OC</t>
        </is>
      </c>
      <c r="F110" s="32" t="inlineStr"/>
      <c r="G110" s="32" t="inlineStr"/>
      <c r="H110" s="126" t="n">
        <v>46125</v>
      </c>
      <c r="I110" s="32" t="inlineStr"/>
      <c r="J110" s="32" t="inlineStr">
        <is>
          <t>0-4000</t>
        </is>
      </c>
      <c r="K110" s="32" t="inlineStr">
        <is>
          <t>HAULING W P/U TRUCKS RT1447 &amp;RT1385  FROM WHC MIDLAND TO WHC LANE CITY TX</t>
        </is>
      </c>
      <c r="L110" s="32" t="n">
        <v>0</v>
      </c>
      <c r="M110" s="32" t="n">
        <v>0</v>
      </c>
      <c r="N110" s="32" t="inlineStr"/>
      <c r="O110" s="32" t="inlineStr">
        <is>
          <t>20050</t>
        </is>
      </c>
      <c r="P110" s="32" t="inlineStr">
        <is>
          <t>STANDARD FREIGHT LOGISTICS, LLC</t>
        </is>
      </c>
      <c r="Q110" s="32" t="n">
        <v>0</v>
      </c>
      <c r="R110" s="32" t="n">
        <v>1875</v>
      </c>
      <c r="S110" s="32" t="n">
        <v>0</v>
      </c>
      <c r="T110" s="32" t="n">
        <v>0</v>
      </c>
    </row>
    <row r="111">
      <c r="A111" s="32" t="inlineStr">
        <is>
          <t>ttJTrans</t>
        </is>
      </c>
      <c r="B111" s="32" t="inlineStr">
        <is>
          <t>0-4000</t>
        </is>
      </c>
      <c r="C111" s="32" t="inlineStr">
        <is>
          <t>OC</t>
        </is>
      </c>
      <c r="D111" s="32" t="inlineStr"/>
      <c r="E111" s="32" t="inlineStr">
        <is>
          <t>OC</t>
        </is>
      </c>
      <c r="F111" s="32" t="inlineStr"/>
      <c r="G111" s="32" t="inlineStr"/>
      <c r="H111" s="126" t="n">
        <v>46125</v>
      </c>
      <c r="I111" s="32" t="inlineStr"/>
      <c r="J111" s="32" t="inlineStr">
        <is>
          <t>0-4000</t>
        </is>
      </c>
      <c r="K111" s="32" t="inlineStr">
        <is>
          <t>HAULING TOOL VAN TRAILER TR260 FROM WHC MIDLAND TO WHARTON TX</t>
        </is>
      </c>
      <c r="L111" s="32" t="n">
        <v>0</v>
      </c>
      <c r="M111" s="32" t="n">
        <v>0</v>
      </c>
      <c r="N111" s="32" t="inlineStr"/>
      <c r="O111" s="32" t="inlineStr">
        <is>
          <t>20050</t>
        </is>
      </c>
      <c r="P111" s="32" t="inlineStr">
        <is>
          <t>STANDARD FREIGHT LOGISTICS, LLC</t>
        </is>
      </c>
      <c r="Q111" s="32" t="n">
        <v>0</v>
      </c>
      <c r="R111" s="32" t="n">
        <v>2495</v>
      </c>
      <c r="S111" s="32" t="n">
        <v>0</v>
      </c>
      <c r="T111" s="32" t="n">
        <v>0</v>
      </c>
    </row>
    <row r="112">
      <c r="A112" s="32" t="inlineStr">
        <is>
          <t>ttJTrans</t>
        </is>
      </c>
      <c r="B112" s="32" t="inlineStr">
        <is>
          <t>0-4000</t>
        </is>
      </c>
      <c r="C112" s="32" t="inlineStr">
        <is>
          <t>OC</t>
        </is>
      </c>
      <c r="D112" s="32" t="inlineStr"/>
      <c r="E112" s="32" t="inlineStr">
        <is>
          <t>OC</t>
        </is>
      </c>
      <c r="F112" s="32" t="inlineStr"/>
      <c r="G112" s="32" t="inlineStr"/>
      <c r="H112" s="126" t="n">
        <v>46135</v>
      </c>
      <c r="I112" s="32" t="inlineStr"/>
      <c r="J112" s="32" t="inlineStr">
        <is>
          <t>0-4000</t>
        </is>
      </c>
      <c r="K112" s="32" t="inlineStr">
        <is>
          <t>HAULING 2 STACKED UTILITY TRAILERS TR154/TR280</t>
        </is>
      </c>
      <c r="L112" s="32" t="n">
        <v>0</v>
      </c>
      <c r="M112" s="32" t="n">
        <v>0</v>
      </c>
      <c r="N112" s="32" t="inlineStr"/>
      <c r="O112" s="32" t="inlineStr">
        <is>
          <t>20050</t>
        </is>
      </c>
      <c r="P112" s="32" t="inlineStr">
        <is>
          <t>STANDARD FREIGHT LOGISTICS, LLC</t>
        </is>
      </c>
      <c r="Q112" s="32" t="n">
        <v>0</v>
      </c>
      <c r="R112" s="32" t="n">
        <v>1895</v>
      </c>
      <c r="S112" s="32" t="n">
        <v>0</v>
      </c>
      <c r="T112" s="32" t="n">
        <v>0</v>
      </c>
    </row>
    <row r="113">
      <c r="A113" s="32" t="inlineStr">
        <is>
          <t>ttJTrans</t>
        </is>
      </c>
      <c r="B113" s="32" t="inlineStr">
        <is>
          <t>0-4000</t>
        </is>
      </c>
      <c r="C113" s="32" t="inlineStr">
        <is>
          <t>OC</t>
        </is>
      </c>
      <c r="D113" s="32" t="inlineStr"/>
      <c r="E113" s="32" t="inlineStr">
        <is>
          <t>OC</t>
        </is>
      </c>
      <c r="F113" s="32" t="inlineStr"/>
      <c r="G113" s="32" t="inlineStr"/>
      <c r="H113" s="126" t="n">
        <v>46140</v>
      </c>
      <c r="I113" s="32" t="inlineStr"/>
      <c r="J113" s="32" t="inlineStr">
        <is>
          <t>0-4000</t>
        </is>
      </c>
      <c r="K113" s="32" t="inlineStr">
        <is>
          <t>REBILL HAULING STACKED TRAILERS/SILT FENCE PLOW FROM MIDLAND TO LANE CITY TX</t>
        </is>
      </c>
      <c r="L113" s="32" t="n">
        <v>0</v>
      </c>
      <c r="M113" s="32" t="n">
        <v>0</v>
      </c>
      <c r="N113" s="32" t="inlineStr"/>
      <c r="O113" s="32" t="inlineStr">
        <is>
          <t>20050</t>
        </is>
      </c>
      <c r="P113" s="32" t="inlineStr">
        <is>
          <t>STANDARD FREIGHT LOGISTICS, LLC</t>
        </is>
      </c>
      <c r="Q113" s="32" t="n">
        <v>0</v>
      </c>
      <c r="R113" s="32" t="n">
        <v>1440</v>
      </c>
      <c r="S113" s="32" t="n">
        <v>0</v>
      </c>
      <c r="T113" s="32" t="n">
        <v>0</v>
      </c>
    </row>
    <row r="114">
      <c r="A114" s="32" t="inlineStr">
        <is>
          <t>ttJTrans</t>
        </is>
      </c>
      <c r="B114" s="32" t="inlineStr">
        <is>
          <t>0-4000</t>
        </is>
      </c>
      <c r="C114" s="32" t="inlineStr">
        <is>
          <t>OC</t>
        </is>
      </c>
      <c r="D114" s="32" t="inlineStr"/>
      <c r="E114" s="32" t="inlineStr">
        <is>
          <t>OC</t>
        </is>
      </c>
      <c r="F114" s="32" t="inlineStr"/>
      <c r="G114" s="32" t="inlineStr"/>
      <c r="H114" s="126" t="n">
        <v>46140</v>
      </c>
      <c r="I114" s="32" t="inlineStr"/>
      <c r="J114" s="32" t="inlineStr">
        <is>
          <t>0-4000</t>
        </is>
      </c>
      <c r="K114" s="32" t="inlineStr">
        <is>
          <t>REBILL HAULING ENCLOSED CARGO TRAILER FROM MIDLAND TO LANE CITY TX</t>
        </is>
      </c>
      <c r="L114" s="32" t="n">
        <v>0</v>
      </c>
      <c r="M114" s="32" t="n">
        <v>0</v>
      </c>
      <c r="N114" s="32" t="inlineStr"/>
      <c r="O114" s="32" t="inlineStr">
        <is>
          <t>20050</t>
        </is>
      </c>
      <c r="P114" s="32" t="inlineStr">
        <is>
          <t>STANDARD FREIGHT LOGISTICS, LLC</t>
        </is>
      </c>
      <c r="Q114" s="32" t="n">
        <v>0</v>
      </c>
      <c r="R114" s="32" t="n">
        <v>1250</v>
      </c>
      <c r="S114" s="32" t="n">
        <v>0</v>
      </c>
      <c r="T114" s="32" t="n">
        <v>0</v>
      </c>
    </row>
    <row r="115">
      <c r="A115" s="32" t="inlineStr">
        <is>
          <t>ttJTrans</t>
        </is>
      </c>
      <c r="B115" s="32" t="inlineStr">
        <is>
          <t>0-4000</t>
        </is>
      </c>
      <c r="C115" s="32" t="inlineStr">
        <is>
          <t>OC</t>
        </is>
      </c>
      <c r="D115" s="32" t="inlineStr"/>
      <c r="E115" s="32" t="inlineStr">
        <is>
          <t>OC</t>
        </is>
      </c>
      <c r="F115" s="32" t="inlineStr"/>
      <c r="G115" s="35" t="inlineStr"/>
      <c r="H115" s="126" t="n">
        <v>46140</v>
      </c>
      <c r="I115" s="32" t="inlineStr"/>
      <c r="J115" s="32" t="inlineStr">
        <is>
          <t>0-4000</t>
        </is>
      </c>
      <c r="K115" s="32" t="inlineStr">
        <is>
          <t>ORIGINAL INVOICE/RECEIVED CREDIT AND REBILL</t>
        </is>
      </c>
      <c r="L115" s="32" t="n">
        <v>0</v>
      </c>
      <c r="M115" s="32" t="n">
        <v>0</v>
      </c>
      <c r="N115" s="32" t="inlineStr"/>
      <c r="O115" s="32" t="inlineStr">
        <is>
          <t>20050</t>
        </is>
      </c>
      <c r="P115" s="32" t="inlineStr">
        <is>
          <t>STANDARD FREIGHT LOGISTICS, LLC</t>
        </is>
      </c>
      <c r="Q115" s="32" t="n">
        <v>0</v>
      </c>
      <c r="R115" s="32" t="n">
        <v>1440</v>
      </c>
      <c r="S115" s="32" t="n">
        <v>0</v>
      </c>
      <c r="T115" s="32" t="n">
        <v>0</v>
      </c>
    </row>
    <row r="116">
      <c r="A116" s="32" t="inlineStr">
        <is>
          <t>ttJTrans</t>
        </is>
      </c>
      <c r="B116" s="32" t="inlineStr">
        <is>
          <t>0-4000</t>
        </is>
      </c>
      <c r="C116" s="32" t="inlineStr">
        <is>
          <t>OC</t>
        </is>
      </c>
      <c r="D116" s="32" t="inlineStr"/>
      <c r="E116" s="32" t="inlineStr">
        <is>
          <t>OC</t>
        </is>
      </c>
      <c r="F116" s="32" t="inlineStr"/>
      <c r="G116" s="35" t="inlineStr"/>
      <c r="H116" s="126" t="n">
        <v>46140</v>
      </c>
      <c r="I116" s="32" t="inlineStr"/>
      <c r="J116" s="32" t="inlineStr">
        <is>
          <t>0-4000</t>
        </is>
      </c>
      <c r="K116" s="32" t="inlineStr">
        <is>
          <t>ORIGINAL INVOICE/ RECEIVED CREDIT AND REBILL</t>
        </is>
      </c>
      <c r="L116" s="32" t="n">
        <v>0</v>
      </c>
      <c r="M116" s="32" t="n">
        <v>0</v>
      </c>
      <c r="N116" s="32" t="inlineStr"/>
      <c r="O116" s="32" t="inlineStr">
        <is>
          <t>20050</t>
        </is>
      </c>
      <c r="P116" s="32" t="inlineStr">
        <is>
          <t>STANDARD FREIGHT LOGISTICS, LLC</t>
        </is>
      </c>
      <c r="Q116" s="32" t="n">
        <v>0</v>
      </c>
      <c r="R116" s="32" t="n">
        <v>1250</v>
      </c>
      <c r="S116" s="32" t="n">
        <v>0</v>
      </c>
      <c r="T116" s="32" t="n">
        <v>0</v>
      </c>
    </row>
    <row r="117">
      <c r="A117" s="32" t="inlineStr">
        <is>
          <t>ttJTrans</t>
        </is>
      </c>
      <c r="B117" s="32" t="inlineStr">
        <is>
          <t>0-4000</t>
        </is>
      </c>
      <c r="C117" s="32" t="inlineStr">
        <is>
          <t>OC</t>
        </is>
      </c>
      <c r="D117" s="32" t="inlineStr"/>
      <c r="E117" s="32" t="inlineStr">
        <is>
          <t>OC</t>
        </is>
      </c>
      <c r="F117" s="32" t="inlineStr"/>
      <c r="G117" s="35" t="inlineStr"/>
      <c r="H117" s="126" t="n">
        <v>46140</v>
      </c>
      <c r="I117" s="32" t="inlineStr"/>
      <c r="J117" s="32" t="inlineStr">
        <is>
          <t>0-4000</t>
        </is>
      </c>
      <c r="K117" s="32" t="inlineStr">
        <is>
          <t>FULL CREDIT FOR ARINV0001318</t>
        </is>
      </c>
      <c r="L117" s="32" t="n">
        <v>0</v>
      </c>
      <c r="M117" s="32" t="n">
        <v>0</v>
      </c>
      <c r="N117" s="32" t="inlineStr"/>
      <c r="O117" s="32" t="inlineStr">
        <is>
          <t>20050</t>
        </is>
      </c>
      <c r="P117" s="32" t="inlineStr">
        <is>
          <t>STANDARD FREIGHT LOGISTICS, LLC</t>
        </is>
      </c>
      <c r="Q117" s="32" t="n">
        <v>0</v>
      </c>
      <c r="R117" s="32" t="n">
        <v>-1440</v>
      </c>
      <c r="S117" s="32" t="n">
        <v>0</v>
      </c>
      <c r="T117" s="32" t="n">
        <v>0</v>
      </c>
    </row>
    <row r="118">
      <c r="A118" s="32" t="inlineStr">
        <is>
          <t>ttJTrans</t>
        </is>
      </c>
      <c r="B118" s="32" t="inlineStr">
        <is>
          <t>0-4000</t>
        </is>
      </c>
      <c r="C118" s="32" t="inlineStr">
        <is>
          <t>OC</t>
        </is>
      </c>
      <c r="D118" s="32" t="inlineStr"/>
      <c r="E118" s="32" t="inlineStr">
        <is>
          <t>OC</t>
        </is>
      </c>
      <c r="F118" s="32" t="inlineStr"/>
      <c r="G118" s="125" t="inlineStr"/>
      <c r="H118" s="126" t="n">
        <v>46140</v>
      </c>
      <c r="I118" s="32" t="inlineStr"/>
      <c r="J118" s="32" t="inlineStr">
        <is>
          <t>0-4000</t>
        </is>
      </c>
      <c r="K118" s="32" t="inlineStr">
        <is>
          <t>FULL CREDIT FOR ARINV0001436</t>
        </is>
      </c>
      <c r="L118" s="32" t="n">
        <v>0</v>
      </c>
      <c r="M118" s="32" t="n">
        <v>0</v>
      </c>
      <c r="N118" s="32" t="inlineStr"/>
      <c r="O118" s="32" t="inlineStr">
        <is>
          <t>20050</t>
        </is>
      </c>
      <c r="P118" s="32" t="inlineStr">
        <is>
          <t>STANDARD FREIGHT LOGISTICS, LLC</t>
        </is>
      </c>
      <c r="Q118" s="32" t="n">
        <v>0</v>
      </c>
      <c r="R118" s="32" t="n">
        <v>-1250</v>
      </c>
      <c r="S118" s="32" t="n">
        <v>0</v>
      </c>
      <c r="T118" s="32" t="n">
        <v>0</v>
      </c>
    </row>
    <row r="119">
      <c r="A119" s="32" t="inlineStr">
        <is>
          <t>ttJTrans</t>
        </is>
      </c>
      <c r="B119" s="32" t="inlineStr">
        <is>
          <t>0-4000</t>
        </is>
      </c>
      <c r="C119" s="32" t="inlineStr">
        <is>
          <t>OC</t>
        </is>
      </c>
      <c r="D119" s="32" t="inlineStr"/>
      <c r="E119" s="32" t="inlineStr">
        <is>
          <t>OC</t>
        </is>
      </c>
      <c r="F119" s="32" t="inlineStr"/>
      <c r="G119" s="125" t="inlineStr"/>
      <c r="H119" s="126" t="n">
        <v>46156</v>
      </c>
      <c r="I119" s="32" t="inlineStr"/>
      <c r="J119" s="32" t="inlineStr">
        <is>
          <t>0-4000</t>
        </is>
      </c>
      <c r="K119" s="32" t="inlineStr">
        <is>
          <t>HUALING MISC MATERIALS FROM WHC MIDLAND TX TO WHC WHARTON TX</t>
        </is>
      </c>
      <c r="L119" s="32" t="n">
        <v>0</v>
      </c>
      <c r="M119" s="32" t="n">
        <v>0</v>
      </c>
      <c r="N119" s="32" t="inlineStr"/>
      <c r="O119" s="32" t="inlineStr">
        <is>
          <t>20050</t>
        </is>
      </c>
      <c r="P119" s="32" t="inlineStr">
        <is>
          <t>STANDARD FREIGHT LOGISTICS, LLC</t>
        </is>
      </c>
      <c r="Q119" s="32" t="n">
        <v>0</v>
      </c>
      <c r="R119" s="32" t="n">
        <v>1750</v>
      </c>
      <c r="S119" s="32" t="n">
        <v>0</v>
      </c>
      <c r="T119" s="32" t="n">
        <v>0</v>
      </c>
    </row>
    <row r="120">
      <c r="A120" s="32" t="inlineStr">
        <is>
          <t>ttJTrans</t>
        </is>
      </c>
      <c r="B120" s="32" t="inlineStr">
        <is>
          <t>0-4000</t>
        </is>
      </c>
      <c r="C120" s="32" t="inlineStr">
        <is>
          <t>OC</t>
        </is>
      </c>
      <c r="D120" s="32" t="inlineStr"/>
      <c r="E120" s="32" t="inlineStr">
        <is>
          <t>OC</t>
        </is>
      </c>
      <c r="F120" s="32" t="inlineStr"/>
      <c r="G120" s="125" t="inlineStr"/>
      <c r="H120" s="126" t="n">
        <v>46147</v>
      </c>
      <c r="I120" s="32" t="inlineStr"/>
      <c r="J120" s="32" t="inlineStr">
        <is>
          <t>0-4000</t>
        </is>
      </c>
      <c r="K120" s="32" t="inlineStr">
        <is>
          <t>HAULING JCB TELEHANDLER WLD133/CABLE TOLLS FROM MIDLAND TO WHARTON TX</t>
        </is>
      </c>
      <c r="L120" s="32" t="n">
        <v>0</v>
      </c>
      <c r="M120" s="32" t="n">
        <v>0</v>
      </c>
      <c r="N120" s="32" t="inlineStr"/>
      <c r="O120" s="32" t="inlineStr">
        <is>
          <t>20050</t>
        </is>
      </c>
      <c r="P120" s="32" t="inlineStr">
        <is>
          <t>STANDARD FREIGHT LOGISTICS, LLC</t>
        </is>
      </c>
      <c r="Q120" s="32" t="n">
        <v>0</v>
      </c>
      <c r="R120" s="32" t="n">
        <v>2190</v>
      </c>
      <c r="S120" s="32" t="n">
        <v>0</v>
      </c>
      <c r="T120" s="32" t="n">
        <v>0</v>
      </c>
    </row>
    <row r="121">
      <c r="A121" s="32" t="inlineStr">
        <is>
          <t>ttJTrans</t>
        </is>
      </c>
      <c r="B121" s="32" t="inlineStr">
        <is>
          <t>0-4000</t>
        </is>
      </c>
      <c r="C121" s="32" t="inlineStr">
        <is>
          <t>OC</t>
        </is>
      </c>
      <c r="D121" s="32" t="inlineStr"/>
      <c r="E121" s="32" t="inlineStr">
        <is>
          <t>OC</t>
        </is>
      </c>
      <c r="F121" s="32" t="inlineStr"/>
      <c r="G121" s="35" t="inlineStr"/>
      <c r="H121" s="126" t="n">
        <v>46147</v>
      </c>
      <c r="I121" s="32" t="inlineStr"/>
      <c r="J121" s="32" t="inlineStr">
        <is>
          <t>0-4000</t>
        </is>
      </c>
      <c r="K121" s="32" t="inlineStr">
        <is>
          <t>HAULING RAM RT1242 TRUCK/2 CABLE ROLLS FROM MIDLAND TO WHARTON TX</t>
        </is>
      </c>
      <c r="L121" s="32" t="n">
        <v>0</v>
      </c>
      <c r="M121" s="32" t="n">
        <v>0</v>
      </c>
      <c r="N121" s="32" t="inlineStr"/>
      <c r="O121" s="32" t="inlineStr">
        <is>
          <t>20050</t>
        </is>
      </c>
      <c r="P121" s="32" t="inlineStr">
        <is>
          <t>STANDARD FREIGHT LOGISTICS, LLC</t>
        </is>
      </c>
      <c r="Q121" s="32" t="n">
        <v>0</v>
      </c>
      <c r="R121" s="32" t="n">
        <v>1750</v>
      </c>
      <c r="S121" s="32" t="n">
        <v>0</v>
      </c>
      <c r="T121" s="32" t="n">
        <v>0</v>
      </c>
    </row>
    <row r="122">
      <c r="A122" s="32" t="inlineStr">
        <is>
          <t>ttJTrans</t>
        </is>
      </c>
      <c r="B122" s="32" t="inlineStr">
        <is>
          <t>0-4000</t>
        </is>
      </c>
      <c r="C122" s="32" t="inlineStr">
        <is>
          <t>OC</t>
        </is>
      </c>
      <c r="D122" s="32" t="inlineStr"/>
      <c r="E122" s="32" t="inlineStr">
        <is>
          <t>OC</t>
        </is>
      </c>
      <c r="F122" s="32" t="inlineStr"/>
      <c r="G122" s="35" t="inlineStr"/>
      <c r="H122" s="126" t="n">
        <v>46153</v>
      </c>
      <c r="I122" s="32" t="inlineStr"/>
      <c r="J122" s="32" t="inlineStr">
        <is>
          <t>0-4000</t>
        </is>
      </c>
      <c r="K122" s="32" t="inlineStr">
        <is>
          <t>HAULINNG SKID STEER  GRAPPLE BUCKET/PC88 MINI EXCAVATOR BH235/SSRAKE03 FROM MIDLAND TO SUNROPER TX</t>
        </is>
      </c>
      <c r="L122" s="32" t="n">
        <v>0</v>
      </c>
      <c r="M122" s="32" t="n">
        <v>0</v>
      </c>
      <c r="N122" s="32" t="inlineStr"/>
      <c r="O122" s="32" t="inlineStr">
        <is>
          <t>20050</t>
        </is>
      </c>
      <c r="P122" s="32" t="inlineStr">
        <is>
          <t>STANDARD FREIGHT LOGISTICS, LLC</t>
        </is>
      </c>
      <c r="Q122" s="32" t="n">
        <v>0</v>
      </c>
      <c r="R122" s="32" t="n">
        <v>2190</v>
      </c>
      <c r="S122" s="32" t="n">
        <v>0</v>
      </c>
      <c r="T122" s="32" t="n">
        <v>0</v>
      </c>
    </row>
    <row r="123">
      <c r="A123" s="32" t="inlineStr">
        <is>
          <t>ttJTrans</t>
        </is>
      </c>
      <c r="B123" s="32" t="inlineStr">
        <is>
          <t>0-4000</t>
        </is>
      </c>
      <c r="C123" s="32" t="inlineStr">
        <is>
          <t>OC</t>
        </is>
      </c>
      <c r="D123" s="32" t="inlineStr"/>
      <c r="E123" s="32" t="inlineStr">
        <is>
          <t>OC</t>
        </is>
      </c>
      <c r="F123" s="32" t="inlineStr"/>
      <c r="G123" s="35" t="inlineStr"/>
      <c r="H123" s="126" t="n">
        <v>46164</v>
      </c>
      <c r="I123" s="32" t="inlineStr"/>
      <c r="J123" s="32" t="inlineStr">
        <is>
          <t>0-4000</t>
        </is>
      </c>
      <c r="K123" s="32" t="inlineStr">
        <is>
          <t>HAULING MATS FROM MIDLAND TO WHC SUNROPER TX</t>
        </is>
      </c>
      <c r="L123" s="32" t="n">
        <v>0</v>
      </c>
      <c r="M123" s="32" t="n">
        <v>0</v>
      </c>
      <c r="N123" s="32" t="inlineStr"/>
      <c r="O123" s="32" t="inlineStr">
        <is>
          <t>20050</t>
        </is>
      </c>
      <c r="P123" s="32" t="inlineStr">
        <is>
          <t>STANDARD FREIGHT LOGISTICS, LLC</t>
        </is>
      </c>
      <c r="Q123" s="32" t="n">
        <v>0</v>
      </c>
      <c r="R123" s="32" t="n">
        <v>1850</v>
      </c>
      <c r="S123" s="32" t="n">
        <v>0</v>
      </c>
      <c r="T123" s="32" t="n">
        <v>0</v>
      </c>
    </row>
    <row r="124">
      <c r="A124" s="32" t="inlineStr">
        <is>
          <t>ttJTrans</t>
        </is>
      </c>
      <c r="B124" s="32" t="inlineStr">
        <is>
          <t>0-4000</t>
        </is>
      </c>
      <c r="C124" s="32" t="inlineStr">
        <is>
          <t>OC</t>
        </is>
      </c>
      <c r="D124" s="32" t="inlineStr"/>
      <c r="E124" s="32" t="inlineStr">
        <is>
          <t>OC</t>
        </is>
      </c>
      <c r="F124" s="32" t="inlineStr"/>
      <c r="G124" s="35" t="inlineStr"/>
      <c r="H124" s="126" t="n">
        <v>46164</v>
      </c>
      <c r="I124" s="32" t="inlineStr"/>
      <c r="J124" s="32" t="inlineStr">
        <is>
          <t>0-4000</t>
        </is>
      </c>
      <c r="K124" s="32" t="inlineStr">
        <is>
          <t>HAULING MATS FROM MIDLAND TO SUNROPER TX</t>
        </is>
      </c>
      <c r="L124" s="32" t="n">
        <v>0</v>
      </c>
      <c r="M124" s="32" t="n">
        <v>0</v>
      </c>
      <c r="N124" s="32" t="inlineStr"/>
      <c r="O124" s="32" t="inlineStr">
        <is>
          <t>20050</t>
        </is>
      </c>
      <c r="P124" s="32" t="inlineStr">
        <is>
          <t>STANDARD FREIGHT LOGISTICS, LLC</t>
        </is>
      </c>
      <c r="Q124" s="32" t="n">
        <v>0</v>
      </c>
      <c r="R124" s="32" t="n">
        <v>1850</v>
      </c>
      <c r="S124" s="32" t="n">
        <v>0</v>
      </c>
      <c r="T124" s="32" t="n">
        <v>0</v>
      </c>
    </row>
    <row r="125">
      <c r="A125" s="32" t="inlineStr">
        <is>
          <t>ttJTrans</t>
        </is>
      </c>
      <c r="B125" s="32" t="inlineStr">
        <is>
          <t>0-4000</t>
        </is>
      </c>
      <c r="C125" s="32" t="inlineStr">
        <is>
          <t>OC</t>
        </is>
      </c>
      <c r="D125" s="32" t="inlineStr"/>
      <c r="E125" s="32" t="inlineStr">
        <is>
          <t>OC</t>
        </is>
      </c>
      <c r="F125" s="32" t="inlineStr"/>
      <c r="G125" s="35" t="inlineStr"/>
      <c r="H125" s="126" t="n">
        <v>46164</v>
      </c>
      <c r="I125" s="32" t="inlineStr"/>
      <c r="J125" s="32" t="inlineStr">
        <is>
          <t>0-4000</t>
        </is>
      </c>
      <c r="K125" s="32" t="inlineStr">
        <is>
          <t>HAULING MATS FROM MIDLAND TX TO WHC SUNROPER TX</t>
        </is>
      </c>
      <c r="L125" s="32" t="n">
        <v>0</v>
      </c>
      <c r="M125" s="32" t="n">
        <v>0</v>
      </c>
      <c r="N125" s="32" t="inlineStr"/>
      <c r="O125" s="32" t="inlineStr">
        <is>
          <t>20050</t>
        </is>
      </c>
      <c r="P125" s="32" t="inlineStr">
        <is>
          <t>STANDARD FREIGHT LOGISTICS, LLC</t>
        </is>
      </c>
      <c r="Q125" s="32" t="n">
        <v>0</v>
      </c>
      <c r="R125" s="32" t="n">
        <v>1850</v>
      </c>
      <c r="S125" s="32" t="n">
        <v>0</v>
      </c>
      <c r="T125" s="32" t="n">
        <v>0</v>
      </c>
    </row>
    <row r="126">
      <c r="A126" s="32" t="inlineStr">
        <is>
          <t>ttJTrans</t>
        </is>
      </c>
      <c r="B126" s="32" t="inlineStr">
        <is>
          <t>0-4000</t>
        </is>
      </c>
      <c r="C126" s="32" t="inlineStr">
        <is>
          <t>OC</t>
        </is>
      </c>
      <c r="D126" s="32" t="inlineStr"/>
      <c r="E126" s="32" t="inlineStr">
        <is>
          <t>OC</t>
        </is>
      </c>
      <c r="F126" s="32" t="inlineStr"/>
      <c r="G126" s="35" t="inlineStr"/>
      <c r="H126" s="126" t="n">
        <v>46164</v>
      </c>
      <c r="I126" s="32" t="inlineStr"/>
      <c r="J126" s="32" t="inlineStr">
        <is>
          <t>0-4000</t>
        </is>
      </c>
      <c r="K126" s="32" t="inlineStr">
        <is>
          <t>HAULING MATS FROM MIDLAND TO WHC SUNROPER</t>
        </is>
      </c>
      <c r="L126" s="32" t="n">
        <v>0</v>
      </c>
      <c r="M126" s="32" t="n">
        <v>0</v>
      </c>
      <c r="N126" s="32" t="inlineStr"/>
      <c r="O126" s="32" t="inlineStr">
        <is>
          <t>20050</t>
        </is>
      </c>
      <c r="P126" s="32" t="inlineStr">
        <is>
          <t>STANDARD FREIGHT LOGISTICS, LLC</t>
        </is>
      </c>
      <c r="Q126" s="32" t="n">
        <v>0</v>
      </c>
      <c r="R126" s="32" t="n">
        <v>1850</v>
      </c>
      <c r="S126" s="32" t="n">
        <v>0</v>
      </c>
      <c r="T126" s="32" t="n">
        <v>0</v>
      </c>
    </row>
    <row r="127">
      <c r="A127" s="32" t="inlineStr">
        <is>
          <t>ttJTrans</t>
        </is>
      </c>
      <c r="B127" s="32" t="inlineStr">
        <is>
          <t>0-4000</t>
        </is>
      </c>
      <c r="C127" s="32" t="inlineStr">
        <is>
          <t>OC</t>
        </is>
      </c>
      <c r="D127" s="32" t="inlineStr"/>
      <c r="E127" s="32" t="inlineStr">
        <is>
          <t>OC</t>
        </is>
      </c>
      <c r="F127" s="32" t="inlineStr"/>
      <c r="G127" s="35" t="inlineStr"/>
      <c r="H127" s="126" t="n">
        <v>46164</v>
      </c>
      <c r="I127" s="32" t="inlineStr"/>
      <c r="J127" s="32" t="inlineStr">
        <is>
          <t>0-4000</t>
        </is>
      </c>
      <c r="K127" s="32" t="inlineStr">
        <is>
          <t>HAULING MATS FROM MIDLAND TO WHC SUNROPER</t>
        </is>
      </c>
      <c r="L127" s="32" t="n">
        <v>0</v>
      </c>
      <c r="M127" s="32" t="n">
        <v>0</v>
      </c>
      <c r="N127" s="32" t="inlineStr"/>
      <c r="O127" s="32" t="inlineStr">
        <is>
          <t>20050</t>
        </is>
      </c>
      <c r="P127" s="32" t="inlineStr">
        <is>
          <t>STANDARD FREIGHT LOGISTICS, LLC</t>
        </is>
      </c>
      <c r="Q127" s="32" t="n">
        <v>0</v>
      </c>
      <c r="R127" s="32" t="n">
        <v>1850</v>
      </c>
      <c r="S127" s="32" t="n">
        <v>0</v>
      </c>
      <c r="T127" s="32" t="n">
        <v>0</v>
      </c>
    </row>
    <row r="128">
      <c r="A128" s="32" t="inlineStr">
        <is>
          <t>ttJTrans</t>
        </is>
      </c>
      <c r="B128" s="32" t="inlineStr">
        <is>
          <t>0-4000</t>
        </is>
      </c>
      <c r="C128" s="32" t="inlineStr">
        <is>
          <t>OC</t>
        </is>
      </c>
      <c r="D128" s="32" t="inlineStr"/>
      <c r="E128" s="32" t="inlineStr">
        <is>
          <t>OC</t>
        </is>
      </c>
      <c r="F128" s="32" t="inlineStr"/>
      <c r="G128" s="35" t="inlineStr"/>
      <c r="H128" s="126" t="n">
        <v>46164</v>
      </c>
      <c r="I128" s="32" t="inlineStr"/>
      <c r="J128" s="32" t="inlineStr">
        <is>
          <t>0-4000</t>
        </is>
      </c>
      <c r="K128" s="32" t="inlineStr">
        <is>
          <t>HUALING MATS FROM MIDLAND TO WHC SUNROPER TX</t>
        </is>
      </c>
      <c r="L128" s="32" t="n">
        <v>0</v>
      </c>
      <c r="M128" s="32" t="n">
        <v>0</v>
      </c>
      <c r="N128" s="32" t="inlineStr"/>
      <c r="O128" s="32" t="inlineStr">
        <is>
          <t>20050</t>
        </is>
      </c>
      <c r="P128" s="32" t="inlineStr">
        <is>
          <t>STANDARD FREIGHT LOGISTICS, LLC</t>
        </is>
      </c>
      <c r="Q128" s="32" t="n">
        <v>0</v>
      </c>
      <c r="R128" s="32" t="n">
        <v>1850</v>
      </c>
      <c r="S128" s="32" t="n">
        <v>0</v>
      </c>
      <c r="T128" s="32" t="n">
        <v>0</v>
      </c>
    </row>
    <row r="129">
      <c r="A129" s="32" t="inlineStr">
        <is>
          <t>ttJTrans</t>
        </is>
      </c>
      <c r="B129" s="32" t="inlineStr">
        <is>
          <t>0-4000</t>
        </is>
      </c>
      <c r="C129" s="32" t="inlineStr">
        <is>
          <t>OC</t>
        </is>
      </c>
      <c r="D129" s="32" t="inlineStr"/>
      <c r="E129" s="32" t="inlineStr">
        <is>
          <t>OC</t>
        </is>
      </c>
      <c r="F129" s="32" t="inlineStr"/>
      <c r="G129" s="35" t="inlineStr"/>
      <c r="H129" s="126" t="n">
        <v>46164</v>
      </c>
      <c r="I129" s="32" t="inlineStr"/>
      <c r="J129" s="32" t="inlineStr">
        <is>
          <t>0-4000</t>
        </is>
      </c>
      <c r="K129" s="32" t="inlineStr">
        <is>
          <t>HAULING MATS FROM MIDLAND TO WHC SUNROPER TX</t>
        </is>
      </c>
      <c r="L129" s="32" t="n">
        <v>0</v>
      </c>
      <c r="M129" s="32" t="n">
        <v>0</v>
      </c>
      <c r="N129" s="32" t="inlineStr"/>
      <c r="O129" s="32" t="inlineStr">
        <is>
          <t>20050</t>
        </is>
      </c>
      <c r="P129" s="32" t="inlineStr">
        <is>
          <t>STANDARD FREIGHT LOGISTICS, LLC</t>
        </is>
      </c>
      <c r="Q129" s="32" t="n">
        <v>0</v>
      </c>
      <c r="R129" s="32" t="n">
        <v>1850</v>
      </c>
      <c r="S129" s="32" t="n">
        <v>0</v>
      </c>
      <c r="T129" s="32" t="n">
        <v>0</v>
      </c>
    </row>
    <row r="130">
      <c r="A130" s="32" t="inlineStr">
        <is>
          <t>ttJTrans</t>
        </is>
      </c>
      <c r="B130" s="32" t="inlineStr">
        <is>
          <t>0-4000-01</t>
        </is>
      </c>
      <c r="C130" s="32" t="inlineStr">
        <is>
          <t>EQ</t>
        </is>
      </c>
      <c r="D130" s="32" t="inlineStr"/>
      <c r="E130" s="32" t="inlineStr">
        <is>
          <t>EQ</t>
        </is>
      </c>
      <c r="F130" s="32" t="inlineStr"/>
      <c r="G130" s="32" t="inlineStr"/>
      <c r="H130" s="126" t="n">
        <v>46124</v>
      </c>
      <c r="I130" s="32" t="inlineStr"/>
      <c r="J130" s="32" t="inlineStr">
        <is>
          <t>0-4000-01</t>
        </is>
      </c>
      <c r="K130" s="32" t="inlineStr">
        <is>
          <t>RT1447 2024 FORD F250 XL STX CREW CAB DIESEL SWB 2024 FORD F250 XL STX CREW CAB DIESEL SWB</t>
        </is>
      </c>
      <c r="L130" s="32" t="n">
        <v>0</v>
      </c>
      <c r="M130" s="32" t="n">
        <v>0</v>
      </c>
      <c r="N130" s="32" t="inlineStr"/>
      <c r="O130" s="32" t="inlineStr">
        <is>
          <t>RT1447</t>
        </is>
      </c>
      <c r="P130" s="32" t="inlineStr"/>
      <c r="Q130" s="32" t="n">
        <v>0</v>
      </c>
      <c r="R130" s="32" t="n">
        <v>79.14</v>
      </c>
      <c r="S130" s="32" t="n">
        <v>0</v>
      </c>
      <c r="T130" s="32" t="n">
        <v>0</v>
      </c>
    </row>
    <row r="131">
      <c r="A131" s="32" t="inlineStr">
        <is>
          <t>ttJTrans</t>
        </is>
      </c>
      <c r="B131" s="32" t="inlineStr">
        <is>
          <t>0-4000-01</t>
        </is>
      </c>
      <c r="C131" s="32" t="inlineStr">
        <is>
          <t>EQ</t>
        </is>
      </c>
      <c r="D131" s="32" t="inlineStr"/>
      <c r="E131" s="32" t="inlineStr">
        <is>
          <t>EQ</t>
        </is>
      </c>
      <c r="F131" s="32" t="inlineStr"/>
      <c r="G131" s="32" t="inlineStr"/>
      <c r="H131" s="126" t="n">
        <v>46124</v>
      </c>
      <c r="I131" s="32" t="inlineStr"/>
      <c r="J131" s="32" t="inlineStr">
        <is>
          <t>0-4000-01</t>
        </is>
      </c>
      <c r="K131" s="32" t="inlineStr">
        <is>
          <t>RT1447 2024 FORD F250 XL STX CREW CAB DIESEL SWB 2024 FORD F250 XL STX CREW CAB DIESEL SWB</t>
        </is>
      </c>
      <c r="L131" s="32" t="n">
        <v>0</v>
      </c>
      <c r="M131" s="32" t="n">
        <v>0</v>
      </c>
      <c r="N131" s="32" t="inlineStr"/>
      <c r="O131" s="32" t="inlineStr">
        <is>
          <t>RT1447</t>
        </is>
      </c>
      <c r="P131" s="32" t="inlineStr"/>
      <c r="Q131" s="32" t="n">
        <v>0</v>
      </c>
      <c r="R131" s="32" t="n">
        <v>79.14</v>
      </c>
      <c r="S131" s="32" t="n">
        <v>0</v>
      </c>
      <c r="T131" s="32" t="n">
        <v>0</v>
      </c>
    </row>
    <row r="132">
      <c r="A132" s="32" t="inlineStr">
        <is>
          <t>ttJTrans</t>
        </is>
      </c>
      <c r="B132" s="32" t="inlineStr">
        <is>
          <t>0-4000-01</t>
        </is>
      </c>
      <c r="C132" s="32" t="inlineStr">
        <is>
          <t>EQ</t>
        </is>
      </c>
      <c r="D132" s="32" t="inlineStr"/>
      <c r="E132" s="32" t="inlineStr">
        <is>
          <t>EQ</t>
        </is>
      </c>
      <c r="F132" s="32" t="inlineStr"/>
      <c r="G132" s="32" t="inlineStr"/>
      <c r="H132" s="126" t="n">
        <v>46124</v>
      </c>
      <c r="I132" s="32" t="inlineStr"/>
      <c r="J132" s="32" t="inlineStr">
        <is>
          <t>0-4000-01</t>
        </is>
      </c>
      <c r="K132" s="32" t="inlineStr">
        <is>
          <t>RT1447 2024 FORD F250 XL STX CREW CAB DIESEL SWB 2024 FORD F250 XL STX CREW CAB DIESEL SWB</t>
        </is>
      </c>
      <c r="L132" s="32" t="n">
        <v>0</v>
      </c>
      <c r="M132" s="32" t="n">
        <v>0</v>
      </c>
      <c r="N132" s="32" t="inlineStr"/>
      <c r="O132" s="32" t="inlineStr">
        <is>
          <t>RT1447</t>
        </is>
      </c>
      <c r="P132" s="32" t="inlineStr"/>
      <c r="Q132" s="32" t="n">
        <v>0</v>
      </c>
      <c r="R132" s="32" t="n">
        <v>79.14</v>
      </c>
      <c r="S132" s="32" t="n">
        <v>0</v>
      </c>
      <c r="T132" s="32" t="n">
        <v>0</v>
      </c>
    </row>
    <row r="133">
      <c r="A133" s="32" t="inlineStr">
        <is>
          <t>ttJTrans</t>
        </is>
      </c>
      <c r="B133" s="32" t="inlineStr">
        <is>
          <t>0-4000-01</t>
        </is>
      </c>
      <c r="C133" s="32" t="inlineStr">
        <is>
          <t>EQ</t>
        </is>
      </c>
      <c r="D133" s="32" t="inlineStr"/>
      <c r="E133" s="32" t="inlineStr">
        <is>
          <t>EQ</t>
        </is>
      </c>
      <c r="F133" s="32" t="inlineStr"/>
      <c r="G133" s="32" t="inlineStr"/>
      <c r="H133" s="126" t="n">
        <v>46124</v>
      </c>
      <c r="I133" s="32" t="inlineStr"/>
      <c r="J133" s="32" t="inlineStr">
        <is>
          <t>0-4000-01</t>
        </is>
      </c>
      <c r="K133" s="32" t="inlineStr">
        <is>
          <t>RT1447 2024 FORD F250 XL STX CREW CAB DIESEL SWB 2024 FORD F250 XL STX CREW CAB DIESEL SWB</t>
        </is>
      </c>
      <c r="L133" s="32" t="n">
        <v>0</v>
      </c>
      <c r="M133" s="32" t="n">
        <v>0</v>
      </c>
      <c r="N133" s="32" t="inlineStr"/>
      <c r="O133" s="32" t="inlineStr">
        <is>
          <t>RT1447</t>
        </is>
      </c>
      <c r="P133" s="32" t="inlineStr"/>
      <c r="Q133" s="32" t="n">
        <v>0</v>
      </c>
      <c r="R133" s="32" t="n">
        <v>79.14</v>
      </c>
      <c r="S133" s="32" t="n">
        <v>0</v>
      </c>
      <c r="T133" s="32" t="n">
        <v>0</v>
      </c>
    </row>
    <row r="134">
      <c r="A134" s="32" t="inlineStr">
        <is>
          <t>ttJTrans</t>
        </is>
      </c>
      <c r="B134" s="32" t="inlineStr">
        <is>
          <t>0-4000-01</t>
        </is>
      </c>
      <c r="C134" s="32" t="inlineStr">
        <is>
          <t>EQ</t>
        </is>
      </c>
      <c r="D134" s="32" t="inlineStr"/>
      <c r="E134" s="32" t="inlineStr">
        <is>
          <t>EQ</t>
        </is>
      </c>
      <c r="F134" s="32" t="inlineStr"/>
      <c r="G134" s="32" t="inlineStr"/>
      <c r="H134" s="126" t="n">
        <v>46124</v>
      </c>
      <c r="I134" s="32" t="inlineStr"/>
      <c r="J134" s="32" t="inlineStr">
        <is>
          <t>0-4000-01</t>
        </is>
      </c>
      <c r="K134" s="32" t="inlineStr">
        <is>
          <t>RT1447 2024 FORD F250 XL STX CREW CAB DIESEL SWB 2024 FORD F250 XL STX CREW CAB DIESEL SWB</t>
        </is>
      </c>
      <c r="L134" s="32" t="n">
        <v>0</v>
      </c>
      <c r="M134" s="32" t="n">
        <v>0</v>
      </c>
      <c r="N134" s="32" t="inlineStr"/>
      <c r="O134" s="32" t="inlineStr">
        <is>
          <t>RT1447</t>
        </is>
      </c>
      <c r="P134" s="32" t="inlineStr"/>
      <c r="Q134" s="32" t="n">
        <v>0</v>
      </c>
      <c r="R134" s="32" t="n">
        <v>79.14</v>
      </c>
      <c r="S134" s="32" t="n">
        <v>0</v>
      </c>
      <c r="T134" s="32" t="n">
        <v>0</v>
      </c>
    </row>
    <row r="135">
      <c r="A135" s="32" t="inlineStr">
        <is>
          <t>ttJTrans</t>
        </is>
      </c>
      <c r="B135" s="36" t="inlineStr">
        <is>
          <t>0-4000-01</t>
        </is>
      </c>
      <c r="C135" s="32" t="inlineStr">
        <is>
          <t>EQ</t>
        </is>
      </c>
      <c r="D135" s="32" t="inlineStr"/>
      <c r="E135" s="32" t="inlineStr">
        <is>
          <t>EQ</t>
        </is>
      </c>
      <c r="F135" s="32" t="inlineStr"/>
      <c r="G135" s="32" t="inlineStr"/>
      <c r="H135" s="126" t="n">
        <v>46124</v>
      </c>
      <c r="I135" s="32" t="inlineStr"/>
      <c r="J135" s="36" t="inlineStr">
        <is>
          <t>0-4000-01</t>
        </is>
      </c>
      <c r="K135" s="32" t="inlineStr">
        <is>
          <t>RT1447 2024 FORD F250 XL STX CREW CAB DIESEL SWB 2024 FORD F250 XL STX CREW CAB DIESEL SWB</t>
        </is>
      </c>
      <c r="L135" s="32" t="n">
        <v>0</v>
      </c>
      <c r="M135" s="32" t="n">
        <v>0</v>
      </c>
      <c r="N135" s="32" t="inlineStr"/>
      <c r="O135" s="32" t="inlineStr">
        <is>
          <t>RT1447</t>
        </is>
      </c>
      <c r="P135" s="32" t="inlineStr"/>
      <c r="Q135" s="32" t="n">
        <v>0</v>
      </c>
      <c r="R135" s="32" t="n">
        <v>79.14</v>
      </c>
      <c r="S135" s="32" t="n">
        <v>0</v>
      </c>
      <c r="T135" s="32" t="n">
        <v>0</v>
      </c>
    </row>
    <row r="136">
      <c r="A136" s="32" t="inlineStr">
        <is>
          <t>ttJTrans</t>
        </is>
      </c>
      <c r="B136" s="36" t="inlineStr">
        <is>
          <t>0-4000-01</t>
        </is>
      </c>
      <c r="C136" s="32" t="inlineStr">
        <is>
          <t>EQ</t>
        </is>
      </c>
      <c r="D136" s="32" t="inlineStr"/>
      <c r="E136" s="32" t="inlineStr">
        <is>
          <t>EQ</t>
        </is>
      </c>
      <c r="F136" s="32" t="inlineStr"/>
      <c r="G136" s="125" t="inlineStr"/>
      <c r="H136" s="126" t="n">
        <v>46131</v>
      </c>
      <c r="I136" s="32" t="inlineStr"/>
      <c r="J136" s="36" t="inlineStr">
        <is>
          <t>0-4000-01</t>
        </is>
      </c>
      <c r="K136" s="32" t="inlineStr">
        <is>
          <t>RT1447 2024 FORD F250 XL STX CREW CAB DIESEL SWB 2024 FORD F250 XL STX CREW CAB DIESEL SWB</t>
        </is>
      </c>
      <c r="L136" s="32" t="n">
        <v>0</v>
      </c>
      <c r="M136" s="32" t="n">
        <v>0</v>
      </c>
      <c r="N136" s="32" t="inlineStr"/>
      <c r="O136" s="32" t="inlineStr">
        <is>
          <t>RT1447</t>
        </is>
      </c>
      <c r="P136" s="32" t="inlineStr"/>
      <c r="Q136" s="32" t="n">
        <v>0</v>
      </c>
      <c r="R136" s="32" t="n">
        <v>79.14</v>
      </c>
      <c r="S136" s="32" t="n">
        <v>0</v>
      </c>
      <c r="T136" s="32" t="n">
        <v>0</v>
      </c>
    </row>
    <row r="137">
      <c r="A137" s="32" t="inlineStr">
        <is>
          <t>ttJTrans</t>
        </is>
      </c>
      <c r="B137" s="36" t="inlineStr">
        <is>
          <t>0-4000-01</t>
        </is>
      </c>
      <c r="C137" s="32" t="inlineStr">
        <is>
          <t>EQ</t>
        </is>
      </c>
      <c r="D137" s="32" t="inlineStr"/>
      <c r="E137" s="32" t="inlineStr">
        <is>
          <t>EQ</t>
        </is>
      </c>
      <c r="F137" s="32" t="inlineStr"/>
      <c r="G137" s="125" t="inlineStr"/>
      <c r="H137" s="126" t="n">
        <v>46131</v>
      </c>
      <c r="I137" s="32" t="inlineStr"/>
      <c r="J137" s="36" t="inlineStr">
        <is>
          <t>0-4000-01</t>
        </is>
      </c>
      <c r="K137" s="32" t="inlineStr">
        <is>
          <t>RT1447 2024 FORD F250 XL STX CREW CAB DIESEL SWB 2024 FORD F250 XL STX CREW CAB DIESEL SWB</t>
        </is>
      </c>
      <c r="L137" s="32" t="n">
        <v>0</v>
      </c>
      <c r="M137" s="32" t="n">
        <v>0</v>
      </c>
      <c r="N137" s="32" t="inlineStr"/>
      <c r="O137" s="32" t="inlineStr">
        <is>
          <t>RT1447</t>
        </is>
      </c>
      <c r="P137" s="32" t="inlineStr"/>
      <c r="Q137" s="32" t="n">
        <v>0</v>
      </c>
      <c r="R137" s="32" t="n">
        <v>79.14</v>
      </c>
      <c r="S137" s="32" t="n">
        <v>0</v>
      </c>
      <c r="T137" s="32" t="n">
        <v>0</v>
      </c>
    </row>
    <row r="138">
      <c r="A138" s="32" t="inlineStr">
        <is>
          <t>ttJTrans</t>
        </is>
      </c>
      <c r="B138" s="36" t="inlineStr">
        <is>
          <t>0-4000-01</t>
        </is>
      </c>
      <c r="C138" s="32" t="inlineStr">
        <is>
          <t>EQ</t>
        </is>
      </c>
      <c r="D138" s="32" t="inlineStr"/>
      <c r="E138" s="32" t="inlineStr">
        <is>
          <t>EQ</t>
        </is>
      </c>
      <c r="F138" s="32" t="inlineStr"/>
      <c r="G138" s="125" t="inlineStr"/>
      <c r="H138" s="126" t="n">
        <v>46131</v>
      </c>
      <c r="I138" s="32" t="inlineStr"/>
      <c r="J138" s="36" t="inlineStr">
        <is>
          <t>0-4000-01</t>
        </is>
      </c>
      <c r="K138" s="32" t="inlineStr">
        <is>
          <t>RT1447 2024 FORD F250 XL STX CREW CAB DIESEL SWB 2024 FORD F250 XL STX CREW CAB DIESEL SWB</t>
        </is>
      </c>
      <c r="L138" s="32" t="n">
        <v>0</v>
      </c>
      <c r="M138" s="32" t="n">
        <v>0</v>
      </c>
      <c r="N138" s="32" t="inlineStr"/>
      <c r="O138" s="32" t="inlineStr">
        <is>
          <t>RT1447</t>
        </is>
      </c>
      <c r="P138" s="32" t="inlineStr"/>
      <c r="Q138" s="32" t="n">
        <v>0</v>
      </c>
      <c r="R138" s="32" t="n">
        <v>79.14</v>
      </c>
      <c r="S138" s="32" t="n">
        <v>0</v>
      </c>
      <c r="T138" s="32" t="n">
        <v>0</v>
      </c>
    </row>
    <row r="139">
      <c r="A139" s="32" t="inlineStr">
        <is>
          <t>ttJTrans</t>
        </is>
      </c>
      <c r="B139" s="36" t="inlineStr">
        <is>
          <t>0-4000-01</t>
        </is>
      </c>
      <c r="C139" s="32" t="inlineStr">
        <is>
          <t>EQ</t>
        </is>
      </c>
      <c r="D139" s="32" t="inlineStr"/>
      <c r="E139" s="32" t="inlineStr">
        <is>
          <t>EQ</t>
        </is>
      </c>
      <c r="F139" s="32" t="inlineStr"/>
      <c r="G139" s="125" t="inlineStr"/>
      <c r="H139" s="126" t="n">
        <v>46131</v>
      </c>
      <c r="I139" s="32" t="inlineStr"/>
      <c r="J139" s="36" t="inlineStr">
        <is>
          <t>0-4000-01</t>
        </is>
      </c>
      <c r="K139" s="32" t="inlineStr">
        <is>
          <t>RT1447 2024 FORD F250 XL STX CREW CAB DIESEL SWB 2024 FORD F250 XL STX CREW CAB DIESEL SWB</t>
        </is>
      </c>
      <c r="L139" s="32" t="n">
        <v>0</v>
      </c>
      <c r="M139" s="32" t="n">
        <v>0</v>
      </c>
      <c r="N139" s="32" t="inlineStr"/>
      <c r="O139" s="32" t="inlineStr">
        <is>
          <t>RT1447</t>
        </is>
      </c>
      <c r="P139" s="32" t="inlineStr"/>
      <c r="Q139" s="32" t="n">
        <v>0</v>
      </c>
      <c r="R139" s="32" t="n">
        <v>79.14</v>
      </c>
      <c r="S139" s="32" t="n">
        <v>0</v>
      </c>
      <c r="T139" s="32" t="n">
        <v>0</v>
      </c>
    </row>
    <row r="140">
      <c r="A140" s="32" t="inlineStr">
        <is>
          <t>ttJTrans</t>
        </is>
      </c>
      <c r="B140" s="32" t="inlineStr">
        <is>
          <t>0-4000-01</t>
        </is>
      </c>
      <c r="C140" s="32" t="inlineStr">
        <is>
          <t>EQ</t>
        </is>
      </c>
      <c r="D140" s="32" t="inlineStr"/>
      <c r="E140" s="32" t="inlineStr">
        <is>
          <t>EQ</t>
        </is>
      </c>
      <c r="F140" s="32" t="inlineStr"/>
      <c r="G140" s="35" t="inlineStr"/>
      <c r="H140" s="126" t="n">
        <v>46138</v>
      </c>
      <c r="I140" s="32" t="inlineStr"/>
      <c r="J140" s="32" t="inlineStr">
        <is>
          <t>0-4000-01</t>
        </is>
      </c>
      <c r="K140" s="32" t="inlineStr">
        <is>
          <t>RT1447 2024 FORD F250 XL STX CREW CAB DIESEL SWB 2024 FORD F250 XL STX CREW CAB DIESEL SWB</t>
        </is>
      </c>
      <c r="L140" s="32" t="n">
        <v>0</v>
      </c>
      <c r="M140" s="32" t="n">
        <v>0</v>
      </c>
      <c r="N140" s="32" t="inlineStr"/>
      <c r="O140" s="32" t="inlineStr">
        <is>
          <t>RT1447</t>
        </is>
      </c>
      <c r="P140" s="32" t="inlineStr"/>
      <c r="Q140" s="32" t="n">
        <v>0</v>
      </c>
      <c r="R140" s="32" t="n">
        <v>79.14</v>
      </c>
      <c r="S140" s="32" t="n">
        <v>0</v>
      </c>
      <c r="T140" s="32" t="n">
        <v>0</v>
      </c>
    </row>
    <row r="141">
      <c r="A141" s="32" t="inlineStr">
        <is>
          <t>ttJTrans</t>
        </is>
      </c>
      <c r="B141" s="32" t="inlineStr">
        <is>
          <t>0-4000-01</t>
        </is>
      </c>
      <c r="C141" s="32" t="inlineStr">
        <is>
          <t>EQ</t>
        </is>
      </c>
      <c r="D141" s="32" t="inlineStr"/>
      <c r="E141" s="32" t="inlineStr">
        <is>
          <t>EQ</t>
        </is>
      </c>
      <c r="F141" s="32" t="inlineStr"/>
      <c r="G141" s="35" t="inlineStr"/>
      <c r="H141" s="126" t="n">
        <v>46138</v>
      </c>
      <c r="I141" s="32" t="inlineStr"/>
      <c r="J141" s="32" t="inlineStr">
        <is>
          <t>0-4000-01</t>
        </is>
      </c>
      <c r="K141" s="32" t="inlineStr">
        <is>
          <t>RT1447 2024 FORD F250 XL STX CREW CAB DIESEL SWB 2024 FORD F250 XL STX CREW CAB DIESEL SWB</t>
        </is>
      </c>
      <c r="L141" s="32" t="n">
        <v>0</v>
      </c>
      <c r="M141" s="32" t="n">
        <v>0</v>
      </c>
      <c r="N141" s="32" t="inlineStr"/>
      <c r="O141" s="32" t="inlineStr">
        <is>
          <t>RT1447</t>
        </is>
      </c>
      <c r="P141" s="32" t="inlineStr"/>
      <c r="Q141" s="32" t="n">
        <v>0</v>
      </c>
      <c r="R141" s="32" t="n">
        <v>79.14</v>
      </c>
      <c r="S141" s="32" t="n">
        <v>0</v>
      </c>
      <c r="T141" s="32" t="n">
        <v>0</v>
      </c>
    </row>
    <row r="142">
      <c r="A142" s="32" t="inlineStr">
        <is>
          <t>ttJTrans</t>
        </is>
      </c>
      <c r="B142" s="32" t="inlineStr">
        <is>
          <t>0-4000-01</t>
        </is>
      </c>
      <c r="C142" s="32" t="inlineStr">
        <is>
          <t>EQ</t>
        </is>
      </c>
      <c r="D142" s="32" t="inlineStr"/>
      <c r="E142" s="32" t="inlineStr">
        <is>
          <t>EQ</t>
        </is>
      </c>
      <c r="F142" s="32" t="inlineStr"/>
      <c r="G142" s="35" t="inlineStr"/>
      <c r="H142" s="126" t="n">
        <v>46138</v>
      </c>
      <c r="I142" s="32" t="inlineStr"/>
      <c r="J142" s="32" t="inlineStr">
        <is>
          <t>0-4000-01</t>
        </is>
      </c>
      <c r="K142" s="32" t="inlineStr">
        <is>
          <t>RT1447 2024 FORD F250 XL STX CREW CAB DIESEL SWB 2024 FORD F250 XL STX CREW CAB DIESEL SWB</t>
        </is>
      </c>
      <c r="L142" s="32" t="n">
        <v>0</v>
      </c>
      <c r="M142" s="32" t="n">
        <v>0</v>
      </c>
      <c r="N142" s="32" t="inlineStr"/>
      <c r="O142" s="32" t="inlineStr">
        <is>
          <t>RT1447</t>
        </is>
      </c>
      <c r="P142" s="32" t="inlineStr"/>
      <c r="Q142" s="32" t="n">
        <v>0</v>
      </c>
      <c r="R142" s="32" t="n">
        <v>79.14</v>
      </c>
      <c r="S142" s="32" t="n">
        <v>0</v>
      </c>
      <c r="T142" s="32" t="n">
        <v>0</v>
      </c>
    </row>
    <row r="143">
      <c r="A143" s="32" t="inlineStr">
        <is>
          <t>ttJTrans</t>
        </is>
      </c>
      <c r="B143" s="32" t="inlineStr">
        <is>
          <t>0-4005</t>
        </is>
      </c>
      <c r="C143" s="32" t="inlineStr">
        <is>
          <t>LA</t>
        </is>
      </c>
      <c r="D143" s="32" t="inlineStr"/>
      <c r="E143" s="32" t="inlineStr">
        <is>
          <t>LA</t>
        </is>
      </c>
      <c r="F143" s="32" t="inlineStr"/>
      <c r="G143" s="35" t="inlineStr"/>
      <c r="H143" s="126" t="n">
        <v>46111</v>
      </c>
      <c r="I143" s="32" t="inlineStr"/>
      <c r="J143" s="32" t="inlineStr">
        <is>
          <t>0-4005</t>
        </is>
      </c>
      <c r="K143" s="32" t="inlineStr">
        <is>
          <t>PR P2COST 000288 (PR) Summary</t>
        </is>
      </c>
      <c r="L143" s="32" t="n">
        <v>0</v>
      </c>
      <c r="M143" s="32" t="n">
        <v>0</v>
      </c>
      <c r="N143" s="32" t="inlineStr"/>
      <c r="O143" s="32" t="inlineStr"/>
      <c r="P143" s="32" t="inlineStr"/>
      <c r="Q143" s="32" t="n">
        <v>0</v>
      </c>
      <c r="R143" s="32" t="n">
        <v>223.71</v>
      </c>
      <c r="S143" s="32" t="n">
        <v>0</v>
      </c>
      <c r="T143" s="32" t="n">
        <v>2</v>
      </c>
    </row>
    <row r="144">
      <c r="A144" s="32" t="inlineStr">
        <is>
          <t>ttJTrans</t>
        </is>
      </c>
      <c r="B144" s="32" t="inlineStr">
        <is>
          <t>0-4005</t>
        </is>
      </c>
      <c r="C144" s="32" t="inlineStr">
        <is>
          <t>LA</t>
        </is>
      </c>
      <c r="D144" s="32" t="inlineStr"/>
      <c r="E144" s="32" t="inlineStr">
        <is>
          <t>LA</t>
        </is>
      </c>
      <c r="F144" s="32" t="inlineStr"/>
      <c r="G144" s="35" t="inlineStr"/>
      <c r="H144" s="126" t="n">
        <v>46111</v>
      </c>
      <c r="I144" s="32" t="inlineStr"/>
      <c r="J144" s="32" t="inlineStr">
        <is>
          <t>0-4005</t>
        </is>
      </c>
      <c r="K144" s="32" t="inlineStr">
        <is>
          <t>PR P2COST 000288 (PR) Summary</t>
        </is>
      </c>
      <c r="L144" s="32" t="n">
        <v>0</v>
      </c>
      <c r="M144" s="32" t="n">
        <v>0</v>
      </c>
      <c r="N144" s="32" t="inlineStr"/>
      <c r="O144" s="32" t="inlineStr"/>
      <c r="P144" s="32" t="inlineStr"/>
      <c r="Q144" s="32" t="n">
        <v>0</v>
      </c>
      <c r="R144" s="32" t="n">
        <v>335.56</v>
      </c>
      <c r="S144" s="32" t="n">
        <v>0</v>
      </c>
      <c r="T144" s="32" t="n">
        <v>3</v>
      </c>
    </row>
    <row r="145">
      <c r="A145" s="32" t="inlineStr">
        <is>
          <t>ttJTrans</t>
        </is>
      </c>
      <c r="B145" s="32" t="inlineStr">
        <is>
          <t>0-4005</t>
        </is>
      </c>
      <c r="C145" s="32" t="inlineStr">
        <is>
          <t>LA</t>
        </is>
      </c>
      <c r="D145" s="32" t="inlineStr"/>
      <c r="E145" s="32" t="inlineStr">
        <is>
          <t>LA</t>
        </is>
      </c>
      <c r="F145" s="32" t="inlineStr"/>
      <c r="G145" s="35" t="inlineStr"/>
      <c r="H145" s="126" t="n">
        <v>46111</v>
      </c>
      <c r="I145" s="32" t="inlineStr"/>
      <c r="J145" s="32" t="inlineStr">
        <is>
          <t>0-4005</t>
        </is>
      </c>
      <c r="K145" s="32" t="inlineStr">
        <is>
          <t>PR P2COST 000288 (PR) Summary</t>
        </is>
      </c>
      <c r="L145" s="32" t="n">
        <v>0</v>
      </c>
      <c r="M145" s="32" t="n">
        <v>0</v>
      </c>
      <c r="N145" s="32" t="inlineStr"/>
      <c r="O145" s="32" t="inlineStr"/>
      <c r="P145" s="32" t="inlineStr"/>
      <c r="Q145" s="32" t="n">
        <v>0</v>
      </c>
      <c r="R145" s="32" t="n">
        <v>335.56</v>
      </c>
      <c r="S145" s="32" t="n">
        <v>0</v>
      </c>
      <c r="T145" s="32" t="n">
        <v>3</v>
      </c>
    </row>
    <row r="146">
      <c r="A146" s="32" t="inlineStr">
        <is>
          <t>ttJTrans</t>
        </is>
      </c>
      <c r="B146" s="32" t="inlineStr">
        <is>
          <t>0-4005</t>
        </is>
      </c>
      <c r="C146" s="32" t="inlineStr">
        <is>
          <t>LA</t>
        </is>
      </c>
      <c r="D146" s="32" t="inlineStr"/>
      <c r="E146" s="32" t="inlineStr">
        <is>
          <t>LA</t>
        </is>
      </c>
      <c r="F146" s="32" t="inlineStr"/>
      <c r="G146" s="35" t="inlineStr"/>
      <c r="H146" s="126" t="n">
        <v>46121</v>
      </c>
      <c r="I146" s="32" t="inlineStr"/>
      <c r="J146" s="32" t="inlineStr">
        <is>
          <t>0-4005</t>
        </is>
      </c>
      <c r="K146" s="32" t="inlineStr">
        <is>
          <t>PR P0COST 000525 (PR) Summary</t>
        </is>
      </c>
      <c r="L146" s="32" t="n">
        <v>0</v>
      </c>
      <c r="M146" s="32" t="n">
        <v>0</v>
      </c>
      <c r="N146" s="32" t="inlineStr"/>
      <c r="O146" s="32" t="inlineStr"/>
      <c r="P146" s="32" t="inlineStr"/>
      <c r="Q146" s="32" t="n">
        <v>0</v>
      </c>
      <c r="R146" s="32" t="n">
        <v>3848.13</v>
      </c>
      <c r="S146" s="32" t="n">
        <v>0</v>
      </c>
      <c r="T146" s="32" t="n">
        <v>80</v>
      </c>
    </row>
    <row r="147">
      <c r="A147" s="32" t="inlineStr">
        <is>
          <t>ttJTrans</t>
        </is>
      </c>
      <c r="B147" s="32" t="inlineStr">
        <is>
          <t>0-4005</t>
        </is>
      </c>
      <c r="C147" s="32" t="inlineStr">
        <is>
          <t>LA</t>
        </is>
      </c>
      <c r="D147" s="32" t="inlineStr"/>
      <c r="E147" s="32" t="inlineStr">
        <is>
          <t>LA</t>
        </is>
      </c>
      <c r="F147" s="32" t="inlineStr"/>
      <c r="G147" s="35" t="inlineStr"/>
      <c r="H147" s="126" t="n">
        <v>46121</v>
      </c>
      <c r="I147" s="32" t="inlineStr"/>
      <c r="J147" s="32" t="inlineStr">
        <is>
          <t>0-4005</t>
        </is>
      </c>
      <c r="K147" s="32" t="inlineStr">
        <is>
          <t>PR P0COST 000525 (PR) Summary</t>
        </is>
      </c>
      <c r="L147" s="32" t="n">
        <v>0</v>
      </c>
      <c r="M147" s="32" t="n">
        <v>0</v>
      </c>
      <c r="N147" s="32" t="inlineStr"/>
      <c r="O147" s="32" t="inlineStr"/>
      <c r="P147" s="32" t="inlineStr"/>
      <c r="Q147" s="32" t="n">
        <v>0</v>
      </c>
      <c r="R147" s="32" t="n">
        <v>2716.92</v>
      </c>
      <c r="S147" s="32" t="n">
        <v>0</v>
      </c>
      <c r="T147" s="32" t="n">
        <v>34</v>
      </c>
    </row>
    <row r="148">
      <c r="A148" s="32" t="inlineStr">
        <is>
          <t>ttJTrans</t>
        </is>
      </c>
      <c r="B148" s="32" t="inlineStr">
        <is>
          <t>0-4005</t>
        </is>
      </c>
      <c r="C148" s="32" t="inlineStr">
        <is>
          <t>LA</t>
        </is>
      </c>
      <c r="D148" s="32" t="inlineStr"/>
      <c r="E148" s="32" t="inlineStr">
        <is>
          <t>LA</t>
        </is>
      </c>
      <c r="F148" s="32" t="inlineStr"/>
      <c r="G148" s="35" t="inlineStr"/>
      <c r="H148" s="126" t="n">
        <v>46121</v>
      </c>
      <c r="I148" s="32" t="inlineStr"/>
      <c r="J148" s="32" t="inlineStr">
        <is>
          <t>0-4005</t>
        </is>
      </c>
      <c r="K148" s="32" t="inlineStr">
        <is>
          <t>PR P0COST 000525 (PR) Summary</t>
        </is>
      </c>
      <c r="L148" s="32" t="n">
        <v>0</v>
      </c>
      <c r="M148" s="32" t="n">
        <v>0</v>
      </c>
      <c r="N148" s="32" t="inlineStr"/>
      <c r="O148" s="32" t="inlineStr"/>
      <c r="P148" s="32" t="inlineStr"/>
      <c r="Q148" s="32" t="n">
        <v>0</v>
      </c>
      <c r="R148" s="32" t="n">
        <v>2194.26</v>
      </c>
      <c r="S148" s="32" t="n">
        <v>0</v>
      </c>
      <c r="T148" s="32" t="n">
        <v>40</v>
      </c>
    </row>
    <row r="149">
      <c r="A149" s="32" t="inlineStr">
        <is>
          <t>ttJTrans</t>
        </is>
      </c>
      <c r="B149" s="32" t="inlineStr">
        <is>
          <t>0-4005</t>
        </is>
      </c>
      <c r="C149" s="32" t="inlineStr">
        <is>
          <t>LA</t>
        </is>
      </c>
      <c r="D149" s="32" t="inlineStr"/>
      <c r="E149" s="32" t="inlineStr">
        <is>
          <t>LA</t>
        </is>
      </c>
      <c r="F149" s="32" t="inlineStr"/>
      <c r="G149" s="35" t="inlineStr"/>
      <c r="H149" s="126" t="n">
        <v>46121</v>
      </c>
      <c r="I149" s="32" t="inlineStr"/>
      <c r="J149" s="32" t="inlineStr">
        <is>
          <t>0-4005</t>
        </is>
      </c>
      <c r="K149" s="32" t="inlineStr">
        <is>
          <t>PR P0COST 000525 (PR) Summary</t>
        </is>
      </c>
      <c r="L149" s="32" t="n">
        <v>0</v>
      </c>
      <c r="M149" s="32" t="n">
        <v>0</v>
      </c>
      <c r="N149" s="32" t="inlineStr"/>
      <c r="O149" s="32" t="inlineStr"/>
      <c r="P149" s="32" t="inlineStr"/>
      <c r="Q149" s="32" t="n">
        <v>0</v>
      </c>
      <c r="R149" s="32" t="n">
        <v>2058.4</v>
      </c>
      <c r="S149" s="32" t="n">
        <v>0</v>
      </c>
      <c r="T149" s="32" t="n">
        <v>40</v>
      </c>
    </row>
    <row r="150">
      <c r="A150" s="32" t="inlineStr">
        <is>
          <t>ttJTrans</t>
        </is>
      </c>
      <c r="B150" s="32" t="inlineStr">
        <is>
          <t>0-4005</t>
        </is>
      </c>
      <c r="C150" s="32" t="inlineStr">
        <is>
          <t>LA</t>
        </is>
      </c>
      <c r="D150" s="32" t="inlineStr"/>
      <c r="E150" s="32" t="inlineStr">
        <is>
          <t>LA</t>
        </is>
      </c>
      <c r="F150" s="32" t="inlineStr"/>
      <c r="G150" s="32" t="inlineStr"/>
      <c r="H150" s="126" t="n">
        <v>46121</v>
      </c>
      <c r="I150" s="32" t="inlineStr"/>
      <c r="J150" s="32" t="inlineStr">
        <is>
          <t>0-4005</t>
        </is>
      </c>
      <c r="K150" s="32" t="inlineStr">
        <is>
          <t>PR P0COST 000525 (PR) Summary</t>
        </is>
      </c>
      <c r="L150" s="32" t="n">
        <v>0</v>
      </c>
      <c r="M150" s="32" t="n">
        <v>0</v>
      </c>
      <c r="N150" s="32" t="inlineStr"/>
      <c r="O150" s="32" t="inlineStr"/>
      <c r="P150" s="32" t="inlineStr"/>
      <c r="Q150" s="32" t="n">
        <v>0</v>
      </c>
      <c r="R150" s="32" t="n">
        <v>610.99</v>
      </c>
      <c r="S150" s="32" t="n">
        <v>0</v>
      </c>
      <c r="T150" s="32" t="n">
        <v>10</v>
      </c>
    </row>
    <row r="151">
      <c r="A151" s="32" t="inlineStr">
        <is>
          <t>ttJTrans</t>
        </is>
      </c>
      <c r="B151" s="32" t="inlineStr">
        <is>
          <t>0-4005</t>
        </is>
      </c>
      <c r="C151" s="32" t="inlineStr">
        <is>
          <t>LA</t>
        </is>
      </c>
      <c r="D151" s="32" t="inlineStr"/>
      <c r="E151" s="32" t="inlineStr">
        <is>
          <t>LA</t>
        </is>
      </c>
      <c r="F151" s="32" t="inlineStr"/>
      <c r="G151" s="32" t="inlineStr"/>
      <c r="H151" s="126" t="n">
        <v>46121</v>
      </c>
      <c r="I151" s="32" t="inlineStr"/>
      <c r="J151" s="32" t="inlineStr">
        <is>
          <t>0-4005</t>
        </is>
      </c>
      <c r="K151" s="32" t="inlineStr">
        <is>
          <t>PR P0COST 000525 (PR) Summary</t>
        </is>
      </c>
      <c r="L151" s="32" t="n">
        <v>0</v>
      </c>
      <c r="M151" s="32" t="n">
        <v>0</v>
      </c>
      <c r="N151" s="32" t="inlineStr"/>
      <c r="O151" s="32" t="inlineStr"/>
      <c r="P151" s="32" t="inlineStr"/>
      <c r="Q151" s="32" t="n">
        <v>0</v>
      </c>
      <c r="R151" s="32" t="n">
        <v>1569.06</v>
      </c>
      <c r="S151" s="32" t="n">
        <v>0</v>
      </c>
      <c r="T151" s="32" t="n">
        <v>32</v>
      </c>
    </row>
    <row r="152">
      <c r="A152" s="32" t="inlineStr">
        <is>
          <t>ttJTrans</t>
        </is>
      </c>
      <c r="B152" s="32" t="inlineStr">
        <is>
          <t>0-4005</t>
        </is>
      </c>
      <c r="C152" s="32" t="inlineStr">
        <is>
          <t>LA</t>
        </is>
      </c>
      <c r="D152" s="32" t="inlineStr"/>
      <c r="E152" s="32" t="inlineStr">
        <is>
          <t>LA</t>
        </is>
      </c>
      <c r="F152" s="32" t="inlineStr"/>
      <c r="G152" s="35" t="inlineStr"/>
      <c r="H152" s="126" t="n">
        <v>46121</v>
      </c>
      <c r="I152" s="32" t="inlineStr"/>
      <c r="J152" s="32" t="inlineStr">
        <is>
          <t>0-4005</t>
        </is>
      </c>
      <c r="K152" s="32" t="inlineStr">
        <is>
          <t>PR P0COST 000525 (PR) Summary</t>
        </is>
      </c>
      <c r="L152" s="32" t="n">
        <v>0</v>
      </c>
      <c r="M152" s="32" t="n">
        <v>0</v>
      </c>
      <c r="N152" s="32" t="inlineStr"/>
      <c r="O152" s="32" t="inlineStr"/>
      <c r="P152" s="32" t="inlineStr"/>
      <c r="Q152" s="32" t="n">
        <v>0</v>
      </c>
      <c r="R152" s="32" t="n">
        <v>858.8200000000001</v>
      </c>
      <c r="S152" s="32" t="n">
        <v>0</v>
      </c>
      <c r="T152" s="32" t="n">
        <v>10</v>
      </c>
    </row>
    <row r="153">
      <c r="A153" s="32" t="inlineStr">
        <is>
          <t>ttJTrans</t>
        </is>
      </c>
      <c r="B153" s="32" t="inlineStr">
        <is>
          <t>0-4005</t>
        </is>
      </c>
      <c r="C153" s="32" t="inlineStr">
        <is>
          <t>LA</t>
        </is>
      </c>
      <c r="D153" s="32" t="inlineStr"/>
      <c r="E153" s="32" t="inlineStr">
        <is>
          <t>LA</t>
        </is>
      </c>
      <c r="F153" s="32" t="inlineStr"/>
      <c r="G153" s="35" t="inlineStr"/>
      <c r="H153" s="126" t="n">
        <v>46128</v>
      </c>
      <c r="I153" s="32" t="inlineStr"/>
      <c r="J153" s="32" t="inlineStr">
        <is>
          <t>0-4005</t>
        </is>
      </c>
      <c r="K153" s="32" t="inlineStr">
        <is>
          <t>PR P0COST 000526 (PR) Summary</t>
        </is>
      </c>
      <c r="L153" s="32" t="n">
        <v>0</v>
      </c>
      <c r="M153" s="32" t="n">
        <v>0</v>
      </c>
      <c r="N153" s="32" t="inlineStr"/>
      <c r="O153" s="32" t="inlineStr"/>
      <c r="P153" s="32" t="inlineStr"/>
      <c r="Q153" s="32" t="n">
        <v>0</v>
      </c>
      <c r="R153" s="32" t="n">
        <v>1222.51</v>
      </c>
      <c r="S153" s="32" t="n">
        <v>0</v>
      </c>
      <c r="T153" s="32" t="n">
        <v>20</v>
      </c>
    </row>
    <row r="154">
      <c r="A154" s="32" t="inlineStr">
        <is>
          <t>ttJTrans</t>
        </is>
      </c>
      <c r="B154" s="32" t="inlineStr">
        <is>
          <t>0-4005</t>
        </is>
      </c>
      <c r="C154" s="32" t="inlineStr">
        <is>
          <t>LA</t>
        </is>
      </c>
      <c r="D154" s="32" t="inlineStr"/>
      <c r="E154" s="32" t="inlineStr">
        <is>
          <t>LA</t>
        </is>
      </c>
      <c r="F154" s="32" t="inlineStr"/>
      <c r="G154" s="125" t="inlineStr"/>
      <c r="H154" s="126" t="n">
        <v>46135</v>
      </c>
      <c r="I154" s="32" t="inlineStr"/>
      <c r="J154" s="32" t="inlineStr">
        <is>
          <t>0-4005</t>
        </is>
      </c>
      <c r="K154" s="32" t="inlineStr">
        <is>
          <t>PR P0COST 000527 (PR) Summary</t>
        </is>
      </c>
      <c r="L154" s="32" t="n">
        <v>0</v>
      </c>
      <c r="M154" s="32" t="n">
        <v>0</v>
      </c>
      <c r="N154" s="32" t="inlineStr"/>
      <c r="O154" s="32" t="inlineStr"/>
      <c r="P154" s="32" t="inlineStr"/>
      <c r="Q154" s="32" t="n">
        <v>0</v>
      </c>
      <c r="R154" s="32" t="n">
        <v>721.79</v>
      </c>
      <c r="S154" s="32" t="n">
        <v>0</v>
      </c>
      <c r="T154" s="32" t="n">
        <v>10</v>
      </c>
    </row>
    <row r="155">
      <c r="A155" s="32" t="inlineStr">
        <is>
          <t>ttJTrans</t>
        </is>
      </c>
      <c r="B155" s="32" t="inlineStr">
        <is>
          <t>0-4005</t>
        </is>
      </c>
      <c r="C155" s="32" t="inlineStr">
        <is>
          <t>LA</t>
        </is>
      </c>
      <c r="D155" s="32" t="inlineStr"/>
      <c r="E155" s="32" t="inlineStr">
        <is>
          <t>LA</t>
        </is>
      </c>
      <c r="F155" s="32" t="inlineStr"/>
      <c r="G155" s="32" t="inlineStr"/>
      <c r="H155" s="126" t="n">
        <v>46135</v>
      </c>
      <c r="I155" s="32" t="inlineStr"/>
      <c r="J155" s="32" t="inlineStr">
        <is>
          <t>0-4005</t>
        </is>
      </c>
      <c r="K155" s="32" t="inlineStr">
        <is>
          <t>PR P0COST 000527 (PR) Summary</t>
        </is>
      </c>
      <c r="L155" s="32" t="n">
        <v>0</v>
      </c>
      <c r="M155" s="32" t="n">
        <v>0</v>
      </c>
      <c r="N155" s="32" t="inlineStr"/>
      <c r="O155" s="32" t="inlineStr"/>
      <c r="P155" s="32" t="inlineStr"/>
      <c r="Q155" s="32" t="n">
        <v>0</v>
      </c>
      <c r="R155" s="32" t="n">
        <v>602.4400000000001</v>
      </c>
      <c r="S155" s="32" t="n">
        <v>0</v>
      </c>
      <c r="T155" s="32" t="n">
        <v>8</v>
      </c>
    </row>
    <row r="156">
      <c r="A156" s="32" t="inlineStr">
        <is>
          <t>ttJTrans</t>
        </is>
      </c>
      <c r="B156" s="32" t="inlineStr">
        <is>
          <t>0-4005</t>
        </is>
      </c>
      <c r="C156" s="32" t="inlineStr">
        <is>
          <t>LA</t>
        </is>
      </c>
      <c r="D156" s="32" t="inlineStr"/>
      <c r="E156" s="32" t="inlineStr">
        <is>
          <t>LA</t>
        </is>
      </c>
      <c r="F156" s="32" t="inlineStr"/>
      <c r="G156" s="32" t="inlineStr"/>
      <c r="H156" s="126" t="n">
        <v>46135</v>
      </c>
      <c r="I156" s="32" t="inlineStr"/>
      <c r="J156" s="32" t="inlineStr">
        <is>
          <t>0-4005</t>
        </is>
      </c>
      <c r="K156" s="32" t="inlineStr">
        <is>
          <t>PR P0COST 000527 (PR) Summary</t>
        </is>
      </c>
      <c r="L156" s="32" t="n">
        <v>0</v>
      </c>
      <c r="M156" s="32" t="n">
        <v>0</v>
      </c>
      <c r="N156" s="32" t="inlineStr"/>
      <c r="O156" s="32" t="inlineStr"/>
      <c r="P156" s="32" t="inlineStr"/>
      <c r="Q156" s="32" t="n">
        <v>0</v>
      </c>
      <c r="R156" s="32" t="n">
        <v>579.3099999999999</v>
      </c>
      <c r="S156" s="32" t="n">
        <v>0</v>
      </c>
      <c r="T156" s="32" t="n">
        <v>6</v>
      </c>
    </row>
    <row r="157">
      <c r="A157" s="32" t="inlineStr">
        <is>
          <t>ttJTrans</t>
        </is>
      </c>
      <c r="B157" s="32" t="inlineStr">
        <is>
          <t>0-4005</t>
        </is>
      </c>
      <c r="C157" s="32" t="inlineStr">
        <is>
          <t>LA</t>
        </is>
      </c>
      <c r="D157" s="32" t="inlineStr"/>
      <c r="E157" s="32" t="inlineStr">
        <is>
          <t>LA</t>
        </is>
      </c>
      <c r="F157" s="32" t="inlineStr"/>
      <c r="G157" s="32" t="inlineStr"/>
      <c r="H157" s="126" t="n">
        <v>46135</v>
      </c>
      <c r="I157" s="32" t="inlineStr"/>
      <c r="J157" s="32" t="inlineStr">
        <is>
          <t>0-4005</t>
        </is>
      </c>
      <c r="K157" s="32" t="inlineStr">
        <is>
          <t>PR P0COST 000527 (PR) Summary</t>
        </is>
      </c>
      <c r="L157" s="32" t="n">
        <v>0</v>
      </c>
      <c r="M157" s="32" t="n">
        <v>0</v>
      </c>
      <c r="N157" s="32" t="inlineStr"/>
      <c r="O157" s="32" t="inlineStr"/>
      <c r="P157" s="32" t="inlineStr"/>
      <c r="Q157" s="32" t="n">
        <v>0</v>
      </c>
      <c r="R157" s="32" t="n">
        <v>660.3200000000001</v>
      </c>
      <c r="S157" s="32" t="n">
        <v>0</v>
      </c>
      <c r="T157" s="32" t="n">
        <v>10</v>
      </c>
    </row>
    <row r="158">
      <c r="A158" s="32" t="inlineStr">
        <is>
          <t>ttJTrans</t>
        </is>
      </c>
      <c r="B158" s="32" t="inlineStr">
        <is>
          <t>0-4005</t>
        </is>
      </c>
      <c r="C158" s="32" t="inlineStr">
        <is>
          <t>LA</t>
        </is>
      </c>
      <c r="D158" s="32" t="inlineStr"/>
      <c r="E158" s="32" t="inlineStr">
        <is>
          <t>LA</t>
        </is>
      </c>
      <c r="F158" s="32" t="inlineStr"/>
      <c r="G158" s="32" t="inlineStr"/>
      <c r="H158" s="126" t="n">
        <v>46135</v>
      </c>
      <c r="I158" s="32" t="inlineStr"/>
      <c r="J158" s="32" t="inlineStr">
        <is>
          <t>0-4005</t>
        </is>
      </c>
      <c r="K158" s="32" t="inlineStr">
        <is>
          <t>PR P0COST 000527 (PR) Summary</t>
        </is>
      </c>
      <c r="L158" s="32" t="n">
        <v>0</v>
      </c>
      <c r="M158" s="32" t="n">
        <v>0</v>
      </c>
      <c r="N158" s="32" t="inlineStr"/>
      <c r="O158" s="32" t="inlineStr"/>
      <c r="P158" s="32" t="inlineStr"/>
      <c r="Q158" s="32" t="n">
        <v>0</v>
      </c>
      <c r="R158" s="32" t="n">
        <v>660.3200000000001</v>
      </c>
      <c r="S158" s="32" t="n">
        <v>0</v>
      </c>
      <c r="T158" s="32" t="n">
        <v>10</v>
      </c>
    </row>
    <row r="159">
      <c r="A159" s="32" t="inlineStr">
        <is>
          <t>ttJTrans</t>
        </is>
      </c>
      <c r="B159" s="32" t="inlineStr">
        <is>
          <t>0-4005</t>
        </is>
      </c>
      <c r="C159" s="32" t="inlineStr">
        <is>
          <t>LA</t>
        </is>
      </c>
      <c r="D159" s="32" t="inlineStr"/>
      <c r="E159" s="32" t="inlineStr">
        <is>
          <t>LA</t>
        </is>
      </c>
      <c r="F159" s="32" t="inlineStr"/>
      <c r="G159" s="32" t="inlineStr"/>
      <c r="H159" s="126" t="n">
        <v>46135</v>
      </c>
      <c r="I159" s="32" t="inlineStr"/>
      <c r="J159" s="32" t="inlineStr">
        <is>
          <t>0-4005</t>
        </is>
      </c>
      <c r="K159" s="32" t="inlineStr">
        <is>
          <t>PR P0COST 000527 (PR) Summary</t>
        </is>
      </c>
      <c r="L159" s="32" t="n">
        <v>0</v>
      </c>
      <c r="M159" s="32" t="n">
        <v>0</v>
      </c>
      <c r="N159" s="32" t="inlineStr"/>
      <c r="O159" s="32" t="inlineStr"/>
      <c r="P159" s="32" t="inlineStr"/>
      <c r="Q159" s="32" t="n">
        <v>0</v>
      </c>
      <c r="R159" s="32" t="n">
        <v>660.3200000000001</v>
      </c>
      <c r="S159" s="32" t="n">
        <v>0</v>
      </c>
      <c r="T159" s="32" t="n">
        <v>10</v>
      </c>
    </row>
    <row r="160">
      <c r="A160" s="32" t="inlineStr">
        <is>
          <t>ttJTrans</t>
        </is>
      </c>
      <c r="B160" s="32" t="inlineStr">
        <is>
          <t>0-4005</t>
        </is>
      </c>
      <c r="C160" s="32" t="inlineStr">
        <is>
          <t>LA</t>
        </is>
      </c>
      <c r="D160" s="32" t="inlineStr"/>
      <c r="E160" s="32" t="inlineStr">
        <is>
          <t>LA</t>
        </is>
      </c>
      <c r="F160" s="32" t="inlineStr"/>
      <c r="G160" s="32" t="inlineStr"/>
      <c r="H160" s="126" t="n">
        <v>46135</v>
      </c>
      <c r="I160" s="32" t="inlineStr"/>
      <c r="J160" s="32" t="inlineStr">
        <is>
          <t>0-4005</t>
        </is>
      </c>
      <c r="K160" s="32" t="inlineStr">
        <is>
          <t>PR P0COST 000527 (PR) Summary</t>
        </is>
      </c>
      <c r="L160" s="32" t="n">
        <v>0</v>
      </c>
      <c r="M160" s="32" t="n">
        <v>0</v>
      </c>
      <c r="N160" s="32" t="inlineStr"/>
      <c r="O160" s="32" t="inlineStr"/>
      <c r="P160" s="32" t="inlineStr"/>
      <c r="Q160" s="32" t="n">
        <v>0</v>
      </c>
      <c r="R160" s="32" t="n">
        <v>259.51</v>
      </c>
      <c r="S160" s="32" t="n">
        <v>0</v>
      </c>
      <c r="T160" s="32" t="n">
        <v>4</v>
      </c>
    </row>
    <row r="161">
      <c r="A161" s="32" t="inlineStr">
        <is>
          <t>ttJTrans</t>
        </is>
      </c>
      <c r="B161" s="32" t="inlineStr">
        <is>
          <t>0-4005</t>
        </is>
      </c>
      <c r="C161" s="32" t="inlineStr">
        <is>
          <t>LA</t>
        </is>
      </c>
      <c r="D161" s="32" t="inlineStr"/>
      <c r="E161" s="32" t="inlineStr">
        <is>
          <t>LA</t>
        </is>
      </c>
      <c r="F161" s="32" t="inlineStr"/>
      <c r="G161" s="32" t="inlineStr"/>
      <c r="H161" s="126" t="n">
        <v>46135</v>
      </c>
      <c r="I161" s="32" t="inlineStr"/>
      <c r="J161" s="32" t="inlineStr">
        <is>
          <t>0-4005</t>
        </is>
      </c>
      <c r="K161" s="32" t="inlineStr">
        <is>
          <t>PR P0COST 000527 (PR) Summary</t>
        </is>
      </c>
      <c r="L161" s="32" t="n">
        <v>0</v>
      </c>
      <c r="M161" s="32" t="n">
        <v>0</v>
      </c>
      <c r="N161" s="32" t="inlineStr"/>
      <c r="O161" s="32" t="inlineStr"/>
      <c r="P161" s="32" t="inlineStr"/>
      <c r="Q161" s="32" t="n">
        <v>0</v>
      </c>
      <c r="R161" s="32" t="n">
        <v>383.5</v>
      </c>
      <c r="S161" s="32" t="n">
        <v>0</v>
      </c>
      <c r="T161" s="32" t="n">
        <v>8</v>
      </c>
    </row>
    <row r="162">
      <c r="A162" s="32" t="inlineStr">
        <is>
          <t>ttJTrans</t>
        </is>
      </c>
      <c r="B162" s="32" t="inlineStr">
        <is>
          <t>0-4005</t>
        </is>
      </c>
      <c r="C162" s="32" t="inlineStr">
        <is>
          <t>LA</t>
        </is>
      </c>
      <c r="D162" s="32" t="inlineStr"/>
      <c r="E162" s="32" t="inlineStr">
        <is>
          <t>LA</t>
        </is>
      </c>
      <c r="F162" s="32" t="inlineStr"/>
      <c r="G162" s="32" t="inlineStr"/>
      <c r="H162" s="126" t="n">
        <v>46150</v>
      </c>
      <c r="I162" s="32" t="inlineStr"/>
      <c r="J162" s="32" t="inlineStr">
        <is>
          <t>0-4005</t>
        </is>
      </c>
      <c r="K162" s="32" t="inlineStr">
        <is>
          <t>COST CODE TRANSFER 25-4005</t>
        </is>
      </c>
      <c r="L162" s="32" t="n">
        <v>0</v>
      </c>
      <c r="M162" s="32" t="n">
        <v>0</v>
      </c>
      <c r="N162" s="32" t="inlineStr"/>
      <c r="O162" s="32" t="inlineStr"/>
      <c r="P162" s="32" t="inlineStr"/>
      <c r="Q162" s="32" t="n">
        <v>0</v>
      </c>
      <c r="R162" s="32" t="n">
        <v>-20501.43</v>
      </c>
      <c r="S162" s="32" t="n">
        <v>0</v>
      </c>
      <c r="T162" s="32" t="n">
        <v>-340</v>
      </c>
    </row>
    <row r="163">
      <c r="A163" s="32" t="inlineStr">
        <is>
          <t>ttJTrans</t>
        </is>
      </c>
      <c r="B163" s="32" t="inlineStr">
        <is>
          <t>0-4001</t>
        </is>
      </c>
      <c r="C163" s="32" t="inlineStr">
        <is>
          <t>EQ</t>
        </is>
      </c>
      <c r="D163" s="32" t="inlineStr"/>
      <c r="E163" s="32" t="inlineStr">
        <is>
          <t>EQ</t>
        </is>
      </c>
      <c r="F163" s="32" t="inlineStr"/>
      <c r="G163" s="32" t="inlineStr"/>
      <c r="H163" s="126" t="n">
        <v>46152</v>
      </c>
      <c r="I163" s="32" t="inlineStr"/>
      <c r="J163" s="32" t="inlineStr">
        <is>
          <t>0-4001</t>
        </is>
      </c>
      <c r="K163" s="32" t="inlineStr">
        <is>
          <t>RT1447 2024 FORD F250 XL STX CREW CAB DIESEL SWB 2024 FORD F250 XL STX CREW CAB DIESEL SWB</t>
        </is>
      </c>
      <c r="L163" s="32" t="n">
        <v>0</v>
      </c>
      <c r="M163" s="32" t="n">
        <v>0</v>
      </c>
      <c r="N163" s="32" t="inlineStr"/>
      <c r="O163" s="32" t="inlineStr">
        <is>
          <t>RT1447</t>
        </is>
      </c>
      <c r="P163" s="32" t="inlineStr"/>
      <c r="Q163" s="32" t="n">
        <v>0</v>
      </c>
      <c r="R163" s="32" t="n">
        <v>79.14</v>
      </c>
      <c r="S163" s="32" t="n">
        <v>0</v>
      </c>
      <c r="T163" s="32" t="n">
        <v>0</v>
      </c>
    </row>
    <row r="164">
      <c r="A164" s="32" t="inlineStr">
        <is>
          <t>ttJTrans</t>
        </is>
      </c>
      <c r="B164" s="32" t="inlineStr">
        <is>
          <t>0-4001</t>
        </is>
      </c>
      <c r="C164" s="32" t="inlineStr">
        <is>
          <t>EQ</t>
        </is>
      </c>
      <c r="D164" s="32" t="inlineStr"/>
      <c r="E164" s="32" t="inlineStr">
        <is>
          <t>EQ</t>
        </is>
      </c>
      <c r="F164" s="32" t="inlineStr"/>
      <c r="G164" s="32" t="inlineStr"/>
      <c r="H164" s="126" t="n">
        <v>46152</v>
      </c>
      <c r="I164" s="32" t="inlineStr"/>
      <c r="J164" s="32" t="inlineStr">
        <is>
          <t>0-4001</t>
        </is>
      </c>
      <c r="K164" s="32" t="inlineStr">
        <is>
          <t>RT1447 2024 FORD F250 XL STX CREW CAB DIESEL SWB 2024 FORD F250 XL STX CREW CAB DIESEL SWB</t>
        </is>
      </c>
      <c r="L164" s="32" t="n">
        <v>0</v>
      </c>
      <c r="M164" s="32" t="n">
        <v>0</v>
      </c>
      <c r="N164" s="32" t="inlineStr"/>
      <c r="O164" s="32" t="inlineStr">
        <is>
          <t>RT1447</t>
        </is>
      </c>
      <c r="P164" s="32" t="inlineStr"/>
      <c r="Q164" s="32" t="n">
        <v>0</v>
      </c>
      <c r="R164" s="32" t="n">
        <v>79.14</v>
      </c>
      <c r="S164" s="32" t="n">
        <v>0</v>
      </c>
      <c r="T164" s="32" t="n">
        <v>0</v>
      </c>
    </row>
    <row r="165">
      <c r="A165" s="32" t="inlineStr">
        <is>
          <t>ttJTrans</t>
        </is>
      </c>
      <c r="B165" s="32" t="inlineStr">
        <is>
          <t>0-4001</t>
        </is>
      </c>
      <c r="C165" s="32" t="inlineStr">
        <is>
          <t>EQ</t>
        </is>
      </c>
      <c r="D165" s="32" t="inlineStr"/>
      <c r="E165" s="32" t="inlineStr">
        <is>
          <t>EQ</t>
        </is>
      </c>
      <c r="F165" s="32" t="inlineStr"/>
      <c r="G165" s="32" t="inlineStr"/>
      <c r="H165" s="126" t="n">
        <v>46152</v>
      </c>
      <c r="I165" s="32" t="inlineStr"/>
      <c r="J165" s="32" t="inlineStr">
        <is>
          <t>0-4001</t>
        </is>
      </c>
      <c r="K165" s="32" t="inlineStr">
        <is>
          <t>RT1447 2024 FORD F250 XL STX CREW CAB DIESEL SWB 2024 FORD F250 XL STX CREW CAB DIESEL SWB</t>
        </is>
      </c>
      <c r="L165" s="32" t="n">
        <v>0</v>
      </c>
      <c r="M165" s="32" t="n">
        <v>0</v>
      </c>
      <c r="N165" s="32" t="inlineStr"/>
      <c r="O165" s="32" t="inlineStr">
        <is>
          <t>RT1447</t>
        </is>
      </c>
      <c r="P165" s="32" t="inlineStr"/>
      <c r="Q165" s="32" t="n">
        <v>0</v>
      </c>
      <c r="R165" s="32" t="n">
        <v>79.14</v>
      </c>
      <c r="S165" s="32" t="n">
        <v>0</v>
      </c>
      <c r="T165" s="32" t="n">
        <v>0</v>
      </c>
    </row>
    <row r="166">
      <c r="A166" s="32" t="inlineStr">
        <is>
          <t>ttJTrans</t>
        </is>
      </c>
      <c r="B166" s="32" t="inlineStr">
        <is>
          <t>0-4001</t>
        </is>
      </c>
      <c r="C166" s="32" t="inlineStr">
        <is>
          <t>EQ</t>
        </is>
      </c>
      <c r="D166" s="32" t="inlineStr"/>
      <c r="E166" s="32" t="inlineStr">
        <is>
          <t>EQ</t>
        </is>
      </c>
      <c r="F166" s="32" t="inlineStr"/>
      <c r="G166" s="32" t="inlineStr"/>
      <c r="H166" s="126" t="n">
        <v>46159</v>
      </c>
      <c r="I166" s="32" t="inlineStr"/>
      <c r="J166" s="32" t="inlineStr">
        <is>
          <t>0-4001</t>
        </is>
      </c>
      <c r="K166" s="32" t="inlineStr">
        <is>
          <t>RT1447 2024 FORD F250 XL STX CREW CAB DIESEL SWB 2024 FORD F250 XL STX CREW CAB DIESEL SWB</t>
        </is>
      </c>
      <c r="L166" s="32" t="n">
        <v>0</v>
      </c>
      <c r="M166" s="32" t="n">
        <v>0</v>
      </c>
      <c r="N166" s="32" t="inlineStr"/>
      <c r="O166" s="32" t="inlineStr">
        <is>
          <t>RT1447</t>
        </is>
      </c>
      <c r="P166" s="32" t="inlineStr"/>
      <c r="Q166" s="32" t="n">
        <v>0</v>
      </c>
      <c r="R166" s="32" t="n">
        <v>79.14</v>
      </c>
      <c r="S166" s="32" t="n">
        <v>0</v>
      </c>
      <c r="T166" s="32" t="n">
        <v>0</v>
      </c>
    </row>
    <row r="167">
      <c r="A167" s="32" t="inlineStr">
        <is>
          <t>ttJTrans</t>
        </is>
      </c>
      <c r="B167" s="32" t="inlineStr">
        <is>
          <t>0-4001</t>
        </is>
      </c>
      <c r="C167" s="32" t="inlineStr">
        <is>
          <t>EQ</t>
        </is>
      </c>
      <c r="D167" s="32" t="inlineStr"/>
      <c r="E167" s="32" t="inlineStr">
        <is>
          <t>EQ</t>
        </is>
      </c>
      <c r="F167" s="32" t="inlineStr"/>
      <c r="G167" s="32" t="inlineStr"/>
      <c r="H167" s="126" t="n">
        <v>46159</v>
      </c>
      <c r="I167" s="32" t="inlineStr"/>
      <c r="J167" s="32" t="inlineStr">
        <is>
          <t>0-4001</t>
        </is>
      </c>
      <c r="K167" s="32" t="inlineStr">
        <is>
          <t>RT1447 2024 FORD F250 XL STX CREW CAB DIESEL SWB 2024 FORD F250 XL STX CREW CAB DIESEL SWB</t>
        </is>
      </c>
      <c r="L167" s="32" t="n">
        <v>0</v>
      </c>
      <c r="M167" s="32" t="n">
        <v>0</v>
      </c>
      <c r="N167" s="32" t="inlineStr"/>
      <c r="O167" s="32" t="inlineStr">
        <is>
          <t>RT1447</t>
        </is>
      </c>
      <c r="P167" s="32" t="inlineStr"/>
      <c r="Q167" s="32" t="n">
        <v>0</v>
      </c>
      <c r="R167" s="32" t="n">
        <v>79.14</v>
      </c>
      <c r="S167" s="32" t="n">
        <v>0</v>
      </c>
      <c r="T167" s="32" t="n">
        <v>0</v>
      </c>
    </row>
    <row r="168">
      <c r="A168" s="32" t="inlineStr">
        <is>
          <t>ttJTrans</t>
        </is>
      </c>
      <c r="B168" s="32" t="inlineStr">
        <is>
          <t>0-4001</t>
        </is>
      </c>
      <c r="C168" s="32" t="inlineStr">
        <is>
          <t>EQ</t>
        </is>
      </c>
      <c r="D168" s="32" t="inlineStr"/>
      <c r="E168" s="32" t="inlineStr">
        <is>
          <t>EQ</t>
        </is>
      </c>
      <c r="F168" s="32" t="inlineStr"/>
      <c r="G168" s="125" t="inlineStr"/>
      <c r="H168" s="126" t="n">
        <v>46159</v>
      </c>
      <c r="I168" s="32" t="inlineStr"/>
      <c r="J168" s="32" t="inlineStr">
        <is>
          <t>0-4001</t>
        </is>
      </c>
      <c r="K168" s="32" t="inlineStr">
        <is>
          <t>RT1447 2024 FORD F250 XL STX CREW CAB DIESEL SWB 2024 FORD F250 XL STX CREW CAB DIESEL SWB</t>
        </is>
      </c>
      <c r="L168" s="32" t="n">
        <v>0</v>
      </c>
      <c r="M168" s="32" t="n">
        <v>0</v>
      </c>
      <c r="N168" s="32" t="inlineStr"/>
      <c r="O168" s="32" t="inlineStr">
        <is>
          <t>RT1447</t>
        </is>
      </c>
      <c r="P168" s="32" t="inlineStr"/>
      <c r="Q168" s="32" t="n">
        <v>0</v>
      </c>
      <c r="R168" s="32" t="n">
        <v>79.14</v>
      </c>
      <c r="S168" s="32" t="n">
        <v>0</v>
      </c>
      <c r="T168" s="32" t="n">
        <v>0</v>
      </c>
    </row>
    <row r="169">
      <c r="A169" s="32" t="inlineStr">
        <is>
          <t>ttJTrans</t>
        </is>
      </c>
      <c r="B169" s="32" t="inlineStr">
        <is>
          <t>0-4001</t>
        </is>
      </c>
      <c r="C169" s="32" t="inlineStr">
        <is>
          <t>EQ</t>
        </is>
      </c>
      <c r="D169" s="32" t="inlineStr"/>
      <c r="E169" s="32" t="inlineStr">
        <is>
          <t>EQ</t>
        </is>
      </c>
      <c r="F169" s="32" t="inlineStr"/>
      <c r="G169" s="125" t="inlineStr"/>
      <c r="H169" s="126" t="n">
        <v>46159</v>
      </c>
      <c r="I169" s="32" t="inlineStr"/>
      <c r="J169" s="32" t="inlineStr">
        <is>
          <t>0-4001</t>
        </is>
      </c>
      <c r="K169" s="32" t="inlineStr">
        <is>
          <t>RT1447 2024 FORD F250 XL STX CREW CAB DIESEL SWB 2024 FORD F250 XL STX CREW CAB DIESEL SWB</t>
        </is>
      </c>
      <c r="L169" s="32" t="n">
        <v>0</v>
      </c>
      <c r="M169" s="32" t="n">
        <v>0</v>
      </c>
      <c r="N169" s="32" t="inlineStr"/>
      <c r="O169" s="32" t="inlineStr">
        <is>
          <t>RT1447</t>
        </is>
      </c>
      <c r="P169" s="32" t="inlineStr"/>
      <c r="Q169" s="32" t="n">
        <v>0</v>
      </c>
      <c r="R169" s="32" t="n">
        <v>79.14</v>
      </c>
      <c r="S169" s="32" t="n">
        <v>0</v>
      </c>
      <c r="T169" s="32" t="n">
        <v>0</v>
      </c>
    </row>
    <row r="170">
      <c r="A170" s="32" t="inlineStr">
        <is>
          <t>ttJTrans</t>
        </is>
      </c>
      <c r="B170" s="32" t="inlineStr">
        <is>
          <t>0-4001</t>
        </is>
      </c>
      <c r="C170" s="32" t="inlineStr">
        <is>
          <t>OC</t>
        </is>
      </c>
      <c r="D170" s="32" t="inlineStr">
        <is>
          <t>MA1009075</t>
        </is>
      </c>
      <c r="E170" s="32" t="inlineStr">
        <is>
          <t>OC</t>
        </is>
      </c>
      <c r="F170" s="32" t="inlineStr">
        <is>
          <t>MA1009075</t>
        </is>
      </c>
      <c r="G170" s="32" t="n">
        <v>45978</v>
      </c>
      <c r="H170" s="126" t="n">
        <v>45978</v>
      </c>
      <c r="I170" s="32" t="inlineStr">
        <is>
          <t>1</t>
        </is>
      </c>
      <c r="J170" s="32" t="inlineStr">
        <is>
          <t>0-4001</t>
        </is>
      </c>
      <c r="K170" s="32" t="inlineStr">
        <is>
          <t>PC88 MINE EX, JCB 3TS SKIDSTEER &amp; SILT FENCE</t>
        </is>
      </c>
      <c r="L170" s="32" t="n">
        <v>1</v>
      </c>
      <c r="M170" s="32" t="n">
        <v>2608.5</v>
      </c>
      <c r="N170" s="32" t="inlineStr">
        <is>
          <t>PO:COMMIT</t>
        </is>
      </c>
      <c r="O170" s="32" t="inlineStr">
        <is>
          <t>20050</t>
        </is>
      </c>
      <c r="P170" s="32" t="inlineStr">
        <is>
          <t>STANDARD FREIGHT LOGISTICS, LLC</t>
        </is>
      </c>
      <c r="Q170" s="32" t="n">
        <v>0</v>
      </c>
      <c r="R170" s="32" t="n">
        <v>0</v>
      </c>
      <c r="S170" s="32" t="n">
        <v>2608.5</v>
      </c>
      <c r="T170" s="32" t="n">
        <v>0</v>
      </c>
    </row>
    <row r="171">
      <c r="A171" s="32" t="inlineStr">
        <is>
          <t>ttJTrans</t>
        </is>
      </c>
      <c r="B171" s="32" t="inlineStr">
        <is>
          <t>0-4001</t>
        </is>
      </c>
      <c r="C171" s="32" t="inlineStr">
        <is>
          <t>OC</t>
        </is>
      </c>
      <c r="D171" s="32" t="inlineStr">
        <is>
          <t>MA1009075</t>
        </is>
      </c>
      <c r="E171" s="32" t="inlineStr">
        <is>
          <t>OC</t>
        </is>
      </c>
      <c r="F171" s="32" t="inlineStr">
        <is>
          <t>MA1009075</t>
        </is>
      </c>
      <c r="G171" s="32" t="n">
        <v>45978</v>
      </c>
      <c r="H171" s="126" t="n">
        <v>45978</v>
      </c>
      <c r="I171" s="32" t="inlineStr">
        <is>
          <t>1</t>
        </is>
      </c>
      <c r="J171" s="32" t="inlineStr">
        <is>
          <t>0-4001</t>
        </is>
      </c>
      <c r="K171" s="32" t="inlineStr">
        <is>
          <t>PC88 MINE EX, JCB 3TS SKIDSTEER &amp; SILT FENCE</t>
        </is>
      </c>
      <c r="L171" s="32" t="n">
        <v>1</v>
      </c>
      <c r="M171" s="32" t="n">
        <v>2608.5</v>
      </c>
      <c r="N171" s="32" t="inlineStr">
        <is>
          <t>INVOICE:ADJ-COMMIT</t>
        </is>
      </c>
      <c r="O171" s="32" t="inlineStr">
        <is>
          <t>20050</t>
        </is>
      </c>
      <c r="P171" s="32" t="inlineStr">
        <is>
          <t>STANDARD FREIGHT LOGISTICS, LLC</t>
        </is>
      </c>
      <c r="Q171" s="32" t="n">
        <v>0</v>
      </c>
      <c r="R171" s="32" t="n">
        <v>0</v>
      </c>
      <c r="S171" s="32" t="n">
        <v>-2608.5</v>
      </c>
      <c r="T171" s="32" t="n">
        <v>0</v>
      </c>
    </row>
    <row r="172">
      <c r="A172" s="32" t="inlineStr">
        <is>
          <t>ttJTrans</t>
        </is>
      </c>
      <c r="B172" s="32" t="inlineStr">
        <is>
          <t>0-4001</t>
        </is>
      </c>
      <c r="C172" s="32" t="inlineStr">
        <is>
          <t>OC</t>
        </is>
      </c>
      <c r="D172" s="32" t="inlineStr">
        <is>
          <t>MA1009075</t>
        </is>
      </c>
      <c r="E172" s="32" t="inlineStr">
        <is>
          <t>OC</t>
        </is>
      </c>
      <c r="F172" s="32" t="inlineStr">
        <is>
          <t>MA1009075</t>
        </is>
      </c>
      <c r="G172" s="32" t="n">
        <v>45978</v>
      </c>
      <c r="H172" s="126" t="n">
        <v>46006</v>
      </c>
      <c r="I172" s="32" t="inlineStr">
        <is>
          <t>1</t>
        </is>
      </c>
      <c r="J172" s="32" t="inlineStr">
        <is>
          <t>0-4001</t>
        </is>
      </c>
      <c r="K172" s="32" t="inlineStr">
        <is>
          <t>PC88 MINE EX, JCB 3TS SKIDSTEER &amp; SILT FENCE</t>
        </is>
      </c>
      <c r="L172" s="32" t="n">
        <v>1</v>
      </c>
      <c r="M172" s="32" t="n">
        <v>2608.5</v>
      </c>
      <c r="N172" s="32" t="inlineStr">
        <is>
          <t>INVOICE</t>
        </is>
      </c>
      <c r="O172" s="32" t="inlineStr">
        <is>
          <t>20050</t>
        </is>
      </c>
      <c r="P172" s="32" t="inlineStr">
        <is>
          <t>STANDARD FREIGHT LOGISTICS, LLC</t>
        </is>
      </c>
      <c r="Q172" s="32" t="n">
        <v>0</v>
      </c>
      <c r="R172" s="32" t="n">
        <v>0</v>
      </c>
      <c r="S172" s="32" t="n">
        <v>0</v>
      </c>
      <c r="T172" s="32" t="n">
        <v>0</v>
      </c>
    </row>
    <row r="173">
      <c r="A173" s="32" t="inlineStr">
        <is>
          <t>ttJTrans</t>
        </is>
      </c>
      <c r="B173" s="32" t="inlineStr">
        <is>
          <t>0-4001</t>
        </is>
      </c>
      <c r="C173" s="32" t="inlineStr">
        <is>
          <t>OC</t>
        </is>
      </c>
      <c r="D173" s="32" t="inlineStr"/>
      <c r="E173" s="32" t="inlineStr">
        <is>
          <t>OC</t>
        </is>
      </c>
      <c r="F173" s="32" t="inlineStr"/>
      <c r="G173" s="32" t="inlineStr"/>
      <c r="H173" s="126" t="n">
        <v>46006</v>
      </c>
      <c r="I173" s="32" t="inlineStr"/>
      <c r="J173" s="32" t="inlineStr">
        <is>
          <t>0-4001</t>
        </is>
      </c>
      <c r="K173" s="32" t="inlineStr">
        <is>
          <t>HAULING PC88 MINI EX/JCB 3TS SKIDSTEER/SILT FENCE PLOW FROM WHC BOLING TO WHC MIDLAND TX</t>
        </is>
      </c>
      <c r="L173" s="32" t="n">
        <v>0</v>
      </c>
      <c r="M173" s="32" t="n">
        <v>0</v>
      </c>
      <c r="N173" s="32" t="inlineStr"/>
      <c r="O173" s="32" t="inlineStr">
        <is>
          <t>20050</t>
        </is>
      </c>
      <c r="P173" s="32" t="inlineStr">
        <is>
          <t>STANDARD FREIGHT LOGISTICS, LLC</t>
        </is>
      </c>
      <c r="Q173" s="32" t="n">
        <v>0</v>
      </c>
      <c r="R173" s="32" t="n">
        <v>2350</v>
      </c>
      <c r="S173" s="32" t="n">
        <v>0</v>
      </c>
      <c r="T173" s="32" t="n">
        <v>0</v>
      </c>
    </row>
    <row r="174">
      <c r="A174" s="32" t="inlineStr">
        <is>
          <t>ttJTrans</t>
        </is>
      </c>
      <c r="B174" s="32" t="inlineStr">
        <is>
          <t>0-4005</t>
        </is>
      </c>
      <c r="C174" s="32" t="inlineStr">
        <is>
          <t>LA</t>
        </is>
      </c>
      <c r="D174" s="32" t="inlineStr"/>
      <c r="E174" s="32" t="inlineStr">
        <is>
          <t>LA</t>
        </is>
      </c>
      <c r="F174" s="32" t="inlineStr"/>
      <c r="G174" s="32" t="inlineStr"/>
      <c r="H174" s="126" t="n">
        <v>46002</v>
      </c>
      <c r="I174" s="32" t="inlineStr"/>
      <c r="J174" s="32" t="inlineStr">
        <is>
          <t>0-4005</t>
        </is>
      </c>
      <c r="K174" s="32" t="inlineStr">
        <is>
          <t>PR P2COST 000278 (PR) Summary</t>
        </is>
      </c>
      <c r="L174" s="32" t="n">
        <v>0</v>
      </c>
      <c r="M174" s="32" t="n">
        <v>0</v>
      </c>
      <c r="N174" s="32" t="inlineStr"/>
      <c r="O174" s="32" t="inlineStr"/>
      <c r="P174" s="32" t="inlineStr"/>
      <c r="Q174" s="32" t="n">
        <v>0</v>
      </c>
      <c r="R174" s="32" t="n">
        <v>292.09</v>
      </c>
      <c r="S174" s="32" t="n">
        <v>0</v>
      </c>
      <c r="T174" s="32" t="n">
        <v>4</v>
      </c>
    </row>
    <row r="175">
      <c r="A175" s="32" t="inlineStr">
        <is>
          <t>ttJTrans</t>
        </is>
      </c>
      <c r="B175" s="32" t="inlineStr">
        <is>
          <t>0-4005</t>
        </is>
      </c>
      <c r="C175" s="32" t="inlineStr">
        <is>
          <t>LA</t>
        </is>
      </c>
      <c r="D175" s="32" t="inlineStr"/>
      <c r="E175" s="32" t="inlineStr">
        <is>
          <t>LA</t>
        </is>
      </c>
      <c r="F175" s="32" t="inlineStr"/>
      <c r="G175" s="32" t="inlineStr"/>
      <c r="H175" s="126" t="n">
        <v>46002</v>
      </c>
      <c r="I175" s="32" t="inlineStr"/>
      <c r="J175" s="32" t="inlineStr">
        <is>
          <t>0-4005</t>
        </is>
      </c>
      <c r="K175" s="32" t="inlineStr">
        <is>
          <t>PR P2COST 000278 (PR) Summary</t>
        </is>
      </c>
      <c r="L175" s="32" t="n">
        <v>0</v>
      </c>
      <c r="M175" s="32" t="n">
        <v>0</v>
      </c>
      <c r="N175" s="32" t="inlineStr"/>
      <c r="O175" s="32" t="inlineStr"/>
      <c r="P175" s="32" t="inlineStr"/>
      <c r="Q175" s="32" t="n">
        <v>0</v>
      </c>
      <c r="R175" s="32" t="n">
        <v>292.09</v>
      </c>
      <c r="S175" s="32" t="n">
        <v>0</v>
      </c>
      <c r="T175" s="32" t="n">
        <v>4</v>
      </c>
    </row>
    <row r="176">
      <c r="A176" s="32" t="inlineStr">
        <is>
          <t>ttJTrans</t>
        </is>
      </c>
      <c r="B176" s="32" t="inlineStr">
        <is>
          <t>0-4005</t>
        </is>
      </c>
      <c r="C176" s="32" t="inlineStr">
        <is>
          <t>LA</t>
        </is>
      </c>
      <c r="D176" s="32" t="inlineStr"/>
      <c r="E176" s="32" t="inlineStr">
        <is>
          <t>LA</t>
        </is>
      </c>
      <c r="F176" s="32" t="inlineStr"/>
      <c r="G176" s="32" t="inlineStr"/>
      <c r="H176" s="126" t="n">
        <v>46002</v>
      </c>
      <c r="I176" s="32" t="inlineStr"/>
      <c r="J176" s="32" t="inlineStr">
        <is>
          <t>0-4005</t>
        </is>
      </c>
      <c r="K176" s="32" t="inlineStr">
        <is>
          <t>PR P2COST 000278 (PR) Summary</t>
        </is>
      </c>
      <c r="L176" s="32" t="n">
        <v>0</v>
      </c>
      <c r="M176" s="32" t="n">
        <v>0</v>
      </c>
      <c r="N176" s="32" t="inlineStr"/>
      <c r="O176" s="32" t="inlineStr"/>
      <c r="P176" s="32" t="inlineStr"/>
      <c r="Q176" s="32" t="n">
        <v>0</v>
      </c>
      <c r="R176" s="32" t="n">
        <v>292.09</v>
      </c>
      <c r="S176" s="32" t="n">
        <v>0</v>
      </c>
      <c r="T176" s="32" t="n">
        <v>4</v>
      </c>
    </row>
    <row r="177">
      <c r="A177" s="32" t="inlineStr">
        <is>
          <t>ttJTrans</t>
        </is>
      </c>
      <c r="B177" s="32" t="inlineStr">
        <is>
          <t>0-4005</t>
        </is>
      </c>
      <c r="C177" s="32" t="inlineStr">
        <is>
          <t>LA</t>
        </is>
      </c>
      <c r="D177" s="32" t="inlineStr"/>
      <c r="E177" s="32" t="inlineStr">
        <is>
          <t>LA</t>
        </is>
      </c>
      <c r="F177" s="32" t="inlineStr"/>
      <c r="G177" s="32" t="inlineStr"/>
      <c r="H177" s="126" t="n">
        <v>46002</v>
      </c>
      <c r="I177" s="32" t="inlineStr"/>
      <c r="J177" s="32" t="inlineStr">
        <is>
          <t>0-4005</t>
        </is>
      </c>
      <c r="K177" s="32" t="inlineStr">
        <is>
          <t>PR P2COST 000278 (PR) Summary</t>
        </is>
      </c>
      <c r="L177" s="32" t="n">
        <v>0</v>
      </c>
      <c r="M177" s="32" t="n">
        <v>0</v>
      </c>
      <c r="N177" s="32" t="inlineStr"/>
      <c r="O177" s="32" t="inlineStr"/>
      <c r="P177" s="32" t="inlineStr"/>
      <c r="Q177" s="32" t="n">
        <v>0</v>
      </c>
      <c r="R177" s="32" t="n">
        <v>292.09</v>
      </c>
      <c r="S177" s="32" t="n">
        <v>0</v>
      </c>
      <c r="T177" s="32" t="n">
        <v>4</v>
      </c>
    </row>
    <row r="178">
      <c r="A178" s="32" t="inlineStr">
        <is>
          <t>ttJTrans</t>
        </is>
      </c>
      <c r="B178" s="32" t="inlineStr">
        <is>
          <t>0-4005</t>
        </is>
      </c>
      <c r="C178" s="32" t="inlineStr">
        <is>
          <t>LA</t>
        </is>
      </c>
      <c r="D178" s="32" t="inlineStr"/>
      <c r="E178" s="32" t="inlineStr">
        <is>
          <t>LA</t>
        </is>
      </c>
      <c r="F178" s="32" t="inlineStr"/>
      <c r="G178" s="32" t="inlineStr"/>
      <c r="H178" s="126" t="n">
        <v>46002</v>
      </c>
      <c r="I178" s="32" t="inlineStr"/>
      <c r="J178" s="32" t="inlineStr">
        <is>
          <t>0-4005</t>
        </is>
      </c>
      <c r="K178" s="32" t="inlineStr">
        <is>
          <t>PR P2COST 000278 (PR) Summary</t>
        </is>
      </c>
      <c r="L178" s="32" t="n">
        <v>0</v>
      </c>
      <c r="M178" s="32" t="n">
        <v>0</v>
      </c>
      <c r="N178" s="32" t="inlineStr"/>
      <c r="O178" s="32" t="inlineStr"/>
      <c r="P178" s="32" t="inlineStr"/>
      <c r="Q178" s="32" t="n">
        <v>0</v>
      </c>
      <c r="R178" s="32" t="n">
        <v>292.09</v>
      </c>
      <c r="S178" s="32" t="n">
        <v>0</v>
      </c>
      <c r="T178" s="32" t="n">
        <v>4</v>
      </c>
    </row>
    <row r="179">
      <c r="A179" s="32" t="inlineStr">
        <is>
          <t>ttJTrans</t>
        </is>
      </c>
      <c r="B179" s="32" t="inlineStr">
        <is>
          <t>0-4005</t>
        </is>
      </c>
      <c r="C179" s="32" t="inlineStr">
        <is>
          <t>LA</t>
        </is>
      </c>
      <c r="D179" s="32" t="inlineStr"/>
      <c r="E179" s="32" t="inlineStr">
        <is>
          <t>LA</t>
        </is>
      </c>
      <c r="F179" s="32" t="inlineStr"/>
      <c r="G179" s="32" t="inlineStr"/>
      <c r="H179" s="126" t="n">
        <v>46150</v>
      </c>
      <c r="I179" s="32" t="inlineStr"/>
      <c r="J179" s="32" t="inlineStr">
        <is>
          <t>0-4005</t>
        </is>
      </c>
      <c r="K179" s="32" t="inlineStr">
        <is>
          <t>COST CODE TRANSFER 25-4005</t>
        </is>
      </c>
      <c r="L179" s="32" t="n">
        <v>0</v>
      </c>
      <c r="M179" s="32" t="n">
        <v>0</v>
      </c>
      <c r="N179" s="32" t="inlineStr"/>
      <c r="O179" s="32" t="inlineStr"/>
      <c r="P179" s="32" t="inlineStr"/>
      <c r="Q179" s="32" t="n">
        <v>0</v>
      </c>
      <c r="R179" s="32" t="n">
        <v>-1460.45</v>
      </c>
      <c r="S179" s="32" t="n">
        <v>0</v>
      </c>
      <c r="T179" s="32" t="n">
        <v>-20</v>
      </c>
    </row>
    <row r="180">
      <c r="A180" s="32" t="inlineStr">
        <is>
          <t>ttJTrans</t>
        </is>
      </c>
      <c r="B180" s="32" t="inlineStr">
        <is>
          <t>0-4004-01</t>
        </is>
      </c>
      <c r="C180" s="32" t="inlineStr">
        <is>
          <t>MA</t>
        </is>
      </c>
      <c r="D180" s="32" t="inlineStr">
        <is>
          <t>MA1009990</t>
        </is>
      </c>
      <c r="E180" s="32" t="inlineStr">
        <is>
          <t>MA</t>
        </is>
      </c>
      <c r="F180" s="32" t="inlineStr">
        <is>
          <t>MA1009990</t>
        </is>
      </c>
      <c r="G180" s="32" t="n">
        <v>46059</v>
      </c>
      <c r="H180" s="126" t="n">
        <v>46125</v>
      </c>
      <c r="I180" s="32" t="inlineStr">
        <is>
          <t>1</t>
        </is>
      </c>
      <c r="J180" s="32" t="inlineStr">
        <is>
          <t>0-4004-01</t>
        </is>
      </c>
      <c r="K180" s="32" t="inlineStr">
        <is>
          <t>30% Deposit of Equipment/Materials as</t>
        </is>
      </c>
      <c r="L180" s="32" t="n">
        <v>1</v>
      </c>
      <c r="M180" s="32" t="n">
        <v>10385036.9</v>
      </c>
      <c r="N180" s="32" t="inlineStr">
        <is>
          <t>INVOICE</t>
        </is>
      </c>
      <c r="O180" s="32" t="inlineStr">
        <is>
          <t>18727</t>
        </is>
      </c>
      <c r="P180" s="32" t="inlineStr">
        <is>
          <t>GAMECHANGE SOLAR CORP</t>
        </is>
      </c>
      <c r="Q180" s="32" t="n">
        <v>0</v>
      </c>
      <c r="R180" s="32" t="n">
        <v>0</v>
      </c>
      <c r="S180" s="32" t="n">
        <v>0</v>
      </c>
      <c r="T180" s="32" t="n">
        <v>0</v>
      </c>
    </row>
    <row r="181">
      <c r="A181" s="32" t="inlineStr">
        <is>
          <t>ttJTrans</t>
        </is>
      </c>
      <c r="B181" s="32" t="inlineStr">
        <is>
          <t>0-4004-01</t>
        </is>
      </c>
      <c r="C181" s="32" t="inlineStr">
        <is>
          <t>MA</t>
        </is>
      </c>
      <c r="D181" s="32" t="inlineStr">
        <is>
          <t>MA1009990</t>
        </is>
      </c>
      <c r="E181" s="32" t="inlineStr">
        <is>
          <t>MA</t>
        </is>
      </c>
      <c r="F181" s="32" t="inlineStr">
        <is>
          <t>MA1009990</t>
        </is>
      </c>
      <c r="G181" s="32" t="n">
        <v>46059</v>
      </c>
      <c r="H181" s="126" t="n">
        <v>46094</v>
      </c>
      <c r="I181" s="32" t="inlineStr">
        <is>
          <t>1</t>
        </is>
      </c>
      <c r="J181" s="32" t="inlineStr">
        <is>
          <t>0-4004-01</t>
        </is>
      </c>
      <c r="K181" s="32" t="inlineStr">
        <is>
          <t>30% Deposit of Equipment/Materials as</t>
        </is>
      </c>
      <c r="L181" s="32" t="n">
        <v>1</v>
      </c>
      <c r="M181" s="32" t="n">
        <v>10385036.9</v>
      </c>
      <c r="N181" s="32" t="inlineStr">
        <is>
          <t>INVOICE:ADJ-COMMIT</t>
        </is>
      </c>
      <c r="O181" s="32" t="inlineStr">
        <is>
          <t>18727</t>
        </is>
      </c>
      <c r="P181" s="32" t="inlineStr">
        <is>
          <t>GAMECHANGE SOLAR CORP</t>
        </is>
      </c>
      <c r="Q181" s="32" t="n">
        <v>0</v>
      </c>
      <c r="R181" s="32" t="n">
        <v>0</v>
      </c>
      <c r="S181" s="32" t="n">
        <v>-10385036.9</v>
      </c>
      <c r="T181" s="32" t="n">
        <v>0</v>
      </c>
    </row>
    <row r="182">
      <c r="A182" s="32" t="inlineStr">
        <is>
          <t>ttJTrans</t>
        </is>
      </c>
      <c r="B182" s="32" t="inlineStr">
        <is>
          <t>0-4004-01</t>
        </is>
      </c>
      <c r="C182" s="32" t="inlineStr">
        <is>
          <t>MA</t>
        </is>
      </c>
      <c r="D182" s="32" t="inlineStr">
        <is>
          <t>MA1009990</t>
        </is>
      </c>
      <c r="E182" s="32" t="inlineStr">
        <is>
          <t>MA</t>
        </is>
      </c>
      <c r="F182" s="32" t="inlineStr">
        <is>
          <t>MA1009990</t>
        </is>
      </c>
      <c r="G182" s="32" t="n">
        <v>46059</v>
      </c>
      <c r="H182" s="126" t="n">
        <v>46094</v>
      </c>
      <c r="I182" s="32" t="inlineStr">
        <is>
          <t>1</t>
        </is>
      </c>
      <c r="J182" s="32" t="inlineStr">
        <is>
          <t>0-4004-01</t>
        </is>
      </c>
      <c r="K182" s="32" t="inlineStr">
        <is>
          <t>30% Deposit of Equipment/Materials as</t>
        </is>
      </c>
      <c r="L182" s="32" t="n">
        <v>1</v>
      </c>
      <c r="M182" s="32" t="n">
        <v>10385036.9</v>
      </c>
      <c r="N182" s="32" t="inlineStr">
        <is>
          <t>PO:COMMIT</t>
        </is>
      </c>
      <c r="O182" s="32" t="inlineStr">
        <is>
          <t>18727</t>
        </is>
      </c>
      <c r="P182" s="32" t="inlineStr">
        <is>
          <t>GAMECHANGE SOLAR CORP</t>
        </is>
      </c>
      <c r="Q182" s="32" t="n">
        <v>0</v>
      </c>
      <c r="R182" s="32" t="n">
        <v>0</v>
      </c>
      <c r="S182" s="32" t="n">
        <v>10385036.9</v>
      </c>
      <c r="T182" s="32" t="n">
        <v>0</v>
      </c>
    </row>
    <row r="183">
      <c r="A183" s="32" t="inlineStr">
        <is>
          <t>ttJTrans</t>
        </is>
      </c>
      <c r="B183" s="32" t="inlineStr">
        <is>
          <t>0-4004-01</t>
        </is>
      </c>
      <c r="C183" s="32" t="inlineStr">
        <is>
          <t>MA</t>
        </is>
      </c>
      <c r="D183" s="32" t="inlineStr"/>
      <c r="E183" s="32" t="inlineStr">
        <is>
          <t>MA</t>
        </is>
      </c>
      <c r="F183" s="32" t="inlineStr"/>
      <c r="G183" s="125" t="inlineStr"/>
      <c r="H183" s="126" t="n">
        <v>46125</v>
      </c>
      <c r="I183" s="32" t="inlineStr"/>
      <c r="J183" s="32" t="inlineStr">
        <is>
          <t>0-4004-01</t>
        </is>
      </c>
      <c r="K183" s="32" t="inlineStr">
        <is>
          <t>30% DEPOSIT - Racking &amp; Piles</t>
        </is>
      </c>
      <c r="L183" s="32" t="n">
        <v>0</v>
      </c>
      <c r="M183" s="32" t="n">
        <v>0</v>
      </c>
      <c r="N183" s="32" t="inlineStr"/>
      <c r="O183" s="32" t="inlineStr">
        <is>
          <t>18727</t>
        </is>
      </c>
      <c r="P183" s="32" t="inlineStr">
        <is>
          <t>GAMECHANGE SOLAR CORP</t>
        </is>
      </c>
      <c r="Q183" s="32" t="n">
        <v>0</v>
      </c>
      <c r="R183" s="32" t="n">
        <v>9355889.1</v>
      </c>
      <c r="S183" s="32" t="n">
        <v>0</v>
      </c>
      <c r="T183" s="32" t="n">
        <v>0</v>
      </c>
    </row>
    <row r="184">
      <c r="A184" s="32" t="inlineStr">
        <is>
          <t>ttJTrans</t>
        </is>
      </c>
      <c r="B184" s="32" t="inlineStr">
        <is>
          <t>0-4004-01</t>
        </is>
      </c>
      <c r="C184" s="32" t="inlineStr">
        <is>
          <t>MA</t>
        </is>
      </c>
      <c r="D184" s="32" t="inlineStr">
        <is>
          <t>MA1009990</t>
        </is>
      </c>
      <c r="E184" s="32" t="inlineStr">
        <is>
          <t>MA</t>
        </is>
      </c>
      <c r="F184" s="32" t="inlineStr">
        <is>
          <t>MA1009990</t>
        </is>
      </c>
      <c r="G184" s="32" t="n">
        <v>46059</v>
      </c>
      <c r="H184" s="126" t="n">
        <v>46094</v>
      </c>
      <c r="I184" s="32" t="inlineStr">
        <is>
          <t>4</t>
        </is>
      </c>
      <c r="J184" s="32" t="inlineStr">
        <is>
          <t>0-4004-01</t>
        </is>
      </c>
      <c r="K184" s="32" t="inlineStr">
        <is>
          <t>Site Commissioning and Training Services as</t>
        </is>
      </c>
      <c r="L184" s="32" t="n">
        <v>1</v>
      </c>
      <c r="M184" s="32" t="n">
        <v>384621.66</v>
      </c>
      <c r="N184" s="32" t="inlineStr">
        <is>
          <t>PO:COMMIT</t>
        </is>
      </c>
      <c r="O184" s="32" t="inlineStr">
        <is>
          <t>18727</t>
        </is>
      </c>
      <c r="P184" s="32" t="inlineStr">
        <is>
          <t>GAMECHANGE SOLAR CORP</t>
        </is>
      </c>
      <c r="Q184" s="32" t="n">
        <v>0</v>
      </c>
      <c r="R184" s="32" t="n">
        <v>0</v>
      </c>
      <c r="S184" s="32" t="n">
        <v>384621.66</v>
      </c>
      <c r="T184" s="32" t="n">
        <v>0</v>
      </c>
    </row>
    <row r="185">
      <c r="A185" s="32" t="inlineStr">
        <is>
          <t>ttJTrans</t>
        </is>
      </c>
      <c r="B185" s="32" t="inlineStr">
        <is>
          <t>0-4004-01</t>
        </is>
      </c>
      <c r="C185" s="32" t="inlineStr">
        <is>
          <t>MA</t>
        </is>
      </c>
      <c r="D185" s="32" t="inlineStr">
        <is>
          <t>MA1009990</t>
        </is>
      </c>
      <c r="E185" s="32" t="inlineStr">
        <is>
          <t>MA</t>
        </is>
      </c>
      <c r="F185" s="32" t="inlineStr">
        <is>
          <t>MA1009990</t>
        </is>
      </c>
      <c r="G185" s="32" t="n">
        <v>46059</v>
      </c>
      <c r="H185" s="126" t="n">
        <v>46094</v>
      </c>
      <c r="I185" s="32" t="inlineStr">
        <is>
          <t>3</t>
        </is>
      </c>
      <c r="J185" s="32" t="inlineStr">
        <is>
          <t>0-4004-01</t>
        </is>
      </c>
      <c r="K185" s="32" t="inlineStr">
        <is>
          <t>Engineering Services as Outlined in</t>
        </is>
      </c>
      <c r="L185" s="32" t="n">
        <v>1</v>
      </c>
      <c r="M185" s="32" t="n">
        <v>307696.44</v>
      </c>
      <c r="N185" s="32" t="inlineStr">
        <is>
          <t>PO:COMMIT</t>
        </is>
      </c>
      <c r="O185" s="32" t="inlineStr">
        <is>
          <t>18727</t>
        </is>
      </c>
      <c r="P185" s="32" t="inlineStr">
        <is>
          <t>GAMECHANGE SOLAR CORP</t>
        </is>
      </c>
      <c r="Q185" s="32" t="n">
        <v>0</v>
      </c>
      <c r="R185" s="32" t="n">
        <v>0</v>
      </c>
      <c r="S185" s="32" t="n">
        <v>307696.44</v>
      </c>
      <c r="T185" s="32" t="n">
        <v>0</v>
      </c>
    </row>
    <row r="186">
      <c r="A186" s="32" t="inlineStr">
        <is>
          <t>ttJTrans</t>
        </is>
      </c>
      <c r="B186" s="32" t="inlineStr">
        <is>
          <t>0-4004-01</t>
        </is>
      </c>
      <c r="C186" s="32" t="inlineStr">
        <is>
          <t>MA</t>
        </is>
      </c>
      <c r="D186" s="32" t="inlineStr">
        <is>
          <t>MA1009990</t>
        </is>
      </c>
      <c r="E186" s="32" t="inlineStr">
        <is>
          <t>MA</t>
        </is>
      </c>
      <c r="F186" s="32" t="inlineStr">
        <is>
          <t>MA1009990</t>
        </is>
      </c>
      <c r="G186" s="32" t="n">
        <v>46059</v>
      </c>
      <c r="H186" s="126" t="n">
        <v>46094</v>
      </c>
      <c r="I186" s="32" t="inlineStr">
        <is>
          <t>2</t>
        </is>
      </c>
      <c r="J186" s="32" t="inlineStr">
        <is>
          <t>0-4004-01</t>
        </is>
      </c>
      <c r="K186" s="32" t="inlineStr">
        <is>
          <t>All Racking Equipment/Material - Less 30%</t>
        </is>
      </c>
      <c r="L186" s="32" t="n">
        <v>1</v>
      </c>
      <c r="M186" s="32" t="n">
        <v>24231752.77</v>
      </c>
      <c r="N186" s="32" t="inlineStr">
        <is>
          <t>PO:COMMIT</t>
        </is>
      </c>
      <c r="O186" s="32" t="inlineStr">
        <is>
          <t>18727</t>
        </is>
      </c>
      <c r="P186" s="32" t="inlineStr">
        <is>
          <t>GAMECHANGE SOLAR CORP</t>
        </is>
      </c>
      <c r="Q186" s="32" t="n">
        <v>0</v>
      </c>
      <c r="R186" s="32" t="n">
        <v>0</v>
      </c>
      <c r="S186" s="32" t="n">
        <v>24231752.77</v>
      </c>
      <c r="T186" s="32" t="n">
        <v>0</v>
      </c>
    </row>
    <row r="187">
      <c r="A187" s="32" t="inlineStr">
        <is>
          <t>ttJTrans</t>
        </is>
      </c>
      <c r="B187" s="32" t="inlineStr">
        <is>
          <t>0-4004-01</t>
        </is>
      </c>
      <c r="C187" s="32" t="inlineStr">
        <is>
          <t>OC</t>
        </is>
      </c>
      <c r="D187" s="32" t="inlineStr">
        <is>
          <t>MA1009990</t>
        </is>
      </c>
      <c r="E187" s="32" t="inlineStr">
        <is>
          <t>OC</t>
        </is>
      </c>
      <c r="F187" s="32" t="inlineStr">
        <is>
          <t>MA1009990</t>
        </is>
      </c>
      <c r="G187" s="32" t="n">
        <v>46059</v>
      </c>
      <c r="H187" s="126" t="n">
        <v>46094</v>
      </c>
      <c r="I187" s="32" t="inlineStr">
        <is>
          <t>6</t>
        </is>
      </c>
      <c r="J187" s="32" t="inlineStr">
        <is>
          <t>0-4004-01</t>
        </is>
      </c>
      <c r="K187" s="32" t="inlineStr">
        <is>
          <t>Delivery of Equipment/Materials as Outlined</t>
        </is>
      </c>
      <c r="L187" s="32" t="n">
        <v>1</v>
      </c>
      <c r="M187" s="32" t="n">
        <v>4155140.7</v>
      </c>
      <c r="N187" s="32" t="inlineStr">
        <is>
          <t>PO:COMMIT</t>
        </is>
      </c>
      <c r="O187" s="32" t="inlineStr">
        <is>
          <t>18727</t>
        </is>
      </c>
      <c r="P187" s="32" t="inlineStr">
        <is>
          <t>GAMECHANGE SOLAR CORP</t>
        </is>
      </c>
      <c r="Q187" s="32" t="n">
        <v>0</v>
      </c>
      <c r="R187" s="32" t="n">
        <v>0</v>
      </c>
      <c r="S187" s="32" t="n">
        <v>4155140.7</v>
      </c>
      <c r="T187" s="32" t="n">
        <v>0</v>
      </c>
    </row>
    <row r="188">
      <c r="A188" s="32" t="inlineStr">
        <is>
          <t>ttJTrans</t>
        </is>
      </c>
      <c r="B188" s="32" t="inlineStr">
        <is>
          <t>0-4004-01</t>
        </is>
      </c>
      <c r="C188" s="32" t="inlineStr">
        <is>
          <t>OC</t>
        </is>
      </c>
      <c r="D188" s="32" t="inlineStr">
        <is>
          <t>MA1009990</t>
        </is>
      </c>
      <c r="E188" s="32" t="inlineStr">
        <is>
          <t>OC</t>
        </is>
      </c>
      <c r="F188" s="32" t="inlineStr">
        <is>
          <t>MA1009990</t>
        </is>
      </c>
      <c r="G188" s="32" t="n">
        <v>46059</v>
      </c>
      <c r="H188" s="126" t="n">
        <v>46094</v>
      </c>
      <c r="I188" s="32" t="inlineStr">
        <is>
          <t>5</t>
        </is>
      </c>
      <c r="J188" s="32" t="inlineStr">
        <is>
          <t>0-4004-01</t>
        </is>
      </c>
      <c r="K188" s="32" t="inlineStr">
        <is>
          <t>Tariff Charges as Outlined in Attachment A</t>
        </is>
      </c>
      <c r="L188" s="32" t="n">
        <v>1</v>
      </c>
      <c r="M188" s="32" t="n">
        <v>7252997.52</v>
      </c>
      <c r="N188" s="32" t="inlineStr">
        <is>
          <t>PO:COMMIT</t>
        </is>
      </c>
      <c r="O188" s="32" t="inlineStr">
        <is>
          <t>18727</t>
        </is>
      </c>
      <c r="P188" s="32" t="inlineStr">
        <is>
          <t>GAMECHANGE SOLAR CORP</t>
        </is>
      </c>
      <c r="Q188" s="32" t="n">
        <v>0</v>
      </c>
      <c r="R188" s="32" t="n">
        <v>0</v>
      </c>
      <c r="S188" s="32" t="n">
        <v>7252997.52</v>
      </c>
      <c r="T188" s="32" t="n">
        <v>0</v>
      </c>
    </row>
    <row r="189">
      <c r="A189" s="32" t="inlineStr">
        <is>
          <t>ttJTrans</t>
        </is>
      </c>
      <c r="B189" s="32" t="inlineStr">
        <is>
          <t>0-4004-02</t>
        </is>
      </c>
      <c r="C189" s="32" t="inlineStr">
        <is>
          <t>MA</t>
        </is>
      </c>
      <c r="D189" s="32" t="inlineStr">
        <is>
          <t>MA1010844</t>
        </is>
      </c>
      <c r="E189" s="32" t="inlineStr">
        <is>
          <t>MA</t>
        </is>
      </c>
      <c r="F189" s="32" t="inlineStr">
        <is>
          <t>MA1010844</t>
        </is>
      </c>
      <c r="G189" s="32" t="n">
        <v>46170</v>
      </c>
      <c r="H189" s="126" t="inlineStr"/>
      <c r="I189" s="32" t="inlineStr">
        <is>
          <t>2</t>
        </is>
      </c>
      <c r="J189" s="32" t="inlineStr">
        <is>
          <t>0-4004-02</t>
        </is>
      </c>
      <c r="K189" s="32" t="inlineStr">
        <is>
          <t>Tariffs - Upon MVT Shipment</t>
        </is>
      </c>
      <c r="L189" s="32" t="n">
        <v>1</v>
      </c>
      <c r="M189" s="32" t="n">
        <v>3556136.97</v>
      </c>
      <c r="N189" s="32" t="inlineStr">
        <is>
          <t>PO:COMMIT</t>
        </is>
      </c>
      <c r="O189" s="32" t="inlineStr">
        <is>
          <t>21398</t>
        </is>
      </c>
      <c r="P189" s="32" t="inlineStr">
        <is>
          <t>TMEIC CORPORATION AMERICAS</t>
        </is>
      </c>
      <c r="Q189" s="32" t="n">
        <v>0</v>
      </c>
      <c r="R189" s="32" t="n">
        <v>0</v>
      </c>
      <c r="S189" s="32" t="n">
        <v>3556136.97</v>
      </c>
      <c r="T189" s="32" t="n">
        <v>0</v>
      </c>
    </row>
    <row r="190">
      <c r="A190" s="32" t="inlineStr">
        <is>
          <t>ttJTrans</t>
        </is>
      </c>
      <c r="B190" s="32" t="inlineStr">
        <is>
          <t>0-4004-02</t>
        </is>
      </c>
      <c r="C190" s="32" t="inlineStr">
        <is>
          <t>MA</t>
        </is>
      </c>
      <c r="D190" s="32" t="inlineStr">
        <is>
          <t>MA1010844</t>
        </is>
      </c>
      <c r="E190" s="32" t="inlineStr">
        <is>
          <t>MA</t>
        </is>
      </c>
      <c r="F190" s="32" t="inlineStr">
        <is>
          <t>MA1010844</t>
        </is>
      </c>
      <c r="G190" s="32" t="n">
        <v>46170</v>
      </c>
      <c r="H190" s="126" t="inlineStr"/>
      <c r="I190" s="32" t="inlineStr">
        <is>
          <t>4</t>
        </is>
      </c>
      <c r="J190" s="32" t="inlineStr">
        <is>
          <t>0-4004-02</t>
        </is>
      </c>
      <c r="K190" s="32" t="inlineStr">
        <is>
          <t>Upon Completion of Commissioning Services</t>
        </is>
      </c>
      <c r="L190" s="32" t="n">
        <v>1</v>
      </c>
      <c r="M190" s="32" t="n">
        <v>496113.39</v>
      </c>
      <c r="N190" s="32" t="inlineStr">
        <is>
          <t>PO:COMMIT</t>
        </is>
      </c>
      <c r="O190" s="32" t="inlineStr">
        <is>
          <t>21398</t>
        </is>
      </c>
      <c r="P190" s="32" t="inlineStr">
        <is>
          <t>TMEIC CORPORATION AMERICAS</t>
        </is>
      </c>
      <c r="Q190" s="32" t="n">
        <v>0</v>
      </c>
      <c r="R190" s="32" t="n">
        <v>0</v>
      </c>
      <c r="S190" s="32" t="n">
        <v>496113.39</v>
      </c>
      <c r="T190" s="32" t="n">
        <v>0</v>
      </c>
    </row>
    <row r="191">
      <c r="A191" s="32" t="inlineStr">
        <is>
          <t>ttJTrans</t>
        </is>
      </c>
      <c r="B191" s="32" t="inlineStr">
        <is>
          <t>0-4004-02</t>
        </is>
      </c>
      <c r="C191" s="32" t="inlineStr">
        <is>
          <t>MA</t>
        </is>
      </c>
      <c r="D191" s="32" t="inlineStr">
        <is>
          <t>MA1010844</t>
        </is>
      </c>
      <c r="E191" s="32" t="inlineStr">
        <is>
          <t>MA</t>
        </is>
      </c>
      <c r="F191" s="32" t="inlineStr">
        <is>
          <t>MA1010844</t>
        </is>
      </c>
      <c r="G191" s="32" t="n">
        <v>46170</v>
      </c>
      <c r="H191" s="126" t="inlineStr"/>
      <c r="I191" s="32" t="inlineStr">
        <is>
          <t>1</t>
        </is>
      </c>
      <c r="J191" s="32" t="inlineStr">
        <is>
          <t>0-4004-02</t>
        </is>
      </c>
      <c r="K191" s="32" t="inlineStr">
        <is>
          <t>30% Deposit for Equipment and Materials as</t>
        </is>
      </c>
      <c r="L191" s="32" t="n">
        <v>1</v>
      </c>
      <c r="M191" s="32" t="n">
        <v>5531862.6</v>
      </c>
      <c r="N191" s="32" t="inlineStr">
        <is>
          <t>INVOICE:ADJ-COMMIT</t>
        </is>
      </c>
      <c r="O191" s="32" t="inlineStr">
        <is>
          <t>21398</t>
        </is>
      </c>
      <c r="P191" s="32" t="inlineStr">
        <is>
          <t>TMEIC CORPORATION AMERICAS</t>
        </is>
      </c>
      <c r="Q191" s="32" t="n">
        <v>0</v>
      </c>
      <c r="R191" s="32" t="n">
        <v>0</v>
      </c>
      <c r="S191" s="32" t="n">
        <v>-5531862.6</v>
      </c>
      <c r="T191" s="32" t="n">
        <v>0</v>
      </c>
    </row>
    <row r="192">
      <c r="A192" s="32" t="inlineStr">
        <is>
          <t>ttJTrans</t>
        </is>
      </c>
      <c r="B192" s="32" t="inlineStr">
        <is>
          <t>0-4004-02</t>
        </is>
      </c>
      <c r="C192" s="32" t="inlineStr">
        <is>
          <t>MA</t>
        </is>
      </c>
      <c r="D192" s="32" t="inlineStr">
        <is>
          <t>MA1010844</t>
        </is>
      </c>
      <c r="E192" s="32" t="inlineStr">
        <is>
          <t>MA</t>
        </is>
      </c>
      <c r="F192" s="32" t="inlineStr">
        <is>
          <t>MA1010844</t>
        </is>
      </c>
      <c r="G192" s="32" t="n">
        <v>46170</v>
      </c>
      <c r="H192" s="126" t="inlineStr"/>
      <c r="I192" s="32" t="inlineStr">
        <is>
          <t>1</t>
        </is>
      </c>
      <c r="J192" s="32" t="inlineStr">
        <is>
          <t>0-4004-02</t>
        </is>
      </c>
      <c r="K192" s="32" t="inlineStr">
        <is>
          <t>30% Deposit for Equipment and Materials as</t>
        </is>
      </c>
      <c r="L192" s="32" t="n">
        <v>1</v>
      </c>
      <c r="M192" s="32" t="n">
        <v>5531862.6</v>
      </c>
      <c r="N192" s="32" t="inlineStr">
        <is>
          <t>PO:COMMIT</t>
        </is>
      </c>
      <c r="O192" s="32" t="inlineStr">
        <is>
          <t>21398</t>
        </is>
      </c>
      <c r="P192" s="32" t="inlineStr">
        <is>
          <t>TMEIC CORPORATION AMERICAS</t>
        </is>
      </c>
      <c r="Q192" s="32" t="n">
        <v>0</v>
      </c>
      <c r="R192" s="32" t="n">
        <v>0</v>
      </c>
      <c r="S192" s="32" t="n">
        <v>5531862.6</v>
      </c>
      <c r="T192" s="32" t="n">
        <v>0</v>
      </c>
    </row>
    <row r="193">
      <c r="A193" s="32" t="inlineStr">
        <is>
          <t>ttJTrans</t>
        </is>
      </c>
      <c r="B193" s="32" t="inlineStr">
        <is>
          <t>0-4004-02</t>
        </is>
      </c>
      <c r="C193" s="32" t="inlineStr">
        <is>
          <t>MA</t>
        </is>
      </c>
      <c r="D193" s="32" t="inlineStr">
        <is>
          <t>MA1010844</t>
        </is>
      </c>
      <c r="E193" s="32" t="inlineStr">
        <is>
          <t>MA</t>
        </is>
      </c>
      <c r="F193" s="32" t="inlineStr">
        <is>
          <t>MA1010844</t>
        </is>
      </c>
      <c r="G193" s="32" t="n">
        <v>46170</v>
      </c>
      <c r="H193" s="126" t="inlineStr"/>
      <c r="I193" s="32" t="inlineStr">
        <is>
          <t>3</t>
        </is>
      </c>
      <c r="J193" s="32" t="inlineStr">
        <is>
          <t>0-4004-02</t>
        </is>
      </c>
      <c r="K193" s="32" t="inlineStr">
        <is>
          <t>All Equipment/Materials Less Advanced</t>
        </is>
      </c>
      <c r="L193" s="32" t="n">
        <v>1</v>
      </c>
      <c r="M193" s="32" t="n">
        <v>12907679.4</v>
      </c>
      <c r="N193" s="32" t="inlineStr">
        <is>
          <t>PO:COMMIT</t>
        </is>
      </c>
      <c r="O193" s="32" t="inlineStr">
        <is>
          <t>21398</t>
        </is>
      </c>
      <c r="P193" s="32" t="inlineStr">
        <is>
          <t>TMEIC CORPORATION AMERICAS</t>
        </is>
      </c>
      <c r="Q193" s="32" t="n">
        <v>0</v>
      </c>
      <c r="R193" s="32" t="n">
        <v>0</v>
      </c>
      <c r="S193" s="32" t="n">
        <v>12907679.4</v>
      </c>
      <c r="T193" s="32" t="n">
        <v>0</v>
      </c>
    </row>
    <row r="194">
      <c r="A194" s="32" t="inlineStr">
        <is>
          <t>ttJTrans</t>
        </is>
      </c>
      <c r="B194" s="32" t="inlineStr">
        <is>
          <t>0-4004-02</t>
        </is>
      </c>
      <c r="C194" s="32" t="inlineStr">
        <is>
          <t>MA</t>
        </is>
      </c>
      <c r="D194" s="32" t="inlineStr">
        <is>
          <t>MA1010844</t>
        </is>
      </c>
      <c r="E194" s="32" t="inlineStr">
        <is>
          <t>MA</t>
        </is>
      </c>
      <c r="F194" s="32" t="inlineStr">
        <is>
          <t>MA1010844</t>
        </is>
      </c>
      <c r="G194" s="32" t="n">
        <v>46170</v>
      </c>
      <c r="H194" s="126" t="n">
        <v>46134</v>
      </c>
      <c r="I194" s="32" t="inlineStr">
        <is>
          <t>1</t>
        </is>
      </c>
      <c r="J194" s="32" t="inlineStr">
        <is>
          <t>0-4004-02</t>
        </is>
      </c>
      <c r="K194" s="32" t="inlineStr">
        <is>
          <t>30% Deposit for Equipment and Materials as</t>
        </is>
      </c>
      <c r="L194" s="32" t="n">
        <v>1</v>
      </c>
      <c r="M194" s="32" t="n">
        <v>5531862.6</v>
      </c>
      <c r="N194" s="32" t="inlineStr">
        <is>
          <t>INVOICE</t>
        </is>
      </c>
      <c r="O194" s="32" t="inlineStr">
        <is>
          <t>21398</t>
        </is>
      </c>
      <c r="P194" s="32" t="inlineStr">
        <is>
          <t>TMEIC CORPORATION AMERICAS</t>
        </is>
      </c>
      <c r="Q194" s="32" t="n">
        <v>0</v>
      </c>
      <c r="R194" s="32" t="n">
        <v>0</v>
      </c>
      <c r="S194" s="32" t="n">
        <v>0</v>
      </c>
      <c r="T194" s="32" t="n">
        <v>0</v>
      </c>
    </row>
    <row r="195">
      <c r="A195" s="32" t="inlineStr">
        <is>
          <t>ttJTrans</t>
        </is>
      </c>
      <c r="B195" s="32" t="inlineStr">
        <is>
          <t>0-4004-02</t>
        </is>
      </c>
      <c r="C195" s="32" t="inlineStr">
        <is>
          <t>MA</t>
        </is>
      </c>
      <c r="D195" s="32" t="inlineStr"/>
      <c r="E195" s="32" t="inlineStr">
        <is>
          <t>MA</t>
        </is>
      </c>
      <c r="F195" s="32" t="inlineStr"/>
      <c r="G195" s="125" t="inlineStr"/>
      <c r="H195" s="126" t="n">
        <v>46134</v>
      </c>
      <c r="I195" s="32" t="inlineStr"/>
      <c r="J195" s="32" t="inlineStr">
        <is>
          <t>0-4004-02</t>
        </is>
      </c>
      <c r="K195" s="32" t="inlineStr">
        <is>
          <t>30% Deposit for Equipment and Materials as Outlined in Attachment A</t>
        </is>
      </c>
      <c r="L195" s="32" t="n">
        <v>0</v>
      </c>
      <c r="M195" s="32" t="n">
        <v>0</v>
      </c>
      <c r="N195" s="32" t="inlineStr"/>
      <c r="O195" s="32" t="inlineStr">
        <is>
          <t>21398</t>
        </is>
      </c>
      <c r="P195" s="32" t="inlineStr">
        <is>
          <t>TMEIC CORPORATION AMERICAS</t>
        </is>
      </c>
      <c r="Q195" s="32" t="n">
        <v>0</v>
      </c>
      <c r="R195" s="32" t="n">
        <v>4983660</v>
      </c>
      <c r="S195" s="32" t="n">
        <v>0</v>
      </c>
      <c r="T195" s="32" t="n">
        <v>0</v>
      </c>
    </row>
    <row r="196">
      <c r="A196" s="32" t="inlineStr">
        <is>
          <t>ttJTrans</t>
        </is>
      </c>
      <c r="B196" s="32" t="inlineStr">
        <is>
          <t>0-4005</t>
        </is>
      </c>
      <c r="C196" s="32" t="inlineStr">
        <is>
          <t>LA</t>
        </is>
      </c>
      <c r="D196" s="32" t="inlineStr"/>
      <c r="E196" s="32" t="inlineStr">
        <is>
          <t>LA</t>
        </is>
      </c>
      <c r="F196" s="32" t="inlineStr"/>
      <c r="G196" s="125" t="inlineStr"/>
      <c r="H196" s="126" t="n">
        <v>46111</v>
      </c>
      <c r="I196" s="32" t="inlineStr"/>
      <c r="J196" s="32" t="inlineStr">
        <is>
          <t>0-4005</t>
        </is>
      </c>
      <c r="K196" s="32" t="inlineStr">
        <is>
          <t>PR P2COST 000288 (PR) Summary</t>
        </is>
      </c>
      <c r="L196" s="32" t="n">
        <v>0</v>
      </c>
      <c r="M196" s="32" t="n">
        <v>0</v>
      </c>
      <c r="N196" s="32" t="inlineStr"/>
      <c r="O196" s="32" t="inlineStr"/>
      <c r="P196" s="32" t="inlineStr"/>
      <c r="Q196" s="32" t="n">
        <v>0</v>
      </c>
      <c r="R196" s="32" t="n">
        <v>436.96</v>
      </c>
      <c r="S196" s="32" t="n">
        <v>0</v>
      </c>
      <c r="T196" s="32" t="n">
        <v>4</v>
      </c>
    </row>
    <row r="197">
      <c r="A197" s="32" t="inlineStr">
        <is>
          <t>ttJTrans</t>
        </is>
      </c>
      <c r="B197" s="32" t="inlineStr">
        <is>
          <t>0-4005</t>
        </is>
      </c>
      <c r="C197" s="32" t="inlineStr">
        <is>
          <t>LA</t>
        </is>
      </c>
      <c r="D197" s="32" t="inlineStr"/>
      <c r="E197" s="32" t="inlineStr">
        <is>
          <t>LA</t>
        </is>
      </c>
      <c r="F197" s="32" t="inlineStr"/>
      <c r="G197" s="125" t="inlineStr"/>
      <c r="H197" s="126" t="n">
        <v>46111</v>
      </c>
      <c r="I197" s="32" t="inlineStr"/>
      <c r="J197" s="32" t="inlineStr">
        <is>
          <t>0-4005</t>
        </is>
      </c>
      <c r="K197" s="32" t="inlineStr">
        <is>
          <t>PR P2COST 000288 (PR) Summary</t>
        </is>
      </c>
      <c r="L197" s="32" t="n">
        <v>0</v>
      </c>
      <c r="M197" s="32" t="n">
        <v>0</v>
      </c>
      <c r="N197" s="32" t="inlineStr"/>
      <c r="O197" s="32" t="inlineStr"/>
      <c r="P197" s="32" t="inlineStr"/>
      <c r="Q197" s="32" t="n">
        <v>0</v>
      </c>
      <c r="R197" s="32" t="n">
        <v>436.96</v>
      </c>
      <c r="S197" s="32" t="n">
        <v>0</v>
      </c>
      <c r="T197" s="32" t="n">
        <v>4</v>
      </c>
    </row>
    <row r="198">
      <c r="A198" s="32" t="inlineStr">
        <is>
          <t>ttJTrans</t>
        </is>
      </c>
      <c r="B198" s="32" t="inlineStr">
        <is>
          <t>0-4005</t>
        </is>
      </c>
      <c r="C198" s="32" t="inlineStr">
        <is>
          <t>LA</t>
        </is>
      </c>
      <c r="D198" s="32" t="inlineStr"/>
      <c r="E198" s="32" t="inlineStr">
        <is>
          <t>LA</t>
        </is>
      </c>
      <c r="F198" s="32" t="inlineStr"/>
      <c r="G198" s="125" t="inlineStr"/>
      <c r="H198" s="126" t="n">
        <v>46111</v>
      </c>
      <c r="I198" s="32" t="inlineStr"/>
      <c r="J198" s="32" t="inlineStr">
        <is>
          <t>0-4005</t>
        </is>
      </c>
      <c r="K198" s="32" t="inlineStr">
        <is>
          <t>PR P2COST 000288 (PR) Summary</t>
        </is>
      </c>
      <c r="L198" s="32" t="n">
        <v>0</v>
      </c>
      <c r="M198" s="32" t="n">
        <v>0</v>
      </c>
      <c r="N198" s="32" t="inlineStr"/>
      <c r="O198" s="32" t="inlineStr"/>
      <c r="P198" s="32" t="inlineStr"/>
      <c r="Q198" s="32" t="n">
        <v>0</v>
      </c>
      <c r="R198" s="32" t="n">
        <v>436.96</v>
      </c>
      <c r="S198" s="32" t="n">
        <v>0</v>
      </c>
      <c r="T198" s="32" t="n">
        <v>4</v>
      </c>
    </row>
    <row r="199">
      <c r="A199" s="32" t="inlineStr">
        <is>
          <t>ttJTrans</t>
        </is>
      </c>
      <c r="B199" s="32" t="inlineStr">
        <is>
          <t>0-4005</t>
        </is>
      </c>
      <c r="C199" s="32" t="inlineStr">
        <is>
          <t>LA</t>
        </is>
      </c>
      <c r="D199" s="32" t="inlineStr"/>
      <c r="E199" s="32" t="inlineStr">
        <is>
          <t>LA</t>
        </is>
      </c>
      <c r="F199" s="32" t="inlineStr"/>
      <c r="G199" s="125" t="inlineStr"/>
      <c r="H199" s="126" t="n">
        <v>46111</v>
      </c>
      <c r="I199" s="32" t="inlineStr"/>
      <c r="J199" s="32" t="inlineStr">
        <is>
          <t>0-4005</t>
        </is>
      </c>
      <c r="K199" s="32" t="inlineStr">
        <is>
          <t>PR P2COST 000288 (PR) Summary</t>
        </is>
      </c>
      <c r="L199" s="32" t="n">
        <v>0</v>
      </c>
      <c r="M199" s="32" t="n">
        <v>0</v>
      </c>
      <c r="N199" s="32" t="inlineStr"/>
      <c r="O199" s="32" t="inlineStr"/>
      <c r="P199" s="32" t="inlineStr"/>
      <c r="Q199" s="32" t="n">
        <v>0</v>
      </c>
      <c r="R199" s="32" t="n">
        <v>436.96</v>
      </c>
      <c r="S199" s="32" t="n">
        <v>0</v>
      </c>
      <c r="T199" s="32" t="n">
        <v>4</v>
      </c>
    </row>
    <row r="200">
      <c r="A200" s="32" t="inlineStr">
        <is>
          <t>ttJTrans</t>
        </is>
      </c>
      <c r="B200" s="32" t="inlineStr">
        <is>
          <t>0-4005</t>
        </is>
      </c>
      <c r="C200" s="32" t="inlineStr">
        <is>
          <t>LA</t>
        </is>
      </c>
      <c r="D200" s="32" t="inlineStr"/>
      <c r="E200" s="32" t="inlineStr">
        <is>
          <t>LA</t>
        </is>
      </c>
      <c r="F200" s="32" t="inlineStr"/>
      <c r="G200" s="125" t="inlineStr"/>
      <c r="H200" s="126" t="n">
        <v>46111</v>
      </c>
      <c r="I200" s="32" t="inlineStr"/>
      <c r="J200" s="32" t="inlineStr">
        <is>
          <t>0-4005</t>
        </is>
      </c>
      <c r="K200" s="32" t="inlineStr">
        <is>
          <t>PR P2COST 000288 (PR) Summary</t>
        </is>
      </c>
      <c r="L200" s="32" t="n">
        <v>0</v>
      </c>
      <c r="M200" s="32" t="n">
        <v>0</v>
      </c>
      <c r="N200" s="32" t="inlineStr"/>
      <c r="O200" s="32" t="inlineStr"/>
      <c r="P200" s="32" t="inlineStr"/>
      <c r="Q200" s="32" t="n">
        <v>0</v>
      </c>
      <c r="R200" s="32" t="n">
        <v>436.96</v>
      </c>
      <c r="S200" s="32" t="n">
        <v>0</v>
      </c>
      <c r="T200" s="32" t="n">
        <v>4</v>
      </c>
    </row>
    <row r="201">
      <c r="A201" s="32" t="inlineStr">
        <is>
          <t>ttJTrans</t>
        </is>
      </c>
      <c r="B201" s="32" t="inlineStr">
        <is>
          <t>0-4005</t>
        </is>
      </c>
      <c r="C201" s="32" t="inlineStr">
        <is>
          <t>LA</t>
        </is>
      </c>
      <c r="D201" s="32" t="inlineStr"/>
      <c r="E201" s="32" t="inlineStr">
        <is>
          <t>LA</t>
        </is>
      </c>
      <c r="F201" s="32" t="inlineStr"/>
      <c r="G201" s="32" t="inlineStr"/>
      <c r="H201" s="126" t="n">
        <v>46150</v>
      </c>
      <c r="I201" s="32" t="inlineStr"/>
      <c r="J201" s="32" t="inlineStr">
        <is>
          <t>0-4005</t>
        </is>
      </c>
      <c r="K201" s="32" t="inlineStr">
        <is>
          <t>COST CODE TRANSFER 25-4005</t>
        </is>
      </c>
      <c r="L201" s="32" t="n">
        <v>0</v>
      </c>
      <c r="M201" s="32" t="n">
        <v>0</v>
      </c>
      <c r="N201" s="32" t="inlineStr"/>
      <c r="O201" s="32" t="inlineStr"/>
      <c r="P201" s="32" t="inlineStr"/>
      <c r="Q201" s="32" t="n">
        <v>0</v>
      </c>
      <c r="R201" s="32" t="n">
        <v>-2184.8</v>
      </c>
      <c r="S201" s="32" t="n">
        <v>0</v>
      </c>
      <c r="T201" s="32" t="n">
        <v>-20</v>
      </c>
    </row>
    <row r="202">
      <c r="A202" s="32" t="inlineStr">
        <is>
          <t>ttJTrans</t>
        </is>
      </c>
      <c r="B202" s="32" t="inlineStr">
        <is>
          <t>0-4005</t>
        </is>
      </c>
      <c r="C202" s="32" t="inlineStr">
        <is>
          <t>LA</t>
        </is>
      </c>
      <c r="D202" s="32" t="inlineStr"/>
      <c r="E202" s="32" t="inlineStr">
        <is>
          <t>LA</t>
        </is>
      </c>
      <c r="F202" s="32" t="inlineStr"/>
      <c r="G202" s="32" t="inlineStr"/>
      <c r="H202" s="126" t="n">
        <v>46126</v>
      </c>
      <c r="I202" s="32" t="inlineStr"/>
      <c r="J202" s="32" t="inlineStr">
        <is>
          <t>0-4005</t>
        </is>
      </c>
      <c r="K202" s="32" t="inlineStr">
        <is>
          <t>PR P2COST 000289 (PR) Summary</t>
        </is>
      </c>
      <c r="L202" s="32" t="n">
        <v>0</v>
      </c>
      <c r="M202" s="32" t="n">
        <v>0</v>
      </c>
      <c r="N202" s="32" t="inlineStr"/>
      <c r="O202" s="32" t="inlineStr"/>
      <c r="P202" s="32" t="inlineStr"/>
      <c r="Q202" s="32" t="n">
        <v>0</v>
      </c>
      <c r="R202" s="32" t="n">
        <v>978.59</v>
      </c>
      <c r="S202" s="32" t="n">
        <v>0</v>
      </c>
      <c r="T202" s="32" t="n">
        <v>10</v>
      </c>
    </row>
    <row r="203">
      <c r="A203" s="32" t="inlineStr">
        <is>
          <t>ttJTrans</t>
        </is>
      </c>
      <c r="B203" s="32" t="inlineStr">
        <is>
          <t>0-4005</t>
        </is>
      </c>
      <c r="C203" s="32" t="inlineStr">
        <is>
          <t>LA</t>
        </is>
      </c>
      <c r="D203" s="32" t="inlineStr"/>
      <c r="E203" s="32" t="inlineStr">
        <is>
          <t>LA</t>
        </is>
      </c>
      <c r="F203" s="32" t="inlineStr"/>
      <c r="G203" s="32" t="inlineStr"/>
      <c r="H203" s="126" t="n">
        <v>46126</v>
      </c>
      <c r="I203" s="32" t="inlineStr"/>
      <c r="J203" s="32" t="inlineStr">
        <is>
          <t>0-4005</t>
        </is>
      </c>
      <c r="K203" s="32" t="inlineStr">
        <is>
          <t>PR P2COST 000289 (PR) Summary</t>
        </is>
      </c>
      <c r="L203" s="32" t="n">
        <v>0</v>
      </c>
      <c r="M203" s="32" t="n">
        <v>0</v>
      </c>
      <c r="N203" s="32" t="inlineStr"/>
      <c r="O203" s="32" t="inlineStr"/>
      <c r="P203" s="32" t="inlineStr"/>
      <c r="Q203" s="32" t="n">
        <v>0</v>
      </c>
      <c r="R203" s="32" t="n">
        <v>978.62</v>
      </c>
      <c r="S203" s="32" t="n">
        <v>0</v>
      </c>
      <c r="T203" s="32" t="n">
        <v>10</v>
      </c>
    </row>
    <row r="204">
      <c r="A204" s="32" t="inlineStr">
        <is>
          <t>ttJTrans</t>
        </is>
      </c>
      <c r="B204" s="32" t="inlineStr">
        <is>
          <t>0-4005</t>
        </is>
      </c>
      <c r="C204" s="32" t="inlineStr">
        <is>
          <t>LA</t>
        </is>
      </c>
      <c r="D204" s="32" t="inlineStr"/>
      <c r="E204" s="32" t="inlineStr">
        <is>
          <t>LA</t>
        </is>
      </c>
      <c r="F204" s="32" t="inlineStr"/>
      <c r="G204" s="32" t="inlineStr"/>
      <c r="H204" s="126" t="n">
        <v>46126</v>
      </c>
      <c r="I204" s="32" t="inlineStr"/>
      <c r="J204" s="32" t="inlineStr">
        <is>
          <t>0-4005</t>
        </is>
      </c>
      <c r="K204" s="32" t="inlineStr">
        <is>
          <t>PR P2COST 000289 (PR) Summary</t>
        </is>
      </c>
      <c r="L204" s="32" t="n">
        <v>0</v>
      </c>
      <c r="M204" s="32" t="n">
        <v>0</v>
      </c>
      <c r="N204" s="32" t="inlineStr"/>
      <c r="O204" s="32" t="inlineStr"/>
      <c r="P204" s="32" t="inlineStr"/>
      <c r="Q204" s="32" t="n">
        <v>0</v>
      </c>
      <c r="R204" s="32" t="n">
        <v>978.59</v>
      </c>
      <c r="S204" s="32" t="n">
        <v>0</v>
      </c>
      <c r="T204" s="32" t="n">
        <v>10</v>
      </c>
    </row>
    <row r="205">
      <c r="A205" s="32" t="inlineStr">
        <is>
          <t>ttJTrans</t>
        </is>
      </c>
      <c r="B205" s="32" t="inlineStr">
        <is>
          <t>0-4005</t>
        </is>
      </c>
      <c r="C205" s="32" t="inlineStr">
        <is>
          <t>LA</t>
        </is>
      </c>
      <c r="D205" s="32" t="inlineStr"/>
      <c r="E205" s="32" t="inlineStr">
        <is>
          <t>LA</t>
        </is>
      </c>
      <c r="F205" s="32" t="inlineStr"/>
      <c r="G205" s="32" t="inlineStr"/>
      <c r="H205" s="126" t="n">
        <v>46150</v>
      </c>
      <c r="I205" s="32" t="inlineStr"/>
      <c r="J205" s="32" t="inlineStr">
        <is>
          <t>0-4005</t>
        </is>
      </c>
      <c r="K205" s="32" t="inlineStr">
        <is>
          <t>COST CODE TRANSFER 25-4005</t>
        </is>
      </c>
      <c r="L205" s="32" t="n">
        <v>0</v>
      </c>
      <c r="M205" s="32" t="n">
        <v>0</v>
      </c>
      <c r="N205" s="32" t="inlineStr"/>
      <c r="O205" s="32" t="inlineStr"/>
      <c r="P205" s="32" t="inlineStr"/>
      <c r="Q205" s="32" t="n">
        <v>0</v>
      </c>
      <c r="R205" s="32" t="n">
        <v>-2935.8</v>
      </c>
      <c r="S205" s="32" t="n">
        <v>0</v>
      </c>
      <c r="T205" s="32" t="n">
        <v>-30</v>
      </c>
    </row>
    <row r="206">
      <c r="A206" s="32" t="inlineStr">
        <is>
          <t>ttJTrans</t>
        </is>
      </c>
      <c r="B206" s="32" t="inlineStr">
        <is>
          <t>0-4004-05</t>
        </is>
      </c>
      <c r="C206" s="32" t="inlineStr">
        <is>
          <t>MA</t>
        </is>
      </c>
      <c r="D206" s="32" t="inlineStr">
        <is>
          <t>MA1010387</t>
        </is>
      </c>
      <c r="E206" s="32" t="inlineStr">
        <is>
          <t>MA</t>
        </is>
      </c>
      <c r="F206" s="32" t="inlineStr">
        <is>
          <t>MA1010387</t>
        </is>
      </c>
      <c r="G206" s="32" t="n">
        <v>46104</v>
      </c>
      <c r="H206" s="126" t="n">
        <v>46107</v>
      </c>
      <c r="I206" s="32" t="inlineStr">
        <is>
          <t>1</t>
        </is>
      </c>
      <c r="J206" s="32" t="inlineStr">
        <is>
          <t>0-4004-05</t>
        </is>
      </c>
      <c r="K206" s="32" t="inlineStr">
        <is>
          <t>30% Deposit for Equipment and Materials as</t>
        </is>
      </c>
      <c r="L206" s="32" t="n">
        <v>1</v>
      </c>
      <c r="M206" s="32" t="n">
        <v>3545645.32</v>
      </c>
      <c r="N206" s="32" t="inlineStr">
        <is>
          <t>INVOICE</t>
        </is>
      </c>
      <c r="O206" s="32" t="inlineStr">
        <is>
          <t>20718</t>
        </is>
      </c>
      <c r="P206" s="32" t="inlineStr">
        <is>
          <t>JAVELIN SUPPLIES LLC</t>
        </is>
      </c>
      <c r="Q206" s="32" t="n">
        <v>0</v>
      </c>
      <c r="R206" s="32" t="n">
        <v>0</v>
      </c>
      <c r="S206" s="32" t="n">
        <v>0</v>
      </c>
      <c r="T206" s="32" t="n">
        <v>0</v>
      </c>
    </row>
    <row r="207">
      <c r="A207" s="32" t="inlineStr">
        <is>
          <t>ttJTrans</t>
        </is>
      </c>
      <c r="B207" s="32" t="inlineStr">
        <is>
          <t>0-4004-05</t>
        </is>
      </c>
      <c r="C207" s="32" t="inlineStr">
        <is>
          <t>MA</t>
        </is>
      </c>
      <c r="D207" s="32" t="inlineStr">
        <is>
          <t>MA1010387</t>
        </is>
      </c>
      <c r="E207" s="32" t="inlineStr">
        <is>
          <t>MA</t>
        </is>
      </c>
      <c r="F207" s="32" t="inlineStr">
        <is>
          <t>MA1010387</t>
        </is>
      </c>
      <c r="G207" s="32" t="n">
        <v>46104</v>
      </c>
      <c r="H207" s="126" t="n">
        <v>46107</v>
      </c>
      <c r="I207" s="32" t="inlineStr">
        <is>
          <t>2</t>
        </is>
      </c>
      <c r="J207" s="32" t="inlineStr">
        <is>
          <t>0-4004-05</t>
        </is>
      </c>
      <c r="K207" s="32" t="inlineStr">
        <is>
          <t>All Equipment/Materials Less Advanced</t>
        </is>
      </c>
      <c r="L207" s="32" t="n">
        <v>1</v>
      </c>
      <c r="M207" s="32" t="n">
        <v>8273172.39</v>
      </c>
      <c r="N207" s="32" t="inlineStr">
        <is>
          <t>INVOICE</t>
        </is>
      </c>
      <c r="O207" s="32" t="inlineStr">
        <is>
          <t>20718</t>
        </is>
      </c>
      <c r="P207" s="32" t="inlineStr">
        <is>
          <t>JAVELIN SUPPLIES LLC</t>
        </is>
      </c>
      <c r="Q207" s="32" t="n">
        <v>0</v>
      </c>
      <c r="R207" s="32" t="n">
        <v>0</v>
      </c>
      <c r="S207" s="32" t="n">
        <v>0</v>
      </c>
      <c r="T207" s="32" t="n">
        <v>0</v>
      </c>
    </row>
    <row r="208">
      <c r="A208" s="32" t="inlineStr">
        <is>
          <t>ttJTrans</t>
        </is>
      </c>
      <c r="B208" s="32" t="inlineStr">
        <is>
          <t>0-4004-05</t>
        </is>
      </c>
      <c r="C208" s="32" t="inlineStr">
        <is>
          <t>MA</t>
        </is>
      </c>
      <c r="D208" s="32" t="inlineStr">
        <is>
          <t>MA1010387</t>
        </is>
      </c>
      <c r="E208" s="32" t="inlineStr">
        <is>
          <t>MA</t>
        </is>
      </c>
      <c r="F208" s="32" t="inlineStr">
        <is>
          <t>MA1010387</t>
        </is>
      </c>
      <c r="G208" s="32" t="n">
        <v>46104</v>
      </c>
      <c r="H208" s="126" t="n">
        <v>46160</v>
      </c>
      <c r="I208" s="32" t="inlineStr">
        <is>
          <t>3</t>
        </is>
      </c>
      <c r="J208" s="32" t="inlineStr">
        <is>
          <t>0-4004-05</t>
        </is>
      </c>
      <c r="K208" s="32" t="inlineStr">
        <is>
          <t>All CO1 Equipment/Materials as Outlined in</t>
        </is>
      </c>
      <c r="L208" s="32" t="n">
        <v>1</v>
      </c>
      <c r="M208" s="32" t="n">
        <v>2715612.26</v>
      </c>
      <c r="N208" s="32" t="inlineStr">
        <is>
          <t>INVOICE</t>
        </is>
      </c>
      <c r="O208" s="32" t="inlineStr">
        <is>
          <t>20718</t>
        </is>
      </c>
      <c r="P208" s="32" t="inlineStr">
        <is>
          <t>JAVELIN SUPPLIES LLC</t>
        </is>
      </c>
      <c r="Q208" s="32" t="n">
        <v>0</v>
      </c>
      <c r="R208" s="32" t="n">
        <v>0</v>
      </c>
      <c r="S208" s="32" t="n">
        <v>0</v>
      </c>
      <c r="T208" s="32" t="n">
        <v>0</v>
      </c>
    </row>
    <row r="209">
      <c r="A209" s="32" t="inlineStr">
        <is>
          <t>ttJTrans</t>
        </is>
      </c>
      <c r="B209" s="32" t="inlineStr">
        <is>
          <t>0-4004-05</t>
        </is>
      </c>
      <c r="C209" s="32" t="inlineStr">
        <is>
          <t>MA</t>
        </is>
      </c>
      <c r="D209" s="32" t="inlineStr">
        <is>
          <t>MA1010387</t>
        </is>
      </c>
      <c r="E209" s="32" t="inlineStr">
        <is>
          <t>MA</t>
        </is>
      </c>
      <c r="F209" s="32" t="inlineStr">
        <is>
          <t>MA1010387</t>
        </is>
      </c>
      <c r="G209" s="32" t="n">
        <v>46104</v>
      </c>
      <c r="H209" s="126" t="n">
        <v>46111</v>
      </c>
      <c r="I209" s="32" t="inlineStr">
        <is>
          <t>1</t>
        </is>
      </c>
      <c r="J209" s="32" t="inlineStr">
        <is>
          <t>0-4004-05</t>
        </is>
      </c>
      <c r="K209" s="32" t="inlineStr">
        <is>
          <t>30% Deposit for Equipment and Materials as</t>
        </is>
      </c>
      <c r="L209" s="32" t="n">
        <v>1</v>
      </c>
      <c r="M209" s="32" t="n">
        <v>3545645.32</v>
      </c>
      <c r="N209" s="32" t="inlineStr">
        <is>
          <t>PO:COMMIT</t>
        </is>
      </c>
      <c r="O209" s="32" t="inlineStr">
        <is>
          <t>20718</t>
        </is>
      </c>
      <c r="P209" s="32" t="inlineStr">
        <is>
          <t>JAVELIN SUPPLIES LLC</t>
        </is>
      </c>
      <c r="Q209" s="32" t="n">
        <v>0</v>
      </c>
      <c r="R209" s="32" t="n">
        <v>0</v>
      </c>
      <c r="S209" s="32" t="n">
        <v>3545645.32</v>
      </c>
      <c r="T209" s="32" t="n">
        <v>0</v>
      </c>
    </row>
    <row r="210">
      <c r="A210" s="32" t="inlineStr">
        <is>
          <t>ttJTrans</t>
        </is>
      </c>
      <c r="B210" s="32" t="inlineStr">
        <is>
          <t>0-4004-05</t>
        </is>
      </c>
      <c r="C210" s="32" t="inlineStr">
        <is>
          <t>MA</t>
        </is>
      </c>
      <c r="D210" s="32" t="inlineStr">
        <is>
          <t>MA1010387</t>
        </is>
      </c>
      <c r="E210" s="32" t="inlineStr">
        <is>
          <t>MA</t>
        </is>
      </c>
      <c r="F210" s="32" t="inlineStr">
        <is>
          <t>MA1010387</t>
        </is>
      </c>
      <c r="G210" s="32" t="n">
        <v>46104</v>
      </c>
      <c r="H210" s="126" t="n">
        <v>46111</v>
      </c>
      <c r="I210" s="32" t="inlineStr">
        <is>
          <t>2</t>
        </is>
      </c>
      <c r="J210" s="32" t="inlineStr">
        <is>
          <t>0-4004-05</t>
        </is>
      </c>
      <c r="K210" s="32" t="inlineStr">
        <is>
          <t>All Equipment/Materials Less Advanced</t>
        </is>
      </c>
      <c r="L210" s="32" t="n">
        <v>1</v>
      </c>
      <c r="M210" s="32" t="n">
        <v>8273172.39</v>
      </c>
      <c r="N210" s="32" t="inlineStr">
        <is>
          <t>INVOICE:ADJ-COMMIT</t>
        </is>
      </c>
      <c r="O210" s="32" t="inlineStr">
        <is>
          <t>20718</t>
        </is>
      </c>
      <c r="P210" s="32" t="inlineStr">
        <is>
          <t>JAVELIN SUPPLIES LLC</t>
        </is>
      </c>
      <c r="Q210" s="32" t="n">
        <v>0</v>
      </c>
      <c r="R210" s="32" t="n">
        <v>0</v>
      </c>
      <c r="S210" s="32" t="n">
        <v>-3545.63</v>
      </c>
      <c r="T210" s="32" t="n">
        <v>0</v>
      </c>
    </row>
    <row r="211">
      <c r="A211" s="32" t="inlineStr">
        <is>
          <t>ttJTrans</t>
        </is>
      </c>
      <c r="B211" s="32" t="inlineStr">
        <is>
          <t>0-4004-05</t>
        </is>
      </c>
      <c r="C211" s="32" t="inlineStr">
        <is>
          <t>MA</t>
        </is>
      </c>
      <c r="D211" s="32" t="inlineStr">
        <is>
          <t>MA1010387</t>
        </is>
      </c>
      <c r="E211" s="32" t="inlineStr">
        <is>
          <t>MA</t>
        </is>
      </c>
      <c r="F211" s="32" t="inlineStr">
        <is>
          <t>MA1010387</t>
        </is>
      </c>
      <c r="G211" s="125" t="n">
        <v>46104</v>
      </c>
      <c r="H211" s="126" t="n">
        <v>46111</v>
      </c>
      <c r="I211" s="32" t="inlineStr">
        <is>
          <t>3</t>
        </is>
      </c>
      <c r="J211" s="32" t="inlineStr">
        <is>
          <t>0-4004-05</t>
        </is>
      </c>
      <c r="K211" s="32" t="inlineStr">
        <is>
          <t>All CO1 Equipment/Materials as Outlined in</t>
        </is>
      </c>
      <c r="L211" s="32" t="n">
        <v>1</v>
      </c>
      <c r="M211" s="32" t="n">
        <v>2715612.26</v>
      </c>
      <c r="N211" s="32" t="inlineStr">
        <is>
          <t>PO:COMMIT</t>
        </is>
      </c>
      <c r="O211" s="32" t="inlineStr">
        <is>
          <t>20718</t>
        </is>
      </c>
      <c r="P211" s="32" t="inlineStr">
        <is>
          <t>JAVELIN SUPPLIES LLC</t>
        </is>
      </c>
      <c r="Q211" s="32" t="n">
        <v>0</v>
      </c>
      <c r="R211" s="32" t="n">
        <v>0</v>
      </c>
      <c r="S211" s="32" t="n">
        <v>2715612.26</v>
      </c>
      <c r="T211" s="32" t="n">
        <v>0</v>
      </c>
    </row>
    <row r="212">
      <c r="A212" s="32" t="inlineStr">
        <is>
          <t>ttJTrans</t>
        </is>
      </c>
      <c r="B212" s="32" t="inlineStr">
        <is>
          <t>0-4004-05</t>
        </is>
      </c>
      <c r="C212" s="32" t="inlineStr">
        <is>
          <t>MA</t>
        </is>
      </c>
      <c r="D212" s="32" t="inlineStr">
        <is>
          <t>MA1010387</t>
        </is>
      </c>
      <c r="E212" s="32" t="inlineStr">
        <is>
          <t>MA</t>
        </is>
      </c>
      <c r="F212" s="32" t="inlineStr">
        <is>
          <t>MA1010387</t>
        </is>
      </c>
      <c r="G212" s="125" t="n">
        <v>46104</v>
      </c>
      <c r="H212" s="126" t="n">
        <v>46111</v>
      </c>
      <c r="I212" s="32" t="inlineStr">
        <is>
          <t>2</t>
        </is>
      </c>
      <c r="J212" s="32" t="inlineStr">
        <is>
          <t>0-4004-05</t>
        </is>
      </c>
      <c r="K212" s="32" t="inlineStr">
        <is>
          <t>All Equipment/Materials Less Advanced</t>
        </is>
      </c>
      <c r="L212" s="32" t="n">
        <v>1</v>
      </c>
      <c r="M212" s="32" t="n">
        <v>8273172.39</v>
      </c>
      <c r="N212" s="32" t="inlineStr">
        <is>
          <t>PO:COMMIT</t>
        </is>
      </c>
      <c r="O212" s="32" t="inlineStr">
        <is>
          <t>20718</t>
        </is>
      </c>
      <c r="P212" s="32" t="inlineStr">
        <is>
          <t>JAVELIN SUPPLIES LLC</t>
        </is>
      </c>
      <c r="Q212" s="32" t="n">
        <v>0</v>
      </c>
      <c r="R212" s="32" t="n">
        <v>0</v>
      </c>
      <c r="S212" s="32" t="n">
        <v>8273172.39</v>
      </c>
      <c r="T212" s="32" t="n">
        <v>0</v>
      </c>
    </row>
    <row r="213">
      <c r="A213" s="32" t="inlineStr">
        <is>
          <t>ttJTrans</t>
        </is>
      </c>
      <c r="B213" s="32" t="inlineStr">
        <is>
          <t>0-4004-05</t>
        </is>
      </c>
      <c r="C213" s="32" t="inlineStr">
        <is>
          <t>MA</t>
        </is>
      </c>
      <c r="D213" s="32" t="inlineStr">
        <is>
          <t>MA1010387</t>
        </is>
      </c>
      <c r="E213" s="32" t="inlineStr">
        <is>
          <t>MA</t>
        </is>
      </c>
      <c r="F213" s="32" t="inlineStr">
        <is>
          <t>MA1010387</t>
        </is>
      </c>
      <c r="G213" s="125" t="n">
        <v>46104</v>
      </c>
      <c r="H213" s="126" t="n">
        <v>46111</v>
      </c>
      <c r="I213" s="32" t="inlineStr">
        <is>
          <t>1</t>
        </is>
      </c>
      <c r="J213" s="32" t="inlineStr">
        <is>
          <t>0-4004-05</t>
        </is>
      </c>
      <c r="K213" s="32" t="inlineStr">
        <is>
          <t>30% Deposit for Equipment and Materials as</t>
        </is>
      </c>
      <c r="L213" s="32" t="n">
        <v>1</v>
      </c>
      <c r="M213" s="32" t="n">
        <v>3545645.32</v>
      </c>
      <c r="N213" s="32" t="inlineStr">
        <is>
          <t>INVOICE:ADJ-COMMIT</t>
        </is>
      </c>
      <c r="O213" s="32" t="inlineStr">
        <is>
          <t>20718</t>
        </is>
      </c>
      <c r="P213" s="32" t="inlineStr">
        <is>
          <t>JAVELIN SUPPLIES LLC</t>
        </is>
      </c>
      <c r="Q213" s="32" t="n">
        <v>0</v>
      </c>
      <c r="R213" s="32" t="n">
        <v>0</v>
      </c>
      <c r="S213" s="32" t="n">
        <v>-3545645.32</v>
      </c>
      <c r="T213" s="32" t="n">
        <v>0</v>
      </c>
    </row>
    <row r="214">
      <c r="A214" s="32" t="inlineStr">
        <is>
          <t>ttJTrans</t>
        </is>
      </c>
      <c r="B214" s="32" t="inlineStr">
        <is>
          <t>0-4004-05</t>
        </is>
      </c>
      <c r="C214" s="32" t="inlineStr">
        <is>
          <t>MA</t>
        </is>
      </c>
      <c r="D214" s="32" t="inlineStr">
        <is>
          <t>MA1010387</t>
        </is>
      </c>
      <c r="E214" s="32" t="inlineStr">
        <is>
          <t>MA</t>
        </is>
      </c>
      <c r="F214" s="32" t="inlineStr">
        <is>
          <t>MA1010387</t>
        </is>
      </c>
      <c r="G214" s="125" t="n">
        <v>46104</v>
      </c>
      <c r="H214" s="126" t="n">
        <v>46111</v>
      </c>
      <c r="I214" s="32" t="inlineStr">
        <is>
          <t>3</t>
        </is>
      </c>
      <c r="J214" s="32" t="inlineStr">
        <is>
          <t>0-4004-05</t>
        </is>
      </c>
      <c r="K214" s="32" t="inlineStr">
        <is>
          <t>All CO1 Equipment/Materials as Outlined in</t>
        </is>
      </c>
      <c r="L214" s="32" t="n">
        <v>1</v>
      </c>
      <c r="M214" s="32" t="n">
        <v>2715612.26</v>
      </c>
      <c r="N214" s="32" t="inlineStr">
        <is>
          <t>INVOICE:ADJ-COMMIT</t>
        </is>
      </c>
      <c r="O214" s="32" t="inlineStr">
        <is>
          <t>20718</t>
        </is>
      </c>
      <c r="P214" s="32" t="inlineStr">
        <is>
          <t>JAVELIN SUPPLIES LLC</t>
        </is>
      </c>
      <c r="Q214" s="32" t="n">
        <v>0</v>
      </c>
      <c r="R214" s="32" t="n">
        <v>0</v>
      </c>
      <c r="S214" s="32" t="n">
        <v>-895672.33</v>
      </c>
      <c r="T214" s="32" t="n">
        <v>0</v>
      </c>
    </row>
    <row r="215">
      <c r="A215" s="32" t="inlineStr">
        <is>
          <t>ttJTrans</t>
        </is>
      </c>
      <c r="B215" s="32" t="inlineStr">
        <is>
          <t>0-4004-05</t>
        </is>
      </c>
      <c r="C215" s="32" t="inlineStr">
        <is>
          <t>MA</t>
        </is>
      </c>
      <c r="D215" s="32" t="inlineStr">
        <is>
          <t>MA1010787</t>
        </is>
      </c>
      <c r="E215" s="32" t="inlineStr">
        <is>
          <t>MA</t>
        </is>
      </c>
      <c r="F215" s="32" t="inlineStr">
        <is>
          <t>MA1010787</t>
        </is>
      </c>
      <c r="G215" s="125" t="n">
        <v>46169</v>
      </c>
      <c r="H215" s="126" t="inlineStr"/>
      <c r="I215" s="32" t="inlineStr">
        <is>
          <t>2</t>
        </is>
      </c>
      <c r="J215" s="32" t="inlineStr">
        <is>
          <t>0-4004-05</t>
        </is>
      </c>
      <c r="K215" s="32" t="inlineStr">
        <is>
          <t>All Equipment/Material Less 10% Advanced</t>
        </is>
      </c>
      <c r="L215" s="32" t="n">
        <v>1</v>
      </c>
      <c r="M215" s="32" t="n">
        <v>4901027.07</v>
      </c>
      <c r="N215" s="32" t="inlineStr">
        <is>
          <t>PO:COMMIT</t>
        </is>
      </c>
      <c r="O215" s="32" t="inlineStr">
        <is>
          <t>19974</t>
        </is>
      </c>
      <c r="P215" s="32" t="inlineStr">
        <is>
          <t>KBI COSMOLINK CO., LTD.</t>
        </is>
      </c>
      <c r="Q215" s="32" t="n">
        <v>0</v>
      </c>
      <c r="R215" s="32" t="n">
        <v>0</v>
      </c>
      <c r="S215" s="32" t="n">
        <v>4901027.07</v>
      </c>
      <c r="T215" s="32" t="n">
        <v>0</v>
      </c>
    </row>
    <row r="216">
      <c r="A216" s="32" t="inlineStr">
        <is>
          <t>ttJTrans</t>
        </is>
      </c>
      <c r="B216" s="32" t="inlineStr">
        <is>
          <t>0-4004-05</t>
        </is>
      </c>
      <c r="C216" s="32" t="inlineStr">
        <is>
          <t>MA</t>
        </is>
      </c>
      <c r="D216" s="32" t="inlineStr">
        <is>
          <t>MA1010787</t>
        </is>
      </c>
      <c r="E216" s="32" t="inlineStr">
        <is>
          <t>MA</t>
        </is>
      </c>
      <c r="F216" s="32" t="inlineStr">
        <is>
          <t>MA1010787</t>
        </is>
      </c>
      <c r="G216" s="32" t="n">
        <v>46169</v>
      </c>
      <c r="H216" s="126" t="inlineStr"/>
      <c r="I216" s="32" t="inlineStr">
        <is>
          <t>1</t>
        </is>
      </c>
      <c r="J216" s="32" t="inlineStr">
        <is>
          <t>0-4004-05</t>
        </is>
      </c>
      <c r="K216" s="32" t="inlineStr">
        <is>
          <t>10% Deposit for Equipment/Material as</t>
        </is>
      </c>
      <c r="L216" s="32" t="n">
        <v>1</v>
      </c>
      <c r="M216" s="32" t="n">
        <v>544558.5600000001</v>
      </c>
      <c r="N216" s="32" t="inlineStr">
        <is>
          <t>INVOICE:ADJ-COMMIT</t>
        </is>
      </c>
      <c r="O216" s="32" t="inlineStr">
        <is>
          <t>19974</t>
        </is>
      </c>
      <c r="P216" s="32" t="inlineStr">
        <is>
          <t>KBI COSMOLINK CO., LTD.</t>
        </is>
      </c>
      <c r="Q216" s="32" t="n">
        <v>0</v>
      </c>
      <c r="R216" s="32" t="n">
        <v>0</v>
      </c>
      <c r="S216" s="32" t="n">
        <v>-544558.5600000001</v>
      </c>
      <c r="T216" s="32" t="n">
        <v>0</v>
      </c>
    </row>
    <row r="217">
      <c r="A217" s="32" t="inlineStr">
        <is>
          <t>ttJTrans</t>
        </is>
      </c>
      <c r="B217" s="32" t="inlineStr">
        <is>
          <t>0-4004-05</t>
        </is>
      </c>
      <c r="C217" s="32" t="inlineStr">
        <is>
          <t>MA</t>
        </is>
      </c>
      <c r="D217" s="32" t="inlineStr">
        <is>
          <t>MA1010787</t>
        </is>
      </c>
      <c r="E217" s="32" t="inlineStr">
        <is>
          <t>MA</t>
        </is>
      </c>
      <c r="F217" s="32" t="inlineStr">
        <is>
          <t>MA1010787</t>
        </is>
      </c>
      <c r="G217" s="32" t="n">
        <v>46169</v>
      </c>
      <c r="H217" s="126" t="inlineStr"/>
      <c r="I217" s="32" t="inlineStr">
        <is>
          <t>1</t>
        </is>
      </c>
      <c r="J217" s="32" t="inlineStr">
        <is>
          <t>0-4004-05</t>
        </is>
      </c>
      <c r="K217" s="32" t="inlineStr">
        <is>
          <t>10% Deposit for Equipment/Material as</t>
        </is>
      </c>
      <c r="L217" s="32" t="n">
        <v>1</v>
      </c>
      <c r="M217" s="32" t="n">
        <v>544558.5600000001</v>
      </c>
      <c r="N217" s="32" t="inlineStr">
        <is>
          <t>PO:COMMIT</t>
        </is>
      </c>
      <c r="O217" s="32" t="inlineStr">
        <is>
          <t>19974</t>
        </is>
      </c>
      <c r="P217" s="32" t="inlineStr">
        <is>
          <t>KBI COSMOLINK CO., LTD.</t>
        </is>
      </c>
      <c r="Q217" s="32" t="n">
        <v>0</v>
      </c>
      <c r="R217" s="32" t="n">
        <v>0</v>
      </c>
      <c r="S217" s="32" t="n">
        <v>544558.5600000001</v>
      </c>
      <c r="T217" s="32" t="n">
        <v>0</v>
      </c>
    </row>
    <row r="218">
      <c r="A218" s="32" t="inlineStr">
        <is>
          <t>ttJTrans</t>
        </is>
      </c>
      <c r="B218" s="32" t="inlineStr">
        <is>
          <t>0-4004-05</t>
        </is>
      </c>
      <c r="C218" s="32" t="inlineStr">
        <is>
          <t>MA</t>
        </is>
      </c>
      <c r="D218" s="32" t="inlineStr">
        <is>
          <t>MA1010787</t>
        </is>
      </c>
      <c r="E218" s="32" t="inlineStr">
        <is>
          <t>MA</t>
        </is>
      </c>
      <c r="F218" s="32" t="inlineStr">
        <is>
          <t>MA1010787</t>
        </is>
      </c>
      <c r="G218" s="32" t="n">
        <v>46169</v>
      </c>
      <c r="H218" s="126" t="n">
        <v>46125</v>
      </c>
      <c r="I218" s="32" t="inlineStr">
        <is>
          <t>1</t>
        </is>
      </c>
      <c r="J218" s="32" t="inlineStr">
        <is>
          <t>0-4004-05</t>
        </is>
      </c>
      <c r="K218" s="32" t="inlineStr">
        <is>
          <t>10% Deposit for Equipment/Material as</t>
        </is>
      </c>
      <c r="L218" s="32" t="n">
        <v>1</v>
      </c>
      <c r="M218" s="32" t="n">
        <v>544558.5600000001</v>
      </c>
      <c r="N218" s="32" t="inlineStr">
        <is>
          <t>INVOICE</t>
        </is>
      </c>
      <c r="O218" s="32" t="inlineStr">
        <is>
          <t>19974</t>
        </is>
      </c>
      <c r="P218" s="32" t="inlineStr">
        <is>
          <t>KBI COSMOLINK CO., LTD.</t>
        </is>
      </c>
      <c r="Q218" s="32" t="n">
        <v>0</v>
      </c>
      <c r="R218" s="32" t="n">
        <v>0</v>
      </c>
      <c r="S218" s="32" t="n">
        <v>0</v>
      </c>
      <c r="T218" s="32" t="n">
        <v>0</v>
      </c>
    </row>
    <row r="219">
      <c r="A219" s="32" t="inlineStr">
        <is>
          <t>ttJTrans</t>
        </is>
      </c>
      <c r="B219" s="32" t="inlineStr">
        <is>
          <t>0-4004-05</t>
        </is>
      </c>
      <c r="C219" s="32" t="inlineStr">
        <is>
          <t>MA</t>
        </is>
      </c>
      <c r="D219" s="32" t="inlineStr">
        <is>
          <t>MA1011688</t>
        </is>
      </c>
      <c r="E219" s="32" t="inlineStr">
        <is>
          <t>MA</t>
        </is>
      </c>
      <c r="F219" s="32" t="inlineStr">
        <is>
          <t>MA1011688</t>
        </is>
      </c>
      <c r="G219" s="32" t="n">
        <v>46168</v>
      </c>
      <c r="H219" s="126" t="n">
        <v>46162</v>
      </c>
      <c r="I219" s="32" t="inlineStr">
        <is>
          <t>5</t>
        </is>
      </c>
      <c r="J219" s="32" t="inlineStr">
        <is>
          <t>0-4004-05</t>
        </is>
      </c>
      <c r="K219" s="32" t="inlineStr">
        <is>
          <t>SUBSTATION: 7510 - Ground Rod, Copper Coated,</t>
        </is>
      </c>
      <c r="L219" s="32" t="n">
        <v>70</v>
      </c>
      <c r="M219" s="32" t="n">
        <v>2680.65</v>
      </c>
      <c r="N219" s="32" t="inlineStr">
        <is>
          <t>INVOICE</t>
        </is>
      </c>
      <c r="O219" s="32" t="inlineStr">
        <is>
          <t>18867</t>
        </is>
      </c>
      <c r="P219" s="32" t="inlineStr">
        <is>
          <t>REXEL USA, INC.</t>
        </is>
      </c>
      <c r="Q219" s="32" t="n">
        <v>0</v>
      </c>
      <c r="R219" s="32" t="n">
        <v>0</v>
      </c>
      <c r="S219" s="32" t="n">
        <v>0</v>
      </c>
      <c r="T219" s="32" t="n">
        <v>0</v>
      </c>
    </row>
    <row r="220">
      <c r="A220" s="32" t="inlineStr">
        <is>
          <t>ttJTrans</t>
        </is>
      </c>
      <c r="B220" s="32" t="inlineStr">
        <is>
          <t>0-4004-05</t>
        </is>
      </c>
      <c r="C220" s="32" t="inlineStr">
        <is>
          <t>MA</t>
        </is>
      </c>
      <c r="D220" s="32" t="inlineStr">
        <is>
          <t>MA1011688</t>
        </is>
      </c>
      <c r="E220" s="32" t="inlineStr">
        <is>
          <t>MA</t>
        </is>
      </c>
      <c r="F220" s="32" t="inlineStr">
        <is>
          <t>MA1011688</t>
        </is>
      </c>
      <c r="G220" s="32" t="n">
        <v>46168</v>
      </c>
      <c r="H220" s="126" t="inlineStr"/>
      <c r="I220" s="32" t="inlineStr">
        <is>
          <t>6</t>
        </is>
      </c>
      <c r="J220" s="32" t="inlineStr">
        <is>
          <t>0-4004-05</t>
        </is>
      </c>
      <c r="K220" s="32" t="inlineStr">
        <is>
          <t>SUBSTATION: 2 AWG Soft Drawn Solid Bare</t>
        </is>
      </c>
      <c r="L220" s="32" t="n">
        <v>1500</v>
      </c>
      <c r="M220" s="32" t="n">
        <v>3604.76</v>
      </c>
      <c r="N220" s="32" t="inlineStr">
        <is>
          <t>PO:COMMIT</t>
        </is>
      </c>
      <c r="O220" s="32" t="inlineStr">
        <is>
          <t>18867</t>
        </is>
      </c>
      <c r="P220" s="32" t="inlineStr">
        <is>
          <t>REXEL USA, INC.</t>
        </is>
      </c>
      <c r="Q220" s="32" t="n">
        <v>3604.76</v>
      </c>
      <c r="R220" s="32" t="n">
        <v>0</v>
      </c>
      <c r="S220" s="32" t="n">
        <v>0</v>
      </c>
      <c r="T220" s="32" t="n">
        <v>0</v>
      </c>
    </row>
    <row r="221">
      <c r="A221" s="32" t="inlineStr">
        <is>
          <t>ttJTrans</t>
        </is>
      </c>
      <c r="B221" s="32" t="inlineStr">
        <is>
          <t>0-4004-05</t>
        </is>
      </c>
      <c r="C221" s="32" t="inlineStr">
        <is>
          <t>MA</t>
        </is>
      </c>
      <c r="D221" s="32" t="inlineStr">
        <is>
          <t>MA1011688</t>
        </is>
      </c>
      <c r="E221" s="32" t="inlineStr">
        <is>
          <t>MA</t>
        </is>
      </c>
      <c r="F221" s="32" t="inlineStr">
        <is>
          <t>MA1011688</t>
        </is>
      </c>
      <c r="G221" s="32" t="n">
        <v>46168</v>
      </c>
      <c r="H221" s="126" t="inlineStr"/>
      <c r="I221" s="32" t="inlineStr">
        <is>
          <t>4</t>
        </is>
      </c>
      <c r="J221" s="32" t="inlineStr">
        <is>
          <t>0-4004-05</t>
        </is>
      </c>
      <c r="K221" s="32" t="inlineStr">
        <is>
          <t>SUBSTATION: YGHC34C29 - 300-500 TO 3/0-250</t>
        </is>
      </c>
      <c r="L221" s="32" t="n">
        <v>190</v>
      </c>
      <c r="M221" s="32" t="n">
        <v>4534.35</v>
      </c>
      <c r="N221" s="32" t="inlineStr">
        <is>
          <t>PO:COMMIT</t>
        </is>
      </c>
      <c r="O221" s="32" t="inlineStr">
        <is>
          <t>18867</t>
        </is>
      </c>
      <c r="P221" s="32" t="inlineStr">
        <is>
          <t>REXEL USA, INC.</t>
        </is>
      </c>
      <c r="Q221" s="32" t="n">
        <v>4534.35</v>
      </c>
      <c r="R221" s="32" t="n">
        <v>0</v>
      </c>
      <c r="S221" s="32" t="n">
        <v>0</v>
      </c>
      <c r="T221" s="32" t="n">
        <v>0</v>
      </c>
    </row>
    <row r="222">
      <c r="A222" s="32" t="inlineStr">
        <is>
          <t>ttJTrans</t>
        </is>
      </c>
      <c r="B222" s="32" t="inlineStr">
        <is>
          <t>0-4004-05</t>
        </is>
      </c>
      <c r="C222" s="32" t="inlineStr">
        <is>
          <t>MA</t>
        </is>
      </c>
      <c r="D222" s="32" t="inlineStr">
        <is>
          <t>MA1011688</t>
        </is>
      </c>
      <c r="E222" s="32" t="inlineStr">
        <is>
          <t>MA</t>
        </is>
      </c>
      <c r="F222" s="32" t="inlineStr">
        <is>
          <t>MA1011688</t>
        </is>
      </c>
      <c r="G222" s="32" t="n">
        <v>46168</v>
      </c>
      <c r="H222" s="126" t="inlineStr"/>
      <c r="I222" s="32" t="inlineStr">
        <is>
          <t>3</t>
        </is>
      </c>
      <c r="J222" s="37" t="inlineStr">
        <is>
          <t>0-4004-05</t>
        </is>
      </c>
      <c r="K222" s="32" t="inlineStr">
        <is>
          <t>SUBSTATION: YGL29C2 - 2-250 To 6-2 Grd</t>
        </is>
      </c>
      <c r="L222" s="32" t="n">
        <v>190</v>
      </c>
      <c r="M222" s="32" t="n">
        <v>7771.67</v>
      </c>
      <c r="N222" s="32" t="inlineStr">
        <is>
          <t>PO:COMMIT</t>
        </is>
      </c>
      <c r="O222" s="32" t="inlineStr">
        <is>
          <t>18867</t>
        </is>
      </c>
      <c r="P222" s="32" t="inlineStr">
        <is>
          <t>REXEL USA, INC.</t>
        </is>
      </c>
      <c r="Q222" s="32" t="n">
        <v>7771.67</v>
      </c>
      <c r="R222" s="32" t="n">
        <v>0</v>
      </c>
      <c r="S222" s="32" t="n">
        <v>0</v>
      </c>
      <c r="T222" s="32" t="n">
        <v>0</v>
      </c>
    </row>
    <row r="223">
      <c r="A223" s="32" t="inlineStr">
        <is>
          <t>ttJTrans</t>
        </is>
      </c>
      <c r="B223" s="32" t="inlineStr">
        <is>
          <t>0-4004-05</t>
        </is>
      </c>
      <c r="C223" s="32" t="inlineStr">
        <is>
          <t>MA</t>
        </is>
      </c>
      <c r="D223" s="32" t="inlineStr">
        <is>
          <t>MA1011688</t>
        </is>
      </c>
      <c r="E223" s="32" t="inlineStr">
        <is>
          <t>MA</t>
        </is>
      </c>
      <c r="F223" s="32" t="inlineStr">
        <is>
          <t>MA1011688</t>
        </is>
      </c>
      <c r="G223" s="32" t="n">
        <v>46168</v>
      </c>
      <c r="H223" s="126" t="inlineStr"/>
      <c r="I223" s="32" t="inlineStr">
        <is>
          <t>1</t>
        </is>
      </c>
      <c r="J223" s="37" t="inlineStr">
        <is>
          <t>0-4004-05</t>
        </is>
      </c>
      <c r="K223" s="32" t="inlineStr">
        <is>
          <t>SUBSTATION: YGHC29C29 - C-Tap Connector,</t>
        </is>
      </c>
      <c r="L223" s="32" t="n">
        <v>190</v>
      </c>
      <c r="M223" s="32" t="n">
        <v>2762.79</v>
      </c>
      <c r="N223" s="32" t="inlineStr">
        <is>
          <t>PO:COMMIT</t>
        </is>
      </c>
      <c r="O223" s="32" t="inlineStr">
        <is>
          <t>18867</t>
        </is>
      </c>
      <c r="P223" s="32" t="inlineStr">
        <is>
          <t>REXEL USA, INC.</t>
        </is>
      </c>
      <c r="Q223" s="32" t="n">
        <v>2762.79</v>
      </c>
      <c r="R223" s="32" t="n">
        <v>0</v>
      </c>
      <c r="S223" s="32" t="n">
        <v>0</v>
      </c>
      <c r="T223" s="32" t="n">
        <v>0</v>
      </c>
    </row>
    <row r="224">
      <c r="A224" s="32" t="inlineStr">
        <is>
          <t>ttJTrans</t>
        </is>
      </c>
      <c r="B224" s="32" t="inlineStr">
        <is>
          <t>0-4004-05</t>
        </is>
      </c>
      <c r="C224" s="32" t="inlineStr">
        <is>
          <t>MA</t>
        </is>
      </c>
      <c r="D224" s="32" t="inlineStr">
        <is>
          <t>MA1011688</t>
        </is>
      </c>
      <c r="E224" s="32" t="inlineStr">
        <is>
          <t>MA</t>
        </is>
      </c>
      <c r="F224" s="32" t="inlineStr">
        <is>
          <t>MA1011688</t>
        </is>
      </c>
      <c r="G224" s="32" t="n">
        <v>46168</v>
      </c>
      <c r="H224" s="126" t="inlineStr"/>
      <c r="I224" s="32" t="inlineStr">
        <is>
          <t>2</t>
        </is>
      </c>
      <c r="J224" s="37" t="inlineStr">
        <is>
          <t>0-4004-05</t>
        </is>
      </c>
      <c r="K224" s="32" t="inlineStr">
        <is>
          <t>SUBSTATION: YGHC29C26 - C-Tap Connector,</t>
        </is>
      </c>
      <c r="L224" s="32" t="n">
        <v>190</v>
      </c>
      <c r="M224" s="32" t="n">
        <v>2530.8</v>
      </c>
      <c r="N224" s="32" t="inlineStr">
        <is>
          <t>PO:COMMIT</t>
        </is>
      </c>
      <c r="O224" s="32" t="inlineStr">
        <is>
          <t>18867</t>
        </is>
      </c>
      <c r="P224" s="32" t="inlineStr">
        <is>
          <t>REXEL USA, INC.</t>
        </is>
      </c>
      <c r="Q224" s="32" t="n">
        <v>2530.8</v>
      </c>
      <c r="R224" s="32" t="n">
        <v>0</v>
      </c>
      <c r="S224" s="32" t="n">
        <v>0</v>
      </c>
      <c r="T224" s="32" t="n">
        <v>0</v>
      </c>
    </row>
    <row r="225">
      <c r="A225" s="32" t="inlineStr">
        <is>
          <t>ttJTrans</t>
        </is>
      </c>
      <c r="B225" s="32" t="inlineStr">
        <is>
          <t>0-4004-05</t>
        </is>
      </c>
      <c r="C225" s="32" t="inlineStr">
        <is>
          <t>MA</t>
        </is>
      </c>
      <c r="D225" s="32" t="inlineStr">
        <is>
          <t>MA1011688</t>
        </is>
      </c>
      <c r="E225" s="32" t="inlineStr">
        <is>
          <t>MA</t>
        </is>
      </c>
      <c r="F225" s="32" t="inlineStr">
        <is>
          <t>MA1011688</t>
        </is>
      </c>
      <c r="G225" s="32" t="n">
        <v>46168</v>
      </c>
      <c r="H225" s="126" t="inlineStr"/>
      <c r="I225" s="32" t="inlineStr">
        <is>
          <t>5</t>
        </is>
      </c>
      <c r="J225" s="37" t="inlineStr">
        <is>
          <t>0-4004-05</t>
        </is>
      </c>
      <c r="K225" s="32" t="inlineStr">
        <is>
          <t>SUBSTATION: 7510 - Ground Rod, Copper Coated,</t>
        </is>
      </c>
      <c r="L225" s="32" t="n">
        <v>70</v>
      </c>
      <c r="M225" s="32" t="n">
        <v>2680.65</v>
      </c>
      <c r="N225" s="32" t="inlineStr">
        <is>
          <t>INVOICE:ADJ-ACCRUAL</t>
        </is>
      </c>
      <c r="O225" s="32" t="inlineStr">
        <is>
          <t>18867</t>
        </is>
      </c>
      <c r="P225" s="32" t="inlineStr">
        <is>
          <t>REXEL USA, INC.</t>
        </is>
      </c>
      <c r="Q225" s="32" t="n">
        <v>-2680.65</v>
      </c>
      <c r="R225" s="32" t="n">
        <v>0</v>
      </c>
      <c r="S225" s="32" t="n">
        <v>0</v>
      </c>
      <c r="T225" s="32" t="n">
        <v>0</v>
      </c>
    </row>
    <row r="226">
      <c r="A226" s="32" t="inlineStr">
        <is>
          <t>ttJTrans</t>
        </is>
      </c>
      <c r="B226" s="32" t="inlineStr">
        <is>
          <t>0-4004-05</t>
        </is>
      </c>
      <c r="C226" s="32" t="inlineStr">
        <is>
          <t>MA</t>
        </is>
      </c>
      <c r="D226" s="32" t="inlineStr">
        <is>
          <t>MA1011688</t>
        </is>
      </c>
      <c r="E226" s="32" t="inlineStr">
        <is>
          <t>MA</t>
        </is>
      </c>
      <c r="F226" s="32" t="inlineStr">
        <is>
          <t>MA1011688</t>
        </is>
      </c>
      <c r="G226" s="32" t="n">
        <v>46168</v>
      </c>
      <c r="H226" s="126" t="inlineStr"/>
      <c r="I226" s="32" t="inlineStr">
        <is>
          <t>5</t>
        </is>
      </c>
      <c r="J226" s="37" t="inlineStr">
        <is>
          <t>0-4004-05</t>
        </is>
      </c>
      <c r="K226" s="32" t="inlineStr">
        <is>
          <t>SUBSTATION: 7510 - Ground Rod, Copper Coated,</t>
        </is>
      </c>
      <c r="L226" s="32" t="n">
        <v>70</v>
      </c>
      <c r="M226" s="32" t="n">
        <v>2680.65</v>
      </c>
      <c r="N226" s="32" t="inlineStr">
        <is>
          <t>PO:COMMIT</t>
        </is>
      </c>
      <c r="O226" s="32" t="inlineStr">
        <is>
          <t>18867</t>
        </is>
      </c>
      <c r="P226" s="32" t="inlineStr">
        <is>
          <t>REXEL USA, INC.</t>
        </is>
      </c>
      <c r="Q226" s="32" t="n">
        <v>2680.65</v>
      </c>
      <c r="R226" s="32" t="n">
        <v>0</v>
      </c>
      <c r="S226" s="32" t="n">
        <v>0</v>
      </c>
      <c r="T226" s="32" t="n">
        <v>0</v>
      </c>
    </row>
    <row r="227">
      <c r="A227" s="32" t="inlineStr">
        <is>
          <t>ttJTrans</t>
        </is>
      </c>
      <c r="B227" s="32" t="inlineStr">
        <is>
          <t>0-4004-05</t>
        </is>
      </c>
      <c r="C227" s="32" t="inlineStr">
        <is>
          <t>MA</t>
        </is>
      </c>
      <c r="D227" s="32" t="inlineStr">
        <is>
          <t>MA1011688</t>
        </is>
      </c>
      <c r="E227" s="32" t="inlineStr">
        <is>
          <t>MA</t>
        </is>
      </c>
      <c r="F227" s="32" t="inlineStr">
        <is>
          <t>MA1011688</t>
        </is>
      </c>
      <c r="G227" s="125" t="n">
        <v>46168</v>
      </c>
      <c r="H227" s="126" t="inlineStr"/>
      <c r="I227" s="32" t="inlineStr">
        <is>
          <t>7</t>
        </is>
      </c>
      <c r="J227" s="37" t="inlineStr">
        <is>
          <t>0-4004-05</t>
        </is>
      </c>
      <c r="K227" s="32" t="inlineStr">
        <is>
          <t>SUBSTATION: S12SOLSDBC-BK #12 SOLID BARE</t>
        </is>
      </c>
      <c r="L227" s="32" t="n">
        <v>2000</v>
      </c>
      <c r="M227" s="32" t="n">
        <v>543.9</v>
      </c>
      <c r="N227" s="32" t="inlineStr">
        <is>
          <t>PO:COMMIT</t>
        </is>
      </c>
      <c r="O227" s="32" t="inlineStr">
        <is>
          <t>18867</t>
        </is>
      </c>
      <c r="P227" s="32" t="inlineStr">
        <is>
          <t>REXEL USA, INC.</t>
        </is>
      </c>
      <c r="Q227" s="32" t="n">
        <v>543.9</v>
      </c>
      <c r="R227" s="32" t="n">
        <v>0</v>
      </c>
      <c r="S227" s="32" t="n">
        <v>0</v>
      </c>
      <c r="T227" s="32" t="n">
        <v>0</v>
      </c>
    </row>
    <row r="228">
      <c r="A228" s="32" t="inlineStr">
        <is>
          <t>ttJTrans</t>
        </is>
      </c>
      <c r="B228" s="32" t="inlineStr">
        <is>
          <t>0-4004-05</t>
        </is>
      </c>
      <c r="C228" s="32" t="inlineStr">
        <is>
          <t>MA</t>
        </is>
      </c>
      <c r="D228" s="32" t="inlineStr"/>
      <c r="E228" s="32" t="inlineStr">
        <is>
          <t>MA</t>
        </is>
      </c>
      <c r="F228" s="32" t="inlineStr"/>
      <c r="G228" s="125" t="inlineStr"/>
      <c r="H228" s="126" t="n">
        <v>46107</v>
      </c>
      <c r="I228" s="32" t="inlineStr"/>
      <c r="J228" s="37" t="inlineStr">
        <is>
          <t>0-4004-05</t>
        </is>
      </c>
      <c r="K228" s="32" t="inlineStr">
        <is>
          <t>PV Cable</t>
        </is>
      </c>
      <c r="L228" s="32" t="n">
        <v>0</v>
      </c>
      <c r="M228" s="32" t="n">
        <v>0</v>
      </c>
      <c r="N228" s="32" t="inlineStr"/>
      <c r="O228" s="32" t="inlineStr">
        <is>
          <t>20718</t>
        </is>
      </c>
      <c r="P228" s="32" t="inlineStr">
        <is>
          <t>JAVELIN SUPPLIES LLC</t>
        </is>
      </c>
      <c r="Q228" s="32" t="n">
        <v>0</v>
      </c>
      <c r="R228" s="32" t="n">
        <v>3197469.33</v>
      </c>
      <c r="S228" s="32" t="n">
        <v>0</v>
      </c>
      <c r="T228" s="32" t="n">
        <v>0</v>
      </c>
    </row>
    <row r="229">
      <c r="A229" s="32" t="inlineStr">
        <is>
          <t>ttJTrans</t>
        </is>
      </c>
      <c r="B229" s="32" t="inlineStr">
        <is>
          <t>0-4004-05</t>
        </is>
      </c>
      <c r="C229" s="32" t="inlineStr">
        <is>
          <t>MA</t>
        </is>
      </c>
      <c r="D229" s="32" t="inlineStr"/>
      <c r="E229" s="32" t="inlineStr">
        <is>
          <t>MA</t>
        </is>
      </c>
      <c r="F229" s="32" t="inlineStr"/>
      <c r="G229" s="32" t="inlineStr"/>
      <c r="H229" s="126" t="n">
        <v>46125</v>
      </c>
      <c r="I229" s="32" t="inlineStr"/>
      <c r="J229" s="37" t="inlineStr">
        <is>
          <t>0-4004-05</t>
        </is>
      </c>
      <c r="K229" s="32" t="inlineStr">
        <is>
          <t>10% DOWN PAYMENT - MV Cable</t>
        </is>
      </c>
      <c r="L229" s="32" t="n">
        <v>0</v>
      </c>
      <c r="M229" s="32" t="n">
        <v>0</v>
      </c>
      <c r="N229" s="32" t="inlineStr"/>
      <c r="O229" s="32" t="inlineStr">
        <is>
          <t>19974</t>
        </is>
      </c>
      <c r="P229" s="32" t="inlineStr">
        <is>
          <t>KBI COSMOLINK CO., LTD.</t>
        </is>
      </c>
      <c r="Q229" s="32" t="n">
        <v>0</v>
      </c>
      <c r="R229" s="32" t="n">
        <v>490593.3</v>
      </c>
      <c r="S229" s="32" t="n">
        <v>0</v>
      </c>
      <c r="T229" s="32" t="n">
        <v>0</v>
      </c>
    </row>
    <row r="230">
      <c r="A230" s="32" t="inlineStr">
        <is>
          <t>ttJTrans</t>
        </is>
      </c>
      <c r="B230" s="32" t="inlineStr">
        <is>
          <t>0-4004-05</t>
        </is>
      </c>
      <c r="C230" s="32" t="inlineStr">
        <is>
          <t>MA</t>
        </is>
      </c>
      <c r="D230" s="32" t="inlineStr"/>
      <c r="E230" s="32" t="inlineStr">
        <is>
          <t>MA</t>
        </is>
      </c>
      <c r="F230" s="32" t="inlineStr"/>
      <c r="G230" s="32" t="inlineStr"/>
      <c r="H230" s="126" t="n">
        <v>46160</v>
      </c>
      <c r="I230" s="32" t="inlineStr"/>
      <c r="J230" s="37" t="inlineStr">
        <is>
          <t>0-4004-05</t>
        </is>
      </c>
      <c r="K230" s="32" t="inlineStr">
        <is>
          <t>PV Cable</t>
        </is>
      </c>
      <c r="L230" s="32" t="n">
        <v>0</v>
      </c>
      <c r="M230" s="32" t="n">
        <v>0</v>
      </c>
      <c r="N230" s="32" t="inlineStr"/>
      <c r="O230" s="32" t="inlineStr">
        <is>
          <t>20718</t>
        </is>
      </c>
      <c r="P230" s="32" t="inlineStr">
        <is>
          <t>JAVELIN SUPPLIES LLC</t>
        </is>
      </c>
      <c r="Q230" s="32" t="n">
        <v>0</v>
      </c>
      <c r="R230" s="32" t="n">
        <v>806912</v>
      </c>
      <c r="S230" s="32" t="n">
        <v>0</v>
      </c>
      <c r="T230" s="32" t="n">
        <v>0</v>
      </c>
    </row>
    <row r="231">
      <c r="A231" s="32" t="inlineStr">
        <is>
          <t>ttJTrans</t>
        </is>
      </c>
      <c r="B231" s="32" t="inlineStr">
        <is>
          <t>0-4004-05</t>
        </is>
      </c>
      <c r="C231" s="32" t="inlineStr">
        <is>
          <t>MA</t>
        </is>
      </c>
      <c r="D231" s="32" t="inlineStr"/>
      <c r="E231" s="32" t="inlineStr">
        <is>
          <t>MA</t>
        </is>
      </c>
      <c r="F231" s="32" t="inlineStr"/>
      <c r="G231" s="32" t="inlineStr"/>
      <c r="H231" s="126" t="n">
        <v>46159</v>
      </c>
      <c r="I231" s="32" t="inlineStr"/>
      <c r="J231" s="37" t="inlineStr">
        <is>
          <t>0-4004-05</t>
        </is>
      </c>
      <c r="K231" s="32" t="inlineStr">
        <is>
          <t>10FT COPPER GROUND ROD PN:257145</t>
        </is>
      </c>
      <c r="L231" s="32" t="n">
        <v>0</v>
      </c>
      <c r="M231" s="32" t="n">
        <v>0</v>
      </c>
      <c r="N231" s="32" t="inlineStr"/>
      <c r="O231" s="32" t="inlineStr">
        <is>
          <t>18867</t>
        </is>
      </c>
      <c r="P231" s="32" t="inlineStr">
        <is>
          <t>REXEL USA, INC.</t>
        </is>
      </c>
      <c r="Q231" s="32" t="n">
        <v>0</v>
      </c>
      <c r="R231" s="32" t="n">
        <v>2578.01</v>
      </c>
      <c r="S231" s="32" t="n">
        <v>0</v>
      </c>
      <c r="T231" s="32" t="n">
        <v>0</v>
      </c>
    </row>
    <row r="232">
      <c r="A232" s="32" t="inlineStr">
        <is>
          <t>ttJTrans</t>
        </is>
      </c>
      <c r="B232" s="32" t="inlineStr">
        <is>
          <t>0-4004-05</t>
        </is>
      </c>
      <c r="C232" s="32" t="inlineStr">
        <is>
          <t>OC</t>
        </is>
      </c>
      <c r="D232" s="32" t="inlineStr">
        <is>
          <t>MA1010787</t>
        </is>
      </c>
      <c r="E232" s="32" t="inlineStr">
        <is>
          <t>OC</t>
        </is>
      </c>
      <c r="F232" s="32" t="inlineStr">
        <is>
          <t>MA1010787</t>
        </is>
      </c>
      <c r="G232" s="32" t="n">
        <v>46169</v>
      </c>
      <c r="H232" s="126" t="inlineStr"/>
      <c r="I232" s="32" t="inlineStr">
        <is>
          <t>3</t>
        </is>
      </c>
      <c r="J232" s="37" t="inlineStr">
        <is>
          <t>0-4004-05</t>
        </is>
      </c>
      <c r="K232" s="32" t="inlineStr">
        <is>
          <t>Tariff Cost as Outlined in Attachment A</t>
        </is>
      </c>
      <c r="L232" s="32" t="n">
        <v>1</v>
      </c>
      <c r="M232" s="32" t="n">
        <v>1033828.47</v>
      </c>
      <c r="N232" s="32" t="inlineStr">
        <is>
          <t>PO:COMMIT</t>
        </is>
      </c>
      <c r="O232" s="32" t="inlineStr">
        <is>
          <t>19974</t>
        </is>
      </c>
      <c r="P232" s="32" t="inlineStr">
        <is>
          <t>KBI COSMOLINK CO., LTD.</t>
        </is>
      </c>
      <c r="Q232" s="32" t="n">
        <v>0</v>
      </c>
      <c r="R232" s="32" t="n">
        <v>0</v>
      </c>
      <c r="S232" s="32" t="n">
        <v>1033828.47</v>
      </c>
      <c r="T232" s="32" t="n">
        <v>0</v>
      </c>
    </row>
    <row r="233">
      <c r="A233" s="32" t="inlineStr">
        <is>
          <t>ttJTrans</t>
        </is>
      </c>
      <c r="B233" s="32" t="inlineStr">
        <is>
          <t>0-4005</t>
        </is>
      </c>
      <c r="C233" s="32" t="inlineStr">
        <is>
          <t>LA</t>
        </is>
      </c>
      <c r="D233" s="32" t="inlineStr"/>
      <c r="E233" s="32" t="inlineStr">
        <is>
          <t>LA</t>
        </is>
      </c>
      <c r="F233" s="32" t="inlineStr"/>
      <c r="G233" s="32" t="inlineStr"/>
      <c r="H233" s="126" t="n">
        <v>46156</v>
      </c>
      <c r="I233" s="32" t="inlineStr"/>
      <c r="J233" s="37" t="inlineStr">
        <is>
          <t>0-4005</t>
        </is>
      </c>
      <c r="K233" s="32" t="inlineStr">
        <is>
          <t>PR P0COST 000530 (PR) Summary</t>
        </is>
      </c>
      <c r="L233" s="32" t="n">
        <v>0</v>
      </c>
      <c r="M233" s="32" t="n">
        <v>0</v>
      </c>
      <c r="N233" s="32" t="inlineStr"/>
      <c r="O233" s="32" t="inlineStr"/>
      <c r="P233" s="32" t="inlineStr"/>
      <c r="Q233" s="32" t="n">
        <v>0</v>
      </c>
      <c r="R233" s="32" t="n">
        <v>881.29</v>
      </c>
      <c r="S233" s="32" t="n">
        <v>0</v>
      </c>
      <c r="T233" s="32" t="n">
        <v>16</v>
      </c>
    </row>
    <row r="234">
      <c r="A234" s="32" t="inlineStr">
        <is>
          <t>ttJTrans</t>
        </is>
      </c>
      <c r="B234" s="32" t="inlineStr">
        <is>
          <t>0-4004-10</t>
        </is>
      </c>
      <c r="C234" s="32" t="inlineStr">
        <is>
          <t>MA</t>
        </is>
      </c>
      <c r="D234" s="32" t="inlineStr">
        <is>
          <t>MA1011628</t>
        </is>
      </c>
      <c r="E234" s="32" t="inlineStr">
        <is>
          <t>MA</t>
        </is>
      </c>
      <c r="F234" s="32" t="inlineStr">
        <is>
          <t>MA1011628</t>
        </is>
      </c>
      <c r="G234" s="32" t="n">
        <v>46146</v>
      </c>
      <c r="H234" s="126" t="n">
        <v>46147</v>
      </c>
      <c r="I234" s="32" t="inlineStr">
        <is>
          <t>6</t>
        </is>
      </c>
      <c r="J234" s="37" t="inlineStr">
        <is>
          <t>0-4004-10</t>
        </is>
      </c>
      <c r="K234" s="32" t="inlineStr">
        <is>
          <t>4FT STAKES - 1IN X 2IN X 48IN</t>
        </is>
      </c>
      <c r="L234" s="32" t="n">
        <v>1000</v>
      </c>
      <c r="M234" s="32" t="n">
        <v>3074.7</v>
      </c>
      <c r="N234" s="32" t="inlineStr">
        <is>
          <t>INVOICE:ADJ-COMMIT</t>
        </is>
      </c>
      <c r="O234" s="32" t="inlineStr">
        <is>
          <t>20581</t>
        </is>
      </c>
      <c r="P234" s="32" t="inlineStr">
        <is>
          <t>THE REYNOLDS COMPANY</t>
        </is>
      </c>
      <c r="Q234" s="32" t="n">
        <v>0</v>
      </c>
      <c r="R234" s="32" t="n">
        <v>0</v>
      </c>
      <c r="S234" s="32" t="n">
        <v>-3074.7</v>
      </c>
      <c r="T234" s="32" t="n">
        <v>0</v>
      </c>
    </row>
    <row r="235">
      <c r="A235" s="32" t="inlineStr">
        <is>
          <t>ttJTrans</t>
        </is>
      </c>
      <c r="B235" s="32" t="inlineStr">
        <is>
          <t>0-4004-10</t>
        </is>
      </c>
      <c r="C235" s="32" t="inlineStr">
        <is>
          <t>MA</t>
        </is>
      </c>
      <c r="D235" s="32" t="inlineStr">
        <is>
          <t>MA1011628</t>
        </is>
      </c>
      <c r="E235" s="32" t="inlineStr">
        <is>
          <t>MA</t>
        </is>
      </c>
      <c r="F235" s="32" t="inlineStr">
        <is>
          <t>MA1011628</t>
        </is>
      </c>
      <c r="G235" s="32" t="n">
        <v>46146</v>
      </c>
      <c r="H235" s="126" t="n">
        <v>46147</v>
      </c>
      <c r="I235" s="32" t="inlineStr">
        <is>
          <t>5</t>
        </is>
      </c>
      <c r="J235" s="37" t="inlineStr">
        <is>
          <t>0-4004-10</t>
        </is>
      </c>
      <c r="K235" s="32" t="inlineStr">
        <is>
          <t>42-101 - NON-DETECTABLE UNDERGROUND TAPE -</t>
        </is>
      </c>
      <c r="L235" s="32" t="n">
        <v>50</v>
      </c>
      <c r="M235" s="32" t="n">
        <v>2418.14</v>
      </c>
      <c r="N235" s="32" t="inlineStr">
        <is>
          <t>INVOICE:ADJ-COMMIT</t>
        </is>
      </c>
      <c r="O235" s="32" t="inlineStr">
        <is>
          <t>20581</t>
        </is>
      </c>
      <c r="P235" s="32" t="inlineStr">
        <is>
          <t>THE REYNOLDS COMPANY</t>
        </is>
      </c>
      <c r="Q235" s="32" t="n">
        <v>0</v>
      </c>
      <c r="R235" s="32" t="n">
        <v>0</v>
      </c>
      <c r="S235" s="32" t="n">
        <v>-2321.41</v>
      </c>
      <c r="T235" s="32" t="n">
        <v>0</v>
      </c>
    </row>
    <row r="236">
      <c r="A236" s="32" t="inlineStr">
        <is>
          <t>ttJTrans</t>
        </is>
      </c>
      <c r="B236" s="32" t="inlineStr">
        <is>
          <t>0-4004-10</t>
        </is>
      </c>
      <c r="C236" s="32" t="inlineStr">
        <is>
          <t>MA</t>
        </is>
      </c>
      <c r="D236" s="32" t="inlineStr">
        <is>
          <t>MA1011628</t>
        </is>
      </c>
      <c r="E236" s="32" t="inlineStr">
        <is>
          <t>MA</t>
        </is>
      </c>
      <c r="F236" s="32" t="inlineStr">
        <is>
          <t>MA1011628</t>
        </is>
      </c>
      <c r="G236" s="32" t="n">
        <v>46146</v>
      </c>
      <c r="H236" s="126" t="n">
        <v>46147</v>
      </c>
      <c r="I236" s="32" t="inlineStr">
        <is>
          <t>5</t>
        </is>
      </c>
      <c r="J236" s="37" t="inlineStr">
        <is>
          <t>0-4004-10</t>
        </is>
      </c>
      <c r="K236" s="32" t="inlineStr">
        <is>
          <t>42-101 - NON-DETECTABLE UNDERGROUND TAPE -</t>
        </is>
      </c>
      <c r="L236" s="32" t="n">
        <v>50</v>
      </c>
      <c r="M236" s="32" t="n">
        <v>2418.14</v>
      </c>
      <c r="N236" s="32" t="inlineStr">
        <is>
          <t>INVOICE:ADJ-COMMIT</t>
        </is>
      </c>
      <c r="O236" s="32" t="inlineStr">
        <is>
          <t>20581</t>
        </is>
      </c>
      <c r="P236" s="32" t="inlineStr">
        <is>
          <t>THE REYNOLDS COMPANY</t>
        </is>
      </c>
      <c r="Q236" s="32" t="n">
        <v>0</v>
      </c>
      <c r="R236" s="32" t="n">
        <v>0</v>
      </c>
      <c r="S236" s="32" t="n">
        <v>-96.73</v>
      </c>
      <c r="T236" s="32" t="n">
        <v>0</v>
      </c>
    </row>
    <row r="237">
      <c r="A237" s="32" t="inlineStr">
        <is>
          <t>ttJTrans</t>
        </is>
      </c>
      <c r="B237" s="32" t="inlineStr">
        <is>
          <t>0-4004-10</t>
        </is>
      </c>
      <c r="C237" s="32" t="inlineStr">
        <is>
          <t>MA</t>
        </is>
      </c>
      <c r="D237" s="32" t="inlineStr">
        <is>
          <t>MA1011628</t>
        </is>
      </c>
      <c r="E237" s="32" t="inlineStr">
        <is>
          <t>MA</t>
        </is>
      </c>
      <c r="F237" s="32" t="inlineStr">
        <is>
          <t>MA1011628</t>
        </is>
      </c>
      <c r="G237" s="32" t="n">
        <v>46146</v>
      </c>
      <c r="H237" s="126" t="n">
        <v>46147</v>
      </c>
      <c r="I237" s="32" t="inlineStr">
        <is>
          <t>2</t>
        </is>
      </c>
      <c r="J237" s="37" t="inlineStr">
        <is>
          <t>0-4004-10</t>
        </is>
      </c>
      <c r="K237" s="32" t="inlineStr">
        <is>
          <t>78885 - CEMC20 QUART PVC SOLVENT CEMENT LOW</t>
        </is>
      </c>
      <c r="L237" s="32" t="n">
        <v>240</v>
      </c>
      <c r="M237" s="32" t="n">
        <v>3226.1</v>
      </c>
      <c r="N237" s="32" t="inlineStr">
        <is>
          <t>PO:COMMIT</t>
        </is>
      </c>
      <c r="O237" s="32" t="inlineStr">
        <is>
          <t>20581</t>
        </is>
      </c>
      <c r="P237" s="32" t="inlineStr">
        <is>
          <t>THE REYNOLDS COMPANY</t>
        </is>
      </c>
      <c r="Q237" s="32" t="n">
        <v>0</v>
      </c>
      <c r="R237" s="32" t="n">
        <v>0</v>
      </c>
      <c r="S237" s="32" t="n">
        <v>3226.1</v>
      </c>
      <c r="T237" s="32" t="n">
        <v>0</v>
      </c>
    </row>
    <row r="238">
      <c r="A238" s="32" t="inlineStr">
        <is>
          <t>ttJTrans</t>
        </is>
      </c>
      <c r="B238" s="32" t="inlineStr">
        <is>
          <t>0-4004-10</t>
        </is>
      </c>
      <c r="C238" s="32" t="inlineStr">
        <is>
          <t>MA</t>
        </is>
      </c>
      <c r="D238" s="32" t="inlineStr">
        <is>
          <t>MA1011628</t>
        </is>
      </c>
      <c r="E238" s="32" t="inlineStr">
        <is>
          <t>MA</t>
        </is>
      </c>
      <c r="F238" s="32" t="inlineStr">
        <is>
          <t>MA1011628</t>
        </is>
      </c>
      <c r="G238" s="32" t="n">
        <v>46146</v>
      </c>
      <c r="H238" s="126" t="n">
        <v>46147</v>
      </c>
      <c r="I238" s="32" t="inlineStr">
        <is>
          <t>3</t>
        </is>
      </c>
      <c r="J238" s="37" t="inlineStr">
        <is>
          <t>0-4004-10</t>
        </is>
      </c>
      <c r="K238" s="32" t="inlineStr">
        <is>
          <t>77328 - EB45 3" PVC MLD END BELL SOCKET MLD</t>
        </is>
      </c>
      <c r="L238" s="32" t="n">
        <v>800</v>
      </c>
      <c r="M238" s="32" t="n">
        <v>2530.8</v>
      </c>
      <c r="N238" s="32" t="inlineStr">
        <is>
          <t>PO:COMMIT</t>
        </is>
      </c>
      <c r="O238" s="32" t="inlineStr">
        <is>
          <t>20581</t>
        </is>
      </c>
      <c r="P238" s="32" t="inlineStr">
        <is>
          <t>THE REYNOLDS COMPANY</t>
        </is>
      </c>
      <c r="Q238" s="32" t="n">
        <v>0</v>
      </c>
      <c r="R238" s="32" t="n">
        <v>0</v>
      </c>
      <c r="S238" s="32" t="n">
        <v>2530.8</v>
      </c>
      <c r="T238" s="32" t="n">
        <v>0</v>
      </c>
    </row>
    <row r="239">
      <c r="A239" s="32" t="inlineStr">
        <is>
          <t>ttJTrans</t>
        </is>
      </c>
      <c r="B239" s="32" t="inlineStr">
        <is>
          <t>0-4004-10</t>
        </is>
      </c>
      <c r="C239" s="32" t="inlineStr">
        <is>
          <t>MA</t>
        </is>
      </c>
      <c r="D239" s="32" t="inlineStr">
        <is>
          <t>MA1011628</t>
        </is>
      </c>
      <c r="E239" s="32" t="inlineStr">
        <is>
          <t>MA</t>
        </is>
      </c>
      <c r="F239" s="32" t="inlineStr">
        <is>
          <t>MA1011628</t>
        </is>
      </c>
      <c r="G239" s="32" t="n">
        <v>46146</v>
      </c>
      <c r="H239" s="126" t="n">
        <v>46147</v>
      </c>
      <c r="I239" s="32" t="inlineStr">
        <is>
          <t>4</t>
        </is>
      </c>
      <c r="J239" s="37" t="inlineStr">
        <is>
          <t>0-4004-10</t>
        </is>
      </c>
      <c r="K239" s="32" t="inlineStr">
        <is>
          <t>EWDT-8 - DUCT TAPE 8 MIL</t>
        </is>
      </c>
      <c r="L239" s="32" t="n">
        <v>50</v>
      </c>
      <c r="M239" s="32" t="n">
        <v>458.99</v>
      </c>
      <c r="N239" s="32" t="inlineStr">
        <is>
          <t>PO:COMMIT</t>
        </is>
      </c>
      <c r="O239" s="32" t="inlineStr">
        <is>
          <t>20581</t>
        </is>
      </c>
      <c r="P239" s="32" t="inlineStr">
        <is>
          <t>THE REYNOLDS COMPANY</t>
        </is>
      </c>
      <c r="Q239" s="32" t="n">
        <v>0</v>
      </c>
      <c r="R239" s="32" t="n">
        <v>0</v>
      </c>
      <c r="S239" s="32" t="n">
        <v>458.99</v>
      </c>
      <c r="T239" s="32" t="n">
        <v>0</v>
      </c>
    </row>
    <row r="240">
      <c r="A240" s="32" t="inlineStr">
        <is>
          <t>ttJTrans</t>
        </is>
      </c>
      <c r="B240" s="32" t="inlineStr">
        <is>
          <t>0-4004-10</t>
        </is>
      </c>
      <c r="C240" s="32" t="inlineStr">
        <is>
          <t>MA</t>
        </is>
      </c>
      <c r="D240" s="32" t="inlineStr">
        <is>
          <t>MA1011628</t>
        </is>
      </c>
      <c r="E240" s="32" t="inlineStr">
        <is>
          <t>MA</t>
        </is>
      </c>
      <c r="F240" s="32" t="inlineStr">
        <is>
          <t>MA1011628</t>
        </is>
      </c>
      <c r="G240" s="32" t="n">
        <v>46146</v>
      </c>
      <c r="H240" s="126" t="n">
        <v>46147</v>
      </c>
      <c r="I240" s="32" t="inlineStr">
        <is>
          <t>4</t>
        </is>
      </c>
      <c r="J240" s="37" t="inlineStr">
        <is>
          <t>0-4004-10</t>
        </is>
      </c>
      <c r="K240" s="32" t="inlineStr">
        <is>
          <t>EWDT-8 - DUCT TAPE 8 MIL</t>
        </is>
      </c>
      <c r="L240" s="32" t="n">
        <v>50</v>
      </c>
      <c r="M240" s="32" t="n">
        <v>458.99</v>
      </c>
      <c r="N240" s="32" t="inlineStr">
        <is>
          <t>INVOICE:ADJ-COMMIT</t>
        </is>
      </c>
      <c r="O240" s="32" t="inlineStr">
        <is>
          <t>20581</t>
        </is>
      </c>
      <c r="P240" s="32" t="inlineStr">
        <is>
          <t>THE REYNOLDS COMPANY</t>
        </is>
      </c>
      <c r="Q240" s="32" t="n">
        <v>0</v>
      </c>
      <c r="R240" s="32" t="n">
        <v>0</v>
      </c>
      <c r="S240" s="32" t="n">
        <v>-458.99</v>
      </c>
      <c r="T240" s="32" t="n">
        <v>0</v>
      </c>
    </row>
    <row r="241">
      <c r="A241" s="32" t="inlineStr">
        <is>
          <t>ttJTrans</t>
        </is>
      </c>
      <c r="B241" s="32" t="inlineStr">
        <is>
          <t>0-4004-10</t>
        </is>
      </c>
      <c r="C241" s="32" t="inlineStr">
        <is>
          <t>MA</t>
        </is>
      </c>
      <c r="D241" s="32" t="inlineStr">
        <is>
          <t>MA1011628</t>
        </is>
      </c>
      <c r="E241" s="32" t="inlineStr">
        <is>
          <t>MA</t>
        </is>
      </c>
      <c r="F241" s="32" t="inlineStr">
        <is>
          <t>MA1011628</t>
        </is>
      </c>
      <c r="G241" s="32" t="n">
        <v>46146</v>
      </c>
      <c r="H241" s="126" t="n">
        <v>46147</v>
      </c>
      <c r="I241" s="32" t="inlineStr">
        <is>
          <t>6</t>
        </is>
      </c>
      <c r="J241" s="37" t="inlineStr">
        <is>
          <t>0-4004-10</t>
        </is>
      </c>
      <c r="K241" s="32" t="inlineStr">
        <is>
          <t>4FT STAKES - 1IN X 2IN X 48IN</t>
        </is>
      </c>
      <c r="L241" s="32" t="n">
        <v>1000</v>
      </c>
      <c r="M241" s="32" t="n">
        <v>3074.7</v>
      </c>
      <c r="N241" s="32" t="inlineStr">
        <is>
          <t>PO:COMMIT</t>
        </is>
      </c>
      <c r="O241" s="32" t="inlineStr">
        <is>
          <t>20581</t>
        </is>
      </c>
      <c r="P241" s="32" t="inlineStr">
        <is>
          <t>THE REYNOLDS COMPANY</t>
        </is>
      </c>
      <c r="Q241" s="32" t="n">
        <v>0</v>
      </c>
      <c r="R241" s="32" t="n">
        <v>0</v>
      </c>
      <c r="S241" s="32" t="n">
        <v>3074.7</v>
      </c>
      <c r="T241" s="32" t="n">
        <v>0</v>
      </c>
    </row>
    <row r="242">
      <c r="A242" s="32" t="inlineStr">
        <is>
          <t>ttJTrans</t>
        </is>
      </c>
      <c r="B242" s="32" t="inlineStr">
        <is>
          <t>0-4004-10</t>
        </is>
      </c>
      <c r="C242" s="32" t="inlineStr">
        <is>
          <t>MA</t>
        </is>
      </c>
      <c r="D242" s="32" t="inlineStr">
        <is>
          <t>MA1011628</t>
        </is>
      </c>
      <c r="E242" s="32" t="inlineStr">
        <is>
          <t>MA</t>
        </is>
      </c>
      <c r="F242" s="32" t="inlineStr">
        <is>
          <t>MA1011628</t>
        </is>
      </c>
      <c r="G242" s="32" t="n">
        <v>46146</v>
      </c>
      <c r="H242" s="126" t="n">
        <v>46147</v>
      </c>
      <c r="I242" s="32" t="inlineStr">
        <is>
          <t>1</t>
        </is>
      </c>
      <c r="J242" s="37" t="inlineStr">
        <is>
          <t>0-4004-10</t>
        </is>
      </c>
      <c r="K242" s="32" t="inlineStr">
        <is>
          <t>P30UC - 3" x 10' PVC Conduit SCH40</t>
        </is>
      </c>
      <c r="L242" s="32" t="n">
        <v>11250</v>
      </c>
      <c r="M242" s="32" t="n">
        <v>22977</v>
      </c>
      <c r="N242" s="32" t="inlineStr">
        <is>
          <t>INVOICE:ADJ-COMMIT</t>
        </is>
      </c>
      <c r="O242" s="32" t="inlineStr">
        <is>
          <t>20581</t>
        </is>
      </c>
      <c r="P242" s="32" t="inlineStr">
        <is>
          <t>THE REYNOLDS COMPANY</t>
        </is>
      </c>
      <c r="Q242" s="32" t="n">
        <v>0</v>
      </c>
      <c r="R242" s="32" t="n">
        <v>0</v>
      </c>
      <c r="S242" s="32" t="n">
        <v>-22977</v>
      </c>
      <c r="T242" s="32" t="n">
        <v>0</v>
      </c>
    </row>
    <row r="243">
      <c r="A243" s="32" t="inlineStr">
        <is>
          <t>ttJTrans</t>
        </is>
      </c>
      <c r="B243" s="32" t="inlineStr">
        <is>
          <t>0-4004-10</t>
        </is>
      </c>
      <c r="C243" s="32" t="inlineStr">
        <is>
          <t>MA</t>
        </is>
      </c>
      <c r="D243" s="32" t="inlineStr">
        <is>
          <t>MA1011628</t>
        </is>
      </c>
      <c r="E243" s="32" t="inlineStr">
        <is>
          <t>MA</t>
        </is>
      </c>
      <c r="F243" s="32" t="inlineStr">
        <is>
          <t>MA1011628</t>
        </is>
      </c>
      <c r="G243" s="32" t="n">
        <v>46146</v>
      </c>
      <c r="H243" s="126" t="n">
        <v>46147</v>
      </c>
      <c r="I243" s="32" t="inlineStr">
        <is>
          <t>2</t>
        </is>
      </c>
      <c r="J243" s="32" t="inlineStr">
        <is>
          <t>0-4004-10</t>
        </is>
      </c>
      <c r="K243" s="32" t="inlineStr">
        <is>
          <t>78885 - CEMC20 QUART PVC SOLVENT CEMENT LOW</t>
        </is>
      </c>
      <c r="L243" s="32" t="n">
        <v>240</v>
      </c>
      <c r="M243" s="32" t="n">
        <v>3226.1</v>
      </c>
      <c r="N243" s="32" t="inlineStr">
        <is>
          <t>INVOICE:ADJ-COMMIT</t>
        </is>
      </c>
      <c r="O243" s="32" t="inlineStr">
        <is>
          <t>20581</t>
        </is>
      </c>
      <c r="P243" s="32" t="inlineStr">
        <is>
          <t>THE REYNOLDS COMPANY</t>
        </is>
      </c>
      <c r="Q243" s="32" t="n">
        <v>0</v>
      </c>
      <c r="R243" s="32" t="n">
        <v>0</v>
      </c>
      <c r="S243" s="32" t="n">
        <v>-3226.1</v>
      </c>
      <c r="T243" s="32" t="n">
        <v>0</v>
      </c>
    </row>
    <row r="244">
      <c r="A244" s="32" t="inlineStr">
        <is>
          <t>ttJTrans</t>
        </is>
      </c>
      <c r="B244" s="32" t="inlineStr">
        <is>
          <t>0-4004-10</t>
        </is>
      </c>
      <c r="C244" s="32" t="inlineStr">
        <is>
          <t>MA</t>
        </is>
      </c>
      <c r="D244" s="32" t="inlineStr">
        <is>
          <t>MA1011628</t>
        </is>
      </c>
      <c r="E244" s="32" t="inlineStr">
        <is>
          <t>MA</t>
        </is>
      </c>
      <c r="F244" s="32" t="inlineStr">
        <is>
          <t>MA1011628</t>
        </is>
      </c>
      <c r="G244" s="32" t="n">
        <v>46146</v>
      </c>
      <c r="H244" s="126" t="n">
        <v>46147</v>
      </c>
      <c r="I244" s="32" t="inlineStr">
        <is>
          <t>3</t>
        </is>
      </c>
      <c r="J244" s="32" t="inlineStr">
        <is>
          <t>0-4004-10</t>
        </is>
      </c>
      <c r="K244" s="32" t="inlineStr">
        <is>
          <t>77328 - EB45 3" PVC MLD END BELL SOCKET MLD</t>
        </is>
      </c>
      <c r="L244" s="32" t="n">
        <v>800</v>
      </c>
      <c r="M244" s="32" t="n">
        <v>2530.8</v>
      </c>
      <c r="N244" s="32" t="inlineStr">
        <is>
          <t>INVOICE:ADJ-COMMIT</t>
        </is>
      </c>
      <c r="O244" s="32" t="inlineStr">
        <is>
          <t>20581</t>
        </is>
      </c>
      <c r="P244" s="32" t="inlineStr">
        <is>
          <t>THE REYNOLDS COMPANY</t>
        </is>
      </c>
      <c r="Q244" s="32" t="n">
        <v>0</v>
      </c>
      <c r="R244" s="32" t="n">
        <v>0</v>
      </c>
      <c r="S244" s="32" t="n">
        <v>-2530.8</v>
      </c>
      <c r="T244" s="32" t="n">
        <v>0</v>
      </c>
    </row>
    <row r="245">
      <c r="A245" s="32" t="inlineStr">
        <is>
          <t>ttJTrans</t>
        </is>
      </c>
      <c r="B245" s="32" t="inlineStr">
        <is>
          <t>0-4004-10</t>
        </is>
      </c>
      <c r="C245" s="32" t="inlineStr">
        <is>
          <t>MA</t>
        </is>
      </c>
      <c r="D245" s="32" t="inlineStr">
        <is>
          <t>MA1011628</t>
        </is>
      </c>
      <c r="E245" s="32" t="inlineStr">
        <is>
          <t>MA</t>
        </is>
      </c>
      <c r="F245" s="32" t="inlineStr">
        <is>
          <t>MA1011628</t>
        </is>
      </c>
      <c r="G245" s="32" t="n">
        <v>46146</v>
      </c>
      <c r="H245" s="126" t="n">
        <v>46147</v>
      </c>
      <c r="I245" s="32" t="inlineStr">
        <is>
          <t>1</t>
        </is>
      </c>
      <c r="J245" s="32" t="inlineStr">
        <is>
          <t>0-4004-10</t>
        </is>
      </c>
      <c r="K245" s="32" t="inlineStr">
        <is>
          <t>P30UC - 3" x 10' PVC Conduit SCH40</t>
        </is>
      </c>
      <c r="L245" s="32" t="n">
        <v>11250</v>
      </c>
      <c r="M245" s="32" t="n">
        <v>22977</v>
      </c>
      <c r="N245" s="32" t="inlineStr">
        <is>
          <t>PO:COMMIT</t>
        </is>
      </c>
      <c r="O245" s="32" t="inlineStr">
        <is>
          <t>20581</t>
        </is>
      </c>
      <c r="P245" s="32" t="inlineStr">
        <is>
          <t>THE REYNOLDS COMPANY</t>
        </is>
      </c>
      <c r="Q245" s="32" t="n">
        <v>0</v>
      </c>
      <c r="R245" s="32" t="n">
        <v>0</v>
      </c>
      <c r="S245" s="32" t="n">
        <v>22977</v>
      </c>
      <c r="T245" s="32" t="n">
        <v>0</v>
      </c>
    </row>
    <row r="246">
      <c r="A246" s="32" t="inlineStr">
        <is>
          <t>ttJTrans</t>
        </is>
      </c>
      <c r="B246" s="32" t="inlineStr">
        <is>
          <t>0-4004-10</t>
        </is>
      </c>
      <c r="C246" s="32" t="inlineStr">
        <is>
          <t>MA</t>
        </is>
      </c>
      <c r="D246" s="32" t="inlineStr">
        <is>
          <t>MA1011628</t>
        </is>
      </c>
      <c r="E246" s="32" t="inlineStr">
        <is>
          <t>MA</t>
        </is>
      </c>
      <c r="F246" s="32" t="inlineStr">
        <is>
          <t>MA1011628</t>
        </is>
      </c>
      <c r="G246" s="32" t="n">
        <v>46146</v>
      </c>
      <c r="H246" s="126" t="n">
        <v>46147</v>
      </c>
      <c r="I246" s="32" t="inlineStr">
        <is>
          <t>5</t>
        </is>
      </c>
      <c r="J246" s="32" t="inlineStr">
        <is>
          <t>0-4004-10</t>
        </is>
      </c>
      <c r="K246" s="32" t="inlineStr">
        <is>
          <t>42-101 - NON-DETECTABLE UNDERGROUND TAPE -</t>
        </is>
      </c>
      <c r="L246" s="32" t="n">
        <v>50</v>
      </c>
      <c r="M246" s="32" t="n">
        <v>2418.14</v>
      </c>
      <c r="N246" s="32" t="inlineStr">
        <is>
          <t>PO:COMMIT</t>
        </is>
      </c>
      <c r="O246" s="32" t="inlineStr">
        <is>
          <t>20581</t>
        </is>
      </c>
      <c r="P246" s="32" t="inlineStr">
        <is>
          <t>THE REYNOLDS COMPANY</t>
        </is>
      </c>
      <c r="Q246" s="32" t="n">
        <v>0</v>
      </c>
      <c r="R246" s="32" t="n">
        <v>0</v>
      </c>
      <c r="S246" s="32" t="n">
        <v>2418.14</v>
      </c>
      <c r="T246" s="32" t="n">
        <v>0</v>
      </c>
    </row>
    <row r="247">
      <c r="A247" s="32" t="inlineStr">
        <is>
          <t>ttJTrans</t>
        </is>
      </c>
      <c r="B247" s="32" t="inlineStr">
        <is>
          <t>0-4004-10</t>
        </is>
      </c>
      <c r="C247" s="32" t="inlineStr">
        <is>
          <t>MA</t>
        </is>
      </c>
      <c r="D247" s="32" t="inlineStr">
        <is>
          <t>MA1011628</t>
        </is>
      </c>
      <c r="E247" s="32" t="inlineStr">
        <is>
          <t>MA</t>
        </is>
      </c>
      <c r="F247" s="32" t="inlineStr">
        <is>
          <t>MA1011628</t>
        </is>
      </c>
      <c r="G247" s="32" t="n">
        <v>46146</v>
      </c>
      <c r="H247" s="126" t="n">
        <v>46161</v>
      </c>
      <c r="I247" s="32" t="inlineStr">
        <is>
          <t>1</t>
        </is>
      </c>
      <c r="J247" s="32" t="inlineStr">
        <is>
          <t>0-4004-10</t>
        </is>
      </c>
      <c r="K247" s="32" t="inlineStr">
        <is>
          <t>P30UC - 3" x 10' PVC Conduit SCH40</t>
        </is>
      </c>
      <c r="L247" s="32" t="n">
        <v>11250</v>
      </c>
      <c r="M247" s="32" t="n">
        <v>22977</v>
      </c>
      <c r="N247" s="32" t="inlineStr">
        <is>
          <t>INVOICE</t>
        </is>
      </c>
      <c r="O247" s="32" t="inlineStr">
        <is>
          <t>20581</t>
        </is>
      </c>
      <c r="P247" s="32" t="inlineStr">
        <is>
          <t>THE REYNOLDS COMPANY</t>
        </is>
      </c>
      <c r="Q247" s="32" t="n">
        <v>0</v>
      </c>
      <c r="R247" s="32" t="n">
        <v>0</v>
      </c>
      <c r="S247" s="32" t="n">
        <v>0</v>
      </c>
      <c r="T247" s="32" t="n">
        <v>0</v>
      </c>
    </row>
    <row r="248">
      <c r="A248" s="32" t="inlineStr">
        <is>
          <t>ttJTrans</t>
        </is>
      </c>
      <c r="B248" s="32" t="inlineStr">
        <is>
          <t>0-4004-10</t>
        </is>
      </c>
      <c r="C248" s="32" t="inlineStr">
        <is>
          <t>MA</t>
        </is>
      </c>
      <c r="D248" s="32" t="inlineStr">
        <is>
          <t>MA1011628</t>
        </is>
      </c>
      <c r="E248" s="32" t="inlineStr">
        <is>
          <t>MA</t>
        </is>
      </c>
      <c r="F248" s="32" t="inlineStr">
        <is>
          <t>MA1011628</t>
        </is>
      </c>
      <c r="G248" s="32" t="n">
        <v>46146</v>
      </c>
      <c r="H248" s="126" t="n">
        <v>46156</v>
      </c>
      <c r="I248" s="32" t="inlineStr">
        <is>
          <t>6</t>
        </is>
      </c>
      <c r="J248" s="32" t="inlineStr">
        <is>
          <t>0-4004-10</t>
        </is>
      </c>
      <c r="K248" s="32" t="inlineStr">
        <is>
          <t>4FT STAKES - 1IN X 2IN X 48IN</t>
        </is>
      </c>
      <c r="L248" s="32" t="n">
        <v>1000</v>
      </c>
      <c r="M248" s="32" t="n">
        <v>3074.7</v>
      </c>
      <c r="N248" s="32" t="inlineStr">
        <is>
          <t>INVOICE</t>
        </is>
      </c>
      <c r="O248" s="32" t="inlineStr">
        <is>
          <t>20581</t>
        </is>
      </c>
      <c r="P248" s="32" t="inlineStr">
        <is>
          <t>THE REYNOLDS COMPANY</t>
        </is>
      </c>
      <c r="Q248" s="32" t="n">
        <v>0</v>
      </c>
      <c r="R248" s="32" t="n">
        <v>0</v>
      </c>
      <c r="S248" s="32" t="n">
        <v>0</v>
      </c>
      <c r="T248" s="32" t="n">
        <v>0</v>
      </c>
    </row>
    <row r="249">
      <c r="A249" s="32" t="inlineStr">
        <is>
          <t>ttJTrans</t>
        </is>
      </c>
      <c r="B249" s="32" t="inlineStr">
        <is>
          <t>0-4004-10</t>
        </is>
      </c>
      <c r="C249" s="32" t="inlineStr">
        <is>
          <t>MA</t>
        </is>
      </c>
      <c r="D249" s="32" t="inlineStr">
        <is>
          <t>MA1011628</t>
        </is>
      </c>
      <c r="E249" s="32" t="inlineStr">
        <is>
          <t>MA</t>
        </is>
      </c>
      <c r="F249" s="32" t="inlineStr">
        <is>
          <t>MA1011628</t>
        </is>
      </c>
      <c r="G249" s="32" t="n">
        <v>46146</v>
      </c>
      <c r="H249" s="126" t="n">
        <v>46156</v>
      </c>
      <c r="I249" s="32" t="inlineStr">
        <is>
          <t>5</t>
        </is>
      </c>
      <c r="J249" s="32" t="inlineStr">
        <is>
          <t>0-4004-10</t>
        </is>
      </c>
      <c r="K249" s="32" t="inlineStr">
        <is>
          <t>42-101 - NON-DETECTABLE UNDERGROUND TAPE -</t>
        </is>
      </c>
      <c r="L249" s="32" t="n">
        <v>50</v>
      </c>
      <c r="M249" s="32" t="n">
        <v>2418.14</v>
      </c>
      <c r="N249" s="32" t="inlineStr">
        <is>
          <t>INVOICE</t>
        </is>
      </c>
      <c r="O249" s="32" t="inlineStr">
        <is>
          <t>20581</t>
        </is>
      </c>
      <c r="P249" s="32" t="inlineStr">
        <is>
          <t>THE REYNOLDS COMPANY</t>
        </is>
      </c>
      <c r="Q249" s="32" t="n">
        <v>0</v>
      </c>
      <c r="R249" s="32" t="n">
        <v>0</v>
      </c>
      <c r="S249" s="32" t="n">
        <v>0</v>
      </c>
      <c r="T249" s="32" t="n">
        <v>0</v>
      </c>
    </row>
    <row r="250">
      <c r="A250" s="32" t="inlineStr">
        <is>
          <t>ttJTrans</t>
        </is>
      </c>
      <c r="B250" s="32" t="inlineStr">
        <is>
          <t>0-4004-10</t>
        </is>
      </c>
      <c r="C250" s="32" t="inlineStr">
        <is>
          <t>MA</t>
        </is>
      </c>
      <c r="D250" s="32" t="inlineStr">
        <is>
          <t>MA1011628</t>
        </is>
      </c>
      <c r="E250" s="32" t="inlineStr">
        <is>
          <t>MA</t>
        </is>
      </c>
      <c r="F250" s="32" t="inlineStr">
        <is>
          <t>MA1011628</t>
        </is>
      </c>
      <c r="G250" s="32" t="n">
        <v>46146</v>
      </c>
      <c r="H250" s="126" t="n">
        <v>46156</v>
      </c>
      <c r="I250" s="32" t="inlineStr">
        <is>
          <t>5</t>
        </is>
      </c>
      <c r="J250" s="32" t="inlineStr">
        <is>
          <t>0-4004-10</t>
        </is>
      </c>
      <c r="K250" s="32" t="inlineStr">
        <is>
          <t>42-101 - NON-DETECTABLE UNDERGROUND TAPE -</t>
        </is>
      </c>
      <c r="L250" s="32" t="n">
        <v>50</v>
      </c>
      <c r="M250" s="32" t="n">
        <v>2418.14</v>
      </c>
      <c r="N250" s="32" t="inlineStr">
        <is>
          <t>INVOICE</t>
        </is>
      </c>
      <c r="O250" s="32" t="inlineStr">
        <is>
          <t>20581</t>
        </is>
      </c>
      <c r="P250" s="32" t="inlineStr">
        <is>
          <t>THE REYNOLDS COMPANY</t>
        </is>
      </c>
      <c r="Q250" s="32" t="n">
        <v>0</v>
      </c>
      <c r="R250" s="32" t="n">
        <v>0</v>
      </c>
      <c r="S250" s="32" t="n">
        <v>0</v>
      </c>
      <c r="T250" s="32" t="n">
        <v>0</v>
      </c>
    </row>
    <row r="251">
      <c r="A251" s="32" t="inlineStr">
        <is>
          <t>ttJTrans</t>
        </is>
      </c>
      <c r="B251" s="32" t="inlineStr">
        <is>
          <t>0-4004-10</t>
        </is>
      </c>
      <c r="C251" s="32" t="inlineStr">
        <is>
          <t>MA</t>
        </is>
      </c>
      <c r="D251" s="32" t="inlineStr">
        <is>
          <t>MA1011628</t>
        </is>
      </c>
      <c r="E251" s="32" t="inlineStr">
        <is>
          <t>MA</t>
        </is>
      </c>
      <c r="F251" s="32" t="inlineStr">
        <is>
          <t>MA1011628</t>
        </is>
      </c>
      <c r="G251" s="32" t="n">
        <v>46146</v>
      </c>
      <c r="H251" s="126" t="n">
        <v>46156</v>
      </c>
      <c r="I251" s="32" t="inlineStr">
        <is>
          <t>4</t>
        </is>
      </c>
      <c r="J251" s="32" t="inlineStr">
        <is>
          <t>0-4004-10</t>
        </is>
      </c>
      <c r="K251" s="32" t="inlineStr">
        <is>
          <t>EWDT-8 - DUCT TAPE 8 MIL</t>
        </is>
      </c>
      <c r="L251" s="32" t="n">
        <v>50</v>
      </c>
      <c r="M251" s="32" t="n">
        <v>458.99</v>
      </c>
      <c r="N251" s="32" t="inlineStr">
        <is>
          <t>INVOICE</t>
        </is>
      </c>
      <c r="O251" s="32" t="inlineStr">
        <is>
          <t>20581</t>
        </is>
      </c>
      <c r="P251" s="32" t="inlineStr">
        <is>
          <t>THE REYNOLDS COMPANY</t>
        </is>
      </c>
      <c r="Q251" s="32" t="n">
        <v>0</v>
      </c>
      <c r="R251" s="32" t="n">
        <v>0</v>
      </c>
      <c r="S251" s="32" t="n">
        <v>0</v>
      </c>
      <c r="T251" s="32" t="n">
        <v>0</v>
      </c>
    </row>
    <row r="252">
      <c r="A252" s="32" t="inlineStr">
        <is>
          <t>ttJTrans</t>
        </is>
      </c>
      <c r="B252" s="32" t="inlineStr">
        <is>
          <t>0-4004-10</t>
        </is>
      </c>
      <c r="C252" s="32" t="inlineStr">
        <is>
          <t>MA</t>
        </is>
      </c>
      <c r="D252" s="32" t="inlineStr">
        <is>
          <t>MA1011628</t>
        </is>
      </c>
      <c r="E252" s="32" t="inlineStr">
        <is>
          <t>MA</t>
        </is>
      </c>
      <c r="F252" s="32" t="inlineStr">
        <is>
          <t>MA1011628</t>
        </is>
      </c>
      <c r="G252" s="32" t="n">
        <v>46146</v>
      </c>
      <c r="H252" s="126" t="n">
        <v>46161</v>
      </c>
      <c r="I252" s="32" t="inlineStr">
        <is>
          <t>3</t>
        </is>
      </c>
      <c r="J252" s="32" t="inlineStr">
        <is>
          <t>0-4004-10</t>
        </is>
      </c>
      <c r="K252" s="32" t="inlineStr">
        <is>
          <t>77328 - EB45 3" PVC MLD END BELL SOCKET MLD</t>
        </is>
      </c>
      <c r="L252" s="32" t="n">
        <v>800</v>
      </c>
      <c r="M252" s="32" t="n">
        <v>2530.8</v>
      </c>
      <c r="N252" s="32" t="inlineStr">
        <is>
          <t>INVOICE</t>
        </is>
      </c>
      <c r="O252" s="32" t="inlineStr">
        <is>
          <t>20581</t>
        </is>
      </c>
      <c r="P252" s="32" t="inlineStr">
        <is>
          <t>THE REYNOLDS COMPANY</t>
        </is>
      </c>
      <c r="Q252" s="32" t="n">
        <v>0</v>
      </c>
      <c r="R252" s="32" t="n">
        <v>0</v>
      </c>
      <c r="S252" s="32" t="n">
        <v>0</v>
      </c>
      <c r="T252" s="32" t="n">
        <v>0</v>
      </c>
    </row>
    <row r="253">
      <c r="A253" s="32" t="inlineStr">
        <is>
          <t>ttJTrans</t>
        </is>
      </c>
      <c r="B253" s="32" t="inlineStr">
        <is>
          <t>0-4004-10</t>
        </is>
      </c>
      <c r="C253" s="32" t="inlineStr">
        <is>
          <t>MA</t>
        </is>
      </c>
      <c r="D253" s="32" t="inlineStr">
        <is>
          <t>MA1011628</t>
        </is>
      </c>
      <c r="E253" s="32" t="inlineStr">
        <is>
          <t>MA</t>
        </is>
      </c>
      <c r="F253" s="32" t="inlineStr">
        <is>
          <t>MA1011628</t>
        </is>
      </c>
      <c r="G253" s="32" t="n">
        <v>46146</v>
      </c>
      <c r="H253" s="126" t="n">
        <v>46161</v>
      </c>
      <c r="I253" s="32" t="inlineStr">
        <is>
          <t>2</t>
        </is>
      </c>
      <c r="J253" s="32" t="inlineStr">
        <is>
          <t>0-4004-10</t>
        </is>
      </c>
      <c r="K253" s="32" t="inlineStr">
        <is>
          <t>78885 - CEMC20 QUART PVC SOLVENT CEMENT LOW</t>
        </is>
      </c>
      <c r="L253" s="32" t="n">
        <v>240</v>
      </c>
      <c r="M253" s="32" t="n">
        <v>3226.1</v>
      </c>
      <c r="N253" s="32" t="inlineStr">
        <is>
          <t>INVOICE</t>
        </is>
      </c>
      <c r="O253" s="32" t="inlineStr">
        <is>
          <t>20581</t>
        </is>
      </c>
      <c r="P253" s="32" t="inlineStr">
        <is>
          <t>THE REYNOLDS COMPANY</t>
        </is>
      </c>
      <c r="Q253" s="32" t="n">
        <v>0</v>
      </c>
      <c r="R253" s="32" t="n">
        <v>0</v>
      </c>
      <c r="S253" s="32" t="n">
        <v>0</v>
      </c>
      <c r="T253" s="32" t="n">
        <v>0</v>
      </c>
    </row>
    <row r="254">
      <c r="A254" s="32" t="inlineStr">
        <is>
          <t>ttJTrans</t>
        </is>
      </c>
      <c r="B254" s="32" t="inlineStr">
        <is>
          <t>0-4004-10</t>
        </is>
      </c>
      <c r="C254" s="32" t="inlineStr">
        <is>
          <t>MA</t>
        </is>
      </c>
      <c r="D254" s="32" t="inlineStr">
        <is>
          <t>MA1011688</t>
        </is>
      </c>
      <c r="E254" s="32" t="inlineStr">
        <is>
          <t>MA</t>
        </is>
      </c>
      <c r="F254" s="32" t="inlineStr">
        <is>
          <t>MA1011688</t>
        </is>
      </c>
      <c r="G254" s="32" t="n">
        <v>46168</v>
      </c>
      <c r="H254" s="126" t="n">
        <v>46162</v>
      </c>
      <c r="I254" s="32" t="inlineStr">
        <is>
          <t>12</t>
        </is>
      </c>
      <c r="J254" s="32" t="inlineStr">
        <is>
          <t>0-4004-10</t>
        </is>
      </c>
      <c r="K254" s="32" t="inlineStr">
        <is>
          <t>7510 - Ground Rod, Copper Coated, 3/4", 10'</t>
        </is>
      </c>
      <c r="L254" s="32" t="n">
        <v>10</v>
      </c>
      <c r="M254" s="32" t="n">
        <v>382.84</v>
      </c>
      <c r="N254" s="32" t="inlineStr">
        <is>
          <t>INVOICE</t>
        </is>
      </c>
      <c r="O254" s="32" t="inlineStr">
        <is>
          <t>18867</t>
        </is>
      </c>
      <c r="P254" s="32" t="inlineStr">
        <is>
          <t>REXEL USA, INC.</t>
        </is>
      </c>
      <c r="Q254" s="32" t="n">
        <v>0</v>
      </c>
      <c r="R254" s="32" t="n">
        <v>0</v>
      </c>
      <c r="S254" s="32" t="n">
        <v>0</v>
      </c>
      <c r="T254" s="32" t="n">
        <v>0</v>
      </c>
    </row>
    <row r="255">
      <c r="A255" s="32" t="inlineStr">
        <is>
          <t>ttJTrans</t>
        </is>
      </c>
      <c r="B255" s="32" t="inlineStr">
        <is>
          <t>0-4004-10</t>
        </is>
      </c>
      <c r="C255" s="32" t="inlineStr">
        <is>
          <t>MA</t>
        </is>
      </c>
      <c r="D255" s="32" t="inlineStr">
        <is>
          <t>MA1011688</t>
        </is>
      </c>
      <c r="E255" s="32" t="inlineStr">
        <is>
          <t>MA</t>
        </is>
      </c>
      <c r="F255" s="32" t="inlineStr">
        <is>
          <t>MA1011688</t>
        </is>
      </c>
      <c r="G255" s="32" t="n">
        <v>46168</v>
      </c>
      <c r="H255" s="126" t="inlineStr"/>
      <c r="I255" s="32" t="inlineStr">
        <is>
          <t>9</t>
        </is>
      </c>
      <c r="J255" s="32" t="inlineStr">
        <is>
          <t>0-4004-10</t>
        </is>
      </c>
      <c r="K255" s="32" t="inlineStr">
        <is>
          <t>YGHC29C26 - C-Tap Connector, Wire Range 3/0</t>
        </is>
      </c>
      <c r="L255" s="32" t="n">
        <v>10</v>
      </c>
      <c r="M255" s="32" t="n">
        <v>133.2</v>
      </c>
      <c r="N255" s="32" t="inlineStr">
        <is>
          <t>PO:COMMIT</t>
        </is>
      </c>
      <c r="O255" s="32" t="inlineStr">
        <is>
          <t>18867</t>
        </is>
      </c>
      <c r="P255" s="32" t="inlineStr">
        <is>
          <t>REXEL USA, INC.</t>
        </is>
      </c>
      <c r="Q255" s="32" t="n">
        <v>133.2</v>
      </c>
      <c r="R255" s="32" t="n">
        <v>0</v>
      </c>
      <c r="S255" s="32" t="n">
        <v>0</v>
      </c>
      <c r="T255" s="32" t="n">
        <v>0</v>
      </c>
    </row>
    <row r="256">
      <c r="A256" s="32" t="inlineStr">
        <is>
          <t>ttJTrans</t>
        </is>
      </c>
      <c r="B256" s="32" t="inlineStr">
        <is>
          <t>0-4004-10</t>
        </is>
      </c>
      <c r="C256" s="32" t="inlineStr">
        <is>
          <t>MA</t>
        </is>
      </c>
      <c r="D256" s="32" t="inlineStr">
        <is>
          <t>MA1011688</t>
        </is>
      </c>
      <c r="E256" s="32" t="inlineStr">
        <is>
          <t>MA</t>
        </is>
      </c>
      <c r="F256" s="32" t="inlineStr">
        <is>
          <t>MA1011688</t>
        </is>
      </c>
      <c r="G256" s="32" t="n">
        <v>46168</v>
      </c>
      <c r="H256" s="126" t="inlineStr"/>
      <c r="I256" s="32" t="inlineStr">
        <is>
          <t>10</t>
        </is>
      </c>
      <c r="J256" s="32" t="inlineStr">
        <is>
          <t>0-4004-10</t>
        </is>
      </c>
      <c r="K256" s="32" t="inlineStr">
        <is>
          <t>YGL29C2 - 2-250 To 6-2 Grd Grid/ro</t>
        </is>
      </c>
      <c r="L256" s="32" t="n">
        <v>10</v>
      </c>
      <c r="M256" s="32" t="n">
        <v>409.04</v>
      </c>
      <c r="N256" s="32" t="inlineStr">
        <is>
          <t>PO:COMMIT</t>
        </is>
      </c>
      <c r="O256" s="32" t="inlineStr">
        <is>
          <t>18867</t>
        </is>
      </c>
      <c r="P256" s="32" t="inlineStr">
        <is>
          <t>REXEL USA, INC.</t>
        </is>
      </c>
      <c r="Q256" s="32" t="n">
        <v>409.04</v>
      </c>
      <c r="R256" s="32" t="n">
        <v>0</v>
      </c>
      <c r="S256" s="32" t="n">
        <v>0</v>
      </c>
      <c r="T256" s="32" t="n">
        <v>0</v>
      </c>
    </row>
    <row r="257">
      <c r="A257" s="32" t="inlineStr">
        <is>
          <t>ttJTrans</t>
        </is>
      </c>
      <c r="B257" s="32" t="inlineStr">
        <is>
          <t>0-4004-10</t>
        </is>
      </c>
      <c r="C257" s="32" t="inlineStr">
        <is>
          <t>MA</t>
        </is>
      </c>
      <c r="D257" s="32" t="inlineStr">
        <is>
          <t>MA1011688</t>
        </is>
      </c>
      <c r="E257" s="32" t="inlineStr">
        <is>
          <t>MA</t>
        </is>
      </c>
      <c r="F257" s="32" t="inlineStr">
        <is>
          <t>MA1011688</t>
        </is>
      </c>
      <c r="G257" s="32" t="n">
        <v>46168</v>
      </c>
      <c r="H257" s="126" t="inlineStr"/>
      <c r="I257" s="32" t="inlineStr">
        <is>
          <t>13</t>
        </is>
      </c>
      <c r="J257" s="32" t="inlineStr">
        <is>
          <t>0-4004-10</t>
        </is>
      </c>
      <c r="K257" s="32" t="inlineStr">
        <is>
          <t>2 AWG Soft Drawn Solid Bare Copper, Cut to</t>
        </is>
      </c>
      <c r="L257" s="32" t="n">
        <v>500</v>
      </c>
      <c r="M257" s="32" t="n">
        <v>1201.59</v>
      </c>
      <c r="N257" s="32" t="inlineStr">
        <is>
          <t>PO:COMMIT</t>
        </is>
      </c>
      <c r="O257" s="32" t="inlineStr">
        <is>
          <t>18867</t>
        </is>
      </c>
      <c r="P257" s="32" t="inlineStr">
        <is>
          <t>REXEL USA, INC.</t>
        </is>
      </c>
      <c r="Q257" s="32" t="n">
        <v>1201.59</v>
      </c>
      <c r="R257" s="32" t="n">
        <v>0</v>
      </c>
      <c r="S257" s="32" t="n">
        <v>0</v>
      </c>
      <c r="T257" s="32" t="n">
        <v>0</v>
      </c>
    </row>
    <row r="258">
      <c r="A258" s="32" t="inlineStr">
        <is>
          <t>ttJTrans</t>
        </is>
      </c>
      <c r="B258" s="32" t="inlineStr">
        <is>
          <t>0-4004-10</t>
        </is>
      </c>
      <c r="C258" s="32" t="inlineStr">
        <is>
          <t>MA</t>
        </is>
      </c>
      <c r="D258" s="32" t="inlineStr">
        <is>
          <t>MA1011688</t>
        </is>
      </c>
      <c r="E258" s="32" t="inlineStr">
        <is>
          <t>MA</t>
        </is>
      </c>
      <c r="F258" s="32" t="inlineStr">
        <is>
          <t>MA1011688</t>
        </is>
      </c>
      <c r="G258" s="32" t="n">
        <v>46168</v>
      </c>
      <c r="H258" s="126" t="inlineStr"/>
      <c r="I258" s="32" t="inlineStr">
        <is>
          <t>12</t>
        </is>
      </c>
      <c r="J258" s="32" t="inlineStr">
        <is>
          <t>0-4004-10</t>
        </is>
      </c>
      <c r="K258" s="32" t="inlineStr">
        <is>
          <t>7510 - Ground Rod, Copper Coated, 3/4", 10'</t>
        </is>
      </c>
      <c r="L258" s="32" t="n">
        <v>10</v>
      </c>
      <c r="M258" s="32" t="n">
        <v>382.84</v>
      </c>
      <c r="N258" s="32" t="inlineStr">
        <is>
          <t>PO:COMMIT</t>
        </is>
      </c>
      <c r="O258" s="32" t="inlineStr">
        <is>
          <t>18867</t>
        </is>
      </c>
      <c r="P258" s="32" t="inlineStr">
        <is>
          <t>REXEL USA, INC.</t>
        </is>
      </c>
      <c r="Q258" s="32" t="n">
        <v>382.84</v>
      </c>
      <c r="R258" s="32" t="n">
        <v>0</v>
      </c>
      <c r="S258" s="32" t="n">
        <v>0</v>
      </c>
      <c r="T258" s="32" t="n">
        <v>0</v>
      </c>
    </row>
    <row r="259">
      <c r="A259" s="32" t="inlineStr">
        <is>
          <t>ttJTrans</t>
        </is>
      </c>
      <c r="B259" s="32" t="inlineStr">
        <is>
          <t>0-4004-10</t>
        </is>
      </c>
      <c r="C259" s="32" t="inlineStr">
        <is>
          <t>MA</t>
        </is>
      </c>
      <c r="D259" s="32" t="inlineStr">
        <is>
          <t>MA1011688</t>
        </is>
      </c>
      <c r="E259" s="32" t="inlineStr">
        <is>
          <t>MA</t>
        </is>
      </c>
      <c r="F259" s="32" t="inlineStr">
        <is>
          <t>MA1011688</t>
        </is>
      </c>
      <c r="G259" s="32" t="n">
        <v>46168</v>
      </c>
      <c r="H259" s="126" t="inlineStr"/>
      <c r="I259" s="32" t="inlineStr">
        <is>
          <t>12</t>
        </is>
      </c>
      <c r="J259" s="32" t="inlineStr">
        <is>
          <t>0-4004-10</t>
        </is>
      </c>
      <c r="K259" s="32" t="inlineStr">
        <is>
          <t>7510 - Ground Rod, Copper Coated, 3/4", 10'</t>
        </is>
      </c>
      <c r="L259" s="32" t="n">
        <v>10</v>
      </c>
      <c r="M259" s="32" t="n">
        <v>382.84</v>
      </c>
      <c r="N259" s="32" t="inlineStr">
        <is>
          <t>INVOICE:ADJ-ACCRUAL</t>
        </is>
      </c>
      <c r="O259" s="32" t="inlineStr">
        <is>
          <t>18867</t>
        </is>
      </c>
      <c r="P259" s="32" t="inlineStr">
        <is>
          <t>REXEL USA, INC.</t>
        </is>
      </c>
      <c r="Q259" s="32" t="n">
        <v>-153.18</v>
      </c>
      <c r="R259" s="32" t="n">
        <v>0</v>
      </c>
      <c r="S259" s="32" t="n">
        <v>0</v>
      </c>
      <c r="T259" s="32" t="n">
        <v>0</v>
      </c>
    </row>
    <row r="260">
      <c r="A260" s="32" t="inlineStr">
        <is>
          <t>ttJTrans</t>
        </is>
      </c>
      <c r="B260" s="32" t="inlineStr">
        <is>
          <t>0-4004-10</t>
        </is>
      </c>
      <c r="C260" s="32" t="inlineStr">
        <is>
          <t>MA</t>
        </is>
      </c>
      <c r="D260" s="32" t="inlineStr">
        <is>
          <t>MA1011688</t>
        </is>
      </c>
      <c r="E260" s="32" t="inlineStr">
        <is>
          <t>MA</t>
        </is>
      </c>
      <c r="F260" s="32" t="inlineStr">
        <is>
          <t>MA1011688</t>
        </is>
      </c>
      <c r="G260" s="32" t="n">
        <v>46168</v>
      </c>
      <c r="H260" s="126" t="inlineStr"/>
      <c r="I260" s="32" t="inlineStr">
        <is>
          <t>12</t>
        </is>
      </c>
      <c r="J260" s="32" t="inlineStr">
        <is>
          <t>0-4004-10</t>
        </is>
      </c>
      <c r="K260" s="32" t="inlineStr">
        <is>
          <t>7510 - Ground Rod, Copper Coated, 3/4", 10'</t>
        </is>
      </c>
      <c r="L260" s="32" t="n">
        <v>10</v>
      </c>
      <c r="M260" s="32" t="n">
        <v>382.84</v>
      </c>
      <c r="N260" s="32" t="inlineStr">
        <is>
          <t>INVOICE:ADJ-ACCRUAL</t>
        </is>
      </c>
      <c r="O260" s="32" t="inlineStr">
        <is>
          <t>18867</t>
        </is>
      </c>
      <c r="P260" s="32" t="inlineStr">
        <is>
          <t>REXEL USA, INC.</t>
        </is>
      </c>
      <c r="Q260" s="32" t="n">
        <v>-229.66</v>
      </c>
      <c r="R260" s="32" t="n">
        <v>0</v>
      </c>
      <c r="S260" s="32" t="n">
        <v>0</v>
      </c>
      <c r="T260" s="32" t="n">
        <v>0</v>
      </c>
    </row>
    <row r="261">
      <c r="A261" s="32" t="inlineStr">
        <is>
          <t>ttJTrans</t>
        </is>
      </c>
      <c r="B261" s="32" t="inlineStr">
        <is>
          <t>0-4004-10</t>
        </is>
      </c>
      <c r="C261" s="32" t="inlineStr">
        <is>
          <t>MA</t>
        </is>
      </c>
      <c r="D261" s="32" t="inlineStr">
        <is>
          <t>MA1011688</t>
        </is>
      </c>
      <c r="E261" s="32" t="inlineStr">
        <is>
          <t>MA</t>
        </is>
      </c>
      <c r="F261" s="32" t="inlineStr">
        <is>
          <t>MA1011688</t>
        </is>
      </c>
      <c r="G261" s="32" t="n">
        <v>46168</v>
      </c>
      <c r="H261" s="126" t="inlineStr"/>
      <c r="I261" s="32" t="inlineStr">
        <is>
          <t>11</t>
        </is>
      </c>
      <c r="J261" s="32" t="inlineStr">
        <is>
          <t>0-4004-10</t>
        </is>
      </c>
      <c r="K261" s="32" t="inlineStr">
        <is>
          <t>YGHC34C29 - 300-500 TO 3/0-250 GRD C ***SHIP</t>
        </is>
      </c>
      <c r="L261" s="32" t="n">
        <v>10</v>
      </c>
      <c r="M261" s="32" t="n">
        <v>238.65</v>
      </c>
      <c r="N261" s="32" t="inlineStr">
        <is>
          <t>PO:COMMIT</t>
        </is>
      </c>
      <c r="O261" s="32" t="inlineStr">
        <is>
          <t>18867</t>
        </is>
      </c>
      <c r="P261" s="32" t="inlineStr">
        <is>
          <t>REXEL USA, INC.</t>
        </is>
      </c>
      <c r="Q261" s="32" t="n">
        <v>238.65</v>
      </c>
      <c r="R261" s="32" t="n">
        <v>0</v>
      </c>
      <c r="S261" s="32" t="n">
        <v>0</v>
      </c>
      <c r="T261" s="32" t="n">
        <v>0</v>
      </c>
    </row>
    <row r="262">
      <c r="A262" s="32" t="inlineStr">
        <is>
          <t>ttJTrans</t>
        </is>
      </c>
      <c r="B262" s="32" t="inlineStr">
        <is>
          <t>0-4004-10</t>
        </is>
      </c>
      <c r="C262" s="32" t="inlineStr">
        <is>
          <t>MA</t>
        </is>
      </c>
      <c r="D262" s="32" t="inlineStr">
        <is>
          <t>MA1011688</t>
        </is>
      </c>
      <c r="E262" s="32" t="inlineStr">
        <is>
          <t>MA</t>
        </is>
      </c>
      <c r="F262" s="32" t="inlineStr">
        <is>
          <t>MA1011688</t>
        </is>
      </c>
      <c r="G262" s="32" t="n">
        <v>46168</v>
      </c>
      <c r="H262" s="126" t="inlineStr"/>
      <c r="I262" s="32" t="inlineStr">
        <is>
          <t>8</t>
        </is>
      </c>
      <c r="J262" s="32" t="inlineStr">
        <is>
          <t>0-4004-10</t>
        </is>
      </c>
      <c r="K262" s="32" t="inlineStr">
        <is>
          <t>YGHC29C29 - C-Tap Connector, Wire Range 3/0</t>
        </is>
      </c>
      <c r="L262" s="32" t="n">
        <v>10</v>
      </c>
      <c r="M262" s="32" t="n">
        <v>145.41</v>
      </c>
      <c r="N262" s="32" t="inlineStr">
        <is>
          <t>PO:COMMIT</t>
        </is>
      </c>
      <c r="O262" s="32" t="inlineStr">
        <is>
          <t>18867</t>
        </is>
      </c>
      <c r="P262" s="32" t="inlineStr">
        <is>
          <t>REXEL USA, INC.</t>
        </is>
      </c>
      <c r="Q262" s="32" t="n">
        <v>145.41</v>
      </c>
      <c r="R262" s="32" t="n">
        <v>0</v>
      </c>
      <c r="S262" s="32" t="n">
        <v>0</v>
      </c>
      <c r="T262" s="32" t="n">
        <v>0</v>
      </c>
    </row>
    <row r="263">
      <c r="A263" s="32" t="inlineStr">
        <is>
          <t>ttJTrans</t>
        </is>
      </c>
      <c r="B263" s="32" t="inlineStr">
        <is>
          <t>0-4004-10</t>
        </is>
      </c>
      <c r="C263" s="32" t="inlineStr">
        <is>
          <t>MA</t>
        </is>
      </c>
      <c r="D263" s="32" t="inlineStr"/>
      <c r="E263" s="32" t="inlineStr">
        <is>
          <t>MA</t>
        </is>
      </c>
      <c r="F263" s="32" t="inlineStr"/>
      <c r="G263" s="32" t="inlineStr"/>
      <c r="H263" s="126" t="n">
        <v>46156</v>
      </c>
      <c r="I263" s="32" t="inlineStr"/>
      <c r="J263" s="32" t="inlineStr">
        <is>
          <t>0-4004-10</t>
        </is>
      </c>
      <c r="K263" s="32" t="inlineStr">
        <is>
          <t>WOODEN STAKES</t>
        </is>
      </c>
      <c r="L263" s="32" t="n">
        <v>0</v>
      </c>
      <c r="M263" s="32" t="n">
        <v>0</v>
      </c>
      <c r="N263" s="32" t="inlineStr"/>
      <c r="O263" s="32" t="inlineStr">
        <is>
          <t>20581</t>
        </is>
      </c>
      <c r="P263" s="32" t="inlineStr">
        <is>
          <t>THE REYNOLDS COMPANY</t>
        </is>
      </c>
      <c r="Q263" s="32" t="n">
        <v>0</v>
      </c>
      <c r="R263" s="32" t="n">
        <v>2998.53</v>
      </c>
      <c r="S263" s="32" t="n">
        <v>0</v>
      </c>
      <c r="T263" s="32" t="n">
        <v>0</v>
      </c>
    </row>
    <row r="264">
      <c r="A264" s="32" t="inlineStr">
        <is>
          <t>ttJTrans</t>
        </is>
      </c>
      <c r="B264" s="32" t="inlineStr">
        <is>
          <t>0-4004-10</t>
        </is>
      </c>
      <c r="C264" s="32" t="inlineStr">
        <is>
          <t>MA</t>
        </is>
      </c>
      <c r="D264" s="32" t="inlineStr"/>
      <c r="E264" s="32" t="inlineStr">
        <is>
          <t>MA</t>
        </is>
      </c>
      <c r="F264" s="32" t="inlineStr"/>
      <c r="G264" s="32" t="inlineStr"/>
      <c r="H264" s="126" t="n">
        <v>46156</v>
      </c>
      <c r="I264" s="32" t="inlineStr"/>
      <c r="J264" s="32" t="inlineStr">
        <is>
          <t>0-4004-10</t>
        </is>
      </c>
      <c r="K264" s="32" t="inlineStr">
        <is>
          <t>TAPE CAUT ELEC LN BURI/RD</t>
        </is>
      </c>
      <c r="L264" s="32" t="n">
        <v>0</v>
      </c>
      <c r="M264" s="32" t="n">
        <v>0</v>
      </c>
      <c r="N264" s="32" t="inlineStr"/>
      <c r="O264" s="32" t="inlineStr">
        <is>
          <t>20581</t>
        </is>
      </c>
      <c r="P264" s="32" t="inlineStr">
        <is>
          <t>THE REYNOLDS COMPANY</t>
        </is>
      </c>
      <c r="Q264" s="32" t="n">
        <v>0</v>
      </c>
      <c r="R264" s="32" t="n">
        <v>2263.89</v>
      </c>
      <c r="S264" s="32" t="n">
        <v>0</v>
      </c>
      <c r="T264" s="32" t="n">
        <v>0</v>
      </c>
    </row>
    <row r="265">
      <c r="A265" s="32" t="inlineStr">
        <is>
          <t>ttJTrans</t>
        </is>
      </c>
      <c r="B265" s="32" t="inlineStr">
        <is>
          <t>0-4004-10</t>
        </is>
      </c>
      <c r="C265" s="32" t="inlineStr">
        <is>
          <t>MA</t>
        </is>
      </c>
      <c r="D265" s="32" t="inlineStr"/>
      <c r="E265" s="32" t="inlineStr">
        <is>
          <t>MA</t>
        </is>
      </c>
      <c r="F265" s="32" t="inlineStr"/>
      <c r="G265" s="32" t="inlineStr"/>
      <c r="H265" s="126" t="n">
        <v>46156</v>
      </c>
      <c r="I265" s="32" t="inlineStr"/>
      <c r="J265" s="32" t="inlineStr">
        <is>
          <t>0-4004-10</t>
        </is>
      </c>
      <c r="K265" s="32" t="inlineStr">
        <is>
          <t>ELECTRICAL DUCT TAPE/ TAPE CAUT ELEC</t>
        </is>
      </c>
      <c r="L265" s="32" t="n">
        <v>0</v>
      </c>
      <c r="M265" s="32" t="n">
        <v>0</v>
      </c>
      <c r="N265" s="32" t="inlineStr"/>
      <c r="O265" s="32" t="inlineStr">
        <is>
          <t>20581</t>
        </is>
      </c>
      <c r="P265" s="32" t="inlineStr">
        <is>
          <t>THE REYNOLDS COMPANY</t>
        </is>
      </c>
      <c r="Q265" s="32" t="n">
        <v>0</v>
      </c>
      <c r="R265" s="32" t="n">
        <v>541.95</v>
      </c>
      <c r="S265" s="32" t="n">
        <v>0</v>
      </c>
      <c r="T265" s="32" t="n">
        <v>0</v>
      </c>
    </row>
    <row r="266">
      <c r="A266" s="32" t="inlineStr">
        <is>
          <t>ttJTrans</t>
        </is>
      </c>
      <c r="B266" s="32" t="inlineStr">
        <is>
          <t>0-4004-10</t>
        </is>
      </c>
      <c r="C266" s="32" t="inlineStr">
        <is>
          <t>MA</t>
        </is>
      </c>
      <c r="D266" s="32" t="inlineStr"/>
      <c r="E266" s="32" t="inlineStr">
        <is>
          <t>MA</t>
        </is>
      </c>
      <c r="F266" s="32" t="inlineStr"/>
      <c r="G266" s="32" t="inlineStr"/>
      <c r="H266" s="126" t="n">
        <v>46161</v>
      </c>
      <c r="I266" s="32" t="inlineStr"/>
      <c r="J266" s="32" t="inlineStr">
        <is>
          <t>0-4004-10</t>
        </is>
      </c>
      <c r="K266" s="32" t="inlineStr">
        <is>
          <t>PVC SOLVENT CEMENT / PVC END BELL</t>
        </is>
      </c>
      <c r="L266" s="32" t="n">
        <v>0</v>
      </c>
      <c r="M266" s="32" t="n">
        <v>0</v>
      </c>
      <c r="N266" s="32" t="inlineStr"/>
      <c r="O266" s="32" t="inlineStr">
        <is>
          <t>20581</t>
        </is>
      </c>
      <c r="P266" s="32" t="inlineStr">
        <is>
          <t>THE REYNOLDS COMPANY</t>
        </is>
      </c>
      <c r="Q266" s="32" t="n">
        <v>0</v>
      </c>
      <c r="R266" s="32" t="n">
        <v>5614.27</v>
      </c>
      <c r="S266" s="32" t="n">
        <v>0</v>
      </c>
      <c r="T266" s="32" t="n">
        <v>0</v>
      </c>
    </row>
    <row r="267">
      <c r="A267" s="32" t="inlineStr">
        <is>
          <t>ttJTrans</t>
        </is>
      </c>
      <c r="B267" s="32" t="inlineStr">
        <is>
          <t>0-4004-10</t>
        </is>
      </c>
      <c r="C267" s="32" t="inlineStr">
        <is>
          <t>MA</t>
        </is>
      </c>
      <c r="D267" s="32" t="inlineStr"/>
      <c r="E267" s="32" t="inlineStr">
        <is>
          <t>MA</t>
        </is>
      </c>
      <c r="F267" s="32" t="inlineStr"/>
      <c r="G267" s="32" t="inlineStr"/>
      <c r="H267" s="126" t="n">
        <v>46161</v>
      </c>
      <c r="I267" s="32" t="inlineStr"/>
      <c r="J267" s="32" t="inlineStr">
        <is>
          <t>0-4004-10</t>
        </is>
      </c>
      <c r="K267" s="32" t="inlineStr">
        <is>
          <t>PVC CONDUIT 10FT 3-IN ELECTICAL - ROAD CROSSING MTL - REQ#061</t>
        </is>
      </c>
      <c r="L267" s="32" t="n">
        <v>0</v>
      </c>
      <c r="M267" s="32" t="n">
        <v>0</v>
      </c>
      <c r="N267" s="32" t="inlineStr"/>
      <c r="O267" s="32" t="inlineStr">
        <is>
          <t>20581</t>
        </is>
      </c>
      <c r="P267" s="32" t="inlineStr">
        <is>
          <t>THE REYNOLDS COMPANY</t>
        </is>
      </c>
      <c r="Q267" s="32" t="n">
        <v>0</v>
      </c>
      <c r="R267" s="32" t="n">
        <v>22407.75</v>
      </c>
      <c r="S267" s="32" t="n">
        <v>0</v>
      </c>
      <c r="T267" s="32" t="n">
        <v>0</v>
      </c>
    </row>
    <row r="268">
      <c r="A268" s="32" t="inlineStr">
        <is>
          <t>ttJTrans</t>
        </is>
      </c>
      <c r="B268" s="32" t="inlineStr">
        <is>
          <t>0-4004-10</t>
        </is>
      </c>
      <c r="C268" s="32" t="inlineStr">
        <is>
          <t>MA</t>
        </is>
      </c>
      <c r="D268" s="32" t="inlineStr"/>
      <c r="E268" s="32" t="inlineStr">
        <is>
          <t>MA</t>
        </is>
      </c>
      <c r="F268" s="32" t="inlineStr"/>
      <c r="G268" s="32" t="inlineStr"/>
      <c r="H268" s="126" t="n">
        <v>46161</v>
      </c>
      <c r="I268" s="32" t="inlineStr"/>
      <c r="J268" s="32" t="inlineStr">
        <is>
          <t>0-4004-10</t>
        </is>
      </c>
      <c r="K268" s="32" t="inlineStr">
        <is>
          <t>CREDIT# 26793429-00 FOR INV# 26754656-03 WRONG PRICES.  REBILL INV# 26793443-00</t>
        </is>
      </c>
      <c r="L268" s="32" t="n">
        <v>0</v>
      </c>
      <c r="M268" s="32" t="n">
        <v>0</v>
      </c>
      <c r="N268" s="32" t="inlineStr"/>
      <c r="O268" s="32" t="inlineStr">
        <is>
          <t>20581</t>
        </is>
      </c>
      <c r="P268" s="32" t="inlineStr">
        <is>
          <t>THE REYNOLDS COMPANY</t>
        </is>
      </c>
      <c r="Q268" s="32" t="n">
        <v>0</v>
      </c>
      <c r="R268" s="32" t="n">
        <v>-8093.73</v>
      </c>
      <c r="S268" s="32" t="n">
        <v>0</v>
      </c>
      <c r="T268" s="32" t="n">
        <v>0</v>
      </c>
    </row>
    <row r="269">
      <c r="A269" s="32" t="inlineStr">
        <is>
          <t>ttJTrans</t>
        </is>
      </c>
      <c r="B269" s="32" t="inlineStr">
        <is>
          <t>0-4004-10</t>
        </is>
      </c>
      <c r="C269" s="32" t="inlineStr">
        <is>
          <t>MA</t>
        </is>
      </c>
      <c r="D269" s="32" t="inlineStr"/>
      <c r="E269" s="32" t="inlineStr">
        <is>
          <t>MA</t>
        </is>
      </c>
      <c r="F269" s="32" t="inlineStr"/>
      <c r="G269" s="32" t="inlineStr"/>
      <c r="H269" s="126" t="n">
        <v>46161</v>
      </c>
      <c r="I269" s="32" t="inlineStr"/>
      <c r="J269" s="32" t="inlineStr">
        <is>
          <t>0-4004-10</t>
        </is>
      </c>
      <c r="K269" s="32" t="inlineStr">
        <is>
          <t>APPLY CREDIT# 26793429-00 TO INV# 26754656-03.  REBILL INV# 26793443-00 WITH CORRECTED PRICES  PVC SOLVENT CEMENT / PVC END BELL</t>
        </is>
      </c>
      <c r="L269" s="32" t="n">
        <v>0</v>
      </c>
      <c r="M269" s="32" t="n">
        <v>0</v>
      </c>
      <c r="N269" s="32" t="inlineStr"/>
      <c r="O269" s="32" t="inlineStr">
        <is>
          <t>20581</t>
        </is>
      </c>
      <c r="P269" s="32" t="inlineStr">
        <is>
          <t>THE REYNOLDS COMPANY</t>
        </is>
      </c>
      <c r="Q269" s="32" t="n">
        <v>0</v>
      </c>
      <c r="R269" s="32" t="n">
        <v>8093.73</v>
      </c>
      <c r="S269" s="32" t="n">
        <v>0</v>
      </c>
      <c r="T269" s="32" t="n">
        <v>0</v>
      </c>
    </row>
    <row r="270">
      <c r="A270" s="32" t="inlineStr">
        <is>
          <t>ttJTrans</t>
        </is>
      </c>
      <c r="B270" s="32" t="inlineStr">
        <is>
          <t>0-4004-10</t>
        </is>
      </c>
      <c r="C270" s="32" t="inlineStr">
        <is>
          <t>MA</t>
        </is>
      </c>
      <c r="D270" s="32" t="inlineStr"/>
      <c r="E270" s="32" t="inlineStr">
        <is>
          <t>MA</t>
        </is>
      </c>
      <c r="F270" s="32" t="inlineStr"/>
      <c r="G270" s="32" t="inlineStr"/>
      <c r="H270" s="126" t="n">
        <v>46159</v>
      </c>
      <c r="I270" s="32" t="inlineStr"/>
      <c r="J270" s="32" t="inlineStr">
        <is>
          <t>0-4004-10</t>
        </is>
      </c>
      <c r="K270" s="32" t="inlineStr">
        <is>
          <t>10FT COPPER GROUND ROD PN:257145</t>
        </is>
      </c>
      <c r="L270" s="32" t="n">
        <v>0</v>
      </c>
      <c r="M270" s="32" t="n">
        <v>0</v>
      </c>
      <c r="N270" s="32" t="inlineStr"/>
      <c r="O270" s="32" t="inlineStr">
        <is>
          <t>18867</t>
        </is>
      </c>
      <c r="P270" s="32" t="inlineStr">
        <is>
          <t>REXEL USA, INC.</t>
        </is>
      </c>
      <c r="Q270" s="32" t="n">
        <v>0</v>
      </c>
      <c r="R270" s="32" t="n">
        <v>147.32</v>
      </c>
      <c r="S270" s="32" t="n">
        <v>0</v>
      </c>
      <c r="T270" s="32" t="n">
        <v>0</v>
      </c>
    </row>
    <row r="271">
      <c r="A271" s="32" t="inlineStr">
        <is>
          <t>ttJTrans</t>
        </is>
      </c>
      <c r="B271" s="32" t="inlineStr">
        <is>
          <t>0-4004-10</t>
        </is>
      </c>
      <c r="C271" s="32" t="inlineStr">
        <is>
          <t>MA</t>
        </is>
      </c>
      <c r="D271" s="32" t="inlineStr"/>
      <c r="E271" s="32" t="inlineStr">
        <is>
          <t>MA</t>
        </is>
      </c>
      <c r="F271" s="32" t="inlineStr"/>
      <c r="G271" s="32" t="inlineStr"/>
      <c r="H271" s="126" t="n">
        <v>46159</v>
      </c>
      <c r="I271" s="32" t="inlineStr"/>
      <c r="J271" s="32" t="inlineStr">
        <is>
          <t>0-4004-10</t>
        </is>
      </c>
      <c r="K271" s="32" t="inlineStr">
        <is>
          <t>10FT COPPER GROUND ROD</t>
        </is>
      </c>
      <c r="L271" s="32" t="n">
        <v>0</v>
      </c>
      <c r="M271" s="32" t="n">
        <v>0</v>
      </c>
      <c r="N271" s="32" t="inlineStr"/>
      <c r="O271" s="32" t="inlineStr">
        <is>
          <t>18867</t>
        </is>
      </c>
      <c r="P271" s="32" t="inlineStr">
        <is>
          <t>REXEL USA, INC.</t>
        </is>
      </c>
      <c r="Q271" s="32" t="n">
        <v>0</v>
      </c>
      <c r="R271" s="32" t="n">
        <v>230.97</v>
      </c>
      <c r="S271" s="32" t="n">
        <v>0</v>
      </c>
      <c r="T271" s="32" t="n">
        <v>0</v>
      </c>
    </row>
    <row r="272">
      <c r="A272" s="32" t="inlineStr">
        <is>
          <t>ttJTrans</t>
        </is>
      </c>
      <c r="B272" s="32" t="inlineStr">
        <is>
          <t>0-4004-10</t>
        </is>
      </c>
      <c r="C272" s="32" t="inlineStr">
        <is>
          <t>OC</t>
        </is>
      </c>
      <c r="D272" s="32" t="inlineStr">
        <is>
          <t>MA1011688</t>
        </is>
      </c>
      <c r="E272" s="32" t="inlineStr">
        <is>
          <t>OC</t>
        </is>
      </c>
      <c r="F272" s="32" t="inlineStr">
        <is>
          <t>MA1011688</t>
        </is>
      </c>
      <c r="G272" s="32" t="n">
        <v>46168</v>
      </c>
      <c r="H272" s="126" t="inlineStr"/>
      <c r="I272" s="32" t="inlineStr">
        <is>
          <t>14</t>
        </is>
      </c>
      <c r="J272" s="32" t="inlineStr">
        <is>
          <t>0-4004-10</t>
        </is>
      </c>
      <c r="K272" s="32" t="inlineStr">
        <is>
          <t>FREIGHT</t>
        </is>
      </c>
      <c r="L272" s="32" t="n">
        <v>1</v>
      </c>
      <c r="M272" s="32" t="n">
        <v>712.85</v>
      </c>
      <c r="N272" s="32" t="inlineStr">
        <is>
          <t>PO:COMMIT</t>
        </is>
      </c>
      <c r="O272" s="32" t="inlineStr">
        <is>
          <t>18867</t>
        </is>
      </c>
      <c r="P272" s="32" t="inlineStr">
        <is>
          <t>REXEL USA, INC.</t>
        </is>
      </c>
      <c r="Q272" s="32" t="n">
        <v>138.75</v>
      </c>
      <c r="R272" s="32" t="n">
        <v>0</v>
      </c>
      <c r="S272" s="32" t="n">
        <v>0</v>
      </c>
      <c r="T272" s="32" t="n">
        <v>0</v>
      </c>
    </row>
    <row r="273">
      <c r="A273" s="32" t="inlineStr">
        <is>
          <t>ttJTrans</t>
        </is>
      </c>
      <c r="B273" s="32" t="inlineStr">
        <is>
          <t>0-4004-10</t>
        </is>
      </c>
      <c r="C273" s="32" t="inlineStr">
        <is>
          <t>OC</t>
        </is>
      </c>
      <c r="D273" s="32" t="inlineStr">
        <is>
          <t>MA1011688</t>
        </is>
      </c>
      <c r="E273" s="32" t="inlineStr">
        <is>
          <t>OC</t>
        </is>
      </c>
      <c r="F273" s="32" t="inlineStr">
        <is>
          <t>MA1011688</t>
        </is>
      </c>
      <c r="G273" s="32" t="n">
        <v>46168</v>
      </c>
      <c r="H273" s="126" t="inlineStr"/>
      <c r="I273" s="32" t="inlineStr">
        <is>
          <t>14</t>
        </is>
      </c>
      <c r="J273" s="32" t="inlineStr">
        <is>
          <t>0-4004-10</t>
        </is>
      </c>
      <c r="K273" s="32" t="inlineStr">
        <is>
          <t>FREIGHT</t>
        </is>
      </c>
      <c r="L273" s="32" t="n">
        <v>1</v>
      </c>
      <c r="M273" s="32" t="n">
        <v>712.85</v>
      </c>
      <c r="N273" s="32" t="inlineStr">
        <is>
          <t>INVOICE:ADJ-ACCRUAL</t>
        </is>
      </c>
      <c r="O273" s="32" t="inlineStr">
        <is>
          <t>18867</t>
        </is>
      </c>
      <c r="P273" s="32" t="inlineStr">
        <is>
          <t>REXEL USA, INC.</t>
        </is>
      </c>
      <c r="Q273" s="32" t="n">
        <v>-128.35</v>
      </c>
      <c r="R273" s="32" t="n">
        <v>0</v>
      </c>
      <c r="S273" s="32" t="n">
        <v>0</v>
      </c>
      <c r="T273" s="32" t="n">
        <v>0</v>
      </c>
    </row>
    <row r="274">
      <c r="A274" s="32" t="inlineStr">
        <is>
          <t>ttJTrans</t>
        </is>
      </c>
      <c r="B274" s="32" t="inlineStr">
        <is>
          <t>0-4004-10</t>
        </is>
      </c>
      <c r="C274" s="32" t="inlineStr">
        <is>
          <t>OC</t>
        </is>
      </c>
      <c r="D274" s="32" t="inlineStr">
        <is>
          <t>MA1011688</t>
        </is>
      </c>
      <c r="E274" s="32" t="inlineStr">
        <is>
          <t>OC</t>
        </is>
      </c>
      <c r="F274" s="32" t="inlineStr">
        <is>
          <t>MA1011688</t>
        </is>
      </c>
      <c r="G274" s="32" t="n">
        <v>46168</v>
      </c>
      <c r="H274" s="126" t="n">
        <v>46162</v>
      </c>
      <c r="I274" s="32" t="inlineStr">
        <is>
          <t>14</t>
        </is>
      </c>
      <c r="J274" s="32" t="inlineStr">
        <is>
          <t>0-4004-10</t>
        </is>
      </c>
      <c r="K274" s="32" t="inlineStr">
        <is>
          <t>FREIGHT</t>
        </is>
      </c>
      <c r="L274" s="32" t="n">
        <v>1</v>
      </c>
      <c r="M274" s="32" t="n">
        <v>712.85</v>
      </c>
      <c r="N274" s="32" t="inlineStr">
        <is>
          <t>INVOICE</t>
        </is>
      </c>
      <c r="O274" s="32" t="inlineStr">
        <is>
          <t>18867</t>
        </is>
      </c>
      <c r="P274" s="32" t="inlineStr">
        <is>
          <t>REXEL USA, INC.</t>
        </is>
      </c>
      <c r="Q274" s="32" t="n">
        <v>0</v>
      </c>
      <c r="R274" s="32" t="n">
        <v>0</v>
      </c>
      <c r="S274" s="32" t="n">
        <v>0</v>
      </c>
      <c r="T274" s="32" t="n">
        <v>0</v>
      </c>
    </row>
    <row r="275">
      <c r="A275" t="inlineStr">
        <is>
          <t>ttJTrans</t>
        </is>
      </c>
      <c r="B275" s="38" t="inlineStr">
        <is>
          <t>0-4004-10</t>
        </is>
      </c>
      <c r="C275" t="inlineStr">
        <is>
          <t>OC</t>
        </is>
      </c>
      <c r="E275" t="inlineStr">
        <is>
          <t>OC</t>
        </is>
      </c>
      <c r="H275" s="127" t="n">
        <v>46159</v>
      </c>
      <c r="J275" s="38" t="inlineStr">
        <is>
          <t>0-4004-10</t>
        </is>
      </c>
      <c r="K275" t="inlineStr">
        <is>
          <t>10FT COPPER GROUND ROD PN:257145</t>
        </is>
      </c>
      <c r="L275" t="n">
        <v>0</v>
      </c>
      <c r="M275" t="n">
        <v>0</v>
      </c>
      <c r="O275" t="inlineStr">
        <is>
          <t>18867</t>
        </is>
      </c>
      <c r="P275" t="inlineStr">
        <is>
          <t>REXEL USA, INC.</t>
        </is>
      </c>
      <c r="Q275" s="114" t="n">
        <v>0</v>
      </c>
      <c r="R275" s="114" t="n">
        <v>123.43</v>
      </c>
      <c r="S275" s="114" t="n">
        <v>0</v>
      </c>
      <c r="T275" t="n">
        <v>0</v>
      </c>
    </row>
    <row r="276">
      <c r="A276" t="inlineStr">
        <is>
          <t>ttJTrans</t>
        </is>
      </c>
      <c r="B276" s="38" t="inlineStr">
        <is>
          <t>0-4004-12</t>
        </is>
      </c>
      <c r="C276" t="inlineStr">
        <is>
          <t>MA</t>
        </is>
      </c>
      <c r="D276" t="inlineStr">
        <is>
          <t>MA1011618</t>
        </is>
      </c>
      <c r="E276" t="inlineStr">
        <is>
          <t>MA</t>
        </is>
      </c>
      <c r="F276" t="inlineStr">
        <is>
          <t>MA1011618</t>
        </is>
      </c>
      <c r="G276" t="n">
        <v>46143</v>
      </c>
      <c r="H276" s="127" t="n">
        <v>46148</v>
      </c>
      <c r="I276" t="inlineStr">
        <is>
          <t>2</t>
        </is>
      </c>
      <c r="J276" s="38" t="inlineStr">
        <is>
          <t>0-4004-12</t>
        </is>
      </c>
      <c r="K276" t="inlineStr">
        <is>
          <t>All Equipment/Materials Less Advanced</t>
        </is>
      </c>
      <c r="L276" t="n">
        <v>1</v>
      </c>
      <c r="M276" t="n">
        <v>603588.36</v>
      </c>
      <c r="N276" t="inlineStr">
        <is>
          <t>PO:COMMIT</t>
        </is>
      </c>
      <c r="O276" t="inlineStr">
        <is>
          <t>20718</t>
        </is>
      </c>
      <c r="P276" t="inlineStr">
        <is>
          <t>JAVELIN SUPPLIES LLC</t>
        </is>
      </c>
      <c r="Q276" s="114" t="n">
        <v>0</v>
      </c>
      <c r="R276" s="114" t="n">
        <v>0</v>
      </c>
      <c r="S276" s="114" t="n">
        <v>603588.36</v>
      </c>
      <c r="T276" t="n">
        <v>0</v>
      </c>
    </row>
    <row r="277">
      <c r="A277" t="inlineStr">
        <is>
          <t>ttJTrans</t>
        </is>
      </c>
      <c r="B277" s="38" t="inlineStr">
        <is>
          <t>0-4004-12</t>
        </is>
      </c>
      <c r="C277" t="inlineStr">
        <is>
          <t>MA</t>
        </is>
      </c>
      <c r="D277" t="inlineStr">
        <is>
          <t>MA1011618</t>
        </is>
      </c>
      <c r="E277" t="inlineStr">
        <is>
          <t>MA</t>
        </is>
      </c>
      <c r="F277" t="inlineStr">
        <is>
          <t>MA1011618</t>
        </is>
      </c>
      <c r="G277" t="n">
        <v>46143</v>
      </c>
      <c r="H277" s="127" t="n">
        <v>46148</v>
      </c>
      <c r="I277" t="inlineStr">
        <is>
          <t>1</t>
        </is>
      </c>
      <c r="J277" s="38" t="inlineStr">
        <is>
          <t>0-4004-12</t>
        </is>
      </c>
      <c r="K277" t="inlineStr">
        <is>
          <t>20% Deposit for Equipment/Materials as</t>
        </is>
      </c>
      <c r="L277" t="n">
        <v>1</v>
      </c>
      <c r="M277" t="n">
        <v>150897.09</v>
      </c>
      <c r="N277" t="inlineStr">
        <is>
          <t>PO:COMMIT</t>
        </is>
      </c>
      <c r="O277" t="inlineStr">
        <is>
          <t>20718</t>
        </is>
      </c>
      <c r="P277" t="inlineStr">
        <is>
          <t>JAVELIN SUPPLIES LLC</t>
        </is>
      </c>
      <c r="Q277" s="114" t="n">
        <v>0</v>
      </c>
      <c r="R277" s="114" t="n">
        <v>0</v>
      </c>
      <c r="S277" s="114" t="n">
        <v>150897.09</v>
      </c>
      <c r="T277" t="n">
        <v>0</v>
      </c>
    </row>
    <row r="278">
      <c r="A278" t="inlineStr">
        <is>
          <t>ttJTrans</t>
        </is>
      </c>
      <c r="B278" s="38" t="inlineStr">
        <is>
          <t>0-4004-12</t>
        </is>
      </c>
      <c r="C278" t="inlineStr">
        <is>
          <t>OC</t>
        </is>
      </c>
      <c r="D278" t="inlineStr">
        <is>
          <t>MA1011618</t>
        </is>
      </c>
      <c r="E278" t="inlineStr">
        <is>
          <t>OC</t>
        </is>
      </c>
      <c r="F278" t="inlineStr">
        <is>
          <t>MA1011618</t>
        </is>
      </c>
      <c r="G278" t="n">
        <v>46143</v>
      </c>
      <c r="H278" s="127" t="n">
        <v>46148</v>
      </c>
      <c r="I278" t="inlineStr">
        <is>
          <t>3</t>
        </is>
      </c>
      <c r="J278" s="38" t="inlineStr">
        <is>
          <t>0-4004-12</t>
        </is>
      </c>
      <c r="K278" t="inlineStr">
        <is>
          <t>All Equipment/Materials</t>
        </is>
      </c>
      <c r="L278" t="n">
        <v>1</v>
      </c>
      <c r="M278" t="n">
        <v>41046.91</v>
      </c>
      <c r="N278" t="inlineStr">
        <is>
          <t>PO:COMMIT</t>
        </is>
      </c>
      <c r="O278" t="inlineStr">
        <is>
          <t>20718</t>
        </is>
      </c>
      <c r="P278" t="inlineStr">
        <is>
          <t>JAVELIN SUPPLIES LLC</t>
        </is>
      </c>
      <c r="Q278" s="114" t="n">
        <v>0</v>
      </c>
      <c r="R278" s="114" t="n">
        <v>0</v>
      </c>
      <c r="S278" s="114" t="n">
        <v>41046.91</v>
      </c>
      <c r="T278" t="n">
        <v>0</v>
      </c>
    </row>
    <row r="279">
      <c r="A279" t="inlineStr">
        <is>
          <t>ttJTrans</t>
        </is>
      </c>
      <c r="B279" s="38" t="inlineStr">
        <is>
          <t>0-4004-12</t>
        </is>
      </c>
      <c r="C279" t="inlineStr">
        <is>
          <t>OC</t>
        </is>
      </c>
      <c r="D279" t="inlineStr">
        <is>
          <t>MA1011618</t>
        </is>
      </c>
      <c r="E279" t="inlineStr">
        <is>
          <t>OC</t>
        </is>
      </c>
      <c r="F279" t="inlineStr">
        <is>
          <t>MA1011618</t>
        </is>
      </c>
      <c r="G279" t="n">
        <v>46143</v>
      </c>
      <c r="H279" s="127" t="n">
        <v>46148</v>
      </c>
      <c r="I279" t="inlineStr">
        <is>
          <t>4</t>
        </is>
      </c>
      <c r="J279" s="38" t="inlineStr">
        <is>
          <t>0-4004-12</t>
        </is>
      </c>
      <c r="K279" t="inlineStr">
        <is>
          <t>Tariff Charges as Outlined in Attachment A</t>
        </is>
      </c>
      <c r="L279" t="n">
        <v>1</v>
      </c>
      <c r="M279" t="n">
        <v>171901.7</v>
      </c>
      <c r="N279" t="inlineStr">
        <is>
          <t>PO:COMMIT</t>
        </is>
      </c>
      <c r="O279" t="inlineStr">
        <is>
          <t>20718</t>
        </is>
      </c>
      <c r="P279" t="inlineStr">
        <is>
          <t>JAVELIN SUPPLIES LLC</t>
        </is>
      </c>
      <c r="Q279" s="114" t="n">
        <v>0</v>
      </c>
      <c r="R279" s="114" t="n">
        <v>0</v>
      </c>
      <c r="S279" s="114" t="n">
        <v>171901.7</v>
      </c>
      <c r="T279" t="n">
        <v>0</v>
      </c>
    </row>
    <row r="280">
      <c r="A280" t="inlineStr">
        <is>
          <t>ttJTrans</t>
        </is>
      </c>
      <c r="B280" s="38" t="inlineStr">
        <is>
          <t>0-4004-13</t>
        </is>
      </c>
      <c r="C280" t="inlineStr">
        <is>
          <t>MA</t>
        </is>
      </c>
      <c r="D280" t="inlineStr">
        <is>
          <t>MA1010311</t>
        </is>
      </c>
      <c r="E280" t="inlineStr">
        <is>
          <t>MA</t>
        </is>
      </c>
      <c r="F280" t="inlineStr">
        <is>
          <t>MA1010311</t>
        </is>
      </c>
      <c r="G280" t="n">
        <v>46079</v>
      </c>
      <c r="H280" s="127" t="n">
        <v>46080</v>
      </c>
      <c r="I280" t="inlineStr">
        <is>
          <t>1</t>
        </is>
      </c>
      <c r="J280" s="38" t="inlineStr">
        <is>
          <t>0-4004-13</t>
        </is>
      </c>
      <c r="K280" t="inlineStr">
        <is>
          <t>Centerpoint Breaker Pass-Through</t>
        </is>
      </c>
      <c r="L280" t="n">
        <v>1</v>
      </c>
      <c r="M280" t="n">
        <v>333000</v>
      </c>
      <c r="N280" t="inlineStr">
        <is>
          <t>PO:COMMIT</t>
        </is>
      </c>
      <c r="O280" t="inlineStr">
        <is>
          <t>21204</t>
        </is>
      </c>
      <c r="P280" t="inlineStr">
        <is>
          <t>SIEMENS ENERGY, INC.</t>
        </is>
      </c>
      <c r="Q280" s="114" t="n">
        <v>0</v>
      </c>
      <c r="R280" s="114" t="n">
        <v>0</v>
      </c>
      <c r="S280" s="114" t="n">
        <v>333000</v>
      </c>
      <c r="T280" t="n">
        <v>0</v>
      </c>
    </row>
    <row r="281">
      <c r="A281" t="inlineStr">
        <is>
          <t>ttJTrans</t>
        </is>
      </c>
      <c r="B281" s="38" t="inlineStr">
        <is>
          <t>0-4005</t>
        </is>
      </c>
      <c r="C281" t="inlineStr">
        <is>
          <t>EQ</t>
        </is>
      </c>
      <c r="E281" t="inlineStr">
        <is>
          <t>EQ</t>
        </is>
      </c>
      <c r="H281" s="127" t="n">
        <v>45977</v>
      </c>
      <c r="J281" s="38" t="inlineStr">
        <is>
          <t>0-4005</t>
        </is>
      </c>
      <c r="K281" t="inlineStr">
        <is>
          <t>BH235 2023 KOMATSU PC88MR-11 EXCAVATOR 2023 KOMATSU PC88MR-11 EXCAVATOR</t>
        </is>
      </c>
      <c r="L281" t="n">
        <v>0</v>
      </c>
      <c r="M281" t="n">
        <v>0</v>
      </c>
      <c r="O281" t="inlineStr">
        <is>
          <t>BH235</t>
        </is>
      </c>
      <c r="Q281" s="114" t="n">
        <v>0</v>
      </c>
      <c r="R281" s="114" t="n">
        <v>125</v>
      </c>
      <c r="S281" s="114" t="n">
        <v>0</v>
      </c>
      <c r="T281" t="n">
        <v>0</v>
      </c>
    </row>
    <row r="282">
      <c r="A282" t="inlineStr">
        <is>
          <t>ttJTrans</t>
        </is>
      </c>
      <c r="B282" s="38" t="inlineStr">
        <is>
          <t>0-4005</t>
        </is>
      </c>
      <c r="C282" t="inlineStr">
        <is>
          <t>EQ</t>
        </is>
      </c>
      <c r="E282" t="inlineStr">
        <is>
          <t>EQ</t>
        </is>
      </c>
      <c r="H282" s="127" t="n">
        <v>45977</v>
      </c>
      <c r="J282" s="38" t="inlineStr">
        <is>
          <t>0-4005</t>
        </is>
      </c>
      <c r="K282" t="inlineStr">
        <is>
          <t>BH235 2023 KOMATSU PC88MR-11 EXCAVATOR 2023 KOMATSU PC88MR-11 EXCAVATOR</t>
        </is>
      </c>
      <c r="L282" t="n">
        <v>0</v>
      </c>
      <c r="M282" t="n">
        <v>0</v>
      </c>
      <c r="O282" t="inlineStr">
        <is>
          <t>BH235</t>
        </is>
      </c>
      <c r="Q282" s="114" t="n">
        <v>0</v>
      </c>
      <c r="R282" s="114" t="n">
        <v>125</v>
      </c>
      <c r="S282" s="114" t="n">
        <v>0</v>
      </c>
      <c r="T282" t="n">
        <v>0</v>
      </c>
    </row>
    <row r="283">
      <c r="A283" t="inlineStr">
        <is>
          <t>ttJTrans</t>
        </is>
      </c>
      <c r="B283" s="38" t="inlineStr">
        <is>
          <t>0-4005</t>
        </is>
      </c>
      <c r="C283" t="inlineStr">
        <is>
          <t>EQ</t>
        </is>
      </c>
      <c r="E283" t="inlineStr">
        <is>
          <t>EQ</t>
        </is>
      </c>
      <c r="H283" s="127" t="n">
        <v>45977</v>
      </c>
      <c r="J283" s="38" t="inlineStr">
        <is>
          <t>0-4005</t>
        </is>
      </c>
      <c r="K283" t="inlineStr">
        <is>
          <t>WLD110 JCB 3TS-8T TRACK LOADER W/ BKT &amp; FORKS JCB 3TS-8T TRACK LOADER W/ BKT &amp; FORKS</t>
        </is>
      </c>
      <c r="L283" t="n">
        <v>0</v>
      </c>
      <c r="M283" t="n">
        <v>0</v>
      </c>
      <c r="O283" t="inlineStr">
        <is>
          <t>WLD110</t>
        </is>
      </c>
      <c r="Q283" s="114" t="n">
        <v>0</v>
      </c>
      <c r="R283" s="114" t="n">
        <v>186.27</v>
      </c>
      <c r="S283" s="114" t="n">
        <v>0</v>
      </c>
      <c r="T283" t="n">
        <v>0</v>
      </c>
    </row>
    <row r="284">
      <c r="A284" t="inlineStr">
        <is>
          <t>ttJTrans</t>
        </is>
      </c>
      <c r="B284" s="38" t="inlineStr">
        <is>
          <t>0-4005</t>
        </is>
      </c>
      <c r="C284" t="inlineStr">
        <is>
          <t>EQ</t>
        </is>
      </c>
      <c r="E284" t="inlineStr">
        <is>
          <t>EQ</t>
        </is>
      </c>
      <c r="H284" s="127" t="n">
        <v>45977</v>
      </c>
      <c r="J284" s="38" t="inlineStr">
        <is>
          <t>0-4005</t>
        </is>
      </c>
      <c r="K284" t="inlineStr">
        <is>
          <t>WLD110 JCB 3TS-8T TRACK LOADER W/ BKT &amp; FORKS JCB 3TS-8T TRACK LOADER W/ BKT &amp; FORKS</t>
        </is>
      </c>
      <c r="L284" t="n">
        <v>0</v>
      </c>
      <c r="M284" t="n">
        <v>0</v>
      </c>
      <c r="O284" t="inlineStr">
        <is>
          <t>WLD110</t>
        </is>
      </c>
      <c r="Q284" s="114" t="n">
        <v>0</v>
      </c>
      <c r="R284" s="114" t="n">
        <v>186.27</v>
      </c>
      <c r="S284" s="114" t="n">
        <v>0</v>
      </c>
      <c r="T284" t="n">
        <v>0</v>
      </c>
    </row>
    <row r="285">
      <c r="A285" t="inlineStr">
        <is>
          <t>ttJTrans</t>
        </is>
      </c>
      <c r="B285" s="38" t="inlineStr">
        <is>
          <t>0-4005</t>
        </is>
      </c>
      <c r="C285" t="inlineStr">
        <is>
          <t>EQ</t>
        </is>
      </c>
      <c r="E285" t="inlineStr">
        <is>
          <t>EQ</t>
        </is>
      </c>
      <c r="H285" s="127" t="n">
        <v>45977</v>
      </c>
      <c r="J285" s="38" t="inlineStr">
        <is>
          <t>0-4005</t>
        </is>
      </c>
      <c r="K285" t="inlineStr">
        <is>
          <t>WLD144 SILT FENCE PLOW 48" W/ PUSH PULL DESIGN SILT FENCE PLOW 48" W/ PUSH PULL DESIGN</t>
        </is>
      </c>
      <c r="L285" t="n">
        <v>0</v>
      </c>
      <c r="M285" t="n">
        <v>0</v>
      </c>
      <c r="O285" t="inlineStr">
        <is>
          <t>WLD144</t>
        </is>
      </c>
      <c r="Q285" s="114" t="n">
        <v>0</v>
      </c>
      <c r="R285" s="114" t="n">
        <v>0</v>
      </c>
      <c r="S285" s="114" t="n">
        <v>0</v>
      </c>
      <c r="T285" t="n">
        <v>0</v>
      </c>
    </row>
    <row r="286">
      <c r="A286" t="inlineStr">
        <is>
          <t>ttJTrans</t>
        </is>
      </c>
      <c r="B286" s="38" t="inlineStr">
        <is>
          <t>0-4005</t>
        </is>
      </c>
      <c r="C286" t="inlineStr">
        <is>
          <t>EQ</t>
        </is>
      </c>
      <c r="E286" t="inlineStr">
        <is>
          <t>EQ</t>
        </is>
      </c>
      <c r="H286" s="127" t="n">
        <v>45977</v>
      </c>
      <c r="J286" s="38" t="inlineStr">
        <is>
          <t>0-4005</t>
        </is>
      </c>
      <c r="K286" t="inlineStr">
        <is>
          <t>WLD144 SILT FENCE PLOW 48" W/ PUSH PULL DESIGN SILT FENCE PLOW 48" W/ PUSH PULL DESIGN</t>
        </is>
      </c>
      <c r="L286" t="n">
        <v>0</v>
      </c>
      <c r="M286" t="n">
        <v>0</v>
      </c>
      <c r="O286" t="inlineStr">
        <is>
          <t>WLD144</t>
        </is>
      </c>
      <c r="Q286" s="114" t="n">
        <v>0</v>
      </c>
      <c r="R286" s="114" t="n">
        <v>0</v>
      </c>
      <c r="S286" s="114" t="n">
        <v>0</v>
      </c>
      <c r="T286" t="n">
        <v>0</v>
      </c>
    </row>
    <row r="287">
      <c r="A287" t="inlineStr">
        <is>
          <t>ttJTrans</t>
        </is>
      </c>
      <c r="B287" s="38" t="inlineStr">
        <is>
          <t>0-4005</t>
        </is>
      </c>
      <c r="C287" t="inlineStr">
        <is>
          <t>EQ</t>
        </is>
      </c>
      <c r="E287" t="inlineStr">
        <is>
          <t>EQ</t>
        </is>
      </c>
      <c r="H287" s="127" t="n">
        <v>45984</v>
      </c>
      <c r="J287" s="38" t="inlineStr">
        <is>
          <t>0-4005</t>
        </is>
      </c>
      <c r="K287" t="inlineStr">
        <is>
          <t>BH235 2023 KOMATSU PC88MR-11 EXCAVATOR 2023 KOMATSU PC88MR-11 EXCAVATOR</t>
        </is>
      </c>
      <c r="L287" t="n">
        <v>0</v>
      </c>
      <c r="M287" t="n">
        <v>0</v>
      </c>
      <c r="O287" t="inlineStr">
        <is>
          <t>BH235</t>
        </is>
      </c>
      <c r="Q287" s="114" t="n">
        <v>0</v>
      </c>
      <c r="R287" s="114" t="n">
        <v>125</v>
      </c>
      <c r="S287" s="114" t="n">
        <v>0</v>
      </c>
      <c r="T287" t="n">
        <v>0</v>
      </c>
    </row>
    <row r="288">
      <c r="A288" t="inlineStr">
        <is>
          <t>ttJTrans</t>
        </is>
      </c>
      <c r="B288" s="38" t="inlineStr">
        <is>
          <t>0-4005</t>
        </is>
      </c>
      <c r="C288" t="inlineStr">
        <is>
          <t>EQ</t>
        </is>
      </c>
      <c r="E288" t="inlineStr">
        <is>
          <t>EQ</t>
        </is>
      </c>
      <c r="H288" s="127" t="n">
        <v>45984</v>
      </c>
      <c r="J288" s="38" t="inlineStr">
        <is>
          <t>0-4005</t>
        </is>
      </c>
      <c r="K288" t="inlineStr">
        <is>
          <t>WLD110 JCB 3TS-8T TRACK LOADER W/ BKT &amp; FORKS JCB 3TS-8T TRACK LOADER W/ BKT &amp; FORKS</t>
        </is>
      </c>
      <c r="L288" t="n">
        <v>0</v>
      </c>
      <c r="M288" t="n">
        <v>0</v>
      </c>
      <c r="O288" t="inlineStr">
        <is>
          <t>WLD110</t>
        </is>
      </c>
      <c r="Q288" s="114" t="n">
        <v>0</v>
      </c>
      <c r="R288" s="114" t="n">
        <v>186.27</v>
      </c>
      <c r="S288" s="114" t="n">
        <v>0</v>
      </c>
      <c r="T288" t="n">
        <v>0</v>
      </c>
    </row>
    <row r="289">
      <c r="A289" t="inlineStr">
        <is>
          <t>ttJTrans</t>
        </is>
      </c>
      <c r="B289" s="38" t="inlineStr">
        <is>
          <t>0-4005</t>
        </is>
      </c>
      <c r="C289" t="inlineStr">
        <is>
          <t>EQ</t>
        </is>
      </c>
      <c r="E289" t="inlineStr">
        <is>
          <t>EQ</t>
        </is>
      </c>
      <c r="H289" s="127" t="n">
        <v>45984</v>
      </c>
      <c r="J289" s="38" t="inlineStr">
        <is>
          <t>0-4005</t>
        </is>
      </c>
      <c r="K289" t="inlineStr">
        <is>
          <t>WLD144 SILT FENCE PLOW 48" W/ PUSH PULL DESIGN SILT FENCE PLOW 48" W/ PUSH PULL DESIGN</t>
        </is>
      </c>
      <c r="L289" t="n">
        <v>0</v>
      </c>
      <c r="M289" t="n">
        <v>0</v>
      </c>
      <c r="O289" t="inlineStr">
        <is>
          <t>WLD144</t>
        </is>
      </c>
      <c r="Q289" s="114" t="n">
        <v>0</v>
      </c>
      <c r="R289" s="114" t="n">
        <v>0</v>
      </c>
      <c r="S289" s="114" t="n">
        <v>0</v>
      </c>
      <c r="T289" t="n">
        <v>0</v>
      </c>
    </row>
    <row r="290">
      <c r="A290" t="inlineStr">
        <is>
          <t>ttJTrans</t>
        </is>
      </c>
      <c r="B290" s="38" t="inlineStr">
        <is>
          <t>0-4005</t>
        </is>
      </c>
      <c r="C290" t="inlineStr">
        <is>
          <t>EQ</t>
        </is>
      </c>
      <c r="E290" t="inlineStr">
        <is>
          <t>EQ</t>
        </is>
      </c>
      <c r="H290" s="127" t="n">
        <v>45998</v>
      </c>
      <c r="J290" s="38" t="inlineStr">
        <is>
          <t>0-4005</t>
        </is>
      </c>
      <c r="K290" t="inlineStr">
        <is>
          <t>WLD110 JCB 3TS-8T TRACK LOADER W/ BKT &amp; FORKS JCB 3TS-8T TRACK LOADER W/ BKT &amp; FORKS</t>
        </is>
      </c>
      <c r="L290" t="n">
        <v>0</v>
      </c>
      <c r="M290" t="n">
        <v>0</v>
      </c>
      <c r="O290" t="inlineStr">
        <is>
          <t>WLD110</t>
        </is>
      </c>
      <c r="Q290" s="114" t="n">
        <v>0</v>
      </c>
      <c r="R290" s="114" t="n">
        <v>186.27</v>
      </c>
      <c r="S290" s="114" t="n">
        <v>0</v>
      </c>
      <c r="T290" t="n">
        <v>0</v>
      </c>
    </row>
    <row r="291">
      <c r="A291" t="inlineStr">
        <is>
          <t>ttJTrans</t>
        </is>
      </c>
      <c r="B291" s="38" t="inlineStr">
        <is>
          <t>0-4005</t>
        </is>
      </c>
      <c r="C291" t="inlineStr">
        <is>
          <t>EQ</t>
        </is>
      </c>
      <c r="E291" t="inlineStr">
        <is>
          <t>EQ</t>
        </is>
      </c>
      <c r="H291" s="127" t="n">
        <v>45998</v>
      </c>
      <c r="J291" s="38" t="inlineStr">
        <is>
          <t>0-4005</t>
        </is>
      </c>
      <c r="K291" t="inlineStr">
        <is>
          <t>WLD110 JCB 3TS-8T TRACK LOADER W/ BKT &amp; FORKS JCB 3TS-8T TRACK LOADER W/ BKT &amp; FORKS</t>
        </is>
      </c>
      <c r="L291" t="n">
        <v>0</v>
      </c>
      <c r="M291" t="n">
        <v>0</v>
      </c>
      <c r="O291" t="inlineStr">
        <is>
          <t>WLD110</t>
        </is>
      </c>
      <c r="Q291" s="114" t="n">
        <v>0</v>
      </c>
      <c r="R291" s="114" t="n">
        <v>186.27</v>
      </c>
      <c r="S291" s="114" t="n">
        <v>0</v>
      </c>
      <c r="T291" t="n">
        <v>0</v>
      </c>
    </row>
    <row r="292">
      <c r="A292" t="inlineStr">
        <is>
          <t>ttJTrans</t>
        </is>
      </c>
      <c r="B292" s="38" t="inlineStr">
        <is>
          <t>0-4005</t>
        </is>
      </c>
      <c r="C292" t="inlineStr">
        <is>
          <t>EQ</t>
        </is>
      </c>
      <c r="E292" t="inlineStr">
        <is>
          <t>EQ</t>
        </is>
      </c>
      <c r="H292" s="127" t="n">
        <v>46081</v>
      </c>
      <c r="J292" s="38" t="inlineStr">
        <is>
          <t>0-4005</t>
        </is>
      </c>
      <c r="K292" t="inlineStr">
        <is>
          <t>WLV106 2025 FORD F150 XL STX (SAFETY) 2025 FORD F150 XL STX (SAFETY)</t>
        </is>
      </c>
      <c r="L292" t="n">
        <v>0</v>
      </c>
      <c r="M292" t="n">
        <v>0</v>
      </c>
      <c r="O292" t="inlineStr">
        <is>
          <t>WLV106</t>
        </is>
      </c>
      <c r="Q292" s="114" t="n">
        <v>0</v>
      </c>
      <c r="R292" s="114" t="n">
        <v>79.14</v>
      </c>
      <c r="S292" s="114" t="n">
        <v>0</v>
      </c>
      <c r="T292" t="n">
        <v>0</v>
      </c>
    </row>
    <row r="293">
      <c r="A293" t="inlineStr">
        <is>
          <t>ttJTrans</t>
        </is>
      </c>
      <c r="B293" s="38" t="inlineStr">
        <is>
          <t>0-4005</t>
        </is>
      </c>
      <c r="C293" t="inlineStr">
        <is>
          <t>EQ</t>
        </is>
      </c>
      <c r="E293" t="inlineStr">
        <is>
          <t>EQ</t>
        </is>
      </c>
      <c r="H293" s="127" t="n">
        <v>46081</v>
      </c>
      <c r="J293" s="38" t="inlineStr">
        <is>
          <t>0-4005</t>
        </is>
      </c>
      <c r="K293" t="inlineStr">
        <is>
          <t>WLV106 2025 FORD F150 XL STX (SAFETY) 2025 FORD F150 XL STX (SAFETY)</t>
        </is>
      </c>
      <c r="L293" t="n">
        <v>0</v>
      </c>
      <c r="M293" t="n">
        <v>0</v>
      </c>
      <c r="O293" t="inlineStr">
        <is>
          <t>WLV106</t>
        </is>
      </c>
      <c r="Q293" s="114" t="n">
        <v>0</v>
      </c>
      <c r="R293" s="114" t="n">
        <v>79.14</v>
      </c>
      <c r="S293" s="114" t="n">
        <v>0</v>
      </c>
      <c r="T293" t="n">
        <v>0</v>
      </c>
    </row>
    <row r="294">
      <c r="A294" t="inlineStr">
        <is>
          <t>ttJTrans</t>
        </is>
      </c>
      <c r="B294" s="38" t="inlineStr">
        <is>
          <t>0-4005</t>
        </is>
      </c>
      <c r="C294" t="inlineStr">
        <is>
          <t>EQ</t>
        </is>
      </c>
      <c r="E294" t="inlineStr">
        <is>
          <t>EQ</t>
        </is>
      </c>
      <c r="H294" s="127" t="n">
        <v>46081</v>
      </c>
      <c r="J294" s="38" t="inlineStr">
        <is>
          <t>0-4005</t>
        </is>
      </c>
      <c r="K294" t="inlineStr">
        <is>
          <t>WLV106 2025 FORD F150 XL STX (SAFETY) 2025 FORD F150 XL STX (SAFETY)</t>
        </is>
      </c>
      <c r="L294" t="n">
        <v>0</v>
      </c>
      <c r="M294" t="n">
        <v>0</v>
      </c>
      <c r="O294" t="inlineStr">
        <is>
          <t>WLV106</t>
        </is>
      </c>
      <c r="Q294" s="114" t="n">
        <v>0</v>
      </c>
      <c r="R294" s="114" t="n">
        <v>79.14</v>
      </c>
      <c r="S294" s="114" t="n">
        <v>0</v>
      </c>
      <c r="T294" t="n">
        <v>0</v>
      </c>
    </row>
    <row r="295">
      <c r="A295" t="inlineStr">
        <is>
          <t>ttJTrans</t>
        </is>
      </c>
      <c r="B295" s="38" t="inlineStr">
        <is>
          <t>0-4005</t>
        </is>
      </c>
      <c r="C295" t="inlineStr">
        <is>
          <t>EQ</t>
        </is>
      </c>
      <c r="E295" t="inlineStr">
        <is>
          <t>EQ</t>
        </is>
      </c>
      <c r="H295" s="127" t="n">
        <v>46081</v>
      </c>
      <c r="J295" s="38" t="inlineStr">
        <is>
          <t>0-4005</t>
        </is>
      </c>
      <c r="K295" t="inlineStr">
        <is>
          <t>WLV106 2025 FORD F150 XL STX (SAFETY) 2025 FORD F150 XL STX (SAFETY)</t>
        </is>
      </c>
      <c r="L295" t="n">
        <v>0</v>
      </c>
      <c r="M295" t="n">
        <v>0</v>
      </c>
      <c r="O295" t="inlineStr">
        <is>
          <t>WLV106</t>
        </is>
      </c>
      <c r="Q295" s="114" t="n">
        <v>0</v>
      </c>
      <c r="R295" s="114" t="n">
        <v>79.14</v>
      </c>
      <c r="S295" s="114" t="n">
        <v>0</v>
      </c>
      <c r="T295" t="n">
        <v>0</v>
      </c>
    </row>
    <row r="296">
      <c r="A296" t="inlineStr">
        <is>
          <t>ttJTrans</t>
        </is>
      </c>
      <c r="B296" s="38" t="inlineStr">
        <is>
          <t>0-4005</t>
        </is>
      </c>
      <c r="C296" t="inlineStr">
        <is>
          <t>EQ</t>
        </is>
      </c>
      <c r="E296" t="inlineStr">
        <is>
          <t>EQ</t>
        </is>
      </c>
      <c r="H296" s="127" t="n">
        <v>46081</v>
      </c>
      <c r="J296" s="38" t="inlineStr">
        <is>
          <t>0-4005</t>
        </is>
      </c>
      <c r="K296" t="inlineStr">
        <is>
          <t>WLV106 2025 FORD F150 XL STX (SAFETY) 2025 FORD F150 XL STX (SAFETY)</t>
        </is>
      </c>
      <c r="L296" t="n">
        <v>0</v>
      </c>
      <c r="M296" t="n">
        <v>0</v>
      </c>
      <c r="O296" t="inlineStr">
        <is>
          <t>WLV106</t>
        </is>
      </c>
      <c r="Q296" s="114" t="n">
        <v>0</v>
      </c>
      <c r="R296" s="114" t="n">
        <v>79.14</v>
      </c>
      <c r="S296" s="114" t="n">
        <v>0</v>
      </c>
      <c r="T296" t="n">
        <v>0</v>
      </c>
    </row>
    <row r="297">
      <c r="A297" t="inlineStr">
        <is>
          <t>ttJTrans</t>
        </is>
      </c>
      <c r="B297" s="38" t="inlineStr">
        <is>
          <t>0-4005</t>
        </is>
      </c>
      <c r="C297" t="inlineStr">
        <is>
          <t>EQ</t>
        </is>
      </c>
      <c r="E297" t="inlineStr">
        <is>
          <t>EQ</t>
        </is>
      </c>
      <c r="H297" s="127" t="n">
        <v>46081</v>
      </c>
      <c r="J297" s="38" t="inlineStr">
        <is>
          <t>0-4005</t>
        </is>
      </c>
      <c r="K297" t="inlineStr">
        <is>
          <t>WLV106 2025 FORD F150 XL STX (SAFETY) 2025 FORD F150 XL STX (SAFETY)</t>
        </is>
      </c>
      <c r="L297" t="n">
        <v>0</v>
      </c>
      <c r="M297" t="n">
        <v>0</v>
      </c>
      <c r="O297" t="inlineStr">
        <is>
          <t>WLV106</t>
        </is>
      </c>
      <c r="Q297" s="114" t="n">
        <v>0</v>
      </c>
      <c r="R297" s="114" t="n">
        <v>79.14</v>
      </c>
      <c r="S297" s="114" t="n">
        <v>0</v>
      </c>
      <c r="T297" t="n">
        <v>0</v>
      </c>
    </row>
    <row r="298">
      <c r="A298" t="inlineStr">
        <is>
          <t>ttJTrans</t>
        </is>
      </c>
      <c r="B298" s="38" t="inlineStr">
        <is>
          <t>0-4005</t>
        </is>
      </c>
      <c r="C298" t="inlineStr">
        <is>
          <t>EQ</t>
        </is>
      </c>
      <c r="E298" t="inlineStr">
        <is>
          <t>EQ</t>
        </is>
      </c>
      <c r="H298" s="127" t="n">
        <v>46089</v>
      </c>
      <c r="J298" s="38" t="inlineStr">
        <is>
          <t>0-4005</t>
        </is>
      </c>
      <c r="K298" t="inlineStr">
        <is>
          <t>WLV106 2025 FORD F150 XL STX (SAFETY) 2025 FORD F150 XL STX (SAFETY)</t>
        </is>
      </c>
      <c r="L298" t="n">
        <v>0</v>
      </c>
      <c r="M298" t="n">
        <v>0</v>
      </c>
      <c r="O298" t="inlineStr">
        <is>
          <t>WLV106</t>
        </is>
      </c>
      <c r="Q298" s="114" t="n">
        <v>0</v>
      </c>
      <c r="R298" s="114" t="n">
        <v>79.14</v>
      </c>
      <c r="S298" s="114" t="n">
        <v>0</v>
      </c>
      <c r="T298" t="n">
        <v>0</v>
      </c>
    </row>
    <row r="299">
      <c r="A299" t="inlineStr">
        <is>
          <t>ttJTrans</t>
        </is>
      </c>
      <c r="B299" s="38" t="inlineStr">
        <is>
          <t>0-4005</t>
        </is>
      </c>
      <c r="C299" t="inlineStr">
        <is>
          <t>EQ</t>
        </is>
      </c>
      <c r="E299" t="inlineStr">
        <is>
          <t>EQ</t>
        </is>
      </c>
      <c r="H299" s="127" t="n">
        <v>46096</v>
      </c>
      <c r="J299" s="38" t="inlineStr">
        <is>
          <t>0-4005</t>
        </is>
      </c>
      <c r="K299" t="inlineStr">
        <is>
          <t>WHV001 2025 PETERBILT 589 SLEEPER CAB 2025 PETERBILT 589 SLEEPER CAB</t>
        </is>
      </c>
      <c r="L299" t="n">
        <v>0</v>
      </c>
      <c r="M299" t="n">
        <v>0</v>
      </c>
      <c r="O299" t="inlineStr">
        <is>
          <t>WHV001</t>
        </is>
      </c>
      <c r="Q299" s="114" t="n">
        <v>0</v>
      </c>
      <c r="R299" s="114" t="n">
        <v>250</v>
      </c>
      <c r="S299" s="114" t="n">
        <v>0</v>
      </c>
      <c r="T299" t="n">
        <v>0</v>
      </c>
    </row>
    <row r="300">
      <c r="A300" t="inlineStr">
        <is>
          <t>ttJTrans</t>
        </is>
      </c>
      <c r="B300" s="38" t="inlineStr">
        <is>
          <t>0-4005</t>
        </is>
      </c>
      <c r="C300" t="inlineStr">
        <is>
          <t>EQ</t>
        </is>
      </c>
      <c r="E300" t="inlineStr">
        <is>
          <t>EQ</t>
        </is>
      </c>
      <c r="H300" s="127" t="n">
        <v>46096</v>
      </c>
      <c r="J300" s="38" t="inlineStr">
        <is>
          <t>0-4005</t>
        </is>
      </c>
      <c r="K300" t="inlineStr">
        <is>
          <t>WHV001 2025 PETERBILT 589 SLEEPER CAB 2025 PETERBILT 589 SLEEPER CAB</t>
        </is>
      </c>
      <c r="L300" t="n">
        <v>0</v>
      </c>
      <c r="M300" t="n">
        <v>0</v>
      </c>
      <c r="O300" t="inlineStr">
        <is>
          <t>WHV001</t>
        </is>
      </c>
      <c r="Q300" s="114" t="n">
        <v>0</v>
      </c>
      <c r="R300" s="114" t="n">
        <v>250</v>
      </c>
      <c r="S300" s="114" t="n">
        <v>0</v>
      </c>
      <c r="T300" t="n">
        <v>0</v>
      </c>
    </row>
    <row r="301">
      <c r="A301" t="inlineStr">
        <is>
          <t>ttJTrans</t>
        </is>
      </c>
      <c r="B301" s="38" t="inlineStr">
        <is>
          <t>0-4005</t>
        </is>
      </c>
      <c r="C301" t="inlineStr">
        <is>
          <t>EQ</t>
        </is>
      </c>
      <c r="E301" t="inlineStr">
        <is>
          <t>EQ</t>
        </is>
      </c>
      <c r="H301" s="127" t="n">
        <v>46096</v>
      </c>
      <c r="J301" s="38" t="inlineStr">
        <is>
          <t>0-4005</t>
        </is>
      </c>
      <c r="K301" t="inlineStr">
        <is>
          <t>WHV001 2025 PETERBILT 589 SLEEPER CAB 2025 PETERBILT 589 SLEEPER CAB</t>
        </is>
      </c>
      <c r="L301" t="n">
        <v>0</v>
      </c>
      <c r="M301" t="n">
        <v>0</v>
      </c>
      <c r="O301" t="inlineStr">
        <is>
          <t>WHV001</t>
        </is>
      </c>
      <c r="Q301" s="114" t="n">
        <v>0</v>
      </c>
      <c r="R301" s="114" t="n">
        <v>250</v>
      </c>
      <c r="S301" s="114" t="n">
        <v>0</v>
      </c>
      <c r="T301" t="n">
        <v>0</v>
      </c>
    </row>
    <row r="302">
      <c r="A302" t="inlineStr">
        <is>
          <t>ttJTrans</t>
        </is>
      </c>
      <c r="B302" s="38" t="inlineStr">
        <is>
          <t>0-4005</t>
        </is>
      </c>
      <c r="C302" t="inlineStr">
        <is>
          <t>EQ</t>
        </is>
      </c>
      <c r="E302" t="inlineStr">
        <is>
          <t>EQ</t>
        </is>
      </c>
      <c r="H302" s="127" t="n">
        <v>46096</v>
      </c>
      <c r="J302" s="38" t="inlineStr">
        <is>
          <t>0-4005</t>
        </is>
      </c>
      <c r="K302" t="inlineStr">
        <is>
          <t>WHV001 2025 PETERBILT 589 SLEEPER CAB 2025 PETERBILT 589 SLEEPER CAB</t>
        </is>
      </c>
      <c r="L302" t="n">
        <v>0</v>
      </c>
      <c r="M302" t="n">
        <v>0</v>
      </c>
      <c r="O302" t="inlineStr">
        <is>
          <t>WHV001</t>
        </is>
      </c>
      <c r="Q302" s="114" t="n">
        <v>0</v>
      </c>
      <c r="R302" s="114" t="n">
        <v>250</v>
      </c>
      <c r="S302" s="114" t="n">
        <v>0</v>
      </c>
      <c r="T302" t="n">
        <v>0</v>
      </c>
    </row>
    <row r="303">
      <c r="A303" t="inlineStr">
        <is>
          <t>ttJTrans</t>
        </is>
      </c>
      <c r="B303" s="38" t="inlineStr">
        <is>
          <t>0-4005</t>
        </is>
      </c>
      <c r="C303" t="inlineStr">
        <is>
          <t>EQ</t>
        </is>
      </c>
      <c r="E303" t="inlineStr">
        <is>
          <t>EQ</t>
        </is>
      </c>
      <c r="H303" s="127" t="n">
        <v>46096</v>
      </c>
      <c r="J303" s="38" t="inlineStr">
        <is>
          <t>0-4005</t>
        </is>
      </c>
      <c r="K303" t="inlineStr">
        <is>
          <t>WHV001 2025 PETERBILT 589 SLEEPER CAB 2025 PETERBILT 589 SLEEPER CAB</t>
        </is>
      </c>
      <c r="L303" t="n">
        <v>0</v>
      </c>
      <c r="M303" t="n">
        <v>0</v>
      </c>
      <c r="O303" t="inlineStr">
        <is>
          <t>WHV001</t>
        </is>
      </c>
      <c r="Q303" s="114" t="n">
        <v>0</v>
      </c>
      <c r="R303" s="114" t="n">
        <v>250</v>
      </c>
      <c r="S303" s="114" t="n">
        <v>0</v>
      </c>
      <c r="T303" t="n">
        <v>0</v>
      </c>
    </row>
    <row r="304">
      <c r="A304" t="inlineStr">
        <is>
          <t>ttJTrans</t>
        </is>
      </c>
      <c r="B304" s="38" t="inlineStr">
        <is>
          <t>0-4005</t>
        </is>
      </c>
      <c r="C304" t="inlineStr">
        <is>
          <t>EQ</t>
        </is>
      </c>
      <c r="E304" t="inlineStr">
        <is>
          <t>EQ</t>
        </is>
      </c>
      <c r="H304" s="127" t="n">
        <v>46096</v>
      </c>
      <c r="J304" s="38" t="inlineStr">
        <is>
          <t>0-4005</t>
        </is>
      </c>
      <c r="K304" t="inlineStr">
        <is>
          <t>WTL002 2025 55 TON GOOSENECK EAGER BEAVER LOWBOY 2025 55 TON GOOSENECK EAGER BEAVER LOWBOY</t>
        </is>
      </c>
      <c r="L304" t="n">
        <v>0</v>
      </c>
      <c r="M304" t="n">
        <v>0</v>
      </c>
      <c r="O304" t="inlineStr">
        <is>
          <t>WTL002</t>
        </is>
      </c>
      <c r="Q304" s="114" t="n">
        <v>0</v>
      </c>
      <c r="R304" s="114" t="n">
        <v>55</v>
      </c>
      <c r="S304" s="114" t="n">
        <v>0</v>
      </c>
      <c r="T304" t="n">
        <v>0</v>
      </c>
    </row>
    <row r="305">
      <c r="A305" t="inlineStr">
        <is>
          <t>ttJTrans</t>
        </is>
      </c>
      <c r="B305" s="38" t="inlineStr">
        <is>
          <t>0-4005</t>
        </is>
      </c>
      <c r="C305" t="inlineStr">
        <is>
          <t>EQ</t>
        </is>
      </c>
      <c r="E305" t="inlineStr">
        <is>
          <t>EQ</t>
        </is>
      </c>
      <c r="H305" s="127" t="n">
        <v>46096</v>
      </c>
      <c r="J305" s="38" t="inlineStr">
        <is>
          <t>0-4005</t>
        </is>
      </c>
      <c r="K305" t="inlineStr">
        <is>
          <t>WTL002 2025 55 TON GOOSENECK EAGER BEAVER LOWBOY 2025 55 TON GOOSENECK EAGER BEAVER LOWBOY</t>
        </is>
      </c>
      <c r="L305" t="n">
        <v>0</v>
      </c>
      <c r="M305" t="n">
        <v>0</v>
      </c>
      <c r="O305" t="inlineStr">
        <is>
          <t>WTL002</t>
        </is>
      </c>
      <c r="Q305" s="114" t="n">
        <v>0</v>
      </c>
      <c r="R305" s="114" t="n">
        <v>55</v>
      </c>
      <c r="S305" s="114" t="n">
        <v>0</v>
      </c>
      <c r="T305" t="n">
        <v>0</v>
      </c>
    </row>
    <row r="306">
      <c r="A306" t="inlineStr">
        <is>
          <t>ttJTrans</t>
        </is>
      </c>
      <c r="B306" s="38" t="inlineStr">
        <is>
          <t>0-4005</t>
        </is>
      </c>
      <c r="C306" t="inlineStr">
        <is>
          <t>EQ</t>
        </is>
      </c>
      <c r="E306" t="inlineStr">
        <is>
          <t>EQ</t>
        </is>
      </c>
      <c r="H306" s="127" t="n">
        <v>46096</v>
      </c>
      <c r="J306" s="38" t="inlineStr">
        <is>
          <t>0-4005</t>
        </is>
      </c>
      <c r="K306" t="inlineStr">
        <is>
          <t>WTL002 2025 55 TON GOOSENECK EAGER BEAVER LOWBOY 2025 55 TON GOOSENECK EAGER BEAVER LOWBOY</t>
        </is>
      </c>
      <c r="L306" t="n">
        <v>0</v>
      </c>
      <c r="M306" t="n">
        <v>0</v>
      </c>
      <c r="O306" t="inlineStr">
        <is>
          <t>WTL002</t>
        </is>
      </c>
      <c r="Q306" s="114" t="n">
        <v>0</v>
      </c>
      <c r="R306" s="114" t="n">
        <v>55</v>
      </c>
      <c r="S306" s="114" t="n">
        <v>0</v>
      </c>
      <c r="T306" t="n">
        <v>0</v>
      </c>
    </row>
    <row r="307">
      <c r="A307" t="inlineStr">
        <is>
          <t>ttJTrans</t>
        </is>
      </c>
      <c r="B307" s="38" t="inlineStr">
        <is>
          <t>0-4005</t>
        </is>
      </c>
      <c r="C307" t="inlineStr">
        <is>
          <t>EQ</t>
        </is>
      </c>
      <c r="E307" t="inlineStr">
        <is>
          <t>EQ</t>
        </is>
      </c>
      <c r="H307" s="127" t="n">
        <v>46096</v>
      </c>
      <c r="J307" s="38" t="inlineStr">
        <is>
          <t>0-4005</t>
        </is>
      </c>
      <c r="K307" t="inlineStr">
        <is>
          <t>WTL002 2025 55 TON GOOSENECK EAGER BEAVER LOWBOY 2025 55 TON GOOSENECK EAGER BEAVER LOWBOY</t>
        </is>
      </c>
      <c r="L307" t="n">
        <v>0</v>
      </c>
      <c r="M307" t="n">
        <v>0</v>
      </c>
      <c r="O307" t="inlineStr">
        <is>
          <t>WTL002</t>
        </is>
      </c>
      <c r="Q307" s="114" t="n">
        <v>0</v>
      </c>
      <c r="R307" s="114" t="n">
        <v>55</v>
      </c>
      <c r="S307" s="114" t="n">
        <v>0</v>
      </c>
      <c r="T307" t="n">
        <v>0</v>
      </c>
    </row>
    <row r="308">
      <c r="A308" t="inlineStr">
        <is>
          <t>ttJTrans</t>
        </is>
      </c>
      <c r="B308" s="38" t="inlineStr">
        <is>
          <t>0-4005</t>
        </is>
      </c>
      <c r="C308" t="inlineStr">
        <is>
          <t>EQ</t>
        </is>
      </c>
      <c r="E308" t="inlineStr">
        <is>
          <t>EQ</t>
        </is>
      </c>
      <c r="H308" s="127" t="n">
        <v>46096</v>
      </c>
      <c r="J308" s="38" t="inlineStr">
        <is>
          <t>0-4005</t>
        </is>
      </c>
      <c r="K308" t="inlineStr">
        <is>
          <t>WTL002 2025 55 TON GOOSENECK EAGER BEAVER LOWBOY 2025 55 TON GOOSENECK EAGER BEAVER LOWBOY</t>
        </is>
      </c>
      <c r="L308" t="n">
        <v>0</v>
      </c>
      <c r="M308" t="n">
        <v>0</v>
      </c>
      <c r="O308" t="inlineStr">
        <is>
          <t>WTL002</t>
        </is>
      </c>
      <c r="Q308" s="114" t="n">
        <v>0</v>
      </c>
      <c r="R308" s="114" t="n">
        <v>55</v>
      </c>
      <c r="S308" s="114" t="n">
        <v>0</v>
      </c>
      <c r="T308" t="n">
        <v>0</v>
      </c>
    </row>
    <row r="309">
      <c r="A309" t="inlineStr">
        <is>
          <t>ttJTrans</t>
        </is>
      </c>
      <c r="B309" s="38" t="inlineStr">
        <is>
          <t>0-4005</t>
        </is>
      </c>
      <c r="C309" t="inlineStr">
        <is>
          <t>EQ</t>
        </is>
      </c>
      <c r="E309" t="inlineStr">
        <is>
          <t>EQ</t>
        </is>
      </c>
      <c r="H309" s="127" t="n">
        <v>46096</v>
      </c>
      <c r="J309" s="38" t="inlineStr">
        <is>
          <t>0-4005</t>
        </is>
      </c>
      <c r="K309" t="inlineStr">
        <is>
          <t>WLV106 2025 FORD F150 XL STX (SAFETY) 2025 FORD F150 XL STX (SAFETY)</t>
        </is>
      </c>
      <c r="L309" t="n">
        <v>0</v>
      </c>
      <c r="M309" t="n">
        <v>0</v>
      </c>
      <c r="O309" t="inlineStr">
        <is>
          <t>WLV106</t>
        </is>
      </c>
      <c r="Q309" s="114" t="n">
        <v>0</v>
      </c>
      <c r="R309" s="114" t="n">
        <v>79.14</v>
      </c>
      <c r="S309" s="114" t="n">
        <v>0</v>
      </c>
      <c r="T309" t="n">
        <v>0</v>
      </c>
    </row>
    <row r="310">
      <c r="A310" t="inlineStr">
        <is>
          <t>ttJTrans</t>
        </is>
      </c>
      <c r="B310" s="38" t="inlineStr">
        <is>
          <t>0-4005</t>
        </is>
      </c>
      <c r="C310" t="inlineStr">
        <is>
          <t>EQ</t>
        </is>
      </c>
      <c r="E310" t="inlineStr">
        <is>
          <t>EQ</t>
        </is>
      </c>
      <c r="H310" s="127" t="n">
        <v>46096</v>
      </c>
      <c r="J310" s="38" t="inlineStr">
        <is>
          <t>0-4005</t>
        </is>
      </c>
      <c r="K310" t="inlineStr">
        <is>
          <t>WLV106 2025 FORD F150 XL STX (SAFETY) 2025 FORD F150 XL STX (SAFETY)</t>
        </is>
      </c>
      <c r="L310" t="n">
        <v>0</v>
      </c>
      <c r="M310" t="n">
        <v>0</v>
      </c>
      <c r="O310" t="inlineStr">
        <is>
          <t>WLV106</t>
        </is>
      </c>
      <c r="Q310" s="114" t="n">
        <v>0</v>
      </c>
      <c r="R310" s="114" t="n">
        <v>79.14</v>
      </c>
      <c r="S310" s="114" t="n">
        <v>0</v>
      </c>
      <c r="T310" t="n">
        <v>0</v>
      </c>
    </row>
    <row r="311">
      <c r="A311" t="inlineStr">
        <is>
          <t>ttJTrans</t>
        </is>
      </c>
      <c r="B311" s="38" t="inlineStr">
        <is>
          <t>0-4005</t>
        </is>
      </c>
      <c r="C311" t="inlineStr">
        <is>
          <t>EQ</t>
        </is>
      </c>
      <c r="E311" t="inlineStr">
        <is>
          <t>EQ</t>
        </is>
      </c>
      <c r="H311" s="127" t="n">
        <v>46096</v>
      </c>
      <c r="J311" s="38" t="inlineStr">
        <is>
          <t>0-4005</t>
        </is>
      </c>
      <c r="K311" t="inlineStr">
        <is>
          <t>WLV106 2025 FORD F150 XL STX (SAFETY) 2025 FORD F150 XL STX (SAFETY)</t>
        </is>
      </c>
      <c r="L311" t="n">
        <v>0</v>
      </c>
      <c r="M311" t="n">
        <v>0</v>
      </c>
      <c r="O311" t="inlineStr">
        <is>
          <t>WLV106</t>
        </is>
      </c>
      <c r="Q311" s="114" t="n">
        <v>0</v>
      </c>
      <c r="R311" s="114" t="n">
        <v>79.14</v>
      </c>
      <c r="S311" s="114" t="n">
        <v>0</v>
      </c>
      <c r="T311" t="n">
        <v>0</v>
      </c>
    </row>
    <row r="312">
      <c r="A312" t="inlineStr">
        <is>
          <t>ttJTrans</t>
        </is>
      </c>
      <c r="B312" s="38" t="inlineStr">
        <is>
          <t>0-4005</t>
        </is>
      </c>
      <c r="C312" t="inlineStr">
        <is>
          <t>EQ</t>
        </is>
      </c>
      <c r="E312" t="inlineStr">
        <is>
          <t>EQ</t>
        </is>
      </c>
      <c r="H312" s="127" t="n">
        <v>46096</v>
      </c>
      <c r="J312" s="38" t="inlineStr">
        <is>
          <t>0-4005</t>
        </is>
      </c>
      <c r="K312" t="inlineStr">
        <is>
          <t>WLV106 2025 FORD F150 XL STX (SAFETY) 2025 FORD F150 XL STX (SAFETY)</t>
        </is>
      </c>
      <c r="L312" t="n">
        <v>0</v>
      </c>
      <c r="M312" t="n">
        <v>0</v>
      </c>
      <c r="O312" t="inlineStr">
        <is>
          <t>WLV106</t>
        </is>
      </c>
      <c r="Q312" s="114" t="n">
        <v>0</v>
      </c>
      <c r="R312" s="114" t="n">
        <v>79.14</v>
      </c>
      <c r="S312" s="114" t="n">
        <v>0</v>
      </c>
      <c r="T312" t="n">
        <v>0</v>
      </c>
    </row>
    <row r="313">
      <c r="A313" t="inlineStr">
        <is>
          <t>ttJTrans</t>
        </is>
      </c>
      <c r="B313" s="38" t="inlineStr">
        <is>
          <t>0-4005</t>
        </is>
      </c>
      <c r="C313" t="inlineStr">
        <is>
          <t>EQ</t>
        </is>
      </c>
      <c r="E313" t="inlineStr">
        <is>
          <t>EQ</t>
        </is>
      </c>
      <c r="H313" s="127" t="n">
        <v>46096</v>
      </c>
      <c r="J313" s="38" t="inlineStr">
        <is>
          <t>0-4005</t>
        </is>
      </c>
      <c r="K313" t="inlineStr">
        <is>
          <t>WLV106 2025 FORD F150 XL STX (SAFETY) 2025 FORD F150 XL STX (SAFETY)</t>
        </is>
      </c>
      <c r="L313" t="n">
        <v>0</v>
      </c>
      <c r="M313" t="n">
        <v>0</v>
      </c>
      <c r="O313" t="inlineStr">
        <is>
          <t>WLV106</t>
        </is>
      </c>
      <c r="Q313" s="114" t="n">
        <v>0</v>
      </c>
      <c r="R313" s="114" t="n">
        <v>79.14</v>
      </c>
      <c r="S313" s="114" t="n">
        <v>0</v>
      </c>
      <c r="T313" t="n">
        <v>0</v>
      </c>
    </row>
    <row r="314">
      <c r="A314" t="inlineStr">
        <is>
          <t>ttJTrans</t>
        </is>
      </c>
      <c r="B314" s="38" t="inlineStr">
        <is>
          <t>0-4005</t>
        </is>
      </c>
      <c r="C314" t="inlineStr">
        <is>
          <t>EQ</t>
        </is>
      </c>
      <c r="E314" t="inlineStr">
        <is>
          <t>EQ</t>
        </is>
      </c>
      <c r="H314" s="127" t="n">
        <v>46096</v>
      </c>
      <c r="J314" s="38" t="inlineStr">
        <is>
          <t>0-4005</t>
        </is>
      </c>
      <c r="K314" t="inlineStr">
        <is>
          <t>WLV106 2025 FORD F150 XL STX (SAFETY) 2025 FORD F150 XL STX (SAFETY)</t>
        </is>
      </c>
      <c r="L314" t="n">
        <v>0</v>
      </c>
      <c r="M314" t="n">
        <v>0</v>
      </c>
      <c r="O314" t="inlineStr">
        <is>
          <t>WLV106</t>
        </is>
      </c>
      <c r="Q314" s="114" t="n">
        <v>0</v>
      </c>
      <c r="R314" s="114" t="n">
        <v>79.14</v>
      </c>
      <c r="S314" s="114" t="n">
        <v>0</v>
      </c>
      <c r="T314" t="n">
        <v>0</v>
      </c>
    </row>
    <row r="315">
      <c r="A315" t="inlineStr">
        <is>
          <t>ttJTrans</t>
        </is>
      </c>
      <c r="B315" s="38" t="inlineStr">
        <is>
          <t>0-4005</t>
        </is>
      </c>
      <c r="C315" t="inlineStr">
        <is>
          <t>EQ</t>
        </is>
      </c>
      <c r="E315" t="inlineStr">
        <is>
          <t>EQ</t>
        </is>
      </c>
      <c r="H315" s="127" t="n">
        <v>46096</v>
      </c>
      <c r="J315" s="38" t="inlineStr">
        <is>
          <t>0-4005</t>
        </is>
      </c>
      <c r="K315" t="inlineStr">
        <is>
          <t>RT1351 2024 CHEVROLET SILVERADO 2500 DIESEL CUSTOM 4X4 2024 CHEVROLET SILVERADO 2500 DIESEL CUSTOM 4X4</t>
        </is>
      </c>
      <c r="L315" t="n">
        <v>0</v>
      </c>
      <c r="M315" t="n">
        <v>0</v>
      </c>
      <c r="O315" t="inlineStr">
        <is>
          <t>RT1351</t>
        </is>
      </c>
      <c r="Q315" s="114" t="n">
        <v>0</v>
      </c>
      <c r="R315" s="114" t="n">
        <v>79.14</v>
      </c>
      <c r="S315" s="114" t="n">
        <v>0</v>
      </c>
      <c r="T315" t="n">
        <v>0</v>
      </c>
    </row>
    <row r="316">
      <c r="A316" t="inlineStr">
        <is>
          <t>ttJTrans</t>
        </is>
      </c>
      <c r="B316" s="38" t="inlineStr">
        <is>
          <t>0-4005</t>
        </is>
      </c>
      <c r="C316" t="inlineStr">
        <is>
          <t>EQ</t>
        </is>
      </c>
      <c r="E316" t="inlineStr">
        <is>
          <t>EQ</t>
        </is>
      </c>
      <c r="H316" s="127" t="n">
        <v>46103</v>
      </c>
      <c r="J316" s="38" t="inlineStr">
        <is>
          <t>0-4005</t>
        </is>
      </c>
      <c r="K316" t="inlineStr">
        <is>
          <t>RT1351 2024 CHEVROLET SILVERADO 2500 DIESEL CUSTOM 4X4 2024 CHEVROLET SILVERADO 2500 DIESEL CUSTOM 4X4</t>
        </is>
      </c>
      <c r="L316" t="n">
        <v>0</v>
      </c>
      <c r="M316" t="n">
        <v>0</v>
      </c>
      <c r="O316" t="inlineStr">
        <is>
          <t>RT1351</t>
        </is>
      </c>
      <c r="Q316" s="114" t="n">
        <v>0</v>
      </c>
      <c r="R316" s="114" t="n">
        <v>79.14</v>
      </c>
      <c r="S316" s="114" t="n">
        <v>0</v>
      </c>
      <c r="T316" t="n">
        <v>0</v>
      </c>
    </row>
    <row r="317">
      <c r="A317" t="inlineStr">
        <is>
          <t>ttJTrans</t>
        </is>
      </c>
      <c r="B317" s="38" t="inlineStr">
        <is>
          <t>0-4005</t>
        </is>
      </c>
      <c r="C317" t="inlineStr">
        <is>
          <t>EQ</t>
        </is>
      </c>
      <c r="E317" t="inlineStr">
        <is>
          <t>EQ</t>
        </is>
      </c>
      <c r="H317" s="127" t="n">
        <v>46103</v>
      </c>
      <c r="J317" s="38" t="inlineStr">
        <is>
          <t>0-4005</t>
        </is>
      </c>
      <c r="K317" t="inlineStr">
        <is>
          <t>RT1351 2024 CHEVROLET SILVERADO 2500 DIESEL CUSTOM 4X4 2024 CHEVROLET SILVERADO 2500 DIESEL CUSTOM 4X4</t>
        </is>
      </c>
      <c r="L317" t="n">
        <v>0</v>
      </c>
      <c r="M317" t="n">
        <v>0</v>
      </c>
      <c r="O317" t="inlineStr">
        <is>
          <t>RT1351</t>
        </is>
      </c>
      <c r="Q317" s="114" t="n">
        <v>0</v>
      </c>
      <c r="R317" s="114" t="n">
        <v>79.14</v>
      </c>
      <c r="S317" s="114" t="n">
        <v>0</v>
      </c>
      <c r="T317" t="n">
        <v>0</v>
      </c>
    </row>
    <row r="318">
      <c r="A318" t="inlineStr">
        <is>
          <t>ttJTrans</t>
        </is>
      </c>
      <c r="B318" s="38" t="inlineStr">
        <is>
          <t>0-4005</t>
        </is>
      </c>
      <c r="C318" t="inlineStr">
        <is>
          <t>EQ</t>
        </is>
      </c>
      <c r="E318" t="inlineStr">
        <is>
          <t>EQ</t>
        </is>
      </c>
      <c r="H318" s="127" t="n">
        <v>46103</v>
      </c>
      <c r="J318" s="38" t="inlineStr">
        <is>
          <t>0-4005</t>
        </is>
      </c>
      <c r="K318" t="inlineStr">
        <is>
          <t>RT1351 2024 CHEVROLET SILVERADO 2500 DIESEL CUSTOM 4X4 2024 CHEVROLET SILVERADO 2500 DIESEL CUSTOM 4X4</t>
        </is>
      </c>
      <c r="L318" t="n">
        <v>0</v>
      </c>
      <c r="M318" t="n">
        <v>0</v>
      </c>
      <c r="O318" t="inlineStr">
        <is>
          <t>RT1351</t>
        </is>
      </c>
      <c r="Q318" s="114" t="n">
        <v>0</v>
      </c>
      <c r="R318" s="114" t="n">
        <v>79.14</v>
      </c>
      <c r="S318" s="114" t="n">
        <v>0</v>
      </c>
      <c r="T318" t="n">
        <v>0</v>
      </c>
    </row>
    <row r="319">
      <c r="A319" t="inlineStr">
        <is>
          <t>ttJTrans</t>
        </is>
      </c>
      <c r="B319" s="38" t="inlineStr">
        <is>
          <t>0-4005</t>
        </is>
      </c>
      <c r="C319" t="inlineStr">
        <is>
          <t>EQ</t>
        </is>
      </c>
      <c r="E319" t="inlineStr">
        <is>
          <t>EQ</t>
        </is>
      </c>
      <c r="H319" s="127" t="n">
        <v>46103</v>
      </c>
      <c r="J319" s="38" t="inlineStr">
        <is>
          <t>0-4005</t>
        </is>
      </c>
      <c r="K319" t="inlineStr">
        <is>
          <t>RT1351 2024 CHEVROLET SILVERADO 2500 DIESEL CUSTOM 4X4 2024 CHEVROLET SILVERADO 2500 DIESEL CUSTOM 4X4</t>
        </is>
      </c>
      <c r="L319" t="n">
        <v>0</v>
      </c>
      <c r="M319" t="n">
        <v>0</v>
      </c>
      <c r="O319" t="inlineStr">
        <is>
          <t>RT1351</t>
        </is>
      </c>
      <c r="Q319" s="114" t="n">
        <v>0</v>
      </c>
      <c r="R319" s="114" t="n">
        <v>79.14</v>
      </c>
      <c r="S319" s="114" t="n">
        <v>0</v>
      </c>
      <c r="T319" t="n">
        <v>0</v>
      </c>
    </row>
    <row r="320">
      <c r="A320" t="inlineStr">
        <is>
          <t>ttJTrans</t>
        </is>
      </c>
      <c r="B320" s="38" t="inlineStr">
        <is>
          <t>0-4005</t>
        </is>
      </c>
      <c r="C320" t="inlineStr">
        <is>
          <t>EQ</t>
        </is>
      </c>
      <c r="E320" t="inlineStr">
        <is>
          <t>EQ</t>
        </is>
      </c>
      <c r="H320" s="127" t="n">
        <v>46103</v>
      </c>
      <c r="J320" s="38" t="inlineStr">
        <is>
          <t>0-4005</t>
        </is>
      </c>
      <c r="K320" t="inlineStr">
        <is>
          <t>RT1351 2024 CHEVROLET SILVERADO 2500 DIESEL CUSTOM 4X4 2024 CHEVROLET SILVERADO 2500 DIESEL CUSTOM 4X4</t>
        </is>
      </c>
      <c r="L320" t="n">
        <v>0</v>
      </c>
      <c r="M320" t="n">
        <v>0</v>
      </c>
      <c r="O320" t="inlineStr">
        <is>
          <t>RT1351</t>
        </is>
      </c>
      <c r="Q320" s="114" t="n">
        <v>0</v>
      </c>
      <c r="R320" s="114" t="n">
        <v>79.14</v>
      </c>
      <c r="S320" s="114" t="n">
        <v>0</v>
      </c>
      <c r="T320" t="n">
        <v>0</v>
      </c>
    </row>
    <row r="321">
      <c r="A321" t="inlineStr">
        <is>
          <t>ttJTrans</t>
        </is>
      </c>
      <c r="B321" s="38" t="inlineStr">
        <is>
          <t>0-4005</t>
        </is>
      </c>
      <c r="C321" t="inlineStr">
        <is>
          <t>EQ</t>
        </is>
      </c>
      <c r="E321" t="inlineStr">
        <is>
          <t>EQ</t>
        </is>
      </c>
      <c r="H321" s="127" t="n">
        <v>46103</v>
      </c>
      <c r="J321" s="38" t="inlineStr">
        <is>
          <t>0-4005</t>
        </is>
      </c>
      <c r="K321" t="inlineStr">
        <is>
          <t>RT1351 2024 CHEVROLET SILVERADO 2500 DIESEL CUSTOM 4X4 2024 CHEVROLET SILVERADO 2500 DIESEL CUSTOM 4X4</t>
        </is>
      </c>
      <c r="L321" t="n">
        <v>0</v>
      </c>
      <c r="M321" t="n">
        <v>0</v>
      </c>
      <c r="O321" t="inlineStr">
        <is>
          <t>RT1351</t>
        </is>
      </c>
      <c r="Q321" s="114" t="n">
        <v>0</v>
      </c>
      <c r="R321" s="114" t="n">
        <v>79.14</v>
      </c>
      <c r="S321" s="114" t="n">
        <v>0</v>
      </c>
      <c r="T321" t="n">
        <v>0</v>
      </c>
    </row>
    <row r="322">
      <c r="A322" t="inlineStr">
        <is>
          <t>ttJTrans</t>
        </is>
      </c>
      <c r="B322" s="38" t="inlineStr">
        <is>
          <t>0-4005</t>
        </is>
      </c>
      <c r="C322" t="inlineStr">
        <is>
          <t>EQ</t>
        </is>
      </c>
      <c r="E322" t="inlineStr">
        <is>
          <t>EQ</t>
        </is>
      </c>
      <c r="H322" s="127" t="n">
        <v>46103</v>
      </c>
      <c r="J322" s="38" t="inlineStr">
        <is>
          <t>0-4005</t>
        </is>
      </c>
      <c r="K322" t="inlineStr">
        <is>
          <t>WLV106 2025 FORD F150 XL STX (SAFETY) 2025 FORD F150 XL STX (SAFETY)</t>
        </is>
      </c>
      <c r="L322" t="n">
        <v>0</v>
      </c>
      <c r="M322" t="n">
        <v>0</v>
      </c>
      <c r="O322" t="inlineStr">
        <is>
          <t>WLV106</t>
        </is>
      </c>
      <c r="Q322" s="114" t="n">
        <v>0</v>
      </c>
      <c r="R322" s="114" t="n">
        <v>79.14</v>
      </c>
      <c r="S322" s="114" t="n">
        <v>0</v>
      </c>
      <c r="T322" t="n">
        <v>0</v>
      </c>
    </row>
    <row r="323">
      <c r="A323" t="inlineStr">
        <is>
          <t>ttJTrans</t>
        </is>
      </c>
      <c r="B323" s="38" t="inlineStr">
        <is>
          <t>0-4005</t>
        </is>
      </c>
      <c r="C323" t="inlineStr">
        <is>
          <t>EQ</t>
        </is>
      </c>
      <c r="E323" t="inlineStr">
        <is>
          <t>EQ</t>
        </is>
      </c>
      <c r="H323" s="127" t="n">
        <v>46103</v>
      </c>
      <c r="J323" s="38" t="inlineStr">
        <is>
          <t>0-4005</t>
        </is>
      </c>
      <c r="K323" t="inlineStr">
        <is>
          <t>WLV106 2025 FORD F150 XL STX (SAFETY) 2025 FORD F150 XL STX (SAFETY)</t>
        </is>
      </c>
      <c r="L323" t="n">
        <v>0</v>
      </c>
      <c r="M323" t="n">
        <v>0</v>
      </c>
      <c r="O323" t="inlineStr">
        <is>
          <t>WLV106</t>
        </is>
      </c>
      <c r="Q323" s="114" t="n">
        <v>0</v>
      </c>
      <c r="R323" s="114" t="n">
        <v>79.14</v>
      </c>
      <c r="S323" s="114" t="n">
        <v>0</v>
      </c>
      <c r="T323" t="n">
        <v>0</v>
      </c>
    </row>
    <row r="324">
      <c r="A324" t="inlineStr">
        <is>
          <t>ttJTrans</t>
        </is>
      </c>
      <c r="B324" s="38" t="inlineStr">
        <is>
          <t>0-4005</t>
        </is>
      </c>
      <c r="C324" t="inlineStr">
        <is>
          <t>EQ</t>
        </is>
      </c>
      <c r="E324" t="inlineStr">
        <is>
          <t>EQ</t>
        </is>
      </c>
      <c r="H324" s="127" t="n">
        <v>46103</v>
      </c>
      <c r="J324" s="38" t="inlineStr">
        <is>
          <t>0-4005</t>
        </is>
      </c>
      <c r="K324" t="inlineStr">
        <is>
          <t>WLV106 2025 FORD F150 XL STX (SAFETY) 2025 FORD F150 XL STX (SAFETY)</t>
        </is>
      </c>
      <c r="L324" t="n">
        <v>0</v>
      </c>
      <c r="M324" t="n">
        <v>0</v>
      </c>
      <c r="O324" t="inlineStr">
        <is>
          <t>WLV106</t>
        </is>
      </c>
      <c r="Q324" s="114" t="n">
        <v>0</v>
      </c>
      <c r="R324" s="114" t="n">
        <v>79.14</v>
      </c>
      <c r="S324" s="114" t="n">
        <v>0</v>
      </c>
      <c r="T324" t="n">
        <v>0</v>
      </c>
    </row>
    <row r="325">
      <c r="A325" t="inlineStr">
        <is>
          <t>ttJTrans</t>
        </is>
      </c>
      <c r="B325" s="38" t="inlineStr">
        <is>
          <t>0-4005</t>
        </is>
      </c>
      <c r="C325" t="inlineStr">
        <is>
          <t>EQ</t>
        </is>
      </c>
      <c r="E325" t="inlineStr">
        <is>
          <t>EQ</t>
        </is>
      </c>
      <c r="H325" s="127" t="n">
        <v>46103</v>
      </c>
      <c r="J325" s="38" t="inlineStr">
        <is>
          <t>0-4005</t>
        </is>
      </c>
      <c r="K325" t="inlineStr">
        <is>
          <t>WLV106 2025 FORD F150 XL STX (SAFETY) 2025 FORD F150 XL STX (SAFETY)</t>
        </is>
      </c>
      <c r="L325" t="n">
        <v>0</v>
      </c>
      <c r="M325" t="n">
        <v>0</v>
      </c>
      <c r="O325" t="inlineStr">
        <is>
          <t>WLV106</t>
        </is>
      </c>
      <c r="Q325" s="114" t="n">
        <v>0</v>
      </c>
      <c r="R325" s="114" t="n">
        <v>79.14</v>
      </c>
      <c r="S325" s="114" t="n">
        <v>0</v>
      </c>
      <c r="T325" t="n">
        <v>0</v>
      </c>
    </row>
    <row r="326">
      <c r="A326" t="inlineStr">
        <is>
          <t>ttJTrans</t>
        </is>
      </c>
      <c r="B326" s="38" t="inlineStr">
        <is>
          <t>0-4005</t>
        </is>
      </c>
      <c r="C326" t="inlineStr">
        <is>
          <t>EQ</t>
        </is>
      </c>
      <c r="E326" t="inlineStr">
        <is>
          <t>EQ</t>
        </is>
      </c>
      <c r="H326" s="127" t="n">
        <v>46103</v>
      </c>
      <c r="J326" s="38" t="inlineStr">
        <is>
          <t>0-4005</t>
        </is>
      </c>
      <c r="K326" t="inlineStr">
        <is>
          <t>WHV001 2025 PETERBILT 589 SLEEPER CAB 2025 PETERBILT 589 SLEEPER CAB</t>
        </is>
      </c>
      <c r="L326" t="n">
        <v>0</v>
      </c>
      <c r="M326" t="n">
        <v>0</v>
      </c>
      <c r="O326" t="inlineStr">
        <is>
          <t>WHV001</t>
        </is>
      </c>
      <c r="Q326" s="114" t="n">
        <v>0</v>
      </c>
      <c r="R326" s="114" t="n">
        <v>250</v>
      </c>
      <c r="S326" s="114" t="n">
        <v>0</v>
      </c>
      <c r="T326" t="n">
        <v>0</v>
      </c>
    </row>
    <row r="327">
      <c r="A327" t="inlineStr">
        <is>
          <t>ttJTrans</t>
        </is>
      </c>
      <c r="B327" s="38" t="inlineStr">
        <is>
          <t>0-4005</t>
        </is>
      </c>
      <c r="C327" t="inlineStr">
        <is>
          <t>EQ</t>
        </is>
      </c>
      <c r="E327" t="inlineStr">
        <is>
          <t>EQ</t>
        </is>
      </c>
      <c r="H327" s="127" t="n">
        <v>46103</v>
      </c>
      <c r="J327" s="38" t="inlineStr">
        <is>
          <t>0-4005</t>
        </is>
      </c>
      <c r="K327" t="inlineStr">
        <is>
          <t>WHV001 2025 PETERBILT 589 SLEEPER CAB 2025 PETERBILT 589 SLEEPER CAB</t>
        </is>
      </c>
      <c r="L327" t="n">
        <v>0</v>
      </c>
      <c r="M327" t="n">
        <v>0</v>
      </c>
      <c r="O327" t="inlineStr">
        <is>
          <t>WHV001</t>
        </is>
      </c>
      <c r="Q327" s="114" t="n">
        <v>0</v>
      </c>
      <c r="R327" s="114" t="n">
        <v>250</v>
      </c>
      <c r="S327" s="114" t="n">
        <v>0</v>
      </c>
      <c r="T327" t="n">
        <v>0</v>
      </c>
    </row>
    <row r="328">
      <c r="A328" t="inlineStr">
        <is>
          <t>ttJTrans</t>
        </is>
      </c>
      <c r="B328" s="38" t="inlineStr">
        <is>
          <t>0-4005</t>
        </is>
      </c>
      <c r="C328" t="inlineStr">
        <is>
          <t>EQ</t>
        </is>
      </c>
      <c r="E328" t="inlineStr">
        <is>
          <t>EQ</t>
        </is>
      </c>
      <c r="H328" s="127" t="n">
        <v>46103</v>
      </c>
      <c r="J328" s="38" t="inlineStr">
        <is>
          <t>0-4005</t>
        </is>
      </c>
      <c r="K328" t="inlineStr">
        <is>
          <t>WHV001 2025 PETERBILT 589 SLEEPER CAB 2025 PETERBILT 589 SLEEPER CAB</t>
        </is>
      </c>
      <c r="L328" t="n">
        <v>0</v>
      </c>
      <c r="M328" t="n">
        <v>0</v>
      </c>
      <c r="O328" t="inlineStr">
        <is>
          <t>WHV001</t>
        </is>
      </c>
      <c r="Q328" s="114" t="n">
        <v>0</v>
      </c>
      <c r="R328" s="114" t="n">
        <v>250</v>
      </c>
      <c r="S328" s="114" t="n">
        <v>0</v>
      </c>
      <c r="T328" t="n">
        <v>0</v>
      </c>
    </row>
    <row r="329">
      <c r="A329" t="inlineStr">
        <is>
          <t>ttJTrans</t>
        </is>
      </c>
      <c r="B329" s="38" t="inlineStr">
        <is>
          <t>0-4005</t>
        </is>
      </c>
      <c r="C329" t="inlineStr">
        <is>
          <t>EQ</t>
        </is>
      </c>
      <c r="E329" t="inlineStr">
        <is>
          <t>EQ</t>
        </is>
      </c>
      <c r="H329" s="127" t="n">
        <v>46103</v>
      </c>
      <c r="J329" s="38" t="inlineStr">
        <is>
          <t>0-4005</t>
        </is>
      </c>
      <c r="K329" t="inlineStr">
        <is>
          <t>WHV001 2025 PETERBILT 589 SLEEPER CAB 2025 PETERBILT 589 SLEEPER CAB</t>
        </is>
      </c>
      <c r="L329" t="n">
        <v>0</v>
      </c>
      <c r="M329" t="n">
        <v>0</v>
      </c>
      <c r="O329" t="inlineStr">
        <is>
          <t>WHV001</t>
        </is>
      </c>
      <c r="Q329" s="114" t="n">
        <v>0</v>
      </c>
      <c r="R329" s="114" t="n">
        <v>250</v>
      </c>
      <c r="S329" s="114" t="n">
        <v>0</v>
      </c>
      <c r="T329" t="n">
        <v>0</v>
      </c>
    </row>
    <row r="330">
      <c r="A330" t="inlineStr">
        <is>
          <t>ttJTrans</t>
        </is>
      </c>
      <c r="B330" s="38" t="inlineStr">
        <is>
          <t>0-4005</t>
        </is>
      </c>
      <c r="C330" t="inlineStr">
        <is>
          <t>EQ</t>
        </is>
      </c>
      <c r="E330" t="inlineStr">
        <is>
          <t>EQ</t>
        </is>
      </c>
      <c r="H330" s="127" t="n">
        <v>46103</v>
      </c>
      <c r="J330" s="38" t="inlineStr">
        <is>
          <t>0-4005</t>
        </is>
      </c>
      <c r="K330" t="inlineStr">
        <is>
          <t>WHV001 2025 PETERBILT 589 SLEEPER CAB 2025 PETERBILT 589 SLEEPER CAB</t>
        </is>
      </c>
      <c r="L330" t="n">
        <v>0</v>
      </c>
      <c r="M330" t="n">
        <v>0</v>
      </c>
      <c r="O330" t="inlineStr">
        <is>
          <t>WHV001</t>
        </is>
      </c>
      <c r="Q330" s="114" t="n">
        <v>0</v>
      </c>
      <c r="R330" s="114" t="n">
        <v>250</v>
      </c>
      <c r="S330" s="114" t="n">
        <v>0</v>
      </c>
      <c r="T330" t="n">
        <v>0</v>
      </c>
    </row>
    <row r="331">
      <c r="A331" t="inlineStr">
        <is>
          <t>ttJTrans</t>
        </is>
      </c>
      <c r="B331" s="38" t="inlineStr">
        <is>
          <t>0-4005</t>
        </is>
      </c>
      <c r="C331" t="inlineStr">
        <is>
          <t>EQ</t>
        </is>
      </c>
      <c r="E331" t="inlineStr">
        <is>
          <t>EQ</t>
        </is>
      </c>
      <c r="H331" s="127" t="n">
        <v>46103</v>
      </c>
      <c r="J331" s="38" t="inlineStr">
        <is>
          <t>0-4005</t>
        </is>
      </c>
      <c r="K331" t="inlineStr">
        <is>
          <t>WHV001 2025 PETERBILT 589 SLEEPER CAB 2025 PETERBILT 589 SLEEPER CAB</t>
        </is>
      </c>
      <c r="L331" t="n">
        <v>0</v>
      </c>
      <c r="M331" t="n">
        <v>0</v>
      </c>
      <c r="O331" t="inlineStr">
        <is>
          <t>WHV001</t>
        </is>
      </c>
      <c r="Q331" s="114" t="n">
        <v>0</v>
      </c>
      <c r="R331" s="114" t="n">
        <v>250</v>
      </c>
      <c r="S331" s="114" t="n">
        <v>0</v>
      </c>
      <c r="T331" t="n">
        <v>0</v>
      </c>
    </row>
    <row r="332">
      <c r="A332" t="inlineStr">
        <is>
          <t>ttJTrans</t>
        </is>
      </c>
      <c r="B332" s="38" t="inlineStr">
        <is>
          <t>0-4005</t>
        </is>
      </c>
      <c r="C332" t="inlineStr">
        <is>
          <t>EQ</t>
        </is>
      </c>
      <c r="E332" t="inlineStr">
        <is>
          <t>EQ</t>
        </is>
      </c>
      <c r="H332" s="127" t="n">
        <v>46103</v>
      </c>
      <c r="J332" s="38" t="inlineStr">
        <is>
          <t>0-4005</t>
        </is>
      </c>
      <c r="K332" t="inlineStr">
        <is>
          <t>WTL002 2025 55 TON GOOSENECK EAGER BEAVER LOWBOY 2025 55 TON GOOSENECK EAGER BEAVER LOWBOY</t>
        </is>
      </c>
      <c r="L332" t="n">
        <v>0</v>
      </c>
      <c r="M332" t="n">
        <v>0</v>
      </c>
      <c r="O332" t="inlineStr">
        <is>
          <t>WTL002</t>
        </is>
      </c>
      <c r="Q332" s="114" t="n">
        <v>0</v>
      </c>
      <c r="R332" s="114" t="n">
        <v>55</v>
      </c>
      <c r="S332" s="114" t="n">
        <v>0</v>
      </c>
      <c r="T332" t="n">
        <v>0</v>
      </c>
    </row>
    <row r="333">
      <c r="A333" t="inlineStr">
        <is>
          <t>ttJTrans</t>
        </is>
      </c>
      <c r="B333" s="38" t="inlineStr">
        <is>
          <t>0-4005</t>
        </is>
      </c>
      <c r="C333" t="inlineStr">
        <is>
          <t>EQ</t>
        </is>
      </c>
      <c r="E333" t="inlineStr">
        <is>
          <t>EQ</t>
        </is>
      </c>
      <c r="G333" s="128" t="inlineStr"/>
      <c r="H333" s="127" t="n">
        <v>46103</v>
      </c>
      <c r="J333" s="38" t="inlineStr">
        <is>
          <t>0-4005</t>
        </is>
      </c>
      <c r="K333" t="inlineStr">
        <is>
          <t>WTL002 2025 55 TON GOOSENECK EAGER BEAVER LOWBOY 2025 55 TON GOOSENECK EAGER BEAVER LOWBOY</t>
        </is>
      </c>
      <c r="L333" t="n">
        <v>0</v>
      </c>
      <c r="M333" t="n">
        <v>0</v>
      </c>
      <c r="O333" t="inlineStr">
        <is>
          <t>WTL002</t>
        </is>
      </c>
      <c r="Q333" s="114" t="n">
        <v>0</v>
      </c>
      <c r="R333" s="114" t="n">
        <v>55</v>
      </c>
      <c r="S333" s="114" t="n">
        <v>0</v>
      </c>
      <c r="T333" t="n">
        <v>0</v>
      </c>
    </row>
    <row r="334">
      <c r="A334" t="inlineStr">
        <is>
          <t>ttJTrans</t>
        </is>
      </c>
      <c r="B334" s="38" t="inlineStr">
        <is>
          <t>0-4005</t>
        </is>
      </c>
      <c r="C334" t="inlineStr">
        <is>
          <t>EQ</t>
        </is>
      </c>
      <c r="E334" t="inlineStr">
        <is>
          <t>EQ</t>
        </is>
      </c>
      <c r="G334" s="128" t="inlineStr"/>
      <c r="H334" s="127" t="n">
        <v>46103</v>
      </c>
      <c r="J334" s="38" t="inlineStr">
        <is>
          <t>0-4005</t>
        </is>
      </c>
      <c r="K334" t="inlineStr">
        <is>
          <t>WTL002 2025 55 TON GOOSENECK EAGER BEAVER LOWBOY 2025 55 TON GOOSENECK EAGER BEAVER LOWBOY</t>
        </is>
      </c>
      <c r="L334" t="n">
        <v>0</v>
      </c>
      <c r="M334" t="n">
        <v>0</v>
      </c>
      <c r="O334" t="inlineStr">
        <is>
          <t>WTL002</t>
        </is>
      </c>
      <c r="Q334" s="114" t="n">
        <v>0</v>
      </c>
      <c r="R334" s="114" t="n">
        <v>55</v>
      </c>
      <c r="S334" s="114" t="n">
        <v>0</v>
      </c>
      <c r="T334" t="n">
        <v>0</v>
      </c>
    </row>
    <row r="335">
      <c r="A335" t="inlineStr">
        <is>
          <t>ttJTrans</t>
        </is>
      </c>
      <c r="B335" s="38" t="inlineStr">
        <is>
          <t>0-4005</t>
        </is>
      </c>
      <c r="C335" t="inlineStr">
        <is>
          <t>EQ</t>
        </is>
      </c>
      <c r="E335" t="inlineStr">
        <is>
          <t>EQ</t>
        </is>
      </c>
      <c r="G335" s="128" t="inlineStr"/>
      <c r="H335" s="127" t="n">
        <v>46103</v>
      </c>
      <c r="J335" s="38" t="inlineStr">
        <is>
          <t>0-4005</t>
        </is>
      </c>
      <c r="K335" t="inlineStr">
        <is>
          <t>WTL002 2025 55 TON GOOSENECK EAGER BEAVER LOWBOY 2025 55 TON GOOSENECK EAGER BEAVER LOWBOY</t>
        </is>
      </c>
      <c r="L335" t="n">
        <v>0</v>
      </c>
      <c r="M335" t="n">
        <v>0</v>
      </c>
      <c r="O335" t="inlineStr">
        <is>
          <t>WTL002</t>
        </is>
      </c>
      <c r="Q335" s="114" t="n">
        <v>0</v>
      </c>
      <c r="R335" s="114" t="n">
        <v>55</v>
      </c>
      <c r="S335" s="114" t="n">
        <v>0</v>
      </c>
      <c r="T335" t="n">
        <v>0</v>
      </c>
    </row>
    <row r="336">
      <c r="A336" t="inlineStr">
        <is>
          <t>ttJTrans</t>
        </is>
      </c>
      <c r="B336" s="38" t="inlineStr">
        <is>
          <t>0-4005</t>
        </is>
      </c>
      <c r="C336" t="inlineStr">
        <is>
          <t>EQ</t>
        </is>
      </c>
      <c r="E336" t="inlineStr">
        <is>
          <t>EQ</t>
        </is>
      </c>
      <c r="G336" s="128" t="inlineStr"/>
      <c r="H336" s="127" t="n">
        <v>46103</v>
      </c>
      <c r="J336" s="38" t="inlineStr">
        <is>
          <t>0-4005</t>
        </is>
      </c>
      <c r="K336" t="inlineStr">
        <is>
          <t>WTL002 2025 55 TON GOOSENECK EAGER BEAVER LOWBOY 2025 55 TON GOOSENECK EAGER BEAVER LOWBOY</t>
        </is>
      </c>
      <c r="L336" t="n">
        <v>0</v>
      </c>
      <c r="M336" t="n">
        <v>0</v>
      </c>
      <c r="O336" t="inlineStr">
        <is>
          <t>WTL002</t>
        </is>
      </c>
      <c r="Q336" s="114" t="n">
        <v>0</v>
      </c>
      <c r="R336" s="114" t="n">
        <v>55</v>
      </c>
      <c r="S336" s="114" t="n">
        <v>0</v>
      </c>
      <c r="T336" t="n">
        <v>0</v>
      </c>
    </row>
    <row r="337">
      <c r="A337" t="inlineStr">
        <is>
          <t>ttJTrans</t>
        </is>
      </c>
      <c r="B337" s="38" t="inlineStr">
        <is>
          <t>0-4005</t>
        </is>
      </c>
      <c r="C337" t="inlineStr">
        <is>
          <t>EQ</t>
        </is>
      </c>
      <c r="E337" t="inlineStr">
        <is>
          <t>EQ</t>
        </is>
      </c>
      <c r="G337" s="128" t="inlineStr"/>
      <c r="H337" s="127" t="n">
        <v>46103</v>
      </c>
      <c r="J337" s="38" t="inlineStr">
        <is>
          <t>0-4005</t>
        </is>
      </c>
      <c r="K337" t="inlineStr">
        <is>
          <t>WLV106 2025 FORD F150 XL STX (SAFETY) 2025 FORD F150 XL STX (SAFETY)</t>
        </is>
      </c>
      <c r="L337" t="n">
        <v>0</v>
      </c>
      <c r="M337" t="n">
        <v>0</v>
      </c>
      <c r="O337" t="inlineStr">
        <is>
          <t>WLV106</t>
        </is>
      </c>
      <c r="Q337" s="114" t="n">
        <v>0</v>
      </c>
      <c r="R337" s="114" t="n">
        <v>79.14</v>
      </c>
      <c r="S337" s="114" t="n">
        <v>0</v>
      </c>
      <c r="T337" t="n">
        <v>0</v>
      </c>
    </row>
    <row r="338">
      <c r="A338" t="inlineStr">
        <is>
          <t>ttJTrans</t>
        </is>
      </c>
      <c r="B338" s="38" t="inlineStr">
        <is>
          <t>0-4005</t>
        </is>
      </c>
      <c r="C338" t="inlineStr">
        <is>
          <t>EQ</t>
        </is>
      </c>
      <c r="E338" t="inlineStr">
        <is>
          <t>EQ</t>
        </is>
      </c>
      <c r="H338" s="127" t="n">
        <v>46103</v>
      </c>
      <c r="J338" s="38" t="inlineStr">
        <is>
          <t>0-4005</t>
        </is>
      </c>
      <c r="K338" t="inlineStr">
        <is>
          <t>WLV106 2025 FORD F150 XL STX (SAFETY) 2025 FORD F150 XL STX (SAFETY)</t>
        </is>
      </c>
      <c r="L338" t="n">
        <v>0</v>
      </c>
      <c r="M338" t="n">
        <v>0</v>
      </c>
      <c r="O338" t="inlineStr">
        <is>
          <t>WLV106</t>
        </is>
      </c>
      <c r="Q338" s="114" t="n">
        <v>0</v>
      </c>
      <c r="R338" s="114" t="n">
        <v>79.14</v>
      </c>
      <c r="S338" s="114" t="n">
        <v>0</v>
      </c>
      <c r="T338" t="n">
        <v>0</v>
      </c>
    </row>
    <row r="339">
      <c r="A339" t="inlineStr">
        <is>
          <t>ttJTrans</t>
        </is>
      </c>
      <c r="B339" s="38" t="inlineStr">
        <is>
          <t>0-4005</t>
        </is>
      </c>
      <c r="C339" t="inlineStr">
        <is>
          <t>EQ</t>
        </is>
      </c>
      <c r="E339" t="inlineStr">
        <is>
          <t>EQ</t>
        </is>
      </c>
      <c r="H339" s="127" t="n">
        <v>46103</v>
      </c>
      <c r="J339" s="38" t="inlineStr">
        <is>
          <t>0-4005</t>
        </is>
      </c>
      <c r="K339" t="inlineStr">
        <is>
          <t>WTL002 2025 55 TON GOOSENECK EAGER BEAVER LOWBOY 2025 55 TON GOOSENECK EAGER BEAVER LOWBOY</t>
        </is>
      </c>
      <c r="L339" t="n">
        <v>0</v>
      </c>
      <c r="M339" t="n">
        <v>0</v>
      </c>
      <c r="O339" t="inlineStr">
        <is>
          <t>WTL002</t>
        </is>
      </c>
      <c r="Q339" s="114" t="n">
        <v>0</v>
      </c>
      <c r="R339" s="114" t="n">
        <v>55</v>
      </c>
      <c r="S339" s="114" t="n">
        <v>0</v>
      </c>
      <c r="T339" t="n">
        <v>0</v>
      </c>
    </row>
    <row r="340">
      <c r="A340" t="inlineStr">
        <is>
          <t>ttJTrans</t>
        </is>
      </c>
      <c r="B340" s="38" t="inlineStr">
        <is>
          <t>0-4005</t>
        </is>
      </c>
      <c r="C340" t="inlineStr">
        <is>
          <t>EQ</t>
        </is>
      </c>
      <c r="E340" t="inlineStr">
        <is>
          <t>EQ</t>
        </is>
      </c>
      <c r="H340" s="127" t="n">
        <v>46110</v>
      </c>
      <c r="J340" s="38" t="inlineStr">
        <is>
          <t>0-4005</t>
        </is>
      </c>
      <c r="K340" t="inlineStr">
        <is>
          <t>WTL002 2025 55 TON GOOSENECK EAGER BEAVER LOWBOY 2025 55 TON GOOSENECK EAGER BEAVER LOWBOY</t>
        </is>
      </c>
      <c r="L340" t="n">
        <v>0</v>
      </c>
      <c r="M340" t="n">
        <v>0</v>
      </c>
      <c r="O340" t="inlineStr">
        <is>
          <t>WTL002</t>
        </is>
      </c>
      <c r="Q340" s="114" t="n">
        <v>0</v>
      </c>
      <c r="R340" s="114" t="n">
        <v>55</v>
      </c>
      <c r="S340" s="114" t="n">
        <v>0</v>
      </c>
      <c r="T340" t="n">
        <v>0</v>
      </c>
    </row>
    <row r="341">
      <c r="A341" t="inlineStr">
        <is>
          <t>ttJTrans</t>
        </is>
      </c>
      <c r="B341" s="38" t="inlineStr">
        <is>
          <t>0-4005</t>
        </is>
      </c>
      <c r="C341" t="inlineStr">
        <is>
          <t>EQ</t>
        </is>
      </c>
      <c r="E341" t="inlineStr">
        <is>
          <t>EQ</t>
        </is>
      </c>
      <c r="H341" s="127" t="n">
        <v>46110</v>
      </c>
      <c r="J341" s="38" t="inlineStr">
        <is>
          <t>0-4005</t>
        </is>
      </c>
      <c r="K341" t="inlineStr">
        <is>
          <t>WTL002 2025 55 TON GOOSENECK EAGER BEAVER LOWBOY 2025 55 TON GOOSENECK EAGER BEAVER LOWBOY</t>
        </is>
      </c>
      <c r="L341" t="n">
        <v>0</v>
      </c>
      <c r="M341" t="n">
        <v>0</v>
      </c>
      <c r="O341" t="inlineStr">
        <is>
          <t>WTL002</t>
        </is>
      </c>
      <c r="Q341" s="114" t="n">
        <v>0</v>
      </c>
      <c r="R341" s="114" t="n">
        <v>55</v>
      </c>
      <c r="S341" s="114" t="n">
        <v>0</v>
      </c>
      <c r="T341" t="n">
        <v>0</v>
      </c>
    </row>
    <row r="342">
      <c r="A342" t="inlineStr">
        <is>
          <t>ttJTrans</t>
        </is>
      </c>
      <c r="B342" s="38" t="inlineStr">
        <is>
          <t>0-4005</t>
        </is>
      </c>
      <c r="C342" t="inlineStr">
        <is>
          <t>EQ</t>
        </is>
      </c>
      <c r="E342" t="inlineStr">
        <is>
          <t>EQ</t>
        </is>
      </c>
      <c r="G342" s="128" t="inlineStr"/>
      <c r="H342" s="127" t="n">
        <v>46110</v>
      </c>
      <c r="J342" s="38" t="inlineStr">
        <is>
          <t>0-4005</t>
        </is>
      </c>
      <c r="K342" t="inlineStr">
        <is>
          <t>WTL002 2025 55 TON GOOSENECK EAGER BEAVER LOWBOY 2025 55 TON GOOSENECK EAGER BEAVER LOWBOY</t>
        </is>
      </c>
      <c r="L342" t="n">
        <v>0</v>
      </c>
      <c r="M342" t="n">
        <v>0</v>
      </c>
      <c r="O342" t="inlineStr">
        <is>
          <t>WTL002</t>
        </is>
      </c>
      <c r="Q342" s="114" t="n">
        <v>0</v>
      </c>
      <c r="R342" s="114" t="n">
        <v>55</v>
      </c>
      <c r="S342" s="114" t="n">
        <v>0</v>
      </c>
      <c r="T342" t="n">
        <v>0</v>
      </c>
    </row>
    <row r="343">
      <c r="A343" t="inlineStr">
        <is>
          <t>ttJTrans</t>
        </is>
      </c>
      <c r="B343" s="38" t="inlineStr">
        <is>
          <t>0-4005</t>
        </is>
      </c>
      <c r="C343" t="inlineStr">
        <is>
          <t>EQ</t>
        </is>
      </c>
      <c r="E343" t="inlineStr">
        <is>
          <t>EQ</t>
        </is>
      </c>
      <c r="G343" s="128" t="inlineStr"/>
      <c r="H343" s="127" t="n">
        <v>46110</v>
      </c>
      <c r="J343" s="38" t="inlineStr">
        <is>
          <t>0-4005</t>
        </is>
      </c>
      <c r="K343" t="inlineStr">
        <is>
          <t>WTL002 2025 55 TON GOOSENECK EAGER BEAVER LOWBOY 2025 55 TON GOOSENECK EAGER BEAVER LOWBOY</t>
        </is>
      </c>
      <c r="L343" t="n">
        <v>0</v>
      </c>
      <c r="M343" t="n">
        <v>0</v>
      </c>
      <c r="O343" t="inlineStr">
        <is>
          <t>WTL002</t>
        </is>
      </c>
      <c r="Q343" s="114" t="n">
        <v>0</v>
      </c>
      <c r="R343" s="114" t="n">
        <v>55</v>
      </c>
      <c r="S343" s="114" t="n">
        <v>0</v>
      </c>
      <c r="T343" t="n">
        <v>0</v>
      </c>
    </row>
    <row r="344">
      <c r="A344" t="inlineStr">
        <is>
          <t>ttJTrans</t>
        </is>
      </c>
      <c r="B344" s="38" t="inlineStr">
        <is>
          <t>0-4005</t>
        </is>
      </c>
      <c r="C344" t="inlineStr">
        <is>
          <t>EQ</t>
        </is>
      </c>
      <c r="E344" t="inlineStr">
        <is>
          <t>EQ</t>
        </is>
      </c>
      <c r="G344" s="128" t="inlineStr"/>
      <c r="H344" s="127" t="n">
        <v>46110</v>
      </c>
      <c r="J344" s="38" t="inlineStr">
        <is>
          <t>0-4005</t>
        </is>
      </c>
      <c r="K344" t="inlineStr">
        <is>
          <t>WTL002 2025 55 TON GOOSENECK EAGER BEAVER LOWBOY 2025 55 TON GOOSENECK EAGER BEAVER LOWBOY</t>
        </is>
      </c>
      <c r="L344" t="n">
        <v>0</v>
      </c>
      <c r="M344" t="n">
        <v>0</v>
      </c>
      <c r="O344" t="inlineStr">
        <is>
          <t>WTL002</t>
        </is>
      </c>
      <c r="Q344" s="114" t="n">
        <v>0</v>
      </c>
      <c r="R344" s="114" t="n">
        <v>55</v>
      </c>
      <c r="S344" s="114" t="n">
        <v>0</v>
      </c>
      <c r="T344" t="n">
        <v>0</v>
      </c>
    </row>
    <row r="345">
      <c r="A345" t="inlineStr">
        <is>
          <t>ttJTrans</t>
        </is>
      </c>
      <c r="B345" s="38" t="inlineStr">
        <is>
          <t>0-4005</t>
        </is>
      </c>
      <c r="C345" t="inlineStr">
        <is>
          <t>EQ</t>
        </is>
      </c>
      <c r="E345" t="inlineStr">
        <is>
          <t>EQ</t>
        </is>
      </c>
      <c r="G345" s="128" t="inlineStr"/>
      <c r="H345" s="127" t="n">
        <v>46110</v>
      </c>
      <c r="J345" s="38" t="inlineStr">
        <is>
          <t>0-4005</t>
        </is>
      </c>
      <c r="K345" t="inlineStr">
        <is>
          <t>WTL002 2025 55 TON GOOSENECK EAGER BEAVER LOWBOY 2025 55 TON GOOSENECK EAGER BEAVER LOWBOY</t>
        </is>
      </c>
      <c r="L345" t="n">
        <v>0</v>
      </c>
      <c r="M345" t="n">
        <v>0</v>
      </c>
      <c r="O345" t="inlineStr">
        <is>
          <t>WTL002</t>
        </is>
      </c>
      <c r="Q345" s="114" t="n">
        <v>0</v>
      </c>
      <c r="R345" s="114" t="n">
        <v>55</v>
      </c>
      <c r="S345" s="114" t="n">
        <v>0</v>
      </c>
      <c r="T345" t="n">
        <v>0</v>
      </c>
    </row>
    <row r="346">
      <c r="A346" t="inlineStr">
        <is>
          <t>ttJTrans</t>
        </is>
      </c>
      <c r="B346" s="38" t="inlineStr">
        <is>
          <t>0-4005</t>
        </is>
      </c>
      <c r="C346" t="inlineStr">
        <is>
          <t>EQ</t>
        </is>
      </c>
      <c r="E346" t="inlineStr">
        <is>
          <t>EQ</t>
        </is>
      </c>
      <c r="G346" s="128" t="inlineStr"/>
      <c r="H346" s="127" t="n">
        <v>46110</v>
      </c>
      <c r="J346" s="38" t="inlineStr">
        <is>
          <t>0-4005</t>
        </is>
      </c>
      <c r="K346" t="inlineStr">
        <is>
          <t>WLV106 2025 FORD F150 XL STX (SAFETY) 2025 FORD F150 XL STX (SAFETY)</t>
        </is>
      </c>
      <c r="L346" t="n">
        <v>0</v>
      </c>
      <c r="M346" t="n">
        <v>0</v>
      </c>
      <c r="O346" t="inlineStr">
        <is>
          <t>WLV106</t>
        </is>
      </c>
      <c r="Q346" s="114" t="n">
        <v>0</v>
      </c>
      <c r="R346" s="114" t="n">
        <v>79.14</v>
      </c>
      <c r="S346" s="114" t="n">
        <v>0</v>
      </c>
      <c r="T346" t="n">
        <v>0</v>
      </c>
    </row>
    <row r="347">
      <c r="A347" t="inlineStr">
        <is>
          <t>ttJTrans</t>
        </is>
      </c>
      <c r="B347" s="38" t="inlineStr">
        <is>
          <t>0-4005</t>
        </is>
      </c>
      <c r="C347" t="inlineStr">
        <is>
          <t>EQ</t>
        </is>
      </c>
      <c r="E347" t="inlineStr">
        <is>
          <t>EQ</t>
        </is>
      </c>
      <c r="G347" s="128" t="inlineStr"/>
      <c r="H347" s="127" t="n">
        <v>46110</v>
      </c>
      <c r="J347" s="38" t="inlineStr">
        <is>
          <t>0-4005</t>
        </is>
      </c>
      <c r="K347" t="inlineStr">
        <is>
          <t>WLV106 2025 FORD F150 XL STX (SAFETY) 2025 FORD F150 XL STX (SAFETY)</t>
        </is>
      </c>
      <c r="L347" t="n">
        <v>0</v>
      </c>
      <c r="M347" t="n">
        <v>0</v>
      </c>
      <c r="O347" t="inlineStr">
        <is>
          <t>WLV106</t>
        </is>
      </c>
      <c r="Q347" s="114" t="n">
        <v>0</v>
      </c>
      <c r="R347" s="114" t="n">
        <v>79.14</v>
      </c>
      <c r="S347" s="114" t="n">
        <v>0</v>
      </c>
      <c r="T347" t="n">
        <v>0</v>
      </c>
    </row>
    <row r="348">
      <c r="A348" t="inlineStr">
        <is>
          <t>ttJTrans</t>
        </is>
      </c>
      <c r="B348" s="38" t="inlineStr">
        <is>
          <t>0-4005</t>
        </is>
      </c>
      <c r="C348" t="inlineStr">
        <is>
          <t>EQ</t>
        </is>
      </c>
      <c r="E348" t="inlineStr">
        <is>
          <t>EQ</t>
        </is>
      </c>
      <c r="G348" s="128" t="inlineStr"/>
      <c r="H348" s="127" t="n">
        <v>46110</v>
      </c>
      <c r="J348" s="38" t="inlineStr">
        <is>
          <t>0-4005</t>
        </is>
      </c>
      <c r="K348" t="inlineStr">
        <is>
          <t>WLV106 2025 FORD F150 XL STX (SAFETY) 2025 FORD F150 XL STX (SAFETY)</t>
        </is>
      </c>
      <c r="L348" t="n">
        <v>0</v>
      </c>
      <c r="M348" t="n">
        <v>0</v>
      </c>
      <c r="O348" t="inlineStr">
        <is>
          <t>WLV106</t>
        </is>
      </c>
      <c r="Q348" s="114" t="n">
        <v>0</v>
      </c>
      <c r="R348" s="114" t="n">
        <v>79.14</v>
      </c>
      <c r="S348" s="114" t="n">
        <v>0</v>
      </c>
      <c r="T348" t="n">
        <v>0</v>
      </c>
    </row>
    <row r="349">
      <c r="A349" t="inlineStr">
        <is>
          <t>ttJTrans</t>
        </is>
      </c>
      <c r="B349" s="38" t="inlineStr">
        <is>
          <t>0-4005</t>
        </is>
      </c>
      <c r="C349" t="inlineStr">
        <is>
          <t>EQ</t>
        </is>
      </c>
      <c r="E349" t="inlineStr">
        <is>
          <t>EQ</t>
        </is>
      </c>
      <c r="G349" s="128" t="inlineStr"/>
      <c r="H349" s="127" t="n">
        <v>46110</v>
      </c>
      <c r="J349" s="38" t="inlineStr">
        <is>
          <t>0-4005</t>
        </is>
      </c>
      <c r="K349" t="inlineStr">
        <is>
          <t>WLV106 2025 FORD F150 XL STX (SAFETY) 2025 FORD F150 XL STX (SAFETY)</t>
        </is>
      </c>
      <c r="L349" t="n">
        <v>0</v>
      </c>
      <c r="M349" t="n">
        <v>0</v>
      </c>
      <c r="O349" t="inlineStr">
        <is>
          <t>WLV106</t>
        </is>
      </c>
      <c r="Q349" s="114" t="n">
        <v>0</v>
      </c>
      <c r="R349" s="114" t="n">
        <v>79.14</v>
      </c>
      <c r="S349" s="114" t="n">
        <v>0</v>
      </c>
      <c r="T349" t="n">
        <v>0</v>
      </c>
    </row>
    <row r="350">
      <c r="A350" t="inlineStr">
        <is>
          <t>ttJTrans</t>
        </is>
      </c>
      <c r="B350" s="38" t="inlineStr">
        <is>
          <t>0-4005</t>
        </is>
      </c>
      <c r="C350" t="inlineStr">
        <is>
          <t>EQ</t>
        </is>
      </c>
      <c r="E350" t="inlineStr">
        <is>
          <t>EQ</t>
        </is>
      </c>
      <c r="G350" s="128" t="inlineStr"/>
      <c r="H350" s="127" t="n">
        <v>46110</v>
      </c>
      <c r="J350" s="38" t="inlineStr">
        <is>
          <t>0-4005</t>
        </is>
      </c>
      <c r="K350" t="inlineStr">
        <is>
          <t>WLV106 2025 FORD F150 XL STX (SAFETY) 2025 FORD F150 XL STX (SAFETY)</t>
        </is>
      </c>
      <c r="L350" t="n">
        <v>0</v>
      </c>
      <c r="M350" t="n">
        <v>0</v>
      </c>
      <c r="O350" t="inlineStr">
        <is>
          <t>WLV106</t>
        </is>
      </c>
      <c r="Q350" s="114" t="n">
        <v>0</v>
      </c>
      <c r="R350" s="114" t="n">
        <v>79.14</v>
      </c>
      <c r="S350" s="114" t="n">
        <v>0</v>
      </c>
      <c r="T350" t="n">
        <v>0</v>
      </c>
    </row>
    <row r="351">
      <c r="A351" t="inlineStr">
        <is>
          <t>ttJTrans</t>
        </is>
      </c>
      <c r="B351" s="38" t="inlineStr">
        <is>
          <t>0-4005</t>
        </is>
      </c>
      <c r="C351" t="inlineStr">
        <is>
          <t>EQ</t>
        </is>
      </c>
      <c r="E351" t="inlineStr">
        <is>
          <t>EQ</t>
        </is>
      </c>
      <c r="G351" s="128" t="inlineStr"/>
      <c r="H351" s="127" t="n">
        <v>46110</v>
      </c>
      <c r="J351" s="38" t="inlineStr">
        <is>
          <t>0-4005</t>
        </is>
      </c>
      <c r="K351" t="inlineStr">
        <is>
          <t>WLV106 2025 FORD F150 XL STX (SAFETY) 2025 FORD F150 XL STX (SAFETY)</t>
        </is>
      </c>
      <c r="L351" t="n">
        <v>0</v>
      </c>
      <c r="M351" t="n">
        <v>0</v>
      </c>
      <c r="O351" t="inlineStr">
        <is>
          <t>WLV106</t>
        </is>
      </c>
      <c r="Q351" s="114" t="n">
        <v>0</v>
      </c>
      <c r="R351" s="114" t="n">
        <v>79.14</v>
      </c>
      <c r="S351" s="114" t="n">
        <v>0</v>
      </c>
      <c r="T351" t="n">
        <v>0</v>
      </c>
    </row>
    <row r="352">
      <c r="A352" t="inlineStr">
        <is>
          <t>ttJTrans</t>
        </is>
      </c>
      <c r="B352" s="38" t="inlineStr">
        <is>
          <t>0-4005</t>
        </is>
      </c>
      <c r="C352" t="inlineStr">
        <is>
          <t>EQ</t>
        </is>
      </c>
      <c r="E352" t="inlineStr">
        <is>
          <t>EQ</t>
        </is>
      </c>
      <c r="G352" s="128" t="inlineStr"/>
      <c r="H352" s="127" t="n">
        <v>46110</v>
      </c>
      <c r="J352" s="38" t="inlineStr">
        <is>
          <t>0-4005</t>
        </is>
      </c>
      <c r="K352" t="inlineStr">
        <is>
          <t>RT1351 2024 CHEVROLET SILVERADO 2500 DIESEL CUSTOM 4X4 2024 CHEVROLET SILVERADO 2500 DIESEL CUSTOM 4X4</t>
        </is>
      </c>
      <c r="L352" t="n">
        <v>0</v>
      </c>
      <c r="M352" t="n">
        <v>0</v>
      </c>
      <c r="O352" t="inlineStr">
        <is>
          <t>RT1351</t>
        </is>
      </c>
      <c r="Q352" s="114" t="n">
        <v>0</v>
      </c>
      <c r="R352" s="114" t="n">
        <v>79.14</v>
      </c>
      <c r="S352" s="114" t="n">
        <v>0</v>
      </c>
      <c r="T352" t="n">
        <v>0</v>
      </c>
    </row>
    <row r="353">
      <c r="A353" t="inlineStr">
        <is>
          <t>ttJTrans</t>
        </is>
      </c>
      <c r="B353" s="38" t="inlineStr">
        <is>
          <t>0-4005</t>
        </is>
      </c>
      <c r="C353" t="inlineStr">
        <is>
          <t>EQ</t>
        </is>
      </c>
      <c r="E353" t="inlineStr">
        <is>
          <t>EQ</t>
        </is>
      </c>
      <c r="G353" s="128" t="inlineStr"/>
      <c r="H353" s="127" t="n">
        <v>46110</v>
      </c>
      <c r="J353" s="38" t="inlineStr">
        <is>
          <t>0-4005</t>
        </is>
      </c>
      <c r="K353" t="inlineStr">
        <is>
          <t>RT1351 2024 CHEVROLET SILVERADO 2500 DIESEL CUSTOM 4X4 2024 CHEVROLET SILVERADO 2500 DIESEL CUSTOM 4X4</t>
        </is>
      </c>
      <c r="L353" t="n">
        <v>0</v>
      </c>
      <c r="M353" t="n">
        <v>0</v>
      </c>
      <c r="O353" t="inlineStr">
        <is>
          <t>RT1351</t>
        </is>
      </c>
      <c r="Q353" s="114" t="n">
        <v>0</v>
      </c>
      <c r="R353" s="114" t="n">
        <v>79.14</v>
      </c>
      <c r="S353" s="114" t="n">
        <v>0</v>
      </c>
      <c r="T353" t="n">
        <v>0</v>
      </c>
    </row>
    <row r="354">
      <c r="A354" t="inlineStr">
        <is>
          <t>ttJTrans</t>
        </is>
      </c>
      <c r="B354" s="38" t="inlineStr">
        <is>
          <t>0-4005</t>
        </is>
      </c>
      <c r="C354" t="inlineStr">
        <is>
          <t>EQ</t>
        </is>
      </c>
      <c r="E354" t="inlineStr">
        <is>
          <t>EQ</t>
        </is>
      </c>
      <c r="G354" s="128" t="inlineStr"/>
      <c r="H354" s="127" t="n">
        <v>46110</v>
      </c>
      <c r="J354" s="38" t="inlineStr">
        <is>
          <t>0-4005</t>
        </is>
      </c>
      <c r="K354" t="inlineStr">
        <is>
          <t>RT1351 2024 CHEVROLET SILVERADO 2500 DIESEL CUSTOM 4X4 2024 CHEVROLET SILVERADO 2500 DIESEL CUSTOM 4X4</t>
        </is>
      </c>
      <c r="L354" t="n">
        <v>0</v>
      </c>
      <c r="M354" t="n">
        <v>0</v>
      </c>
      <c r="O354" t="inlineStr">
        <is>
          <t>RT1351</t>
        </is>
      </c>
      <c r="Q354" s="114" t="n">
        <v>0</v>
      </c>
      <c r="R354" s="114" t="n">
        <v>79.14</v>
      </c>
      <c r="S354" s="114" t="n">
        <v>0</v>
      </c>
      <c r="T354" t="n">
        <v>0</v>
      </c>
    </row>
    <row r="355">
      <c r="A355" t="inlineStr">
        <is>
          <t>ttJTrans</t>
        </is>
      </c>
      <c r="B355" s="38" t="inlineStr">
        <is>
          <t>0-4005</t>
        </is>
      </c>
      <c r="C355" t="inlineStr">
        <is>
          <t>EQ</t>
        </is>
      </c>
      <c r="E355" t="inlineStr">
        <is>
          <t>EQ</t>
        </is>
      </c>
      <c r="G355" s="128" t="inlineStr"/>
      <c r="H355" s="127" t="n">
        <v>46110</v>
      </c>
      <c r="J355" s="38" t="inlineStr">
        <is>
          <t>0-4005</t>
        </is>
      </c>
      <c r="K355" t="inlineStr">
        <is>
          <t>RT1351 2024 CHEVROLET SILVERADO 2500 DIESEL CUSTOM 4X4 2024 CHEVROLET SILVERADO 2500 DIESEL CUSTOM 4X4</t>
        </is>
      </c>
      <c r="L355" t="n">
        <v>0</v>
      </c>
      <c r="M355" t="n">
        <v>0</v>
      </c>
      <c r="O355" t="inlineStr">
        <is>
          <t>RT1351</t>
        </is>
      </c>
      <c r="Q355" s="114" t="n">
        <v>0</v>
      </c>
      <c r="R355" s="114" t="n">
        <v>79.14</v>
      </c>
      <c r="S355" s="114" t="n">
        <v>0</v>
      </c>
      <c r="T355" t="n">
        <v>0</v>
      </c>
    </row>
    <row r="356">
      <c r="A356" t="inlineStr">
        <is>
          <t>ttJTrans</t>
        </is>
      </c>
      <c r="B356" s="38" t="inlineStr">
        <is>
          <t>0-4005</t>
        </is>
      </c>
      <c r="C356" t="inlineStr">
        <is>
          <t>EQ</t>
        </is>
      </c>
      <c r="E356" t="inlineStr">
        <is>
          <t>EQ</t>
        </is>
      </c>
      <c r="G356" s="128" t="inlineStr"/>
      <c r="H356" s="127" t="n">
        <v>46110</v>
      </c>
      <c r="J356" s="38" t="inlineStr">
        <is>
          <t>0-4005</t>
        </is>
      </c>
      <c r="K356" t="inlineStr">
        <is>
          <t>RT1351 2024 CHEVROLET SILVERADO 2500 DIESEL CUSTOM 4X4 2024 CHEVROLET SILVERADO 2500 DIESEL CUSTOM 4X4</t>
        </is>
      </c>
      <c r="L356" t="n">
        <v>0</v>
      </c>
      <c r="M356" t="n">
        <v>0</v>
      </c>
      <c r="O356" t="inlineStr">
        <is>
          <t>RT1351</t>
        </is>
      </c>
      <c r="Q356" s="114" t="n">
        <v>0</v>
      </c>
      <c r="R356" s="114" t="n">
        <v>79.14</v>
      </c>
      <c r="S356" s="114" t="n">
        <v>0</v>
      </c>
      <c r="T356" t="n">
        <v>0</v>
      </c>
    </row>
    <row r="357">
      <c r="A357" t="inlineStr">
        <is>
          <t>ttJTrans</t>
        </is>
      </c>
      <c r="B357" s="38" t="inlineStr">
        <is>
          <t>0-4005</t>
        </is>
      </c>
      <c r="C357" t="inlineStr">
        <is>
          <t>EQ</t>
        </is>
      </c>
      <c r="E357" t="inlineStr">
        <is>
          <t>EQ</t>
        </is>
      </c>
      <c r="G357" s="128" t="inlineStr"/>
      <c r="H357" s="127" t="n">
        <v>46110</v>
      </c>
      <c r="J357" s="38" t="inlineStr">
        <is>
          <t>0-4005</t>
        </is>
      </c>
      <c r="K357" t="inlineStr">
        <is>
          <t>RT1351 2024 CHEVROLET SILVERADO 2500 DIESEL CUSTOM 4X4 2024 CHEVROLET SILVERADO 2500 DIESEL CUSTOM 4X4</t>
        </is>
      </c>
      <c r="L357" t="n">
        <v>0</v>
      </c>
      <c r="M357" t="n">
        <v>0</v>
      </c>
      <c r="O357" t="inlineStr">
        <is>
          <t>RT1351</t>
        </is>
      </c>
      <c r="Q357" s="114" t="n">
        <v>0</v>
      </c>
      <c r="R357" s="114" t="n">
        <v>79.14</v>
      </c>
      <c r="S357" s="114" t="n">
        <v>0</v>
      </c>
      <c r="T357" t="n">
        <v>0</v>
      </c>
    </row>
    <row r="358">
      <c r="A358" t="inlineStr">
        <is>
          <t>ttJTrans</t>
        </is>
      </c>
      <c r="B358" s="38" t="inlineStr">
        <is>
          <t>0-4005</t>
        </is>
      </c>
      <c r="C358" t="inlineStr">
        <is>
          <t>EQ</t>
        </is>
      </c>
      <c r="E358" t="inlineStr">
        <is>
          <t>EQ</t>
        </is>
      </c>
      <c r="G358" s="128" t="inlineStr"/>
      <c r="H358" s="127" t="n">
        <v>46112</v>
      </c>
      <c r="J358" s="38" t="inlineStr">
        <is>
          <t>0-4005</t>
        </is>
      </c>
      <c r="K358" t="inlineStr">
        <is>
          <t>WLV106 2025 FORD F150 XL STX (SAFETY) 2025 FORD F150 XL STX (SAFETY)</t>
        </is>
      </c>
      <c r="L358" t="n">
        <v>0</v>
      </c>
      <c r="M358" t="n">
        <v>0</v>
      </c>
      <c r="O358" t="inlineStr">
        <is>
          <t>WLV106</t>
        </is>
      </c>
      <c r="Q358" s="114" t="n">
        <v>0</v>
      </c>
      <c r="R358" s="114" t="n">
        <v>79.14</v>
      </c>
      <c r="S358" s="114" t="n">
        <v>0</v>
      </c>
      <c r="T358" t="n">
        <v>0</v>
      </c>
    </row>
    <row r="359">
      <c r="A359" t="inlineStr">
        <is>
          <t>ttJTrans</t>
        </is>
      </c>
      <c r="B359" s="38" t="inlineStr">
        <is>
          <t>0-4005</t>
        </is>
      </c>
      <c r="C359" t="inlineStr">
        <is>
          <t>EQ</t>
        </is>
      </c>
      <c r="E359" t="inlineStr">
        <is>
          <t>EQ</t>
        </is>
      </c>
      <c r="G359" s="128" t="inlineStr"/>
      <c r="H359" s="127" t="n">
        <v>46112</v>
      </c>
      <c r="J359" s="38" t="inlineStr">
        <is>
          <t>0-4005</t>
        </is>
      </c>
      <c r="K359" t="inlineStr">
        <is>
          <t>WLV106 2025 FORD F150 XL STX (SAFETY) 2025 FORD F150 XL STX (SAFETY)</t>
        </is>
      </c>
      <c r="L359" t="n">
        <v>0</v>
      </c>
      <c r="M359" t="n">
        <v>0</v>
      </c>
      <c r="O359" t="inlineStr">
        <is>
          <t>WLV106</t>
        </is>
      </c>
      <c r="Q359" s="114" t="n">
        <v>0</v>
      </c>
      <c r="R359" s="114" t="n">
        <v>79.14</v>
      </c>
      <c r="S359" s="114" t="n">
        <v>0</v>
      </c>
      <c r="T359" t="n">
        <v>0</v>
      </c>
    </row>
    <row r="360">
      <c r="A360" t="inlineStr">
        <is>
          <t>ttJTrans</t>
        </is>
      </c>
      <c r="B360" s="38" t="inlineStr">
        <is>
          <t>0-4005</t>
        </is>
      </c>
      <c r="C360" t="inlineStr">
        <is>
          <t>EQ</t>
        </is>
      </c>
      <c r="E360" t="inlineStr">
        <is>
          <t>EQ</t>
        </is>
      </c>
      <c r="G360" s="128" t="inlineStr"/>
      <c r="H360" s="127" t="n">
        <v>46112</v>
      </c>
      <c r="J360" s="38" t="inlineStr">
        <is>
          <t>0-4005</t>
        </is>
      </c>
      <c r="K360" t="inlineStr">
        <is>
          <t>RT1351 2024 CHEVROLET SILVERADO 2500 DIESEL CUSTOM 4X4 2024 CHEVROLET SILVERADO 2500 DIESEL CUSTOM 4X4</t>
        </is>
      </c>
      <c r="L360" t="n">
        <v>0</v>
      </c>
      <c r="M360" t="n">
        <v>0</v>
      </c>
      <c r="O360" t="inlineStr">
        <is>
          <t>RT1351</t>
        </is>
      </c>
      <c r="Q360" s="114" t="n">
        <v>0</v>
      </c>
      <c r="R360" s="114" t="n">
        <v>79.14</v>
      </c>
      <c r="S360" s="114" t="n">
        <v>0</v>
      </c>
      <c r="T360" t="n">
        <v>0</v>
      </c>
    </row>
    <row r="361">
      <c r="A361" t="inlineStr">
        <is>
          <t>ttJTrans</t>
        </is>
      </c>
      <c r="B361" s="38" t="inlineStr">
        <is>
          <t>0-4005</t>
        </is>
      </c>
      <c r="C361" t="inlineStr">
        <is>
          <t>EQ</t>
        </is>
      </c>
      <c r="E361" t="inlineStr">
        <is>
          <t>EQ</t>
        </is>
      </c>
      <c r="G361" s="128" t="inlineStr"/>
      <c r="H361" s="127" t="n">
        <v>46112</v>
      </c>
      <c r="J361" s="38" t="inlineStr">
        <is>
          <t>0-4005</t>
        </is>
      </c>
      <c r="K361" t="inlineStr">
        <is>
          <t>RT1351 2024 CHEVROLET SILVERADO 2500 DIESEL CUSTOM 4X4 2024 CHEVROLET SILVERADO 2500 DIESEL CUSTOM 4X4</t>
        </is>
      </c>
      <c r="L361" t="n">
        <v>0</v>
      </c>
      <c r="M361" t="n">
        <v>0</v>
      </c>
      <c r="O361" t="inlineStr">
        <is>
          <t>RT1351</t>
        </is>
      </c>
      <c r="Q361" s="114" t="n">
        <v>0</v>
      </c>
      <c r="R361" s="114" t="n">
        <v>79.14</v>
      </c>
      <c r="S361" s="114" t="n">
        <v>0</v>
      </c>
      <c r="T361" t="n">
        <v>0</v>
      </c>
    </row>
    <row r="362">
      <c r="A362" t="inlineStr">
        <is>
          <t>ttJTrans</t>
        </is>
      </c>
      <c r="B362" s="38" t="inlineStr">
        <is>
          <t>0-4005</t>
        </is>
      </c>
      <c r="C362" t="inlineStr">
        <is>
          <t>EQ</t>
        </is>
      </c>
      <c r="E362" t="inlineStr">
        <is>
          <t>EQ</t>
        </is>
      </c>
      <c r="G362" s="128" t="inlineStr"/>
      <c r="H362" s="127" t="n">
        <v>46112</v>
      </c>
      <c r="J362" s="38" t="inlineStr">
        <is>
          <t>0-4005</t>
        </is>
      </c>
      <c r="K362" t="inlineStr">
        <is>
          <t>TR429 SPARTAN 7X16 CARGO TRAILER W/ RAMP DOOR SPARTAN 7X16 CARGO TRAILER W/ RAMP DOOR</t>
        </is>
      </c>
      <c r="L362" t="n">
        <v>0</v>
      </c>
      <c r="M362" t="n">
        <v>0</v>
      </c>
      <c r="O362" t="inlineStr">
        <is>
          <t>TR429</t>
        </is>
      </c>
      <c r="Q362" s="114" t="n">
        <v>0</v>
      </c>
      <c r="R362" s="114" t="n">
        <v>65</v>
      </c>
      <c r="S362" s="114" t="n">
        <v>0</v>
      </c>
      <c r="T362" t="n">
        <v>0</v>
      </c>
    </row>
    <row r="363">
      <c r="A363" t="inlineStr">
        <is>
          <t>ttJTrans</t>
        </is>
      </c>
      <c r="B363" s="38" t="inlineStr">
        <is>
          <t>0-4005</t>
        </is>
      </c>
      <c r="C363" t="inlineStr">
        <is>
          <t>EQ</t>
        </is>
      </c>
      <c r="E363" t="inlineStr">
        <is>
          <t>EQ</t>
        </is>
      </c>
      <c r="G363" s="128" t="inlineStr"/>
      <c r="H363" s="127" t="n">
        <v>46112</v>
      </c>
      <c r="J363" s="38" t="inlineStr">
        <is>
          <t>0-4005</t>
        </is>
      </c>
      <c r="K363" t="inlineStr">
        <is>
          <t>TR429 SPARTAN 7X16 CARGO TRAILER W/ RAMP DOOR SPARTAN 7X16 CARGO TRAILER W/ RAMP DOOR</t>
        </is>
      </c>
      <c r="L363" t="n">
        <v>0</v>
      </c>
      <c r="M363" t="n">
        <v>0</v>
      </c>
      <c r="O363" t="inlineStr">
        <is>
          <t>TR429</t>
        </is>
      </c>
      <c r="Q363" s="114" t="n">
        <v>0</v>
      </c>
      <c r="R363" s="114" t="n">
        <v>65</v>
      </c>
      <c r="S363" s="114" t="n">
        <v>0</v>
      </c>
      <c r="T363" t="n">
        <v>0</v>
      </c>
    </row>
    <row r="364">
      <c r="A364" t="inlineStr">
        <is>
          <t>ttJTrans</t>
        </is>
      </c>
      <c r="B364" s="38" t="inlineStr">
        <is>
          <t>0-4005</t>
        </is>
      </c>
      <c r="C364" t="inlineStr">
        <is>
          <t>EQ</t>
        </is>
      </c>
      <c r="E364" t="inlineStr">
        <is>
          <t>EQ</t>
        </is>
      </c>
      <c r="G364" s="128" t="inlineStr"/>
      <c r="H364" s="127" t="n">
        <v>46117</v>
      </c>
      <c r="J364" s="38" t="inlineStr">
        <is>
          <t>0-4005</t>
        </is>
      </c>
      <c r="K364" t="inlineStr">
        <is>
          <t>WLV106 2025 FORD F150 XL STX (SAFETY) 2025 FORD F150 XL STX (SAFETY)</t>
        </is>
      </c>
      <c r="L364" t="n">
        <v>0</v>
      </c>
      <c r="M364" t="n">
        <v>0</v>
      </c>
      <c r="O364" t="inlineStr">
        <is>
          <t>WLV106</t>
        </is>
      </c>
      <c r="Q364" s="114" t="n">
        <v>0</v>
      </c>
      <c r="R364" s="114" t="n">
        <v>79.14</v>
      </c>
      <c r="S364" s="114" t="n">
        <v>0</v>
      </c>
      <c r="T364" t="n">
        <v>0</v>
      </c>
    </row>
    <row r="365">
      <c r="A365" t="inlineStr">
        <is>
          <t>ttJTrans</t>
        </is>
      </c>
      <c r="B365" s="38" t="inlineStr">
        <is>
          <t>0-4005</t>
        </is>
      </c>
      <c r="C365" t="inlineStr">
        <is>
          <t>EQ</t>
        </is>
      </c>
      <c r="E365" t="inlineStr">
        <is>
          <t>EQ</t>
        </is>
      </c>
      <c r="H365" s="127" t="n">
        <v>46117</v>
      </c>
      <c r="J365" s="38" t="inlineStr">
        <is>
          <t>0-4005</t>
        </is>
      </c>
      <c r="K365" t="inlineStr">
        <is>
          <t>WLV106 2025 FORD F150 XL STX (SAFETY) 2025 FORD F150 XL STX (SAFETY)</t>
        </is>
      </c>
      <c r="L365" t="n">
        <v>0</v>
      </c>
      <c r="M365" t="n">
        <v>0</v>
      </c>
      <c r="O365" t="inlineStr">
        <is>
          <t>WLV106</t>
        </is>
      </c>
      <c r="Q365" s="114" t="n">
        <v>0</v>
      </c>
      <c r="R365" s="114" t="n">
        <v>79.14</v>
      </c>
      <c r="S365" s="114" t="n">
        <v>0</v>
      </c>
      <c r="T365" t="n">
        <v>0</v>
      </c>
    </row>
    <row r="366">
      <c r="A366" t="inlineStr">
        <is>
          <t>ttJTrans</t>
        </is>
      </c>
      <c r="B366" s="38" t="inlineStr">
        <is>
          <t>0-4005</t>
        </is>
      </c>
      <c r="C366" t="inlineStr">
        <is>
          <t>EQ</t>
        </is>
      </c>
      <c r="E366" t="inlineStr">
        <is>
          <t>EQ</t>
        </is>
      </c>
      <c r="H366" s="127" t="n">
        <v>46117</v>
      </c>
      <c r="J366" s="38" t="inlineStr">
        <is>
          <t>0-4005</t>
        </is>
      </c>
      <c r="K366" t="inlineStr">
        <is>
          <t>WLV106 2025 FORD F150 XL STX (SAFETY) 2025 FORD F150 XL STX (SAFETY)</t>
        </is>
      </c>
      <c r="L366" t="n">
        <v>0</v>
      </c>
      <c r="M366" t="n">
        <v>0</v>
      </c>
      <c r="O366" t="inlineStr">
        <is>
          <t>WLV106</t>
        </is>
      </c>
      <c r="Q366" s="114" t="n">
        <v>0</v>
      </c>
      <c r="R366" s="114" t="n">
        <v>79.14</v>
      </c>
      <c r="S366" s="114" t="n">
        <v>0</v>
      </c>
      <c r="T366" t="n">
        <v>0</v>
      </c>
    </row>
    <row r="367">
      <c r="A367" t="inlineStr">
        <is>
          <t>ttJTrans</t>
        </is>
      </c>
      <c r="B367" s="38" t="inlineStr">
        <is>
          <t>0-4005</t>
        </is>
      </c>
      <c r="C367" t="inlineStr">
        <is>
          <t>EQ</t>
        </is>
      </c>
      <c r="E367" t="inlineStr">
        <is>
          <t>EQ</t>
        </is>
      </c>
      <c r="H367" s="127" t="n">
        <v>46117</v>
      </c>
      <c r="J367" s="38" t="inlineStr">
        <is>
          <t>0-4005</t>
        </is>
      </c>
      <c r="K367" t="inlineStr">
        <is>
          <t>WLV106 2025 FORD F150 XL STX (SAFETY) 2025 FORD F150 XL STX (SAFETY)</t>
        </is>
      </c>
      <c r="L367" t="n">
        <v>0</v>
      </c>
      <c r="M367" t="n">
        <v>0</v>
      </c>
      <c r="O367" t="inlineStr">
        <is>
          <t>WLV106</t>
        </is>
      </c>
      <c r="Q367" s="114" t="n">
        <v>0</v>
      </c>
      <c r="R367" s="114" t="n">
        <v>79.14</v>
      </c>
      <c r="S367" s="114" t="n">
        <v>0</v>
      </c>
      <c r="T367" t="n">
        <v>0</v>
      </c>
    </row>
    <row r="368">
      <c r="A368" t="inlineStr">
        <is>
          <t>ttJTrans</t>
        </is>
      </c>
      <c r="B368" s="38" t="inlineStr">
        <is>
          <t>0-4005</t>
        </is>
      </c>
      <c r="C368" t="inlineStr">
        <is>
          <t>EQ</t>
        </is>
      </c>
      <c r="E368" t="inlineStr">
        <is>
          <t>EQ</t>
        </is>
      </c>
      <c r="H368" s="127" t="n">
        <v>46117</v>
      </c>
      <c r="J368" s="38" t="inlineStr">
        <is>
          <t>0-4005</t>
        </is>
      </c>
      <c r="K368" t="inlineStr">
        <is>
          <t>RT1351 2024 CHEVROLET SILVERADO 2500 DIESEL CUSTOM 4X4 2024 CHEVROLET SILVERADO 2500 DIESEL CUSTOM 4X4</t>
        </is>
      </c>
      <c r="L368" t="n">
        <v>0</v>
      </c>
      <c r="M368" t="n">
        <v>0</v>
      </c>
      <c r="O368" t="inlineStr">
        <is>
          <t>RT1351</t>
        </is>
      </c>
      <c r="Q368" s="114" t="n">
        <v>0</v>
      </c>
      <c r="R368" s="114" t="n">
        <v>79.14</v>
      </c>
      <c r="S368" s="114" t="n">
        <v>0</v>
      </c>
      <c r="T368" t="n">
        <v>0</v>
      </c>
    </row>
    <row r="369">
      <c r="A369" t="inlineStr">
        <is>
          <t>ttJTrans</t>
        </is>
      </c>
      <c r="B369" s="38" t="inlineStr">
        <is>
          <t>0-4005</t>
        </is>
      </c>
      <c r="C369" t="inlineStr">
        <is>
          <t>EQ</t>
        </is>
      </c>
      <c r="E369" t="inlineStr">
        <is>
          <t>EQ</t>
        </is>
      </c>
      <c r="H369" s="127" t="n">
        <v>46117</v>
      </c>
      <c r="J369" s="38" t="inlineStr">
        <is>
          <t>0-4005</t>
        </is>
      </c>
      <c r="K369" t="inlineStr">
        <is>
          <t>RT1351 2024 CHEVROLET SILVERADO 2500 DIESEL CUSTOM 4X4 2024 CHEVROLET SILVERADO 2500 DIESEL CUSTOM 4X4</t>
        </is>
      </c>
      <c r="L369" t="n">
        <v>0</v>
      </c>
      <c r="M369" t="n">
        <v>0</v>
      </c>
      <c r="O369" t="inlineStr">
        <is>
          <t>RT1351</t>
        </is>
      </c>
      <c r="Q369" s="114" t="n">
        <v>0</v>
      </c>
      <c r="R369" s="114" t="n">
        <v>79.14</v>
      </c>
      <c r="S369" s="114" t="n">
        <v>0</v>
      </c>
      <c r="T369" t="n">
        <v>0</v>
      </c>
    </row>
    <row r="370">
      <c r="A370" t="inlineStr">
        <is>
          <t>ttJTrans</t>
        </is>
      </c>
      <c r="B370" s="38" t="inlineStr">
        <is>
          <t>0-4005</t>
        </is>
      </c>
      <c r="C370" t="inlineStr">
        <is>
          <t>EQ</t>
        </is>
      </c>
      <c r="E370" t="inlineStr">
        <is>
          <t>EQ</t>
        </is>
      </c>
      <c r="H370" s="127" t="n">
        <v>46117</v>
      </c>
      <c r="J370" s="38" t="inlineStr">
        <is>
          <t>0-4005</t>
        </is>
      </c>
      <c r="K370" t="inlineStr">
        <is>
          <t>RT1351 2024 CHEVROLET SILVERADO 2500 DIESEL CUSTOM 4X4 2024 CHEVROLET SILVERADO 2500 DIESEL CUSTOM 4X4</t>
        </is>
      </c>
      <c r="L370" t="n">
        <v>0</v>
      </c>
      <c r="M370" t="n">
        <v>0</v>
      </c>
      <c r="O370" t="inlineStr">
        <is>
          <t>RT1351</t>
        </is>
      </c>
      <c r="Q370" s="114" t="n">
        <v>0</v>
      </c>
      <c r="R370" s="114" t="n">
        <v>79.14</v>
      </c>
      <c r="S370" s="114" t="n">
        <v>0</v>
      </c>
      <c r="T370" t="n">
        <v>0</v>
      </c>
    </row>
    <row r="371">
      <c r="A371" t="inlineStr">
        <is>
          <t>ttJTrans</t>
        </is>
      </c>
      <c r="B371" s="38" t="inlineStr">
        <is>
          <t>0-4005</t>
        </is>
      </c>
      <c r="C371" t="inlineStr">
        <is>
          <t>EQ</t>
        </is>
      </c>
      <c r="E371" t="inlineStr">
        <is>
          <t>EQ</t>
        </is>
      </c>
      <c r="H371" s="127" t="n">
        <v>46117</v>
      </c>
      <c r="J371" s="38" t="inlineStr">
        <is>
          <t>0-4005</t>
        </is>
      </c>
      <c r="K371" t="inlineStr">
        <is>
          <t>RT1351 2024 CHEVROLET SILVERADO 2500 DIESEL CUSTOM 4X4 2024 CHEVROLET SILVERADO 2500 DIESEL CUSTOM 4X4</t>
        </is>
      </c>
      <c r="L371" t="n">
        <v>0</v>
      </c>
      <c r="M371" t="n">
        <v>0</v>
      </c>
      <c r="O371" t="inlineStr">
        <is>
          <t>RT1351</t>
        </is>
      </c>
      <c r="Q371" s="114" t="n">
        <v>0</v>
      </c>
      <c r="R371" s="114" t="n">
        <v>79.14</v>
      </c>
      <c r="S371" s="114" t="n">
        <v>0</v>
      </c>
      <c r="T371" t="n">
        <v>0</v>
      </c>
    </row>
    <row r="372">
      <c r="A372" t="inlineStr">
        <is>
          <t>ttJTrans</t>
        </is>
      </c>
      <c r="B372" s="38" t="inlineStr">
        <is>
          <t>0-4005</t>
        </is>
      </c>
      <c r="C372" t="inlineStr">
        <is>
          <t>EQ</t>
        </is>
      </c>
      <c r="E372" t="inlineStr">
        <is>
          <t>EQ</t>
        </is>
      </c>
      <c r="H372" s="127" t="n">
        <v>46117</v>
      </c>
      <c r="J372" s="38" t="inlineStr">
        <is>
          <t>0-4005</t>
        </is>
      </c>
      <c r="K372" t="inlineStr">
        <is>
          <t>TR429 SPARTAN 7X16 CARGO TRAILER W/ RAMP DOOR SPARTAN 7X16 CARGO TRAILER W/ RAMP DOOR</t>
        </is>
      </c>
      <c r="L372" t="n">
        <v>0</v>
      </c>
      <c r="M372" t="n">
        <v>0</v>
      </c>
      <c r="O372" t="inlineStr">
        <is>
          <t>TR429</t>
        </is>
      </c>
      <c r="Q372" s="114" t="n">
        <v>0</v>
      </c>
      <c r="R372" s="114" t="n">
        <v>65</v>
      </c>
      <c r="S372" s="114" t="n">
        <v>0</v>
      </c>
      <c r="T372" t="n">
        <v>0</v>
      </c>
    </row>
    <row r="373">
      <c r="A373" t="inlineStr">
        <is>
          <t>ttJTrans</t>
        </is>
      </c>
      <c r="B373" s="38" t="inlineStr">
        <is>
          <t>0-4005</t>
        </is>
      </c>
      <c r="C373" t="inlineStr">
        <is>
          <t>EQ</t>
        </is>
      </c>
      <c r="E373" t="inlineStr">
        <is>
          <t>EQ</t>
        </is>
      </c>
      <c r="H373" s="127" t="n">
        <v>46117</v>
      </c>
      <c r="J373" s="38" t="inlineStr">
        <is>
          <t>0-4005</t>
        </is>
      </c>
      <c r="K373" t="inlineStr">
        <is>
          <t>TR429 SPARTAN 7X16 CARGO TRAILER W/ RAMP DOOR SPARTAN 7X16 CARGO TRAILER W/ RAMP DOOR</t>
        </is>
      </c>
      <c r="L373" t="n">
        <v>0</v>
      </c>
      <c r="M373" t="n">
        <v>0</v>
      </c>
      <c r="O373" t="inlineStr">
        <is>
          <t>TR429</t>
        </is>
      </c>
      <c r="Q373" s="114" t="n">
        <v>0</v>
      </c>
      <c r="R373" s="114" t="n">
        <v>65</v>
      </c>
      <c r="S373" s="114" t="n">
        <v>0</v>
      </c>
      <c r="T373" t="n">
        <v>0</v>
      </c>
    </row>
    <row r="374">
      <c r="A374" t="inlineStr">
        <is>
          <t>ttJTrans</t>
        </is>
      </c>
      <c r="B374" s="38" t="inlineStr">
        <is>
          <t>0-4005</t>
        </is>
      </c>
      <c r="C374" t="inlineStr">
        <is>
          <t>EQ</t>
        </is>
      </c>
      <c r="E374" t="inlineStr">
        <is>
          <t>EQ</t>
        </is>
      </c>
      <c r="H374" s="127" t="n">
        <v>46117</v>
      </c>
      <c r="J374" s="38" t="inlineStr">
        <is>
          <t>0-4005</t>
        </is>
      </c>
      <c r="K374" t="inlineStr">
        <is>
          <t>TR429 SPARTAN 7X16 CARGO TRAILER W/ RAMP DOOR SPARTAN 7X16 CARGO TRAILER W/ RAMP DOOR</t>
        </is>
      </c>
      <c r="L374" t="n">
        <v>0</v>
      </c>
      <c r="M374" t="n">
        <v>0</v>
      </c>
      <c r="O374" t="inlineStr">
        <is>
          <t>TR429</t>
        </is>
      </c>
      <c r="Q374" s="114" t="n">
        <v>0</v>
      </c>
      <c r="R374" s="114" t="n">
        <v>65</v>
      </c>
      <c r="S374" s="114" t="n">
        <v>0</v>
      </c>
      <c r="T374" t="n">
        <v>0</v>
      </c>
    </row>
    <row r="375">
      <c r="A375" t="inlineStr">
        <is>
          <t>ttJTrans</t>
        </is>
      </c>
      <c r="B375" s="38" t="inlineStr">
        <is>
          <t>0-4005</t>
        </is>
      </c>
      <c r="C375" t="inlineStr">
        <is>
          <t>EQ</t>
        </is>
      </c>
      <c r="E375" t="inlineStr">
        <is>
          <t>EQ</t>
        </is>
      </c>
      <c r="H375" s="127" t="n">
        <v>46117</v>
      </c>
      <c r="J375" s="38" t="inlineStr">
        <is>
          <t>0-4005</t>
        </is>
      </c>
      <c r="K375" t="inlineStr">
        <is>
          <t>TR429 SPARTAN 7X16 CARGO TRAILER W/ RAMP DOOR SPARTAN 7X16 CARGO TRAILER W/ RAMP DOOR</t>
        </is>
      </c>
      <c r="L375" t="n">
        <v>0</v>
      </c>
      <c r="M375" t="n">
        <v>0</v>
      </c>
      <c r="O375" t="inlineStr">
        <is>
          <t>TR429</t>
        </is>
      </c>
      <c r="Q375" s="114" t="n">
        <v>0</v>
      </c>
      <c r="R375" s="114" t="n">
        <v>65</v>
      </c>
      <c r="S375" s="114" t="n">
        <v>0</v>
      </c>
      <c r="T375" t="n">
        <v>0</v>
      </c>
    </row>
    <row r="376">
      <c r="A376" t="inlineStr">
        <is>
          <t>ttJTrans</t>
        </is>
      </c>
      <c r="B376" s="38" t="inlineStr">
        <is>
          <t>0-4005</t>
        </is>
      </c>
      <c r="C376" t="inlineStr">
        <is>
          <t>EQ</t>
        </is>
      </c>
      <c r="E376" t="inlineStr">
        <is>
          <t>EQ</t>
        </is>
      </c>
      <c r="H376" s="127" t="n">
        <v>46124</v>
      </c>
      <c r="J376" s="38" t="inlineStr">
        <is>
          <t>0-4005</t>
        </is>
      </c>
      <c r="K376" t="inlineStr">
        <is>
          <t>WLV106 2025 FORD F150 XL STX (SAFETY) 2025 FORD F150 XL STX (SAFETY)</t>
        </is>
      </c>
      <c r="L376" t="n">
        <v>0</v>
      </c>
      <c r="M376" t="n">
        <v>0</v>
      </c>
      <c r="O376" t="inlineStr">
        <is>
          <t>WLV106</t>
        </is>
      </c>
      <c r="Q376" s="114" t="n">
        <v>0</v>
      </c>
      <c r="R376" s="114" t="n">
        <v>79.14</v>
      </c>
      <c r="S376" s="114" t="n">
        <v>0</v>
      </c>
      <c r="T376" t="n">
        <v>0</v>
      </c>
    </row>
    <row r="377">
      <c r="A377" t="inlineStr">
        <is>
          <t>ttJTrans</t>
        </is>
      </c>
      <c r="B377" s="38" t="inlineStr">
        <is>
          <t>0-4005</t>
        </is>
      </c>
      <c r="C377" t="inlineStr">
        <is>
          <t>EQ</t>
        </is>
      </c>
      <c r="E377" t="inlineStr">
        <is>
          <t>EQ</t>
        </is>
      </c>
      <c r="H377" s="127" t="n">
        <v>46124</v>
      </c>
      <c r="J377" s="38" t="inlineStr">
        <is>
          <t>0-4005</t>
        </is>
      </c>
      <c r="K377" t="inlineStr">
        <is>
          <t>WLV106 2025 FORD F150 XL STX (SAFETY) 2025 FORD F150 XL STX (SAFETY)</t>
        </is>
      </c>
      <c r="L377" t="n">
        <v>0</v>
      </c>
      <c r="M377" t="n">
        <v>0</v>
      </c>
      <c r="O377" t="inlineStr">
        <is>
          <t>WLV106</t>
        </is>
      </c>
      <c r="Q377" s="114" t="n">
        <v>0</v>
      </c>
      <c r="R377" s="114" t="n">
        <v>79.14</v>
      </c>
      <c r="S377" s="114" t="n">
        <v>0</v>
      </c>
      <c r="T377" t="n">
        <v>0</v>
      </c>
    </row>
    <row r="378">
      <c r="A378" t="inlineStr">
        <is>
          <t>ttJTrans</t>
        </is>
      </c>
      <c r="B378" s="38" t="inlineStr">
        <is>
          <t>0-4005</t>
        </is>
      </c>
      <c r="C378" t="inlineStr">
        <is>
          <t>EQ</t>
        </is>
      </c>
      <c r="E378" t="inlineStr">
        <is>
          <t>EQ</t>
        </is>
      </c>
      <c r="H378" s="127" t="n">
        <v>46124</v>
      </c>
      <c r="J378" s="38" t="inlineStr">
        <is>
          <t>0-4005</t>
        </is>
      </c>
      <c r="K378" t="inlineStr">
        <is>
          <t>WLV106 2025 FORD F150 XL STX (SAFETY) 2025 FORD F150 XL STX (SAFETY)</t>
        </is>
      </c>
      <c r="L378" t="n">
        <v>0</v>
      </c>
      <c r="M378" t="n">
        <v>0</v>
      </c>
      <c r="O378" t="inlineStr">
        <is>
          <t>WLV106</t>
        </is>
      </c>
      <c r="Q378" s="114" t="n">
        <v>0</v>
      </c>
      <c r="R378" s="114" t="n">
        <v>79.14</v>
      </c>
      <c r="S378" s="114" t="n">
        <v>0</v>
      </c>
      <c r="T378" t="n">
        <v>0</v>
      </c>
    </row>
    <row r="379">
      <c r="A379" t="inlineStr">
        <is>
          <t>ttJTrans</t>
        </is>
      </c>
      <c r="B379" s="38" t="inlineStr">
        <is>
          <t>0-4005</t>
        </is>
      </c>
      <c r="C379" t="inlineStr">
        <is>
          <t>EQ</t>
        </is>
      </c>
      <c r="E379" t="inlineStr">
        <is>
          <t>EQ</t>
        </is>
      </c>
      <c r="H379" s="127" t="n">
        <v>46124</v>
      </c>
      <c r="J379" s="38" t="inlineStr">
        <is>
          <t>0-4005</t>
        </is>
      </c>
      <c r="K379" t="inlineStr">
        <is>
          <t>WLV106 2025 FORD F150 XL STX (SAFETY) 2025 FORD F150 XL STX (SAFETY)</t>
        </is>
      </c>
      <c r="L379" t="n">
        <v>0</v>
      </c>
      <c r="M379" t="n">
        <v>0</v>
      </c>
      <c r="O379" t="inlineStr">
        <is>
          <t>WLV106</t>
        </is>
      </c>
      <c r="Q379" s="114" t="n">
        <v>0</v>
      </c>
      <c r="R379" s="114" t="n">
        <v>79.14</v>
      </c>
      <c r="S379" s="114" t="n">
        <v>0</v>
      </c>
      <c r="T379" t="n">
        <v>0</v>
      </c>
    </row>
    <row r="380">
      <c r="A380" t="inlineStr">
        <is>
          <t>ttJTrans</t>
        </is>
      </c>
      <c r="B380" s="38" t="inlineStr">
        <is>
          <t>0-4005</t>
        </is>
      </c>
      <c r="C380" t="inlineStr">
        <is>
          <t>EQ</t>
        </is>
      </c>
      <c r="E380" t="inlineStr">
        <is>
          <t>EQ</t>
        </is>
      </c>
      <c r="H380" s="127" t="n">
        <v>46124</v>
      </c>
      <c r="J380" s="38" t="inlineStr">
        <is>
          <t>0-4005</t>
        </is>
      </c>
      <c r="K380" t="inlineStr">
        <is>
          <t>WLV106 2025 FORD F150 XL STX (SAFETY) 2025 FORD F150 XL STX (SAFETY)</t>
        </is>
      </c>
      <c r="L380" t="n">
        <v>0</v>
      </c>
      <c r="M380" t="n">
        <v>0</v>
      </c>
      <c r="O380" t="inlineStr">
        <is>
          <t>WLV106</t>
        </is>
      </c>
      <c r="Q380" s="114" t="n">
        <v>0</v>
      </c>
      <c r="R380" s="114" t="n">
        <v>79.14</v>
      </c>
      <c r="S380" s="114" t="n">
        <v>0</v>
      </c>
      <c r="T380" t="n">
        <v>0</v>
      </c>
    </row>
    <row r="381">
      <c r="A381" t="inlineStr">
        <is>
          <t>ttJTrans</t>
        </is>
      </c>
      <c r="B381" s="38" t="inlineStr">
        <is>
          <t>0-4005</t>
        </is>
      </c>
      <c r="C381" t="inlineStr">
        <is>
          <t>EQ</t>
        </is>
      </c>
      <c r="E381" t="inlineStr">
        <is>
          <t>EQ</t>
        </is>
      </c>
      <c r="H381" s="127" t="n">
        <v>46124</v>
      </c>
      <c r="J381" s="38" t="inlineStr">
        <is>
          <t>0-4005</t>
        </is>
      </c>
      <c r="K381" t="inlineStr">
        <is>
          <t>WLV106 2025 FORD F150 XL STX (SAFETY) 2025 FORD F150 XL STX (SAFETY)</t>
        </is>
      </c>
      <c r="L381" t="n">
        <v>0</v>
      </c>
      <c r="M381" t="n">
        <v>0</v>
      </c>
      <c r="O381" t="inlineStr">
        <is>
          <t>WLV106</t>
        </is>
      </c>
      <c r="Q381" s="114" t="n">
        <v>0</v>
      </c>
      <c r="R381" s="114" t="n">
        <v>79.14</v>
      </c>
      <c r="S381" s="114" t="n">
        <v>0</v>
      </c>
      <c r="T381" t="n">
        <v>0</v>
      </c>
    </row>
    <row r="382">
      <c r="A382" t="inlineStr">
        <is>
          <t>ttJTrans</t>
        </is>
      </c>
      <c r="B382" s="38" t="inlineStr">
        <is>
          <t>0-4005</t>
        </is>
      </c>
      <c r="C382" t="inlineStr">
        <is>
          <t>EQ</t>
        </is>
      </c>
      <c r="E382" t="inlineStr">
        <is>
          <t>EQ</t>
        </is>
      </c>
      <c r="H382" s="127" t="n">
        <v>46124</v>
      </c>
      <c r="J382" s="38" t="inlineStr">
        <is>
          <t>0-4005</t>
        </is>
      </c>
      <c r="K382" t="inlineStr">
        <is>
          <t>RT1351 2024 CHEVROLET SILVERADO 2500 DIESEL CUSTOM 4X4 2024 CHEVROLET SILVERADO 2500 DIESEL CUSTOM 4X4</t>
        </is>
      </c>
      <c r="L382" t="n">
        <v>0</v>
      </c>
      <c r="M382" t="n">
        <v>0</v>
      </c>
      <c r="O382" t="inlineStr">
        <is>
          <t>RT1351</t>
        </is>
      </c>
      <c r="Q382" s="114" t="n">
        <v>0</v>
      </c>
      <c r="R382" s="114" t="n">
        <v>79.14</v>
      </c>
      <c r="S382" s="114" t="n">
        <v>0</v>
      </c>
      <c r="T382" t="n">
        <v>0</v>
      </c>
    </row>
    <row r="383">
      <c r="A383" t="inlineStr">
        <is>
          <t>ttJTrans</t>
        </is>
      </c>
      <c r="B383" s="38" t="inlineStr">
        <is>
          <t>0-4005</t>
        </is>
      </c>
      <c r="C383" t="inlineStr">
        <is>
          <t>EQ</t>
        </is>
      </c>
      <c r="E383" t="inlineStr">
        <is>
          <t>EQ</t>
        </is>
      </c>
      <c r="H383" s="127" t="n">
        <v>46124</v>
      </c>
      <c r="J383" s="38" t="inlineStr">
        <is>
          <t>0-4005</t>
        </is>
      </c>
      <c r="K383" t="inlineStr">
        <is>
          <t>RT1351 2024 CHEVROLET SILVERADO 2500 DIESEL CUSTOM 4X4 2024 CHEVROLET SILVERADO 2500 DIESEL CUSTOM 4X4</t>
        </is>
      </c>
      <c r="L383" t="n">
        <v>0</v>
      </c>
      <c r="M383" t="n">
        <v>0</v>
      </c>
      <c r="O383" t="inlineStr">
        <is>
          <t>RT1351</t>
        </is>
      </c>
      <c r="Q383" s="114" t="n">
        <v>0</v>
      </c>
      <c r="R383" s="114" t="n">
        <v>79.14</v>
      </c>
      <c r="S383" s="114" t="n">
        <v>0</v>
      </c>
      <c r="T383" t="n">
        <v>0</v>
      </c>
    </row>
    <row r="384">
      <c r="A384" t="inlineStr">
        <is>
          <t>ttJTrans</t>
        </is>
      </c>
      <c r="B384" s="38" t="inlineStr">
        <is>
          <t>0-4005</t>
        </is>
      </c>
      <c r="C384" t="inlineStr">
        <is>
          <t>EQ</t>
        </is>
      </c>
      <c r="E384" t="inlineStr">
        <is>
          <t>EQ</t>
        </is>
      </c>
      <c r="H384" s="127" t="n">
        <v>46124</v>
      </c>
      <c r="J384" s="38" t="inlineStr">
        <is>
          <t>0-4005</t>
        </is>
      </c>
      <c r="K384" t="inlineStr">
        <is>
          <t>RT1351 2024 CHEVROLET SILVERADO 2500 DIESEL CUSTOM 4X4 2024 CHEVROLET SILVERADO 2500 DIESEL CUSTOM 4X4</t>
        </is>
      </c>
      <c r="L384" t="n">
        <v>0</v>
      </c>
      <c r="M384" t="n">
        <v>0</v>
      </c>
      <c r="O384" t="inlineStr">
        <is>
          <t>RT1351</t>
        </is>
      </c>
      <c r="Q384" s="114" t="n">
        <v>0</v>
      </c>
      <c r="R384" s="114" t="n">
        <v>79.14</v>
      </c>
      <c r="S384" s="114" t="n">
        <v>0</v>
      </c>
      <c r="T384" t="n">
        <v>0</v>
      </c>
    </row>
    <row r="385">
      <c r="A385" t="inlineStr">
        <is>
          <t>ttJTrans</t>
        </is>
      </c>
      <c r="B385" s="38" t="inlineStr">
        <is>
          <t>0-4005</t>
        </is>
      </c>
      <c r="C385" t="inlineStr">
        <is>
          <t>EQ</t>
        </is>
      </c>
      <c r="E385" t="inlineStr">
        <is>
          <t>EQ</t>
        </is>
      </c>
      <c r="H385" s="127" t="n">
        <v>46124</v>
      </c>
      <c r="J385" s="38" t="inlineStr">
        <is>
          <t>0-4005</t>
        </is>
      </c>
      <c r="K385" t="inlineStr">
        <is>
          <t>RT1351 2024 CHEVROLET SILVERADO 2500 DIESEL CUSTOM 4X4 2024 CHEVROLET SILVERADO 2500 DIESEL CUSTOM 4X4</t>
        </is>
      </c>
      <c r="L385" t="n">
        <v>0</v>
      </c>
      <c r="M385" t="n">
        <v>0</v>
      </c>
      <c r="O385" t="inlineStr">
        <is>
          <t>RT1351</t>
        </is>
      </c>
      <c r="Q385" s="114" t="n">
        <v>0</v>
      </c>
      <c r="R385" s="114" t="n">
        <v>79.14</v>
      </c>
      <c r="S385" s="114" t="n">
        <v>0</v>
      </c>
      <c r="T385" t="n">
        <v>0</v>
      </c>
    </row>
    <row r="386">
      <c r="A386" t="inlineStr">
        <is>
          <t>ttJTrans</t>
        </is>
      </c>
      <c r="B386" s="38" t="inlineStr">
        <is>
          <t>0-4005</t>
        </is>
      </c>
      <c r="C386" t="inlineStr">
        <is>
          <t>EQ</t>
        </is>
      </c>
      <c r="E386" t="inlineStr">
        <is>
          <t>EQ</t>
        </is>
      </c>
      <c r="H386" s="127" t="n">
        <v>46124</v>
      </c>
      <c r="J386" s="38" t="inlineStr">
        <is>
          <t>0-4005</t>
        </is>
      </c>
      <c r="K386" t="inlineStr">
        <is>
          <t>RT1351 2024 CHEVROLET SILVERADO 2500 DIESEL CUSTOM 4X4 2024 CHEVROLET SILVERADO 2500 DIESEL CUSTOM 4X4</t>
        </is>
      </c>
      <c r="L386" t="n">
        <v>0</v>
      </c>
      <c r="M386" t="n">
        <v>0</v>
      </c>
      <c r="O386" t="inlineStr">
        <is>
          <t>RT1351</t>
        </is>
      </c>
      <c r="Q386" s="114" t="n">
        <v>0</v>
      </c>
      <c r="R386" s="114" t="n">
        <v>79.14</v>
      </c>
      <c r="S386" s="114" t="n">
        <v>0</v>
      </c>
      <c r="T386" t="n">
        <v>0</v>
      </c>
    </row>
    <row r="387">
      <c r="A387" t="inlineStr">
        <is>
          <t>ttJTrans</t>
        </is>
      </c>
      <c r="B387" s="38" t="inlineStr">
        <is>
          <t>0-4005</t>
        </is>
      </c>
      <c r="C387" t="inlineStr">
        <is>
          <t>EQ</t>
        </is>
      </c>
      <c r="E387" t="inlineStr">
        <is>
          <t>EQ</t>
        </is>
      </c>
      <c r="H387" s="127" t="n">
        <v>46124</v>
      </c>
      <c r="J387" s="38" t="inlineStr">
        <is>
          <t>0-4005</t>
        </is>
      </c>
      <c r="K387" t="inlineStr">
        <is>
          <t>RT1351 2024 CHEVROLET SILVERADO 2500 DIESEL CUSTOM 4X4 2024 CHEVROLET SILVERADO 2500 DIESEL CUSTOM 4X4</t>
        </is>
      </c>
      <c r="L387" t="n">
        <v>0</v>
      </c>
      <c r="M387" t="n">
        <v>0</v>
      </c>
      <c r="O387" t="inlineStr">
        <is>
          <t>RT1351</t>
        </is>
      </c>
      <c r="Q387" s="114" t="n">
        <v>0</v>
      </c>
      <c r="R387" s="114" t="n">
        <v>79.14</v>
      </c>
      <c r="S387" s="114" t="n">
        <v>0</v>
      </c>
      <c r="T387" t="n">
        <v>0</v>
      </c>
    </row>
    <row r="388">
      <c r="A388" t="inlineStr">
        <is>
          <t>ttJTrans</t>
        </is>
      </c>
      <c r="B388" s="38" t="inlineStr">
        <is>
          <t>0-4005</t>
        </is>
      </c>
      <c r="C388" t="inlineStr">
        <is>
          <t>EQ</t>
        </is>
      </c>
      <c r="E388" t="inlineStr">
        <is>
          <t>EQ</t>
        </is>
      </c>
      <c r="H388" s="127" t="n">
        <v>46124</v>
      </c>
      <c r="J388" s="38" t="inlineStr">
        <is>
          <t>0-4005</t>
        </is>
      </c>
      <c r="K388" t="inlineStr">
        <is>
          <t>TR429 SPARTAN 7X16 CARGO TRAILER W/ RAMP DOOR SPARTAN 7X16 CARGO TRAILER W/ RAMP DOOR</t>
        </is>
      </c>
      <c r="L388" t="n">
        <v>0</v>
      </c>
      <c r="M388" t="n">
        <v>0</v>
      </c>
      <c r="O388" t="inlineStr">
        <is>
          <t>TR429</t>
        </is>
      </c>
      <c r="Q388" s="114" t="n">
        <v>0</v>
      </c>
      <c r="R388" s="114" t="n">
        <v>65</v>
      </c>
      <c r="S388" s="114" t="n">
        <v>0</v>
      </c>
      <c r="T388" t="n">
        <v>0</v>
      </c>
    </row>
    <row r="389">
      <c r="A389" t="inlineStr">
        <is>
          <t>ttJTrans</t>
        </is>
      </c>
      <c r="B389" s="38" t="inlineStr">
        <is>
          <t>0-4005</t>
        </is>
      </c>
      <c r="C389" t="inlineStr">
        <is>
          <t>EQ</t>
        </is>
      </c>
      <c r="E389" t="inlineStr">
        <is>
          <t>EQ</t>
        </is>
      </c>
      <c r="H389" s="127" t="n">
        <v>46124</v>
      </c>
      <c r="J389" s="38" t="inlineStr">
        <is>
          <t>0-4005</t>
        </is>
      </c>
      <c r="K389" t="inlineStr">
        <is>
          <t>TR429 SPARTAN 7X16 CARGO TRAILER W/ RAMP DOOR SPARTAN 7X16 CARGO TRAILER W/ RAMP DOOR</t>
        </is>
      </c>
      <c r="L389" t="n">
        <v>0</v>
      </c>
      <c r="M389" t="n">
        <v>0</v>
      </c>
      <c r="O389" t="inlineStr">
        <is>
          <t>TR429</t>
        </is>
      </c>
      <c r="Q389" s="114" t="n">
        <v>0</v>
      </c>
      <c r="R389" s="114" t="n">
        <v>65</v>
      </c>
      <c r="S389" s="114" t="n">
        <v>0</v>
      </c>
      <c r="T389" t="n">
        <v>0</v>
      </c>
    </row>
    <row r="390">
      <c r="A390" t="inlineStr">
        <is>
          <t>ttJTrans</t>
        </is>
      </c>
      <c r="B390" s="38" t="inlineStr">
        <is>
          <t>0-4005</t>
        </is>
      </c>
      <c r="C390" t="inlineStr">
        <is>
          <t>EQ</t>
        </is>
      </c>
      <c r="E390" t="inlineStr">
        <is>
          <t>EQ</t>
        </is>
      </c>
      <c r="H390" s="127" t="n">
        <v>46124</v>
      </c>
      <c r="J390" s="38" t="inlineStr">
        <is>
          <t>0-4005</t>
        </is>
      </c>
      <c r="K390" t="inlineStr">
        <is>
          <t>TR429 SPARTAN 7X16 CARGO TRAILER W/ RAMP DOOR SPARTAN 7X16 CARGO TRAILER W/ RAMP DOOR</t>
        </is>
      </c>
      <c r="L390" t="n">
        <v>0</v>
      </c>
      <c r="M390" t="n">
        <v>0</v>
      </c>
      <c r="O390" t="inlineStr">
        <is>
          <t>TR429</t>
        </is>
      </c>
      <c r="Q390" s="114" t="n">
        <v>0</v>
      </c>
      <c r="R390" s="114" t="n">
        <v>65</v>
      </c>
      <c r="S390" s="114" t="n">
        <v>0</v>
      </c>
      <c r="T390" t="n">
        <v>0</v>
      </c>
    </row>
    <row r="391">
      <c r="A391" t="inlineStr">
        <is>
          <t>ttJTrans</t>
        </is>
      </c>
      <c r="B391" s="38" t="inlineStr">
        <is>
          <t>0-4005</t>
        </is>
      </c>
      <c r="C391" t="inlineStr">
        <is>
          <t>EQ</t>
        </is>
      </c>
      <c r="E391" t="inlineStr">
        <is>
          <t>EQ</t>
        </is>
      </c>
      <c r="H391" s="127" t="n">
        <v>46124</v>
      </c>
      <c r="J391" s="38" t="inlineStr">
        <is>
          <t>0-4005</t>
        </is>
      </c>
      <c r="K391" t="inlineStr">
        <is>
          <t>TR429 SPARTAN 7X16 CARGO TRAILER W/ RAMP DOOR SPARTAN 7X16 CARGO TRAILER W/ RAMP DOOR</t>
        </is>
      </c>
      <c r="L391" t="n">
        <v>0</v>
      </c>
      <c r="M391" t="n">
        <v>0</v>
      </c>
      <c r="O391" t="inlineStr">
        <is>
          <t>TR429</t>
        </is>
      </c>
      <c r="Q391" s="114" t="n">
        <v>0</v>
      </c>
      <c r="R391" s="114" t="n">
        <v>65</v>
      </c>
      <c r="S391" s="114" t="n">
        <v>0</v>
      </c>
      <c r="T391" t="n">
        <v>0</v>
      </c>
    </row>
    <row r="392">
      <c r="A392" t="inlineStr">
        <is>
          <t>ttJTrans</t>
        </is>
      </c>
      <c r="B392" s="38" t="inlineStr">
        <is>
          <t>0-4005</t>
        </is>
      </c>
      <c r="C392" t="inlineStr">
        <is>
          <t>EQ</t>
        </is>
      </c>
      <c r="E392" t="inlineStr">
        <is>
          <t>EQ</t>
        </is>
      </c>
      <c r="H392" s="127" t="n">
        <v>46124</v>
      </c>
      <c r="J392" s="38" t="inlineStr">
        <is>
          <t>0-4005</t>
        </is>
      </c>
      <c r="K392" t="inlineStr">
        <is>
          <t>TR429 SPARTAN 7X16 CARGO TRAILER W/ RAMP DOOR SPARTAN 7X16 CARGO TRAILER W/ RAMP DOOR</t>
        </is>
      </c>
      <c r="L392" t="n">
        <v>0</v>
      </c>
      <c r="M392" t="n">
        <v>0</v>
      </c>
      <c r="O392" t="inlineStr">
        <is>
          <t>TR429</t>
        </is>
      </c>
      <c r="Q392" s="114" t="n">
        <v>0</v>
      </c>
      <c r="R392" s="114" t="n">
        <v>65</v>
      </c>
      <c r="S392" s="114" t="n">
        <v>0</v>
      </c>
      <c r="T392" t="n">
        <v>0</v>
      </c>
    </row>
    <row r="393">
      <c r="A393" t="inlineStr">
        <is>
          <t>ttJTrans</t>
        </is>
      </c>
      <c r="B393" s="38" t="inlineStr">
        <is>
          <t>0-4005</t>
        </is>
      </c>
      <c r="C393" t="inlineStr">
        <is>
          <t>EQ</t>
        </is>
      </c>
      <c r="E393" t="inlineStr">
        <is>
          <t>EQ</t>
        </is>
      </c>
      <c r="H393" s="127" t="n">
        <v>46124</v>
      </c>
      <c r="J393" s="38" t="inlineStr">
        <is>
          <t>0-4005</t>
        </is>
      </c>
      <c r="K393" t="inlineStr">
        <is>
          <t>TR429 SPARTAN 7X16 CARGO TRAILER W/ RAMP DOOR SPARTAN 7X16 CARGO TRAILER W/ RAMP DOOR</t>
        </is>
      </c>
      <c r="L393" t="n">
        <v>0</v>
      </c>
      <c r="M393" t="n">
        <v>0</v>
      </c>
      <c r="O393" t="inlineStr">
        <is>
          <t>TR429</t>
        </is>
      </c>
      <c r="Q393" s="114" t="n">
        <v>0</v>
      </c>
      <c r="R393" s="114" t="n">
        <v>65</v>
      </c>
      <c r="S393" s="114" t="n">
        <v>0</v>
      </c>
      <c r="T393" t="n">
        <v>0</v>
      </c>
    </row>
    <row r="394">
      <c r="A394" t="inlineStr">
        <is>
          <t>ttJTrans</t>
        </is>
      </c>
      <c r="B394" s="38" t="inlineStr">
        <is>
          <t>0-4005</t>
        </is>
      </c>
      <c r="C394" t="inlineStr">
        <is>
          <t>EQ</t>
        </is>
      </c>
      <c r="E394" t="inlineStr">
        <is>
          <t>EQ</t>
        </is>
      </c>
      <c r="H394" s="127" t="n">
        <v>46131</v>
      </c>
      <c r="J394" s="38" t="inlineStr">
        <is>
          <t>0-4005</t>
        </is>
      </c>
      <c r="K394" t="inlineStr">
        <is>
          <t>WLV106 2025 FORD F150 XL STX (SAFETY) 2025 FORD F150 XL STX (SAFETY)</t>
        </is>
      </c>
      <c r="L394" t="n">
        <v>0</v>
      </c>
      <c r="M394" t="n">
        <v>0</v>
      </c>
      <c r="O394" t="inlineStr">
        <is>
          <t>WLV106</t>
        </is>
      </c>
      <c r="Q394" s="114" t="n">
        <v>0</v>
      </c>
      <c r="R394" s="114" t="n">
        <v>79.14</v>
      </c>
      <c r="S394" s="114" t="n">
        <v>0</v>
      </c>
      <c r="T394" t="n">
        <v>0</v>
      </c>
    </row>
    <row r="395">
      <c r="A395" t="inlineStr">
        <is>
          <t>ttJTrans</t>
        </is>
      </c>
      <c r="B395" s="38" t="inlineStr">
        <is>
          <t>0-4005</t>
        </is>
      </c>
      <c r="C395" t="inlineStr">
        <is>
          <t>EQ</t>
        </is>
      </c>
      <c r="E395" t="inlineStr">
        <is>
          <t>EQ</t>
        </is>
      </c>
      <c r="H395" s="127" t="n">
        <v>46131</v>
      </c>
      <c r="J395" s="38" t="inlineStr">
        <is>
          <t>0-4005</t>
        </is>
      </c>
      <c r="K395" t="inlineStr">
        <is>
          <t>WLV106 2025 FORD F150 XL STX (SAFETY) 2025 FORD F150 XL STX (SAFETY)</t>
        </is>
      </c>
      <c r="L395" t="n">
        <v>0</v>
      </c>
      <c r="M395" t="n">
        <v>0</v>
      </c>
      <c r="O395" t="inlineStr">
        <is>
          <t>WLV106</t>
        </is>
      </c>
      <c r="Q395" s="114" t="n">
        <v>0</v>
      </c>
      <c r="R395" s="114" t="n">
        <v>79.14</v>
      </c>
      <c r="S395" s="114" t="n">
        <v>0</v>
      </c>
      <c r="T395" t="n">
        <v>0</v>
      </c>
    </row>
    <row r="396">
      <c r="A396" t="inlineStr">
        <is>
          <t>ttJTrans</t>
        </is>
      </c>
      <c r="B396" s="38" t="inlineStr">
        <is>
          <t>0-4005</t>
        </is>
      </c>
      <c r="C396" t="inlineStr">
        <is>
          <t>EQ</t>
        </is>
      </c>
      <c r="E396" t="inlineStr">
        <is>
          <t>EQ</t>
        </is>
      </c>
      <c r="H396" s="127" t="n">
        <v>46131</v>
      </c>
      <c r="J396" s="38" t="inlineStr">
        <is>
          <t>0-4005</t>
        </is>
      </c>
      <c r="K396" t="inlineStr">
        <is>
          <t>WLV106 2025 FORD F150 XL STX (SAFETY) 2025 FORD F150 XL STX (SAFETY)</t>
        </is>
      </c>
      <c r="L396" t="n">
        <v>0</v>
      </c>
      <c r="M396" t="n">
        <v>0</v>
      </c>
      <c r="O396" t="inlineStr">
        <is>
          <t>WLV106</t>
        </is>
      </c>
      <c r="Q396" s="114" t="n">
        <v>0</v>
      </c>
      <c r="R396" s="114" t="n">
        <v>79.14</v>
      </c>
      <c r="S396" s="114" t="n">
        <v>0</v>
      </c>
      <c r="T396" t="n">
        <v>0</v>
      </c>
    </row>
    <row r="397">
      <c r="A397" t="inlineStr">
        <is>
          <t>ttJTrans</t>
        </is>
      </c>
      <c r="B397" s="38" t="inlineStr">
        <is>
          <t>0-4005</t>
        </is>
      </c>
      <c r="C397" t="inlineStr">
        <is>
          <t>EQ</t>
        </is>
      </c>
      <c r="E397" t="inlineStr">
        <is>
          <t>EQ</t>
        </is>
      </c>
      <c r="H397" s="127" t="n">
        <v>46131</v>
      </c>
      <c r="J397" s="38" t="inlineStr">
        <is>
          <t>0-4005</t>
        </is>
      </c>
      <c r="K397" t="inlineStr">
        <is>
          <t>WLV106 2025 FORD F150 XL STX (SAFETY) 2025 FORD F150 XL STX (SAFETY)</t>
        </is>
      </c>
      <c r="L397" t="n">
        <v>0</v>
      </c>
      <c r="M397" t="n">
        <v>0</v>
      </c>
      <c r="O397" t="inlineStr">
        <is>
          <t>WLV106</t>
        </is>
      </c>
      <c r="Q397" s="114" t="n">
        <v>0</v>
      </c>
      <c r="R397" s="114" t="n">
        <v>79.14</v>
      </c>
      <c r="S397" s="114" t="n">
        <v>0</v>
      </c>
      <c r="T397" t="n">
        <v>0</v>
      </c>
    </row>
    <row r="398">
      <c r="A398" t="inlineStr">
        <is>
          <t>ttJTrans</t>
        </is>
      </c>
      <c r="B398" s="38" t="inlineStr">
        <is>
          <t>0-4005</t>
        </is>
      </c>
      <c r="C398" t="inlineStr">
        <is>
          <t>EQ</t>
        </is>
      </c>
      <c r="E398" t="inlineStr">
        <is>
          <t>EQ</t>
        </is>
      </c>
      <c r="H398" s="127" t="n">
        <v>46131</v>
      </c>
      <c r="J398" s="38" t="inlineStr">
        <is>
          <t>0-4005</t>
        </is>
      </c>
      <c r="K398" t="inlineStr">
        <is>
          <t>WLV106 2025 FORD F150 XL STX (SAFETY) 2025 FORD F150 XL STX (SAFETY)</t>
        </is>
      </c>
      <c r="L398" t="n">
        <v>0</v>
      </c>
      <c r="M398" t="n">
        <v>0</v>
      </c>
      <c r="O398" t="inlineStr">
        <is>
          <t>WLV106</t>
        </is>
      </c>
      <c r="Q398" s="114" t="n">
        <v>0</v>
      </c>
      <c r="R398" s="114" t="n">
        <v>79.14</v>
      </c>
      <c r="S398" s="114" t="n">
        <v>0</v>
      </c>
      <c r="T398" t="n">
        <v>0</v>
      </c>
    </row>
    <row r="399">
      <c r="A399" t="inlineStr">
        <is>
          <t>ttJTrans</t>
        </is>
      </c>
      <c r="B399" s="38" t="inlineStr">
        <is>
          <t>0-4005</t>
        </is>
      </c>
      <c r="C399" t="inlineStr">
        <is>
          <t>EQ</t>
        </is>
      </c>
      <c r="E399" t="inlineStr">
        <is>
          <t>EQ</t>
        </is>
      </c>
      <c r="H399" s="127" t="n">
        <v>46131</v>
      </c>
      <c r="J399" s="38" t="inlineStr">
        <is>
          <t>0-4005</t>
        </is>
      </c>
      <c r="K399" t="inlineStr">
        <is>
          <t>WLV106 2025 FORD F150 XL STX (SAFETY) 2025 FORD F150 XL STX (SAFETY)</t>
        </is>
      </c>
      <c r="L399" t="n">
        <v>0</v>
      </c>
      <c r="M399" t="n">
        <v>0</v>
      </c>
      <c r="O399" t="inlineStr">
        <is>
          <t>WLV106</t>
        </is>
      </c>
      <c r="Q399" s="114" t="n">
        <v>0</v>
      </c>
      <c r="R399" s="114" t="n">
        <v>79.14</v>
      </c>
      <c r="S399" s="114" t="n">
        <v>0</v>
      </c>
      <c r="T399" t="n">
        <v>0</v>
      </c>
    </row>
    <row r="400">
      <c r="A400" t="inlineStr">
        <is>
          <t>ttJTrans</t>
        </is>
      </c>
      <c r="B400" s="38" t="inlineStr">
        <is>
          <t>0-4005</t>
        </is>
      </c>
      <c r="C400" t="inlineStr">
        <is>
          <t>EQ</t>
        </is>
      </c>
      <c r="E400" t="inlineStr">
        <is>
          <t>EQ</t>
        </is>
      </c>
      <c r="H400" s="127" t="n">
        <v>46131</v>
      </c>
      <c r="J400" s="38" t="inlineStr">
        <is>
          <t>0-4005</t>
        </is>
      </c>
      <c r="K400" t="inlineStr">
        <is>
          <t>RT1351 2024 CHEVROLET SILVERADO 2500 DIESEL CUSTOM 4X4 2024 CHEVROLET SILVERADO 2500 DIESEL CUSTOM 4X4</t>
        </is>
      </c>
      <c r="L400" t="n">
        <v>0</v>
      </c>
      <c r="M400" t="n">
        <v>0</v>
      </c>
      <c r="O400" t="inlineStr">
        <is>
          <t>RT1351</t>
        </is>
      </c>
      <c r="Q400" s="114" t="n">
        <v>0</v>
      </c>
      <c r="R400" s="114" t="n">
        <v>79.14</v>
      </c>
      <c r="S400" s="114" t="n">
        <v>0</v>
      </c>
      <c r="T400" t="n">
        <v>0</v>
      </c>
    </row>
    <row r="401">
      <c r="A401" t="inlineStr">
        <is>
          <t>ttJTrans</t>
        </is>
      </c>
      <c r="B401" s="38" t="inlineStr">
        <is>
          <t>0-4005</t>
        </is>
      </c>
      <c r="C401" t="inlineStr">
        <is>
          <t>EQ</t>
        </is>
      </c>
      <c r="E401" t="inlineStr">
        <is>
          <t>EQ</t>
        </is>
      </c>
      <c r="H401" s="127" t="n">
        <v>46131</v>
      </c>
      <c r="J401" s="38" t="inlineStr">
        <is>
          <t>0-4005</t>
        </is>
      </c>
      <c r="K401" t="inlineStr">
        <is>
          <t>RT1351 2024 CHEVROLET SILVERADO 2500 DIESEL CUSTOM 4X4 2024 CHEVROLET SILVERADO 2500 DIESEL CUSTOM 4X4</t>
        </is>
      </c>
      <c r="L401" t="n">
        <v>0</v>
      </c>
      <c r="M401" t="n">
        <v>0</v>
      </c>
      <c r="O401" t="inlineStr">
        <is>
          <t>RT1351</t>
        </is>
      </c>
      <c r="Q401" s="114" t="n">
        <v>0</v>
      </c>
      <c r="R401" s="114" t="n">
        <v>79.14</v>
      </c>
      <c r="S401" s="114" t="n">
        <v>0</v>
      </c>
      <c r="T401" t="n">
        <v>0</v>
      </c>
    </row>
    <row r="402">
      <c r="A402" t="inlineStr">
        <is>
          <t>ttJTrans</t>
        </is>
      </c>
      <c r="B402" s="38" t="inlineStr">
        <is>
          <t>0-4005</t>
        </is>
      </c>
      <c r="C402" t="inlineStr">
        <is>
          <t>EQ</t>
        </is>
      </c>
      <c r="E402" t="inlineStr">
        <is>
          <t>EQ</t>
        </is>
      </c>
      <c r="H402" s="127" t="n">
        <v>46131</v>
      </c>
      <c r="J402" s="38" t="inlineStr">
        <is>
          <t>0-4005</t>
        </is>
      </c>
      <c r="K402" t="inlineStr">
        <is>
          <t>RT1351 2024 CHEVROLET SILVERADO 2500 DIESEL CUSTOM 4X4 2024 CHEVROLET SILVERADO 2500 DIESEL CUSTOM 4X4</t>
        </is>
      </c>
      <c r="L402" t="n">
        <v>0</v>
      </c>
      <c r="M402" t="n">
        <v>0</v>
      </c>
      <c r="O402" t="inlineStr">
        <is>
          <t>RT1351</t>
        </is>
      </c>
      <c r="Q402" s="114" t="n">
        <v>0</v>
      </c>
      <c r="R402" s="114" t="n">
        <v>79.14</v>
      </c>
      <c r="S402" s="114" t="n">
        <v>0</v>
      </c>
      <c r="T402" t="n">
        <v>0</v>
      </c>
    </row>
    <row r="403">
      <c r="A403" t="inlineStr">
        <is>
          <t>ttJTrans</t>
        </is>
      </c>
      <c r="B403" s="38" t="inlineStr">
        <is>
          <t>0-4005</t>
        </is>
      </c>
      <c r="C403" t="inlineStr">
        <is>
          <t>EQ</t>
        </is>
      </c>
      <c r="E403" t="inlineStr">
        <is>
          <t>EQ</t>
        </is>
      </c>
      <c r="H403" s="127" t="n">
        <v>46131</v>
      </c>
      <c r="J403" s="38" t="inlineStr">
        <is>
          <t>0-4005</t>
        </is>
      </c>
      <c r="K403" t="inlineStr">
        <is>
          <t>RT1351 2024 CHEVROLET SILVERADO 2500 DIESEL CUSTOM 4X4 2024 CHEVROLET SILVERADO 2500 DIESEL CUSTOM 4X4</t>
        </is>
      </c>
      <c r="L403" t="n">
        <v>0</v>
      </c>
      <c r="M403" t="n">
        <v>0</v>
      </c>
      <c r="O403" t="inlineStr">
        <is>
          <t>RT1351</t>
        </is>
      </c>
      <c r="Q403" s="114" t="n">
        <v>0</v>
      </c>
      <c r="R403" s="114" t="n">
        <v>79.14</v>
      </c>
      <c r="S403" s="114" t="n">
        <v>0</v>
      </c>
      <c r="T403" t="n">
        <v>0</v>
      </c>
    </row>
    <row r="404">
      <c r="A404" t="inlineStr">
        <is>
          <t>ttJTrans</t>
        </is>
      </c>
      <c r="B404" s="38" t="inlineStr">
        <is>
          <t>0-4005</t>
        </is>
      </c>
      <c r="C404" t="inlineStr">
        <is>
          <t>EQ</t>
        </is>
      </c>
      <c r="E404" t="inlineStr">
        <is>
          <t>EQ</t>
        </is>
      </c>
      <c r="H404" s="127" t="n">
        <v>46131</v>
      </c>
      <c r="J404" s="38" t="inlineStr">
        <is>
          <t>0-4005</t>
        </is>
      </c>
      <c r="K404" t="inlineStr">
        <is>
          <t>RT1351 2024 CHEVROLET SILVERADO 2500 DIESEL CUSTOM 4X4 2024 CHEVROLET SILVERADO 2500 DIESEL CUSTOM 4X4</t>
        </is>
      </c>
      <c r="L404" t="n">
        <v>0</v>
      </c>
      <c r="M404" t="n">
        <v>0</v>
      </c>
      <c r="O404" t="inlineStr">
        <is>
          <t>RT1351</t>
        </is>
      </c>
      <c r="Q404" s="114" t="n">
        <v>0</v>
      </c>
      <c r="R404" s="114" t="n">
        <v>79.14</v>
      </c>
      <c r="S404" s="114" t="n">
        <v>0</v>
      </c>
      <c r="T404" t="n">
        <v>0</v>
      </c>
    </row>
    <row r="405">
      <c r="A405" t="inlineStr">
        <is>
          <t>ttJTrans</t>
        </is>
      </c>
      <c r="B405" s="38" t="inlineStr">
        <is>
          <t>0-4005</t>
        </is>
      </c>
      <c r="C405" t="inlineStr">
        <is>
          <t>EQ</t>
        </is>
      </c>
      <c r="E405" t="inlineStr">
        <is>
          <t>EQ</t>
        </is>
      </c>
      <c r="H405" s="127" t="n">
        <v>46131</v>
      </c>
      <c r="J405" s="38" t="inlineStr">
        <is>
          <t>0-4005</t>
        </is>
      </c>
      <c r="K405" t="inlineStr">
        <is>
          <t>RT1351 2024 CHEVROLET SILVERADO 2500 DIESEL CUSTOM 4X4 2024 CHEVROLET SILVERADO 2500 DIESEL CUSTOM 4X4</t>
        </is>
      </c>
      <c r="L405" t="n">
        <v>0</v>
      </c>
      <c r="M405" t="n">
        <v>0</v>
      </c>
      <c r="O405" t="inlineStr">
        <is>
          <t>RT1351</t>
        </is>
      </c>
      <c r="Q405" s="114" t="n">
        <v>0</v>
      </c>
      <c r="R405" s="114" t="n">
        <v>79.14</v>
      </c>
      <c r="S405" s="114" t="n">
        <v>0</v>
      </c>
      <c r="T405" t="n">
        <v>0</v>
      </c>
    </row>
    <row r="406">
      <c r="A406" t="inlineStr">
        <is>
          <t>ttJTrans</t>
        </is>
      </c>
      <c r="B406" s="38" t="inlineStr">
        <is>
          <t>0-4005</t>
        </is>
      </c>
      <c r="C406" t="inlineStr">
        <is>
          <t>EQ</t>
        </is>
      </c>
      <c r="E406" t="inlineStr">
        <is>
          <t>EQ</t>
        </is>
      </c>
      <c r="H406" s="127" t="n">
        <v>46131</v>
      </c>
      <c r="J406" s="38" t="inlineStr">
        <is>
          <t>0-4005</t>
        </is>
      </c>
      <c r="K406" t="inlineStr">
        <is>
          <t>TR429 SPARTAN 7X16 CARGO TRAILER W/ RAMP DOOR SPARTAN 7X16 CARGO TRAILER W/ RAMP DOOR</t>
        </is>
      </c>
      <c r="L406" t="n">
        <v>0</v>
      </c>
      <c r="M406" t="n">
        <v>0</v>
      </c>
      <c r="O406" t="inlineStr">
        <is>
          <t>TR429</t>
        </is>
      </c>
      <c r="Q406" s="114" t="n">
        <v>0</v>
      </c>
      <c r="R406" s="114" t="n">
        <v>65</v>
      </c>
      <c r="S406" s="114" t="n">
        <v>0</v>
      </c>
      <c r="T406" t="n">
        <v>0</v>
      </c>
    </row>
    <row r="407">
      <c r="A407" t="inlineStr">
        <is>
          <t>ttJTrans</t>
        </is>
      </c>
      <c r="B407" s="38" t="inlineStr">
        <is>
          <t>0-4005</t>
        </is>
      </c>
      <c r="C407" t="inlineStr">
        <is>
          <t>EQ</t>
        </is>
      </c>
      <c r="E407" t="inlineStr">
        <is>
          <t>EQ</t>
        </is>
      </c>
      <c r="H407" s="127" t="n">
        <v>46131</v>
      </c>
      <c r="J407" s="38" t="inlineStr">
        <is>
          <t>0-4005</t>
        </is>
      </c>
      <c r="K407" t="inlineStr">
        <is>
          <t>TR429 SPARTAN 7X16 CARGO TRAILER W/ RAMP DOOR SPARTAN 7X16 CARGO TRAILER W/ RAMP DOOR</t>
        </is>
      </c>
      <c r="L407" t="n">
        <v>0</v>
      </c>
      <c r="M407" t="n">
        <v>0</v>
      </c>
      <c r="O407" t="inlineStr">
        <is>
          <t>TR429</t>
        </is>
      </c>
      <c r="Q407" s="114" t="n">
        <v>0</v>
      </c>
      <c r="R407" s="114" t="n">
        <v>65</v>
      </c>
      <c r="S407" s="114" t="n">
        <v>0</v>
      </c>
      <c r="T407" t="n">
        <v>0</v>
      </c>
    </row>
    <row r="408">
      <c r="A408" t="inlineStr">
        <is>
          <t>ttJTrans</t>
        </is>
      </c>
      <c r="B408" s="38" t="inlineStr">
        <is>
          <t>0-4005</t>
        </is>
      </c>
      <c r="C408" t="inlineStr">
        <is>
          <t>EQ</t>
        </is>
      </c>
      <c r="E408" t="inlineStr">
        <is>
          <t>EQ</t>
        </is>
      </c>
      <c r="H408" s="127" t="n">
        <v>46131</v>
      </c>
      <c r="J408" s="38" t="inlineStr">
        <is>
          <t>0-4005</t>
        </is>
      </c>
      <c r="K408" t="inlineStr">
        <is>
          <t>TR429 SPARTAN 7X16 CARGO TRAILER W/ RAMP DOOR SPARTAN 7X16 CARGO TRAILER W/ RAMP DOOR</t>
        </is>
      </c>
      <c r="L408" t="n">
        <v>0</v>
      </c>
      <c r="M408" t="n">
        <v>0</v>
      </c>
      <c r="O408" t="inlineStr">
        <is>
          <t>TR429</t>
        </is>
      </c>
      <c r="Q408" s="114" t="n">
        <v>0</v>
      </c>
      <c r="R408" s="114" t="n">
        <v>65</v>
      </c>
      <c r="S408" s="114" t="n">
        <v>0</v>
      </c>
      <c r="T408" t="n">
        <v>0</v>
      </c>
    </row>
    <row r="409">
      <c r="A409" t="inlineStr">
        <is>
          <t>ttJTrans</t>
        </is>
      </c>
      <c r="B409" s="38" t="inlineStr">
        <is>
          <t>0-4005</t>
        </is>
      </c>
      <c r="C409" t="inlineStr">
        <is>
          <t>EQ</t>
        </is>
      </c>
      <c r="E409" t="inlineStr">
        <is>
          <t>EQ</t>
        </is>
      </c>
      <c r="H409" s="127" t="n">
        <v>46131</v>
      </c>
      <c r="J409" s="38" t="inlineStr">
        <is>
          <t>0-4005</t>
        </is>
      </c>
      <c r="K409" t="inlineStr">
        <is>
          <t>TR429 SPARTAN 7X16 CARGO TRAILER W/ RAMP DOOR SPARTAN 7X16 CARGO TRAILER W/ RAMP DOOR</t>
        </is>
      </c>
      <c r="L409" t="n">
        <v>0</v>
      </c>
      <c r="M409" t="n">
        <v>0</v>
      </c>
      <c r="O409" t="inlineStr">
        <is>
          <t>TR429</t>
        </is>
      </c>
      <c r="Q409" s="114" t="n">
        <v>0</v>
      </c>
      <c r="R409" s="114" t="n">
        <v>65</v>
      </c>
      <c r="S409" s="114" t="n">
        <v>0</v>
      </c>
      <c r="T409" t="n">
        <v>0</v>
      </c>
    </row>
    <row r="410">
      <c r="A410" t="inlineStr">
        <is>
          <t>ttJTrans</t>
        </is>
      </c>
      <c r="B410" s="38" t="inlineStr">
        <is>
          <t>0-4005</t>
        </is>
      </c>
      <c r="C410" t="inlineStr">
        <is>
          <t>EQ</t>
        </is>
      </c>
      <c r="E410" t="inlineStr">
        <is>
          <t>EQ</t>
        </is>
      </c>
      <c r="H410" s="127" t="n">
        <v>46131</v>
      </c>
      <c r="J410" s="38" t="inlineStr">
        <is>
          <t>0-4005</t>
        </is>
      </c>
      <c r="K410" t="inlineStr">
        <is>
          <t>TR429 SPARTAN 7X16 CARGO TRAILER W/ RAMP DOOR SPARTAN 7X16 CARGO TRAILER W/ RAMP DOOR</t>
        </is>
      </c>
      <c r="L410" t="n">
        <v>0</v>
      </c>
      <c r="M410" t="n">
        <v>0</v>
      </c>
      <c r="O410" t="inlineStr">
        <is>
          <t>TR429</t>
        </is>
      </c>
      <c r="Q410" s="114" t="n">
        <v>0</v>
      </c>
      <c r="R410" s="114" t="n">
        <v>65</v>
      </c>
      <c r="S410" s="114" t="n">
        <v>0</v>
      </c>
      <c r="T410" t="n">
        <v>0</v>
      </c>
    </row>
    <row r="411">
      <c r="A411" t="inlineStr">
        <is>
          <t>ttJTrans</t>
        </is>
      </c>
      <c r="B411" s="38" t="inlineStr">
        <is>
          <t>0-4005</t>
        </is>
      </c>
      <c r="C411" t="inlineStr">
        <is>
          <t>EQ</t>
        </is>
      </c>
      <c r="E411" t="inlineStr">
        <is>
          <t>EQ</t>
        </is>
      </c>
      <c r="H411" s="127" t="n">
        <v>46131</v>
      </c>
      <c r="J411" s="38" t="inlineStr">
        <is>
          <t>0-4005</t>
        </is>
      </c>
      <c r="K411" t="inlineStr">
        <is>
          <t>TR429 SPARTAN 7X16 CARGO TRAILER W/ RAMP DOOR SPARTAN 7X16 CARGO TRAILER W/ RAMP DOOR</t>
        </is>
      </c>
      <c r="L411" t="n">
        <v>0</v>
      </c>
      <c r="M411" t="n">
        <v>0</v>
      </c>
      <c r="O411" t="inlineStr">
        <is>
          <t>TR429</t>
        </is>
      </c>
      <c r="Q411" s="114" t="n">
        <v>0</v>
      </c>
      <c r="R411" s="114" t="n">
        <v>65</v>
      </c>
      <c r="S411" s="114" t="n">
        <v>0</v>
      </c>
      <c r="T411" t="n">
        <v>0</v>
      </c>
    </row>
    <row r="412">
      <c r="A412" t="inlineStr">
        <is>
          <t>ttJTrans</t>
        </is>
      </c>
      <c r="B412" s="38" t="inlineStr">
        <is>
          <t>0-4005</t>
        </is>
      </c>
      <c r="C412" t="inlineStr">
        <is>
          <t>EQ</t>
        </is>
      </c>
      <c r="E412" t="inlineStr">
        <is>
          <t>EQ</t>
        </is>
      </c>
      <c r="H412" s="127" t="n">
        <v>46131</v>
      </c>
      <c r="J412" s="38" t="inlineStr">
        <is>
          <t>0-4005</t>
        </is>
      </c>
      <c r="K412" t="inlineStr">
        <is>
          <t>RT1479 2025 FORD F150 CREW CAB 4X4 2025 FORD F150 CREW CAB 4X4</t>
        </is>
      </c>
      <c r="L412" t="n">
        <v>0</v>
      </c>
      <c r="M412" t="n">
        <v>0</v>
      </c>
      <c r="O412" t="inlineStr">
        <is>
          <t>RT1479</t>
        </is>
      </c>
      <c r="Q412" s="114" t="n">
        <v>0</v>
      </c>
      <c r="R412" s="114" t="n">
        <v>79.14</v>
      </c>
      <c r="S412" s="114" t="n">
        <v>0</v>
      </c>
      <c r="T412" t="n">
        <v>0</v>
      </c>
    </row>
    <row r="413">
      <c r="A413" t="inlineStr">
        <is>
          <t>ttJTrans</t>
        </is>
      </c>
      <c r="B413" s="38" t="inlineStr">
        <is>
          <t>0-4005</t>
        </is>
      </c>
      <c r="C413" t="inlineStr">
        <is>
          <t>EQ</t>
        </is>
      </c>
      <c r="E413" t="inlineStr">
        <is>
          <t>EQ</t>
        </is>
      </c>
      <c r="H413" s="127" t="n">
        <v>46131</v>
      </c>
      <c r="J413" s="38" t="inlineStr">
        <is>
          <t>0-4005</t>
        </is>
      </c>
      <c r="K413" t="inlineStr">
        <is>
          <t>RT1479 2025 FORD F150 CREW CAB 4X4 2025 FORD F150 CREW CAB 4X4</t>
        </is>
      </c>
      <c r="L413" t="n">
        <v>0</v>
      </c>
      <c r="M413" t="n">
        <v>0</v>
      </c>
      <c r="O413" t="inlineStr">
        <is>
          <t>RT1479</t>
        </is>
      </c>
      <c r="Q413" s="114" t="n">
        <v>0</v>
      </c>
      <c r="R413" s="114" t="n">
        <v>79.14</v>
      </c>
      <c r="S413" s="114" t="n">
        <v>0</v>
      </c>
      <c r="T413" t="n">
        <v>0</v>
      </c>
    </row>
    <row r="414">
      <c r="A414" t="inlineStr">
        <is>
          <t>ttJTrans</t>
        </is>
      </c>
      <c r="B414" s="38" t="inlineStr">
        <is>
          <t>0-4005</t>
        </is>
      </c>
      <c r="C414" t="inlineStr">
        <is>
          <t>EQ</t>
        </is>
      </c>
      <c r="E414" t="inlineStr">
        <is>
          <t>EQ</t>
        </is>
      </c>
      <c r="H414" s="127" t="n">
        <v>46131</v>
      </c>
      <c r="J414" s="38" t="inlineStr">
        <is>
          <t>0-4005</t>
        </is>
      </c>
      <c r="K414" t="inlineStr">
        <is>
          <t>RT1479 2025 FORD F150 CREW CAB 4X4 2025 FORD F150 CREW CAB 4X4</t>
        </is>
      </c>
      <c r="L414" t="n">
        <v>0</v>
      </c>
      <c r="M414" t="n">
        <v>0</v>
      </c>
      <c r="O414" t="inlineStr">
        <is>
          <t>RT1479</t>
        </is>
      </c>
      <c r="Q414" s="114" t="n">
        <v>0</v>
      </c>
      <c r="R414" s="114" t="n">
        <v>79.14</v>
      </c>
      <c r="S414" s="114" t="n">
        <v>0</v>
      </c>
      <c r="T414" t="n">
        <v>0</v>
      </c>
    </row>
    <row r="415">
      <c r="A415" t="inlineStr">
        <is>
          <t>ttJTrans</t>
        </is>
      </c>
      <c r="B415" s="38" t="inlineStr">
        <is>
          <t>0-4005</t>
        </is>
      </c>
      <c r="C415" t="inlineStr">
        <is>
          <t>EQ</t>
        </is>
      </c>
      <c r="E415" t="inlineStr">
        <is>
          <t>EQ</t>
        </is>
      </c>
      <c r="H415" s="127" t="n">
        <v>46131</v>
      </c>
      <c r="J415" s="38" t="inlineStr">
        <is>
          <t>0-4005</t>
        </is>
      </c>
      <c r="K415" t="inlineStr">
        <is>
          <t>RT1479 2025 FORD F150 CREW CAB 4X4 2025 FORD F150 CREW CAB 4X4</t>
        </is>
      </c>
      <c r="L415" t="n">
        <v>0</v>
      </c>
      <c r="M415" t="n">
        <v>0</v>
      </c>
      <c r="O415" t="inlineStr">
        <is>
          <t>RT1479</t>
        </is>
      </c>
      <c r="Q415" s="114" t="n">
        <v>0</v>
      </c>
      <c r="R415" s="114" t="n">
        <v>79.14</v>
      </c>
      <c r="S415" s="114" t="n">
        <v>0</v>
      </c>
      <c r="T415" t="n">
        <v>0</v>
      </c>
    </row>
    <row r="416">
      <c r="A416" t="inlineStr">
        <is>
          <t>ttJTrans</t>
        </is>
      </c>
      <c r="B416" s="38" t="inlineStr">
        <is>
          <t>0-4005</t>
        </is>
      </c>
      <c r="C416" t="inlineStr">
        <is>
          <t>EQ</t>
        </is>
      </c>
      <c r="E416" t="inlineStr">
        <is>
          <t>EQ</t>
        </is>
      </c>
      <c r="H416" s="127" t="n">
        <v>46131</v>
      </c>
      <c r="J416" s="38" t="inlineStr">
        <is>
          <t>0-4005</t>
        </is>
      </c>
      <c r="K416" t="inlineStr">
        <is>
          <t>RT1479 2025 FORD F150 CREW CAB 4X4 2025 FORD F150 CREW CAB 4X4</t>
        </is>
      </c>
      <c r="L416" t="n">
        <v>0</v>
      </c>
      <c r="M416" t="n">
        <v>0</v>
      </c>
      <c r="O416" t="inlineStr">
        <is>
          <t>RT1479</t>
        </is>
      </c>
      <c r="Q416" s="114" t="n">
        <v>0</v>
      </c>
      <c r="R416" s="114" t="n">
        <v>79.14</v>
      </c>
      <c r="S416" s="114" t="n">
        <v>0</v>
      </c>
      <c r="T416" t="n">
        <v>0</v>
      </c>
    </row>
    <row r="417">
      <c r="A417" t="inlineStr">
        <is>
          <t>ttJTrans</t>
        </is>
      </c>
      <c r="B417" s="38" t="inlineStr">
        <is>
          <t>0-4005</t>
        </is>
      </c>
      <c r="C417" t="inlineStr">
        <is>
          <t>EQ</t>
        </is>
      </c>
      <c r="E417" t="inlineStr">
        <is>
          <t>EQ</t>
        </is>
      </c>
      <c r="H417" s="127" t="n">
        <v>46131</v>
      </c>
      <c r="J417" s="38" t="inlineStr">
        <is>
          <t>0-4005</t>
        </is>
      </c>
      <c r="K417" t="inlineStr">
        <is>
          <t>RT1479 2025 FORD F150 CREW CAB 4X4 2025 FORD F150 CREW CAB 4X4</t>
        </is>
      </c>
      <c r="L417" t="n">
        <v>0</v>
      </c>
      <c r="M417" t="n">
        <v>0</v>
      </c>
      <c r="O417" t="inlineStr">
        <is>
          <t>RT1479</t>
        </is>
      </c>
      <c r="Q417" s="114" t="n">
        <v>0</v>
      </c>
      <c r="R417" s="114" t="n">
        <v>79.14</v>
      </c>
      <c r="S417" s="114" t="n">
        <v>0</v>
      </c>
      <c r="T417" t="n">
        <v>0</v>
      </c>
    </row>
    <row r="418">
      <c r="A418" t="inlineStr">
        <is>
          <t>ttJTrans</t>
        </is>
      </c>
      <c r="B418" s="38" t="inlineStr">
        <is>
          <t>0-4005</t>
        </is>
      </c>
      <c r="C418" t="inlineStr">
        <is>
          <t>EQ</t>
        </is>
      </c>
      <c r="E418" t="inlineStr">
        <is>
          <t>EQ</t>
        </is>
      </c>
      <c r="H418" s="127" t="n">
        <v>46138</v>
      </c>
      <c r="J418" s="38" t="inlineStr">
        <is>
          <t>0-4005</t>
        </is>
      </c>
      <c r="K418" t="inlineStr">
        <is>
          <t>WLV106 2025 FORD F150 XL STX (SAFETY) 2025 FORD F150 XL STX (SAFETY)</t>
        </is>
      </c>
      <c r="L418" t="n">
        <v>0</v>
      </c>
      <c r="M418" t="n">
        <v>0</v>
      </c>
      <c r="O418" t="inlineStr">
        <is>
          <t>WLV106</t>
        </is>
      </c>
      <c r="Q418" s="114" t="n">
        <v>0</v>
      </c>
      <c r="R418" s="114" t="n">
        <v>79.14</v>
      </c>
      <c r="S418" s="114" t="n">
        <v>0</v>
      </c>
      <c r="T418" t="n">
        <v>0</v>
      </c>
    </row>
    <row r="419">
      <c r="A419" t="inlineStr">
        <is>
          <t>ttJTrans</t>
        </is>
      </c>
      <c r="B419" s="38" t="inlineStr">
        <is>
          <t>0-4005</t>
        </is>
      </c>
      <c r="C419" t="inlineStr">
        <is>
          <t>EQ</t>
        </is>
      </c>
      <c r="E419" t="inlineStr">
        <is>
          <t>EQ</t>
        </is>
      </c>
      <c r="H419" s="127" t="n">
        <v>46138</v>
      </c>
      <c r="J419" s="38" t="inlineStr">
        <is>
          <t>0-4005</t>
        </is>
      </c>
      <c r="K419" t="inlineStr">
        <is>
          <t>WLV106 2025 FORD F150 XL STX (SAFETY) 2025 FORD F150 XL STX (SAFETY)</t>
        </is>
      </c>
      <c r="L419" t="n">
        <v>0</v>
      </c>
      <c r="M419" t="n">
        <v>0</v>
      </c>
      <c r="O419" t="inlineStr">
        <is>
          <t>WLV106</t>
        </is>
      </c>
      <c r="Q419" s="114" t="n">
        <v>0</v>
      </c>
      <c r="R419" s="114" t="n">
        <v>79.14</v>
      </c>
      <c r="S419" s="114" t="n">
        <v>0</v>
      </c>
      <c r="T419" t="n">
        <v>0</v>
      </c>
    </row>
    <row r="420">
      <c r="A420" t="inlineStr">
        <is>
          <t>ttJTrans</t>
        </is>
      </c>
      <c r="B420" s="38" t="inlineStr">
        <is>
          <t>0-4005</t>
        </is>
      </c>
      <c r="C420" t="inlineStr">
        <is>
          <t>EQ</t>
        </is>
      </c>
      <c r="E420" t="inlineStr">
        <is>
          <t>EQ</t>
        </is>
      </c>
      <c r="H420" s="127" t="n">
        <v>46138</v>
      </c>
      <c r="J420" s="38" t="inlineStr">
        <is>
          <t>0-4005</t>
        </is>
      </c>
      <c r="K420" t="inlineStr">
        <is>
          <t>WLV106 2025 FORD F150 XL STX (SAFETY) 2025 FORD F150 XL STX (SAFETY)</t>
        </is>
      </c>
      <c r="L420" t="n">
        <v>0</v>
      </c>
      <c r="M420" t="n">
        <v>0</v>
      </c>
      <c r="O420" t="inlineStr">
        <is>
          <t>WLV106</t>
        </is>
      </c>
      <c r="Q420" s="114" t="n">
        <v>0</v>
      </c>
      <c r="R420" s="114" t="n">
        <v>79.14</v>
      </c>
      <c r="S420" s="114" t="n">
        <v>0</v>
      </c>
      <c r="T420" t="n">
        <v>0</v>
      </c>
    </row>
    <row r="421">
      <c r="A421" t="inlineStr">
        <is>
          <t>ttJTrans</t>
        </is>
      </c>
      <c r="B421" s="38" t="inlineStr">
        <is>
          <t>0-4005</t>
        </is>
      </c>
      <c r="C421" t="inlineStr">
        <is>
          <t>EQ</t>
        </is>
      </c>
      <c r="E421" t="inlineStr">
        <is>
          <t>EQ</t>
        </is>
      </c>
      <c r="H421" s="127" t="n">
        <v>46138</v>
      </c>
      <c r="J421" s="38" t="inlineStr">
        <is>
          <t>0-4005</t>
        </is>
      </c>
      <c r="K421" t="inlineStr">
        <is>
          <t>WLV106 2025 FORD F150 XL STX (SAFETY) 2025 FORD F150 XL STX (SAFETY)</t>
        </is>
      </c>
      <c r="L421" t="n">
        <v>0</v>
      </c>
      <c r="M421" t="n">
        <v>0</v>
      </c>
      <c r="O421" t="inlineStr">
        <is>
          <t>WLV106</t>
        </is>
      </c>
      <c r="Q421" s="114" t="n">
        <v>0</v>
      </c>
      <c r="R421" s="114" t="n">
        <v>79.14</v>
      </c>
      <c r="S421" s="114" t="n">
        <v>0</v>
      </c>
      <c r="T421" t="n">
        <v>0</v>
      </c>
    </row>
    <row r="422">
      <c r="A422" t="inlineStr">
        <is>
          <t>ttJTrans</t>
        </is>
      </c>
      <c r="B422" s="38" t="inlineStr">
        <is>
          <t>0-4005</t>
        </is>
      </c>
      <c r="C422" t="inlineStr">
        <is>
          <t>EQ</t>
        </is>
      </c>
      <c r="E422" t="inlineStr">
        <is>
          <t>EQ</t>
        </is>
      </c>
      <c r="H422" s="127" t="n">
        <v>46138</v>
      </c>
      <c r="J422" s="38" t="inlineStr">
        <is>
          <t>0-4005</t>
        </is>
      </c>
      <c r="K422" t="inlineStr">
        <is>
          <t>WLV106 2025 FORD F150 XL STX (SAFETY) 2025 FORD F150 XL STX (SAFETY)</t>
        </is>
      </c>
      <c r="L422" t="n">
        <v>0</v>
      </c>
      <c r="M422" t="n">
        <v>0</v>
      </c>
      <c r="O422" t="inlineStr">
        <is>
          <t>WLV106</t>
        </is>
      </c>
      <c r="Q422" s="114" t="n">
        <v>0</v>
      </c>
      <c r="R422" s="114" t="n">
        <v>79.14</v>
      </c>
      <c r="S422" s="114" t="n">
        <v>0</v>
      </c>
      <c r="T422" t="n">
        <v>0</v>
      </c>
    </row>
    <row r="423">
      <c r="A423" t="inlineStr">
        <is>
          <t>ttJTrans</t>
        </is>
      </c>
      <c r="B423" s="38" t="inlineStr">
        <is>
          <t>0-4005</t>
        </is>
      </c>
      <c r="C423" t="inlineStr">
        <is>
          <t>EQ</t>
        </is>
      </c>
      <c r="E423" t="inlineStr">
        <is>
          <t>EQ</t>
        </is>
      </c>
      <c r="H423" s="127" t="n">
        <v>46138</v>
      </c>
      <c r="J423" s="38" t="inlineStr">
        <is>
          <t>0-4005</t>
        </is>
      </c>
      <c r="K423" t="inlineStr">
        <is>
          <t>WLV106 2025 FORD F150 XL STX (SAFETY) 2025 FORD F150 XL STX (SAFETY)</t>
        </is>
      </c>
      <c r="L423" t="n">
        <v>0</v>
      </c>
      <c r="M423" t="n">
        <v>0</v>
      </c>
      <c r="O423" t="inlineStr">
        <is>
          <t>WLV106</t>
        </is>
      </c>
      <c r="Q423" s="114" t="n">
        <v>0</v>
      </c>
      <c r="R423" s="114" t="n">
        <v>79.14</v>
      </c>
      <c r="S423" s="114" t="n">
        <v>0</v>
      </c>
      <c r="T423" t="n">
        <v>0</v>
      </c>
    </row>
    <row r="424">
      <c r="A424" t="inlineStr">
        <is>
          <t>ttJTrans</t>
        </is>
      </c>
      <c r="B424" s="38" t="inlineStr">
        <is>
          <t>0-4005</t>
        </is>
      </c>
      <c r="C424" t="inlineStr">
        <is>
          <t>EQ</t>
        </is>
      </c>
      <c r="E424" t="inlineStr">
        <is>
          <t>EQ</t>
        </is>
      </c>
      <c r="H424" s="127" t="n">
        <v>46138</v>
      </c>
      <c r="J424" s="38" t="inlineStr">
        <is>
          <t>0-4005</t>
        </is>
      </c>
      <c r="K424" t="inlineStr">
        <is>
          <t>RT1351 2024 CHEVROLET SILVERADO 2500 DIESEL CUSTOM 4X4 2024 CHEVROLET SILVERADO 2500 DIESEL CUSTOM 4X4</t>
        </is>
      </c>
      <c r="L424" t="n">
        <v>0</v>
      </c>
      <c r="M424" t="n">
        <v>0</v>
      </c>
      <c r="O424" t="inlineStr">
        <is>
          <t>RT1351</t>
        </is>
      </c>
      <c r="Q424" s="114" t="n">
        <v>0</v>
      </c>
      <c r="R424" s="114" t="n">
        <v>79.14</v>
      </c>
      <c r="S424" s="114" t="n">
        <v>0</v>
      </c>
      <c r="T424" t="n">
        <v>0</v>
      </c>
    </row>
    <row r="425">
      <c r="A425" t="inlineStr">
        <is>
          <t>ttJTrans</t>
        </is>
      </c>
      <c r="B425" s="38" t="inlineStr">
        <is>
          <t>0-4005</t>
        </is>
      </c>
      <c r="C425" t="inlineStr">
        <is>
          <t>EQ</t>
        </is>
      </c>
      <c r="E425" t="inlineStr">
        <is>
          <t>EQ</t>
        </is>
      </c>
      <c r="H425" s="127" t="n">
        <v>46138</v>
      </c>
      <c r="J425" s="38" t="inlineStr">
        <is>
          <t>0-4005</t>
        </is>
      </c>
      <c r="K425" t="inlineStr">
        <is>
          <t>RT1351 2024 CHEVROLET SILVERADO 2500 DIESEL CUSTOM 4X4 2024 CHEVROLET SILVERADO 2500 DIESEL CUSTOM 4X4</t>
        </is>
      </c>
      <c r="L425" t="n">
        <v>0</v>
      </c>
      <c r="M425" t="n">
        <v>0</v>
      </c>
      <c r="O425" t="inlineStr">
        <is>
          <t>RT1351</t>
        </is>
      </c>
      <c r="Q425" s="114" t="n">
        <v>0</v>
      </c>
      <c r="R425" s="114" t="n">
        <v>79.14</v>
      </c>
      <c r="S425" s="114" t="n">
        <v>0</v>
      </c>
      <c r="T425" t="n">
        <v>0</v>
      </c>
    </row>
    <row r="426">
      <c r="A426" t="inlineStr">
        <is>
          <t>ttJTrans</t>
        </is>
      </c>
      <c r="B426" s="38" t="inlineStr">
        <is>
          <t>0-4005</t>
        </is>
      </c>
      <c r="C426" t="inlineStr">
        <is>
          <t>EQ</t>
        </is>
      </c>
      <c r="E426" t="inlineStr">
        <is>
          <t>EQ</t>
        </is>
      </c>
      <c r="H426" s="127" t="n">
        <v>46138</v>
      </c>
      <c r="J426" s="38" t="inlineStr">
        <is>
          <t>0-4005</t>
        </is>
      </c>
      <c r="K426" t="inlineStr">
        <is>
          <t>RT1351 2024 CHEVROLET SILVERADO 2500 DIESEL CUSTOM 4X4 2024 CHEVROLET SILVERADO 2500 DIESEL CUSTOM 4X4</t>
        </is>
      </c>
      <c r="L426" t="n">
        <v>0</v>
      </c>
      <c r="M426" t="n">
        <v>0</v>
      </c>
      <c r="O426" t="inlineStr">
        <is>
          <t>RT1351</t>
        </is>
      </c>
      <c r="Q426" s="114" t="n">
        <v>0</v>
      </c>
      <c r="R426" s="114" t="n">
        <v>79.14</v>
      </c>
      <c r="S426" s="114" t="n">
        <v>0</v>
      </c>
      <c r="T426" t="n">
        <v>0</v>
      </c>
    </row>
    <row r="427">
      <c r="A427" t="inlineStr">
        <is>
          <t>ttJTrans</t>
        </is>
      </c>
      <c r="B427" s="38" t="inlineStr">
        <is>
          <t>0-4005</t>
        </is>
      </c>
      <c r="C427" t="inlineStr">
        <is>
          <t>EQ</t>
        </is>
      </c>
      <c r="E427" t="inlineStr">
        <is>
          <t>EQ</t>
        </is>
      </c>
      <c r="H427" s="127" t="n">
        <v>46138</v>
      </c>
      <c r="J427" s="38" t="inlineStr">
        <is>
          <t>0-4005</t>
        </is>
      </c>
      <c r="K427" t="inlineStr">
        <is>
          <t>RT1351 2024 CHEVROLET SILVERADO 2500 DIESEL CUSTOM 4X4 2024 CHEVROLET SILVERADO 2500 DIESEL CUSTOM 4X4</t>
        </is>
      </c>
      <c r="L427" t="n">
        <v>0</v>
      </c>
      <c r="M427" t="n">
        <v>0</v>
      </c>
      <c r="O427" t="inlineStr">
        <is>
          <t>RT1351</t>
        </is>
      </c>
      <c r="Q427" s="114" t="n">
        <v>0</v>
      </c>
      <c r="R427" s="114" t="n">
        <v>79.14</v>
      </c>
      <c r="S427" s="114" t="n">
        <v>0</v>
      </c>
      <c r="T427" t="n">
        <v>0</v>
      </c>
    </row>
    <row r="428">
      <c r="A428" t="inlineStr">
        <is>
          <t>ttJTrans</t>
        </is>
      </c>
      <c r="B428" s="38" t="inlineStr">
        <is>
          <t>0-4005</t>
        </is>
      </c>
      <c r="C428" t="inlineStr">
        <is>
          <t>EQ</t>
        </is>
      </c>
      <c r="E428" t="inlineStr">
        <is>
          <t>EQ</t>
        </is>
      </c>
      <c r="H428" s="127" t="n">
        <v>46138</v>
      </c>
      <c r="J428" s="38" t="inlineStr">
        <is>
          <t>0-4005</t>
        </is>
      </c>
      <c r="K428" t="inlineStr">
        <is>
          <t>RT1351 2024 CHEVROLET SILVERADO 2500 DIESEL CUSTOM 4X4 2024 CHEVROLET SILVERADO 2500 DIESEL CUSTOM 4X4</t>
        </is>
      </c>
      <c r="L428" t="n">
        <v>0</v>
      </c>
      <c r="M428" t="n">
        <v>0</v>
      </c>
      <c r="O428" t="inlineStr">
        <is>
          <t>RT1351</t>
        </is>
      </c>
      <c r="Q428" s="114" t="n">
        <v>0</v>
      </c>
      <c r="R428" s="114" t="n">
        <v>79.14</v>
      </c>
      <c r="S428" s="114" t="n">
        <v>0</v>
      </c>
      <c r="T428" t="n">
        <v>0</v>
      </c>
    </row>
    <row r="429">
      <c r="A429" t="inlineStr">
        <is>
          <t>ttJTrans</t>
        </is>
      </c>
      <c r="B429" s="38" t="inlineStr">
        <is>
          <t>0-4005</t>
        </is>
      </c>
      <c r="C429" t="inlineStr">
        <is>
          <t>EQ</t>
        </is>
      </c>
      <c r="E429" t="inlineStr">
        <is>
          <t>EQ</t>
        </is>
      </c>
      <c r="H429" s="127" t="n">
        <v>46138</v>
      </c>
      <c r="J429" s="38" t="inlineStr">
        <is>
          <t>0-4005</t>
        </is>
      </c>
      <c r="K429" t="inlineStr">
        <is>
          <t>RT1351 2024 CHEVROLET SILVERADO 2500 DIESEL CUSTOM 4X4 2024 CHEVROLET SILVERADO 2500 DIESEL CUSTOM 4X4</t>
        </is>
      </c>
      <c r="L429" t="n">
        <v>0</v>
      </c>
      <c r="M429" t="n">
        <v>0</v>
      </c>
      <c r="O429" t="inlineStr">
        <is>
          <t>RT1351</t>
        </is>
      </c>
      <c r="Q429" s="114" t="n">
        <v>0</v>
      </c>
      <c r="R429" s="114" t="n">
        <v>79.14</v>
      </c>
      <c r="S429" s="114" t="n">
        <v>0</v>
      </c>
      <c r="T429" t="n">
        <v>0</v>
      </c>
    </row>
    <row r="430">
      <c r="A430" t="inlineStr">
        <is>
          <t>ttJTrans</t>
        </is>
      </c>
      <c r="B430" s="38" t="inlineStr">
        <is>
          <t>0-4005</t>
        </is>
      </c>
      <c r="C430" t="inlineStr">
        <is>
          <t>EQ</t>
        </is>
      </c>
      <c r="E430" t="inlineStr">
        <is>
          <t>EQ</t>
        </is>
      </c>
      <c r="H430" s="127" t="n">
        <v>46138</v>
      </c>
      <c r="J430" s="38" t="inlineStr">
        <is>
          <t>0-4005</t>
        </is>
      </c>
      <c r="K430" t="inlineStr">
        <is>
          <t>TR429 SPARTAN 7X16 CARGO TRAILER W/ RAMP DOOR SPARTAN 7X16 CARGO TRAILER W/ RAMP DOOR</t>
        </is>
      </c>
      <c r="L430" t="n">
        <v>0</v>
      </c>
      <c r="M430" t="n">
        <v>0</v>
      </c>
      <c r="O430" t="inlineStr">
        <is>
          <t>TR429</t>
        </is>
      </c>
      <c r="Q430" s="114" t="n">
        <v>0</v>
      </c>
      <c r="R430" s="114" t="n">
        <v>65</v>
      </c>
      <c r="S430" s="114" t="n">
        <v>0</v>
      </c>
      <c r="T430" t="n">
        <v>0</v>
      </c>
    </row>
    <row r="431">
      <c r="A431" t="inlineStr">
        <is>
          <t>ttJTrans</t>
        </is>
      </c>
      <c r="B431" s="38" t="inlineStr">
        <is>
          <t>0-4005</t>
        </is>
      </c>
      <c r="C431" t="inlineStr">
        <is>
          <t>EQ</t>
        </is>
      </c>
      <c r="E431" t="inlineStr">
        <is>
          <t>EQ</t>
        </is>
      </c>
      <c r="H431" s="127" t="n">
        <v>46138</v>
      </c>
      <c r="J431" s="38" t="inlineStr">
        <is>
          <t>0-4005</t>
        </is>
      </c>
      <c r="K431" t="inlineStr">
        <is>
          <t>TR429 SPARTAN 7X16 CARGO TRAILER W/ RAMP DOOR SPARTAN 7X16 CARGO TRAILER W/ RAMP DOOR</t>
        </is>
      </c>
      <c r="L431" t="n">
        <v>0</v>
      </c>
      <c r="M431" t="n">
        <v>0</v>
      </c>
      <c r="O431" t="inlineStr">
        <is>
          <t>TR429</t>
        </is>
      </c>
      <c r="Q431" s="114" t="n">
        <v>0</v>
      </c>
      <c r="R431" s="114" t="n">
        <v>65</v>
      </c>
      <c r="S431" s="114" t="n">
        <v>0</v>
      </c>
      <c r="T431" t="n">
        <v>0</v>
      </c>
    </row>
    <row r="432">
      <c r="A432" t="inlineStr">
        <is>
          <t>ttJTrans</t>
        </is>
      </c>
      <c r="B432" s="38" t="inlineStr">
        <is>
          <t>0-4005</t>
        </is>
      </c>
      <c r="C432" t="inlineStr">
        <is>
          <t>EQ</t>
        </is>
      </c>
      <c r="E432" t="inlineStr">
        <is>
          <t>EQ</t>
        </is>
      </c>
      <c r="H432" s="127" t="n">
        <v>46138</v>
      </c>
      <c r="J432" s="38" t="inlineStr">
        <is>
          <t>0-4005</t>
        </is>
      </c>
      <c r="K432" t="inlineStr">
        <is>
          <t>TR429 SPARTAN 7X16 CARGO TRAILER W/ RAMP DOOR SPARTAN 7X16 CARGO TRAILER W/ RAMP DOOR</t>
        </is>
      </c>
      <c r="L432" t="n">
        <v>0</v>
      </c>
      <c r="M432" t="n">
        <v>0</v>
      </c>
      <c r="O432" t="inlineStr">
        <is>
          <t>TR429</t>
        </is>
      </c>
      <c r="Q432" s="114" t="n">
        <v>0</v>
      </c>
      <c r="R432" s="114" t="n">
        <v>65</v>
      </c>
      <c r="S432" s="114" t="n">
        <v>0</v>
      </c>
      <c r="T432" t="n">
        <v>0</v>
      </c>
    </row>
    <row r="433">
      <c r="A433" t="inlineStr">
        <is>
          <t>ttJTrans</t>
        </is>
      </c>
      <c r="B433" s="38" t="inlineStr">
        <is>
          <t>0-4005</t>
        </is>
      </c>
      <c r="C433" t="inlineStr">
        <is>
          <t>EQ</t>
        </is>
      </c>
      <c r="E433" t="inlineStr">
        <is>
          <t>EQ</t>
        </is>
      </c>
      <c r="H433" s="127" t="n">
        <v>46138</v>
      </c>
      <c r="J433" s="38" t="inlineStr">
        <is>
          <t>0-4005</t>
        </is>
      </c>
      <c r="K433" t="inlineStr">
        <is>
          <t>TR429 SPARTAN 7X16 CARGO TRAILER W/ RAMP DOOR SPARTAN 7X16 CARGO TRAILER W/ RAMP DOOR</t>
        </is>
      </c>
      <c r="L433" t="n">
        <v>0</v>
      </c>
      <c r="M433" t="n">
        <v>0</v>
      </c>
      <c r="O433" t="inlineStr">
        <is>
          <t>TR429</t>
        </is>
      </c>
      <c r="Q433" s="114" t="n">
        <v>0</v>
      </c>
      <c r="R433" s="114" t="n">
        <v>65</v>
      </c>
      <c r="S433" s="114" t="n">
        <v>0</v>
      </c>
      <c r="T433" t="n">
        <v>0</v>
      </c>
    </row>
    <row r="434">
      <c r="A434" t="inlineStr">
        <is>
          <t>ttJTrans</t>
        </is>
      </c>
      <c r="B434" s="38" t="inlineStr">
        <is>
          <t>0-4005</t>
        </is>
      </c>
      <c r="C434" t="inlineStr">
        <is>
          <t>EQ</t>
        </is>
      </c>
      <c r="E434" t="inlineStr">
        <is>
          <t>EQ</t>
        </is>
      </c>
      <c r="H434" s="127" t="n">
        <v>46138</v>
      </c>
      <c r="J434" s="38" t="inlineStr">
        <is>
          <t>0-4005</t>
        </is>
      </c>
      <c r="K434" t="inlineStr">
        <is>
          <t>TR429 SPARTAN 7X16 CARGO TRAILER W/ RAMP DOOR SPARTAN 7X16 CARGO TRAILER W/ RAMP DOOR</t>
        </is>
      </c>
      <c r="L434" t="n">
        <v>0</v>
      </c>
      <c r="M434" t="n">
        <v>0</v>
      </c>
      <c r="O434" t="inlineStr">
        <is>
          <t>TR429</t>
        </is>
      </c>
      <c r="Q434" s="114" t="n">
        <v>0</v>
      </c>
      <c r="R434" s="114" t="n">
        <v>65</v>
      </c>
      <c r="S434" s="114" t="n">
        <v>0</v>
      </c>
      <c r="T434" t="n">
        <v>0</v>
      </c>
    </row>
    <row r="435">
      <c r="A435" t="inlineStr">
        <is>
          <t>ttJTrans</t>
        </is>
      </c>
      <c r="B435" s="38" t="inlineStr">
        <is>
          <t>0-4005</t>
        </is>
      </c>
      <c r="C435" t="inlineStr">
        <is>
          <t>EQ</t>
        </is>
      </c>
      <c r="E435" t="inlineStr">
        <is>
          <t>EQ</t>
        </is>
      </c>
      <c r="H435" s="127" t="n">
        <v>46138</v>
      </c>
      <c r="J435" s="38" t="inlineStr">
        <is>
          <t>0-4005</t>
        </is>
      </c>
      <c r="K435" t="inlineStr">
        <is>
          <t>TR429 SPARTAN 7X16 CARGO TRAILER W/ RAMP DOOR SPARTAN 7X16 CARGO TRAILER W/ RAMP DOOR</t>
        </is>
      </c>
      <c r="L435" t="n">
        <v>0</v>
      </c>
      <c r="M435" t="n">
        <v>0</v>
      </c>
      <c r="O435" t="inlineStr">
        <is>
          <t>TR429</t>
        </is>
      </c>
      <c r="Q435" s="114" t="n">
        <v>0</v>
      </c>
      <c r="R435" s="114" t="n">
        <v>65</v>
      </c>
      <c r="S435" s="114" t="n">
        <v>0</v>
      </c>
      <c r="T435" t="n">
        <v>0</v>
      </c>
    </row>
    <row r="436">
      <c r="A436" t="inlineStr">
        <is>
          <t>ttJTrans</t>
        </is>
      </c>
      <c r="B436" s="38" t="inlineStr">
        <is>
          <t>0-4005</t>
        </is>
      </c>
      <c r="C436" t="inlineStr">
        <is>
          <t>EQ</t>
        </is>
      </c>
      <c r="E436" t="inlineStr">
        <is>
          <t>EQ</t>
        </is>
      </c>
      <c r="H436" s="127" t="n">
        <v>46138</v>
      </c>
      <c r="J436" s="38" t="inlineStr">
        <is>
          <t>0-4005</t>
        </is>
      </c>
      <c r="K436" t="inlineStr">
        <is>
          <t>RT1479 2025 FORD F150 CREW CAB 4X4 2025 FORD F150 CREW CAB 4X4</t>
        </is>
      </c>
      <c r="L436" t="n">
        <v>0</v>
      </c>
      <c r="M436" t="n">
        <v>0</v>
      </c>
      <c r="O436" t="inlineStr">
        <is>
          <t>RT1479</t>
        </is>
      </c>
      <c r="Q436" s="114" t="n">
        <v>0</v>
      </c>
      <c r="R436" s="114" t="n">
        <v>79.14</v>
      </c>
      <c r="S436" s="114" t="n">
        <v>0</v>
      </c>
      <c r="T436" t="n">
        <v>0</v>
      </c>
    </row>
    <row r="437">
      <c r="A437" t="inlineStr">
        <is>
          <t>ttJTrans</t>
        </is>
      </c>
      <c r="B437" s="38" t="inlineStr">
        <is>
          <t>0-4005</t>
        </is>
      </c>
      <c r="C437" t="inlineStr">
        <is>
          <t>EQ</t>
        </is>
      </c>
      <c r="E437" t="inlineStr">
        <is>
          <t>EQ</t>
        </is>
      </c>
      <c r="H437" s="127" t="n">
        <v>46138</v>
      </c>
      <c r="J437" s="38" t="inlineStr">
        <is>
          <t>0-4005</t>
        </is>
      </c>
      <c r="K437" t="inlineStr">
        <is>
          <t>RT1479 2025 FORD F150 CREW CAB 4X4 2025 FORD F150 CREW CAB 4X4</t>
        </is>
      </c>
      <c r="L437" t="n">
        <v>0</v>
      </c>
      <c r="M437" t="n">
        <v>0</v>
      </c>
      <c r="O437" t="inlineStr">
        <is>
          <t>RT1479</t>
        </is>
      </c>
      <c r="Q437" s="114" t="n">
        <v>0</v>
      </c>
      <c r="R437" s="114" t="n">
        <v>79.14</v>
      </c>
      <c r="S437" s="114" t="n">
        <v>0</v>
      </c>
      <c r="T437" t="n">
        <v>0</v>
      </c>
    </row>
    <row r="438">
      <c r="A438" t="inlineStr">
        <is>
          <t>ttJTrans</t>
        </is>
      </c>
      <c r="B438" s="38" t="inlineStr">
        <is>
          <t>0-4005</t>
        </is>
      </c>
      <c r="C438" t="inlineStr">
        <is>
          <t>EQ</t>
        </is>
      </c>
      <c r="E438" t="inlineStr">
        <is>
          <t>EQ</t>
        </is>
      </c>
      <c r="H438" s="127" t="n">
        <v>46138</v>
      </c>
      <c r="J438" s="38" t="inlineStr">
        <is>
          <t>0-4005</t>
        </is>
      </c>
      <c r="K438" t="inlineStr">
        <is>
          <t>RT1479 2025 FORD F150 CREW CAB 4X4 2025 FORD F150 CREW CAB 4X4</t>
        </is>
      </c>
      <c r="L438" t="n">
        <v>0</v>
      </c>
      <c r="M438" t="n">
        <v>0</v>
      </c>
      <c r="O438" t="inlineStr">
        <is>
          <t>RT1479</t>
        </is>
      </c>
      <c r="Q438" s="114" t="n">
        <v>0</v>
      </c>
      <c r="R438" s="114" t="n">
        <v>79.14</v>
      </c>
      <c r="S438" s="114" t="n">
        <v>0</v>
      </c>
      <c r="T438" t="n">
        <v>0</v>
      </c>
    </row>
    <row r="439">
      <c r="A439" t="inlineStr">
        <is>
          <t>ttJTrans</t>
        </is>
      </c>
      <c r="B439" s="38" t="inlineStr">
        <is>
          <t>0-4005</t>
        </is>
      </c>
      <c r="C439" t="inlineStr">
        <is>
          <t>EQ</t>
        </is>
      </c>
      <c r="E439" t="inlineStr">
        <is>
          <t>EQ</t>
        </is>
      </c>
      <c r="H439" s="127" t="n">
        <v>46142</v>
      </c>
      <c r="J439" s="38" t="inlineStr">
        <is>
          <t>0-4005</t>
        </is>
      </c>
      <c r="K439" t="inlineStr">
        <is>
          <t>WLV106 2025 FORD F150 XL STX (SAFETY) 2025 FORD F150 XL STX (SAFETY)</t>
        </is>
      </c>
      <c r="L439" t="n">
        <v>0</v>
      </c>
      <c r="M439" t="n">
        <v>0</v>
      </c>
      <c r="O439" t="inlineStr">
        <is>
          <t>WLV106</t>
        </is>
      </c>
      <c r="Q439" s="114" t="n">
        <v>0</v>
      </c>
      <c r="R439" s="114" t="n">
        <v>79.14</v>
      </c>
      <c r="S439" s="114" t="n">
        <v>0</v>
      </c>
      <c r="T439" t="n">
        <v>0</v>
      </c>
    </row>
    <row r="440">
      <c r="A440" t="inlineStr">
        <is>
          <t>ttJTrans</t>
        </is>
      </c>
      <c r="B440" s="38" t="inlineStr">
        <is>
          <t>0-4005</t>
        </is>
      </c>
      <c r="C440" t="inlineStr">
        <is>
          <t>EQ</t>
        </is>
      </c>
      <c r="E440" t="inlineStr">
        <is>
          <t>EQ</t>
        </is>
      </c>
      <c r="H440" s="127" t="n">
        <v>46142</v>
      </c>
      <c r="J440" s="38" t="inlineStr">
        <is>
          <t>0-4005</t>
        </is>
      </c>
      <c r="K440" t="inlineStr">
        <is>
          <t>WLV106 2025 FORD F150 XL STX (SAFETY) 2025 FORD F150 XL STX (SAFETY)</t>
        </is>
      </c>
      <c r="L440" t="n">
        <v>0</v>
      </c>
      <c r="M440" t="n">
        <v>0</v>
      </c>
      <c r="O440" t="inlineStr">
        <is>
          <t>WLV106</t>
        </is>
      </c>
      <c r="Q440" s="114" t="n">
        <v>0</v>
      </c>
      <c r="R440" s="114" t="n">
        <v>79.14</v>
      </c>
      <c r="S440" s="114" t="n">
        <v>0</v>
      </c>
      <c r="T440" t="n">
        <v>0</v>
      </c>
    </row>
    <row r="441">
      <c r="A441" t="inlineStr">
        <is>
          <t>ttJTrans</t>
        </is>
      </c>
      <c r="B441" s="38" t="inlineStr">
        <is>
          <t>0-4005</t>
        </is>
      </c>
      <c r="C441" t="inlineStr">
        <is>
          <t>EQ</t>
        </is>
      </c>
      <c r="E441" t="inlineStr">
        <is>
          <t>EQ</t>
        </is>
      </c>
      <c r="G441" s="128" t="inlineStr"/>
      <c r="H441" s="127" t="n">
        <v>46142</v>
      </c>
      <c r="J441" s="38" t="inlineStr">
        <is>
          <t>0-4005</t>
        </is>
      </c>
      <c r="K441" t="inlineStr">
        <is>
          <t>WLV106 2025 FORD F150 XL STX (SAFETY) 2025 FORD F150 XL STX (SAFETY)</t>
        </is>
      </c>
      <c r="L441" t="n">
        <v>0</v>
      </c>
      <c r="M441" t="n">
        <v>0</v>
      </c>
      <c r="O441" t="inlineStr">
        <is>
          <t>WLV106</t>
        </is>
      </c>
      <c r="Q441" s="114" t="n">
        <v>0</v>
      </c>
      <c r="R441" s="114" t="n">
        <v>79.14</v>
      </c>
      <c r="S441" s="114" t="n">
        <v>0</v>
      </c>
      <c r="T441" t="n">
        <v>0</v>
      </c>
    </row>
    <row r="442">
      <c r="A442" t="inlineStr">
        <is>
          <t>ttJTrans</t>
        </is>
      </c>
      <c r="B442" s="38" t="inlineStr">
        <is>
          <t>0-4005</t>
        </is>
      </c>
      <c r="C442" t="inlineStr">
        <is>
          <t>EQ</t>
        </is>
      </c>
      <c r="E442" t="inlineStr">
        <is>
          <t>EQ</t>
        </is>
      </c>
      <c r="G442" s="128" t="inlineStr"/>
      <c r="H442" s="127" t="n">
        <v>46142</v>
      </c>
      <c r="J442" s="38" t="inlineStr">
        <is>
          <t>0-4005</t>
        </is>
      </c>
      <c r="K442" t="inlineStr">
        <is>
          <t>WLV106 2025 FORD F150 XL STX (SAFETY) 2025 FORD F150 XL STX (SAFETY)</t>
        </is>
      </c>
      <c r="L442" t="n">
        <v>0</v>
      </c>
      <c r="M442" t="n">
        <v>0</v>
      </c>
      <c r="O442" t="inlineStr">
        <is>
          <t>WLV106</t>
        </is>
      </c>
      <c r="Q442" s="114" t="n">
        <v>0</v>
      </c>
      <c r="R442" s="114" t="n">
        <v>79.14</v>
      </c>
      <c r="S442" s="114" t="n">
        <v>0</v>
      </c>
      <c r="T442" t="n">
        <v>0</v>
      </c>
    </row>
    <row r="443">
      <c r="A443" t="inlineStr">
        <is>
          <t>ttJTrans</t>
        </is>
      </c>
      <c r="B443" s="38" t="inlineStr">
        <is>
          <t>0-4005</t>
        </is>
      </c>
      <c r="C443" t="inlineStr">
        <is>
          <t>EQ</t>
        </is>
      </c>
      <c r="E443" t="inlineStr">
        <is>
          <t>EQ</t>
        </is>
      </c>
      <c r="G443" s="128" t="inlineStr"/>
      <c r="H443" s="127" t="n">
        <v>46142</v>
      </c>
      <c r="J443" s="38" t="inlineStr">
        <is>
          <t>0-4005</t>
        </is>
      </c>
      <c r="K443" t="inlineStr">
        <is>
          <t>RT1351 2024 CHEVROLET SILVERADO 2500 DIESEL CUSTOM 4X4 2024 CHEVROLET SILVERADO 2500 DIESEL CUSTOM 4X4</t>
        </is>
      </c>
      <c r="L443" t="n">
        <v>0</v>
      </c>
      <c r="M443" t="n">
        <v>0</v>
      </c>
      <c r="O443" t="inlineStr">
        <is>
          <t>RT1351</t>
        </is>
      </c>
      <c r="Q443" s="114" t="n">
        <v>0</v>
      </c>
      <c r="R443" s="114" t="n">
        <v>79.14</v>
      </c>
      <c r="S443" s="114" t="n">
        <v>0</v>
      </c>
      <c r="T443" t="n">
        <v>0</v>
      </c>
    </row>
    <row r="444">
      <c r="A444" t="inlineStr">
        <is>
          <t>ttJTrans</t>
        </is>
      </c>
      <c r="B444" s="38" t="inlineStr">
        <is>
          <t>0-4005</t>
        </is>
      </c>
      <c r="C444" t="inlineStr">
        <is>
          <t>EQ</t>
        </is>
      </c>
      <c r="E444" t="inlineStr">
        <is>
          <t>EQ</t>
        </is>
      </c>
      <c r="G444" s="128" t="inlineStr"/>
      <c r="H444" s="127" t="n">
        <v>46142</v>
      </c>
      <c r="J444" s="38" t="inlineStr">
        <is>
          <t>0-4005</t>
        </is>
      </c>
      <c r="K444" t="inlineStr">
        <is>
          <t>RT1351 2024 CHEVROLET SILVERADO 2500 DIESEL CUSTOM 4X4 2024 CHEVROLET SILVERADO 2500 DIESEL CUSTOM 4X4</t>
        </is>
      </c>
      <c r="L444" t="n">
        <v>0</v>
      </c>
      <c r="M444" t="n">
        <v>0</v>
      </c>
      <c r="O444" t="inlineStr">
        <is>
          <t>RT1351</t>
        </is>
      </c>
      <c r="Q444" s="114" t="n">
        <v>0</v>
      </c>
      <c r="R444" s="114" t="n">
        <v>79.14</v>
      </c>
      <c r="S444" s="114" t="n">
        <v>0</v>
      </c>
      <c r="T444" t="n">
        <v>0</v>
      </c>
    </row>
    <row r="445">
      <c r="A445" t="inlineStr">
        <is>
          <t>ttJTrans</t>
        </is>
      </c>
      <c r="B445" s="38" t="inlineStr">
        <is>
          <t>0-4005</t>
        </is>
      </c>
      <c r="C445" t="inlineStr">
        <is>
          <t>EQ</t>
        </is>
      </c>
      <c r="E445" t="inlineStr">
        <is>
          <t>EQ</t>
        </is>
      </c>
      <c r="G445" s="128" t="inlineStr"/>
      <c r="H445" s="127" t="n">
        <v>46142</v>
      </c>
      <c r="J445" s="38" t="inlineStr">
        <is>
          <t>0-4005</t>
        </is>
      </c>
      <c r="K445" t="inlineStr">
        <is>
          <t>RT1351 2024 CHEVROLET SILVERADO 2500 DIESEL CUSTOM 4X4 2024 CHEVROLET SILVERADO 2500 DIESEL CUSTOM 4X4</t>
        </is>
      </c>
      <c r="L445" t="n">
        <v>0</v>
      </c>
      <c r="M445" t="n">
        <v>0</v>
      </c>
      <c r="O445" t="inlineStr">
        <is>
          <t>RT1351</t>
        </is>
      </c>
      <c r="Q445" s="114" t="n">
        <v>0</v>
      </c>
      <c r="R445" s="114" t="n">
        <v>79.14</v>
      </c>
      <c r="S445" s="114" t="n">
        <v>0</v>
      </c>
      <c r="T445" t="n">
        <v>0</v>
      </c>
    </row>
    <row r="446">
      <c r="A446" t="inlineStr">
        <is>
          <t>ttJTrans</t>
        </is>
      </c>
      <c r="B446" s="38" t="inlineStr">
        <is>
          <t>0-4005</t>
        </is>
      </c>
      <c r="C446" t="inlineStr">
        <is>
          <t>EQ</t>
        </is>
      </c>
      <c r="E446" t="inlineStr">
        <is>
          <t>EQ</t>
        </is>
      </c>
      <c r="G446" s="128" t="inlineStr"/>
      <c r="H446" s="127" t="n">
        <v>46142</v>
      </c>
      <c r="J446" s="38" t="inlineStr">
        <is>
          <t>0-4005</t>
        </is>
      </c>
      <c r="K446" t="inlineStr">
        <is>
          <t>RT1351 2024 CHEVROLET SILVERADO 2500 DIESEL CUSTOM 4X4 2024 CHEVROLET SILVERADO 2500 DIESEL CUSTOM 4X4</t>
        </is>
      </c>
      <c r="L446" t="n">
        <v>0</v>
      </c>
      <c r="M446" t="n">
        <v>0</v>
      </c>
      <c r="O446" t="inlineStr">
        <is>
          <t>RT1351</t>
        </is>
      </c>
      <c r="Q446" s="114" t="n">
        <v>0</v>
      </c>
      <c r="R446" s="114" t="n">
        <v>79.14</v>
      </c>
      <c r="S446" s="114" t="n">
        <v>0</v>
      </c>
      <c r="T446" t="n">
        <v>0</v>
      </c>
    </row>
    <row r="447">
      <c r="A447" t="inlineStr">
        <is>
          <t>ttJTrans</t>
        </is>
      </c>
      <c r="B447" s="38" t="inlineStr">
        <is>
          <t>0-4005</t>
        </is>
      </c>
      <c r="C447" t="inlineStr">
        <is>
          <t>EQ</t>
        </is>
      </c>
      <c r="E447" t="inlineStr">
        <is>
          <t>EQ</t>
        </is>
      </c>
      <c r="G447" s="128" t="inlineStr"/>
      <c r="H447" s="127" t="n">
        <v>46142</v>
      </c>
      <c r="J447" s="38" t="inlineStr">
        <is>
          <t>0-4005</t>
        </is>
      </c>
      <c r="K447" t="inlineStr">
        <is>
          <t>TR429 SPARTAN 7X16 CARGO TRAILER W/ RAMP DOOR SPARTAN 7X16 CARGO TRAILER W/ RAMP DOOR</t>
        </is>
      </c>
      <c r="L447" t="n">
        <v>0</v>
      </c>
      <c r="M447" t="n">
        <v>0</v>
      </c>
      <c r="O447" t="inlineStr">
        <is>
          <t>TR429</t>
        </is>
      </c>
      <c r="Q447" s="114" t="n">
        <v>0</v>
      </c>
      <c r="R447" s="114" t="n">
        <v>65</v>
      </c>
      <c r="S447" s="114" t="n">
        <v>0</v>
      </c>
      <c r="T447" t="n">
        <v>0</v>
      </c>
    </row>
    <row r="448">
      <c r="A448" t="inlineStr">
        <is>
          <t>ttJTrans</t>
        </is>
      </c>
      <c r="B448" s="38" t="inlineStr">
        <is>
          <t>0-4005</t>
        </is>
      </c>
      <c r="C448" t="inlineStr">
        <is>
          <t>EQ</t>
        </is>
      </c>
      <c r="E448" t="inlineStr">
        <is>
          <t>EQ</t>
        </is>
      </c>
      <c r="G448" s="128" t="inlineStr"/>
      <c r="H448" s="127" t="n">
        <v>46142</v>
      </c>
      <c r="J448" s="38" t="inlineStr">
        <is>
          <t>0-4005</t>
        </is>
      </c>
      <c r="K448" t="inlineStr">
        <is>
          <t>TR429 SPARTAN 7X16 CARGO TRAILER W/ RAMP DOOR SPARTAN 7X16 CARGO TRAILER W/ RAMP DOOR</t>
        </is>
      </c>
      <c r="L448" t="n">
        <v>0</v>
      </c>
      <c r="M448" t="n">
        <v>0</v>
      </c>
      <c r="O448" t="inlineStr">
        <is>
          <t>TR429</t>
        </is>
      </c>
      <c r="Q448" s="114" t="n">
        <v>0</v>
      </c>
      <c r="R448" s="114" t="n">
        <v>65</v>
      </c>
      <c r="S448" s="114" t="n">
        <v>0</v>
      </c>
      <c r="T448" t="n">
        <v>0</v>
      </c>
    </row>
    <row r="449">
      <c r="A449" t="inlineStr">
        <is>
          <t>ttJTrans</t>
        </is>
      </c>
      <c r="B449" s="38" t="inlineStr">
        <is>
          <t>0-4005</t>
        </is>
      </c>
      <c r="C449" t="inlineStr">
        <is>
          <t>EQ</t>
        </is>
      </c>
      <c r="E449" t="inlineStr">
        <is>
          <t>EQ</t>
        </is>
      </c>
      <c r="G449" s="128" t="inlineStr"/>
      <c r="H449" s="127" t="n">
        <v>46142</v>
      </c>
      <c r="J449" s="38" t="inlineStr">
        <is>
          <t>0-4005</t>
        </is>
      </c>
      <c r="K449" t="inlineStr">
        <is>
          <t>TR429 SPARTAN 7X16 CARGO TRAILER W/ RAMP DOOR SPARTAN 7X16 CARGO TRAILER W/ RAMP DOOR</t>
        </is>
      </c>
      <c r="L449" t="n">
        <v>0</v>
      </c>
      <c r="M449" t="n">
        <v>0</v>
      </c>
      <c r="O449" t="inlineStr">
        <is>
          <t>TR429</t>
        </is>
      </c>
      <c r="Q449" s="114" t="n">
        <v>0</v>
      </c>
      <c r="R449" s="114" t="n">
        <v>65</v>
      </c>
      <c r="S449" s="114" t="n">
        <v>0</v>
      </c>
      <c r="T449" t="n">
        <v>0</v>
      </c>
    </row>
    <row r="450">
      <c r="A450" t="inlineStr">
        <is>
          <t>ttJTrans</t>
        </is>
      </c>
      <c r="B450" s="38" t="inlineStr">
        <is>
          <t>0-4005</t>
        </is>
      </c>
      <c r="C450" t="inlineStr">
        <is>
          <t>EQ</t>
        </is>
      </c>
      <c r="E450" t="inlineStr">
        <is>
          <t>EQ</t>
        </is>
      </c>
      <c r="G450" s="128" t="inlineStr"/>
      <c r="H450" s="127" t="n">
        <v>46142</v>
      </c>
      <c r="J450" s="38" t="inlineStr">
        <is>
          <t>0-4005</t>
        </is>
      </c>
      <c r="K450" t="inlineStr">
        <is>
          <t>TR429 SPARTAN 7X16 CARGO TRAILER W/ RAMP DOOR SPARTAN 7X16 CARGO TRAILER W/ RAMP DOOR</t>
        </is>
      </c>
      <c r="L450" t="n">
        <v>0</v>
      </c>
      <c r="M450" t="n">
        <v>0</v>
      </c>
      <c r="O450" t="inlineStr">
        <is>
          <t>TR429</t>
        </is>
      </c>
      <c r="Q450" s="114" t="n">
        <v>0</v>
      </c>
      <c r="R450" s="114" t="n">
        <v>65</v>
      </c>
      <c r="S450" s="114" t="n">
        <v>0</v>
      </c>
      <c r="T450" t="n">
        <v>0</v>
      </c>
    </row>
    <row r="451">
      <c r="A451" t="inlineStr">
        <is>
          <t>ttJTrans</t>
        </is>
      </c>
      <c r="B451" s="38" t="inlineStr">
        <is>
          <t>0-4005</t>
        </is>
      </c>
      <c r="C451" t="inlineStr">
        <is>
          <t>EQ</t>
        </is>
      </c>
      <c r="E451" t="inlineStr">
        <is>
          <t>EQ</t>
        </is>
      </c>
      <c r="G451" s="128" t="inlineStr"/>
      <c r="H451" s="127" t="n">
        <v>46142</v>
      </c>
      <c r="J451" s="38" t="inlineStr">
        <is>
          <t>0-4005</t>
        </is>
      </c>
      <c r="K451" t="inlineStr">
        <is>
          <t>RT1479 2025 FORD F150 CREW CAB 4X4 2025 FORD F150 CREW CAB 4X4</t>
        </is>
      </c>
      <c r="L451" t="n">
        <v>0</v>
      </c>
      <c r="M451" t="n">
        <v>0</v>
      </c>
      <c r="O451" t="inlineStr">
        <is>
          <t>RT1479</t>
        </is>
      </c>
      <c r="Q451" s="114" t="n">
        <v>0</v>
      </c>
      <c r="R451" s="114" t="n">
        <v>79.14</v>
      </c>
      <c r="S451" s="114" t="n">
        <v>0</v>
      </c>
      <c r="T451" t="n">
        <v>0</v>
      </c>
    </row>
    <row r="452">
      <c r="A452" t="inlineStr">
        <is>
          <t>ttJTrans</t>
        </is>
      </c>
      <c r="B452" s="38" t="inlineStr">
        <is>
          <t>0-4005</t>
        </is>
      </c>
      <c r="C452" t="inlineStr">
        <is>
          <t>EQ</t>
        </is>
      </c>
      <c r="E452" t="inlineStr">
        <is>
          <t>EQ</t>
        </is>
      </c>
      <c r="G452" s="128" t="inlineStr"/>
      <c r="H452" s="127" t="n">
        <v>46142</v>
      </c>
      <c r="J452" s="38" t="inlineStr">
        <is>
          <t>0-4005</t>
        </is>
      </c>
      <c r="K452" t="inlineStr">
        <is>
          <t>RT1479 2025 FORD F150 CREW CAB 4X4 2025 FORD F150 CREW CAB 4X4</t>
        </is>
      </c>
      <c r="L452" t="n">
        <v>0</v>
      </c>
      <c r="M452" t="n">
        <v>0</v>
      </c>
      <c r="O452" t="inlineStr">
        <is>
          <t>RT1479</t>
        </is>
      </c>
      <c r="Q452" s="114" t="n">
        <v>0</v>
      </c>
      <c r="R452" s="114" t="n">
        <v>79.14</v>
      </c>
      <c r="S452" s="114" t="n">
        <v>0</v>
      </c>
      <c r="T452" t="n">
        <v>0</v>
      </c>
    </row>
    <row r="453">
      <c r="A453" t="inlineStr">
        <is>
          <t>ttJTrans</t>
        </is>
      </c>
      <c r="B453" s="38" t="inlineStr">
        <is>
          <t>0-4005</t>
        </is>
      </c>
      <c r="C453" t="inlineStr">
        <is>
          <t>EQ</t>
        </is>
      </c>
      <c r="E453" t="inlineStr">
        <is>
          <t>EQ</t>
        </is>
      </c>
      <c r="G453" s="128" t="inlineStr"/>
      <c r="H453" s="127" t="n">
        <v>46142</v>
      </c>
      <c r="J453" s="38" t="inlineStr">
        <is>
          <t>0-4005</t>
        </is>
      </c>
      <c r="K453" t="inlineStr">
        <is>
          <t>RT1479 2025 FORD F150 CREW CAB 4X4 2025 FORD F150 CREW CAB 4X4</t>
        </is>
      </c>
      <c r="L453" t="n">
        <v>0</v>
      </c>
      <c r="M453" t="n">
        <v>0</v>
      </c>
      <c r="O453" t="inlineStr">
        <is>
          <t>RT1479</t>
        </is>
      </c>
      <c r="Q453" s="114" t="n">
        <v>0</v>
      </c>
      <c r="R453" s="114" t="n">
        <v>79.14</v>
      </c>
      <c r="S453" s="114" t="n">
        <v>0</v>
      </c>
      <c r="T453" t="n">
        <v>0</v>
      </c>
    </row>
    <row r="454">
      <c r="A454" t="inlineStr">
        <is>
          <t>ttJTrans</t>
        </is>
      </c>
      <c r="B454" s="38" t="inlineStr">
        <is>
          <t>0-4005</t>
        </is>
      </c>
      <c r="C454" t="inlineStr">
        <is>
          <t>EQ</t>
        </is>
      </c>
      <c r="E454" t="inlineStr">
        <is>
          <t>EQ</t>
        </is>
      </c>
      <c r="G454" s="128" t="inlineStr"/>
      <c r="H454" s="127" t="n">
        <v>46142</v>
      </c>
      <c r="J454" s="38" t="inlineStr">
        <is>
          <t>0-4005</t>
        </is>
      </c>
      <c r="K454" t="inlineStr">
        <is>
          <t>RT1479 2025 FORD F150 CREW CAB 4X4 2025 FORD F150 CREW CAB 4X4</t>
        </is>
      </c>
      <c r="L454" t="n">
        <v>0</v>
      </c>
      <c r="M454" t="n">
        <v>0</v>
      </c>
      <c r="O454" t="inlineStr">
        <is>
          <t>RT1479</t>
        </is>
      </c>
      <c r="Q454" s="114" t="n">
        <v>0</v>
      </c>
      <c r="R454" s="114" t="n">
        <v>79.14</v>
      </c>
      <c r="S454" s="114" t="n">
        <v>0</v>
      </c>
      <c r="T454" t="n">
        <v>0</v>
      </c>
    </row>
    <row r="455">
      <c r="A455" t="inlineStr">
        <is>
          <t>ttJTrans</t>
        </is>
      </c>
      <c r="B455" s="38" t="inlineStr">
        <is>
          <t>0-4005</t>
        </is>
      </c>
      <c r="C455" t="inlineStr">
        <is>
          <t>EQ</t>
        </is>
      </c>
      <c r="E455" t="inlineStr">
        <is>
          <t>EQ</t>
        </is>
      </c>
      <c r="G455" s="128" t="inlineStr"/>
      <c r="H455" s="127" t="n">
        <v>46145</v>
      </c>
      <c r="J455" s="38" t="inlineStr">
        <is>
          <t>0-4005</t>
        </is>
      </c>
      <c r="K455" t="inlineStr">
        <is>
          <t>WLV106 2025 FORD F150 XL STX (SAFETY) 2025 FORD F150 XL STX (SAFETY)</t>
        </is>
      </c>
      <c r="L455" t="n">
        <v>0</v>
      </c>
      <c r="M455" t="n">
        <v>0</v>
      </c>
      <c r="O455" t="inlineStr">
        <is>
          <t>WLV106</t>
        </is>
      </c>
      <c r="Q455" s="114" t="n">
        <v>0</v>
      </c>
      <c r="R455" s="114" t="n">
        <v>79.14</v>
      </c>
      <c r="S455" s="114" t="n">
        <v>0</v>
      </c>
      <c r="T455" t="n">
        <v>0</v>
      </c>
    </row>
    <row r="456">
      <c r="A456" t="inlineStr">
        <is>
          <t>ttJTrans</t>
        </is>
      </c>
      <c r="B456" s="38" t="inlineStr">
        <is>
          <t>0-4005</t>
        </is>
      </c>
      <c r="C456" t="inlineStr">
        <is>
          <t>EQ</t>
        </is>
      </c>
      <c r="E456" t="inlineStr">
        <is>
          <t>EQ</t>
        </is>
      </c>
      <c r="G456" s="128" t="inlineStr"/>
      <c r="H456" s="127" t="n">
        <v>46145</v>
      </c>
      <c r="J456" s="38" t="inlineStr">
        <is>
          <t>0-4005</t>
        </is>
      </c>
      <c r="K456" t="inlineStr">
        <is>
          <t>WLV106 2025 FORD F150 XL STX (SAFETY) 2025 FORD F150 XL STX (SAFETY)</t>
        </is>
      </c>
      <c r="L456" t="n">
        <v>0</v>
      </c>
      <c r="M456" t="n">
        <v>0</v>
      </c>
      <c r="O456" t="inlineStr">
        <is>
          <t>WLV106</t>
        </is>
      </c>
      <c r="Q456" s="114" t="n">
        <v>0</v>
      </c>
      <c r="R456" s="114" t="n">
        <v>79.14</v>
      </c>
      <c r="S456" s="114" t="n">
        <v>0</v>
      </c>
      <c r="T456" t="n">
        <v>0</v>
      </c>
    </row>
    <row r="457">
      <c r="A457" t="inlineStr">
        <is>
          <t>ttJTrans</t>
        </is>
      </c>
      <c r="B457" s="38" t="inlineStr">
        <is>
          <t>0-4005</t>
        </is>
      </c>
      <c r="C457" t="inlineStr">
        <is>
          <t>EQ</t>
        </is>
      </c>
      <c r="E457" t="inlineStr">
        <is>
          <t>EQ</t>
        </is>
      </c>
      <c r="G457" s="128" t="inlineStr"/>
      <c r="H457" s="127" t="n">
        <v>46145</v>
      </c>
      <c r="J457" s="38" t="inlineStr">
        <is>
          <t>0-4005</t>
        </is>
      </c>
      <c r="K457" t="inlineStr">
        <is>
          <t>RT1351 2024 CHEVROLET SILVERADO 2500 DIESEL CUSTOM 4X4 2024 CHEVROLET SILVERADO 2500 DIESEL CUSTOM 4X4</t>
        </is>
      </c>
      <c r="L457" t="n">
        <v>0</v>
      </c>
      <c r="M457" t="n">
        <v>0</v>
      </c>
      <c r="O457" t="inlineStr">
        <is>
          <t>RT1351</t>
        </is>
      </c>
      <c r="Q457" s="114" t="n">
        <v>0</v>
      </c>
      <c r="R457" s="114" t="n">
        <v>79.14</v>
      </c>
      <c r="S457" s="114" t="n">
        <v>0</v>
      </c>
      <c r="T457" t="n">
        <v>0</v>
      </c>
    </row>
    <row r="458">
      <c r="A458" t="inlineStr">
        <is>
          <t>ttJTrans</t>
        </is>
      </c>
      <c r="B458" s="38" t="inlineStr">
        <is>
          <t>0-4005</t>
        </is>
      </c>
      <c r="C458" t="inlineStr">
        <is>
          <t>EQ</t>
        </is>
      </c>
      <c r="E458" t="inlineStr">
        <is>
          <t>EQ</t>
        </is>
      </c>
      <c r="G458" s="128" t="inlineStr"/>
      <c r="H458" s="127" t="n">
        <v>46145</v>
      </c>
      <c r="J458" s="38" t="inlineStr">
        <is>
          <t>0-4005</t>
        </is>
      </c>
      <c r="K458" t="inlineStr">
        <is>
          <t>RT1351 2024 CHEVROLET SILVERADO 2500 DIESEL CUSTOM 4X4 2024 CHEVROLET SILVERADO 2500 DIESEL CUSTOM 4X4</t>
        </is>
      </c>
      <c r="L458" t="n">
        <v>0</v>
      </c>
      <c r="M458" t="n">
        <v>0</v>
      </c>
      <c r="O458" t="inlineStr">
        <is>
          <t>RT1351</t>
        </is>
      </c>
      <c r="Q458" s="114" t="n">
        <v>0</v>
      </c>
      <c r="R458" s="114" t="n">
        <v>79.14</v>
      </c>
      <c r="S458" s="114" t="n">
        <v>0</v>
      </c>
      <c r="T458" t="n">
        <v>0</v>
      </c>
    </row>
    <row r="459">
      <c r="A459" t="inlineStr">
        <is>
          <t>ttJTrans</t>
        </is>
      </c>
      <c r="B459" s="38" t="inlineStr">
        <is>
          <t>0-4005</t>
        </is>
      </c>
      <c r="C459" t="inlineStr">
        <is>
          <t>EQ</t>
        </is>
      </c>
      <c r="E459" t="inlineStr">
        <is>
          <t>EQ</t>
        </is>
      </c>
      <c r="G459" s="128" t="inlineStr"/>
      <c r="H459" s="127" t="n">
        <v>46145</v>
      </c>
      <c r="J459" s="38" t="inlineStr">
        <is>
          <t>0-4005</t>
        </is>
      </c>
      <c r="K459" t="inlineStr">
        <is>
          <t>TR429 SPARTAN 7X16 CARGO TRAILER W/ RAMP DOOR SPARTAN 7X16 CARGO TRAILER W/ RAMP DOOR</t>
        </is>
      </c>
      <c r="L459" t="n">
        <v>0</v>
      </c>
      <c r="M459" t="n">
        <v>0</v>
      </c>
      <c r="O459" t="inlineStr">
        <is>
          <t>TR429</t>
        </is>
      </c>
      <c r="Q459" s="114" t="n">
        <v>0</v>
      </c>
      <c r="R459" s="114" t="n">
        <v>65</v>
      </c>
      <c r="S459" s="114" t="n">
        <v>0</v>
      </c>
      <c r="T459" t="n">
        <v>0</v>
      </c>
    </row>
    <row r="460">
      <c r="A460" t="inlineStr">
        <is>
          <t>ttJTrans</t>
        </is>
      </c>
      <c r="B460" s="38" t="inlineStr">
        <is>
          <t>0-4005</t>
        </is>
      </c>
      <c r="C460" t="inlineStr">
        <is>
          <t>EQ</t>
        </is>
      </c>
      <c r="E460" t="inlineStr">
        <is>
          <t>EQ</t>
        </is>
      </c>
      <c r="H460" s="127" t="n">
        <v>46145</v>
      </c>
      <c r="J460" s="38" t="inlineStr">
        <is>
          <t>0-4005</t>
        </is>
      </c>
      <c r="K460" t="inlineStr">
        <is>
          <t>TR429 SPARTAN 7X16 CARGO TRAILER W/ RAMP DOOR SPARTAN 7X16 CARGO TRAILER W/ RAMP DOOR</t>
        </is>
      </c>
      <c r="L460" t="n">
        <v>0</v>
      </c>
      <c r="M460" t="n">
        <v>0</v>
      </c>
      <c r="O460" t="inlineStr">
        <is>
          <t>TR429</t>
        </is>
      </c>
      <c r="Q460" s="114" t="n">
        <v>0</v>
      </c>
      <c r="R460" s="114" t="n">
        <v>65</v>
      </c>
      <c r="S460" s="114" t="n">
        <v>0</v>
      </c>
      <c r="T460" t="n">
        <v>0</v>
      </c>
    </row>
    <row r="461">
      <c r="A461" t="inlineStr">
        <is>
          <t>ttJTrans</t>
        </is>
      </c>
      <c r="B461" s="38" t="inlineStr">
        <is>
          <t>0-4005</t>
        </is>
      </c>
      <c r="C461" t="inlineStr">
        <is>
          <t>EQ</t>
        </is>
      </c>
      <c r="E461" t="inlineStr">
        <is>
          <t>EQ</t>
        </is>
      </c>
      <c r="H461" s="127" t="n">
        <v>46145</v>
      </c>
      <c r="J461" s="38" t="inlineStr">
        <is>
          <t>0-4005</t>
        </is>
      </c>
      <c r="K461" t="inlineStr">
        <is>
          <t>RT1479 2025 FORD F150 CREW CAB 4X4 2025 FORD F150 CREW CAB 4X4</t>
        </is>
      </c>
      <c r="L461" t="n">
        <v>0</v>
      </c>
      <c r="M461" t="n">
        <v>0</v>
      </c>
      <c r="O461" t="inlineStr">
        <is>
          <t>RT1479</t>
        </is>
      </c>
      <c r="Q461" s="114" t="n">
        <v>0</v>
      </c>
      <c r="R461" s="114" t="n">
        <v>79.14</v>
      </c>
      <c r="S461" s="114" t="n">
        <v>0</v>
      </c>
      <c r="T461" t="n">
        <v>0</v>
      </c>
    </row>
    <row r="462">
      <c r="A462" t="inlineStr">
        <is>
          <t>ttJTrans</t>
        </is>
      </c>
      <c r="B462" s="38" t="inlineStr">
        <is>
          <t>0-4005</t>
        </is>
      </c>
      <c r="C462" t="inlineStr">
        <is>
          <t>EQ</t>
        </is>
      </c>
      <c r="E462" t="inlineStr">
        <is>
          <t>EQ</t>
        </is>
      </c>
      <c r="H462" s="127" t="n">
        <v>46145</v>
      </c>
      <c r="J462" s="38" t="inlineStr">
        <is>
          <t>0-4005</t>
        </is>
      </c>
      <c r="K462" t="inlineStr">
        <is>
          <t>RT1479 2025 FORD F150 CREW CAB 4X4 2025 FORD F150 CREW CAB 4X4</t>
        </is>
      </c>
      <c r="L462" t="n">
        <v>0</v>
      </c>
      <c r="M462" t="n">
        <v>0</v>
      </c>
      <c r="O462" t="inlineStr">
        <is>
          <t>RT1479</t>
        </is>
      </c>
      <c r="Q462" s="114" t="n">
        <v>0</v>
      </c>
      <c r="R462" s="114" t="n">
        <v>79.14</v>
      </c>
      <c r="S462" s="114" t="n">
        <v>0</v>
      </c>
      <c r="T462" t="n">
        <v>0</v>
      </c>
    </row>
    <row r="463">
      <c r="A463" t="inlineStr">
        <is>
          <t>ttJTrans</t>
        </is>
      </c>
      <c r="B463" s="38" t="inlineStr">
        <is>
          <t>0-4005</t>
        </is>
      </c>
      <c r="C463" t="inlineStr">
        <is>
          <t>EQ</t>
        </is>
      </c>
      <c r="E463" t="inlineStr">
        <is>
          <t>EQ</t>
        </is>
      </c>
      <c r="H463" s="127" t="n">
        <v>46152</v>
      </c>
      <c r="J463" s="38" t="inlineStr">
        <is>
          <t>0-4005</t>
        </is>
      </c>
      <c r="K463" t="inlineStr">
        <is>
          <t>WLV106 2025 FORD F150 XL STX (SAFETY) 2025 FORD F150 XL STX (SAFETY)</t>
        </is>
      </c>
      <c r="L463" t="n">
        <v>0</v>
      </c>
      <c r="M463" t="n">
        <v>0</v>
      </c>
      <c r="O463" t="inlineStr">
        <is>
          <t>WLV106</t>
        </is>
      </c>
      <c r="Q463" s="114" t="n">
        <v>0</v>
      </c>
      <c r="R463" s="114" t="n">
        <v>79.14</v>
      </c>
      <c r="S463" s="114" t="n">
        <v>0</v>
      </c>
      <c r="T463" t="n">
        <v>0</v>
      </c>
    </row>
    <row r="464">
      <c r="A464" t="inlineStr">
        <is>
          <t>ttJTrans</t>
        </is>
      </c>
      <c r="B464" s="38" t="inlineStr">
        <is>
          <t>0-4005</t>
        </is>
      </c>
      <c r="C464" t="inlineStr">
        <is>
          <t>EQ</t>
        </is>
      </c>
      <c r="E464" t="inlineStr">
        <is>
          <t>EQ</t>
        </is>
      </c>
      <c r="H464" s="127" t="n">
        <v>46152</v>
      </c>
      <c r="J464" s="38" t="inlineStr">
        <is>
          <t>0-4005</t>
        </is>
      </c>
      <c r="K464" t="inlineStr">
        <is>
          <t>WLV106 2025 FORD F150 XL STX (SAFETY) 2025 FORD F150 XL STX (SAFETY)</t>
        </is>
      </c>
      <c r="L464" t="n">
        <v>0</v>
      </c>
      <c r="M464" t="n">
        <v>0</v>
      </c>
      <c r="O464" t="inlineStr">
        <is>
          <t>WLV106</t>
        </is>
      </c>
      <c r="Q464" s="114" t="n">
        <v>0</v>
      </c>
      <c r="R464" s="114" t="n">
        <v>79.14</v>
      </c>
      <c r="S464" s="114" t="n">
        <v>0</v>
      </c>
      <c r="T464" t="n">
        <v>0</v>
      </c>
    </row>
    <row r="465">
      <c r="A465" t="inlineStr">
        <is>
          <t>ttJTrans</t>
        </is>
      </c>
      <c r="B465" s="38" t="inlineStr">
        <is>
          <t>0-4005</t>
        </is>
      </c>
      <c r="C465" t="inlineStr">
        <is>
          <t>EQ</t>
        </is>
      </c>
      <c r="E465" t="inlineStr">
        <is>
          <t>EQ</t>
        </is>
      </c>
      <c r="H465" s="127" t="n">
        <v>46152</v>
      </c>
      <c r="J465" s="38" t="inlineStr">
        <is>
          <t>0-4005</t>
        </is>
      </c>
      <c r="K465" t="inlineStr">
        <is>
          <t>WLV106 2025 FORD F150 XL STX (SAFETY) 2025 FORD F150 XL STX (SAFETY)</t>
        </is>
      </c>
      <c r="L465" t="n">
        <v>0</v>
      </c>
      <c r="M465" t="n">
        <v>0</v>
      </c>
      <c r="O465" t="inlineStr">
        <is>
          <t>WLV106</t>
        </is>
      </c>
      <c r="Q465" s="114" t="n">
        <v>0</v>
      </c>
      <c r="R465" s="114" t="n">
        <v>79.14</v>
      </c>
      <c r="S465" s="114" t="n">
        <v>0</v>
      </c>
      <c r="T465" t="n">
        <v>0</v>
      </c>
    </row>
    <row r="466">
      <c r="A466" t="inlineStr">
        <is>
          <t>ttJTrans</t>
        </is>
      </c>
      <c r="B466" s="38" t="inlineStr">
        <is>
          <t>0-4005</t>
        </is>
      </c>
      <c r="C466" t="inlineStr">
        <is>
          <t>EQ</t>
        </is>
      </c>
      <c r="E466" t="inlineStr">
        <is>
          <t>EQ</t>
        </is>
      </c>
      <c r="H466" s="127" t="n">
        <v>46152</v>
      </c>
      <c r="J466" s="38" t="inlineStr">
        <is>
          <t>0-4005</t>
        </is>
      </c>
      <c r="K466" t="inlineStr">
        <is>
          <t>WLV106 2025 FORD F150 XL STX (SAFETY) 2025 FORD F150 XL STX (SAFETY)</t>
        </is>
      </c>
      <c r="L466" t="n">
        <v>0</v>
      </c>
      <c r="M466" t="n">
        <v>0</v>
      </c>
      <c r="O466" t="inlineStr">
        <is>
          <t>WLV106</t>
        </is>
      </c>
      <c r="Q466" s="114" t="n">
        <v>0</v>
      </c>
      <c r="R466" s="114" t="n">
        <v>79.14</v>
      </c>
      <c r="S466" s="114" t="n">
        <v>0</v>
      </c>
      <c r="T466" t="n">
        <v>0</v>
      </c>
    </row>
    <row r="467">
      <c r="A467" t="inlineStr">
        <is>
          <t>ttJTrans</t>
        </is>
      </c>
      <c r="B467" s="38" t="inlineStr">
        <is>
          <t>0-4005</t>
        </is>
      </c>
      <c r="C467" t="inlineStr">
        <is>
          <t>EQ</t>
        </is>
      </c>
      <c r="E467" t="inlineStr">
        <is>
          <t>EQ</t>
        </is>
      </c>
      <c r="H467" s="127" t="n">
        <v>46152</v>
      </c>
      <c r="J467" s="38" t="inlineStr">
        <is>
          <t>0-4005</t>
        </is>
      </c>
      <c r="K467" t="inlineStr">
        <is>
          <t>WLV106 2025 FORD F150 XL STX (SAFETY) 2025 FORD F150 XL STX (SAFETY)</t>
        </is>
      </c>
      <c r="L467" t="n">
        <v>0</v>
      </c>
      <c r="M467" t="n">
        <v>0</v>
      </c>
      <c r="O467" t="inlineStr">
        <is>
          <t>WLV106</t>
        </is>
      </c>
      <c r="Q467" s="114" t="n">
        <v>0</v>
      </c>
      <c r="R467" s="114" t="n">
        <v>79.14</v>
      </c>
      <c r="S467" s="114" t="n">
        <v>0</v>
      </c>
      <c r="T467" t="n">
        <v>0</v>
      </c>
    </row>
    <row r="468">
      <c r="A468" t="inlineStr">
        <is>
          <t>ttJTrans</t>
        </is>
      </c>
      <c r="B468" s="38" t="inlineStr">
        <is>
          <t>0-4005</t>
        </is>
      </c>
      <c r="C468" t="inlineStr">
        <is>
          <t>EQ</t>
        </is>
      </c>
      <c r="E468" t="inlineStr">
        <is>
          <t>EQ</t>
        </is>
      </c>
      <c r="H468" s="127" t="n">
        <v>46152</v>
      </c>
      <c r="J468" s="38" t="inlineStr">
        <is>
          <t>0-4005</t>
        </is>
      </c>
      <c r="K468" t="inlineStr">
        <is>
          <t>WLV106 2025 FORD F150 XL STX (SAFETY) 2025 FORD F150 XL STX (SAFETY)</t>
        </is>
      </c>
      <c r="L468" t="n">
        <v>0</v>
      </c>
      <c r="M468" t="n">
        <v>0</v>
      </c>
      <c r="O468" t="inlineStr">
        <is>
          <t>WLV106</t>
        </is>
      </c>
      <c r="Q468" s="114" t="n">
        <v>0</v>
      </c>
      <c r="R468" s="114" t="n">
        <v>79.14</v>
      </c>
      <c r="S468" s="114" t="n">
        <v>0</v>
      </c>
      <c r="T468" t="n">
        <v>0</v>
      </c>
    </row>
    <row r="469">
      <c r="A469" t="inlineStr">
        <is>
          <t>ttJTrans</t>
        </is>
      </c>
      <c r="B469" s="38" t="inlineStr">
        <is>
          <t>0-4005</t>
        </is>
      </c>
      <c r="C469" t="inlineStr">
        <is>
          <t>EQ</t>
        </is>
      </c>
      <c r="E469" t="inlineStr">
        <is>
          <t>EQ</t>
        </is>
      </c>
      <c r="H469" s="127" t="n">
        <v>46152</v>
      </c>
      <c r="J469" s="38" t="inlineStr">
        <is>
          <t>0-4005</t>
        </is>
      </c>
      <c r="K469" t="inlineStr">
        <is>
          <t>RT1351 2024 CHEVROLET SILVERADO 2500 DIESEL CUSTOM 4X4 2024 CHEVROLET SILVERADO 2500 DIESEL CUSTOM 4X4</t>
        </is>
      </c>
      <c r="L469" t="n">
        <v>0</v>
      </c>
      <c r="M469" t="n">
        <v>0</v>
      </c>
      <c r="O469" t="inlineStr">
        <is>
          <t>RT1351</t>
        </is>
      </c>
      <c r="Q469" s="114" t="n">
        <v>0</v>
      </c>
      <c r="R469" s="114" t="n">
        <v>79.14</v>
      </c>
      <c r="S469" s="114" t="n">
        <v>0</v>
      </c>
      <c r="T469" t="n">
        <v>0</v>
      </c>
    </row>
    <row r="470">
      <c r="A470" t="inlineStr">
        <is>
          <t>ttJTrans</t>
        </is>
      </c>
      <c r="B470" s="38" t="inlineStr">
        <is>
          <t>0-4005</t>
        </is>
      </c>
      <c r="C470" t="inlineStr">
        <is>
          <t>EQ</t>
        </is>
      </c>
      <c r="E470" t="inlineStr">
        <is>
          <t>EQ</t>
        </is>
      </c>
      <c r="H470" s="127" t="n">
        <v>46152</v>
      </c>
      <c r="J470" s="38" t="inlineStr">
        <is>
          <t>0-4005</t>
        </is>
      </c>
      <c r="K470" t="inlineStr">
        <is>
          <t>RT1351 2024 CHEVROLET SILVERADO 2500 DIESEL CUSTOM 4X4 2024 CHEVROLET SILVERADO 2500 DIESEL CUSTOM 4X4</t>
        </is>
      </c>
      <c r="L470" t="n">
        <v>0</v>
      </c>
      <c r="M470" t="n">
        <v>0</v>
      </c>
      <c r="O470" t="inlineStr">
        <is>
          <t>RT1351</t>
        </is>
      </c>
      <c r="Q470" s="114" t="n">
        <v>0</v>
      </c>
      <c r="R470" s="114" t="n">
        <v>79.14</v>
      </c>
      <c r="S470" s="114" t="n">
        <v>0</v>
      </c>
      <c r="T470" t="n">
        <v>0</v>
      </c>
    </row>
    <row r="471">
      <c r="A471" t="inlineStr">
        <is>
          <t>ttJTrans</t>
        </is>
      </c>
      <c r="B471" s="38" t="inlineStr">
        <is>
          <t>0-4005</t>
        </is>
      </c>
      <c r="C471" t="inlineStr">
        <is>
          <t>EQ</t>
        </is>
      </c>
      <c r="E471" t="inlineStr">
        <is>
          <t>EQ</t>
        </is>
      </c>
      <c r="H471" s="127" t="n">
        <v>46152</v>
      </c>
      <c r="J471" s="38" t="inlineStr">
        <is>
          <t>0-4005</t>
        </is>
      </c>
      <c r="K471" t="inlineStr">
        <is>
          <t>RT1351 2024 CHEVROLET SILVERADO 2500 DIESEL CUSTOM 4X4 2024 CHEVROLET SILVERADO 2500 DIESEL CUSTOM 4X4</t>
        </is>
      </c>
      <c r="L471" t="n">
        <v>0</v>
      </c>
      <c r="M471" t="n">
        <v>0</v>
      </c>
      <c r="O471" t="inlineStr">
        <is>
          <t>RT1351</t>
        </is>
      </c>
      <c r="Q471" s="114" t="n">
        <v>0</v>
      </c>
      <c r="R471" s="114" t="n">
        <v>79.14</v>
      </c>
      <c r="S471" s="114" t="n">
        <v>0</v>
      </c>
      <c r="T471" t="n">
        <v>0</v>
      </c>
    </row>
    <row r="472">
      <c r="A472" t="inlineStr">
        <is>
          <t>ttJTrans</t>
        </is>
      </c>
      <c r="B472" s="38" t="inlineStr">
        <is>
          <t>0-4005</t>
        </is>
      </c>
      <c r="C472" t="inlineStr">
        <is>
          <t>EQ</t>
        </is>
      </c>
      <c r="E472" t="inlineStr">
        <is>
          <t>EQ</t>
        </is>
      </c>
      <c r="H472" s="127" t="n">
        <v>46152</v>
      </c>
      <c r="J472" s="38" t="inlineStr">
        <is>
          <t>0-4005</t>
        </is>
      </c>
      <c r="K472" t="inlineStr">
        <is>
          <t>RT1351 2024 CHEVROLET SILVERADO 2500 DIESEL CUSTOM 4X4 2024 CHEVROLET SILVERADO 2500 DIESEL CUSTOM 4X4</t>
        </is>
      </c>
      <c r="L472" t="n">
        <v>0</v>
      </c>
      <c r="M472" t="n">
        <v>0</v>
      </c>
      <c r="O472" t="inlineStr">
        <is>
          <t>RT1351</t>
        </is>
      </c>
      <c r="Q472" s="114" t="n">
        <v>0</v>
      </c>
      <c r="R472" s="114" t="n">
        <v>79.14</v>
      </c>
      <c r="S472" s="114" t="n">
        <v>0</v>
      </c>
      <c r="T472" t="n">
        <v>0</v>
      </c>
    </row>
    <row r="473">
      <c r="A473" t="inlineStr">
        <is>
          <t>ttJTrans</t>
        </is>
      </c>
      <c r="B473" s="38" t="inlineStr">
        <is>
          <t>0-4005</t>
        </is>
      </c>
      <c r="C473" t="inlineStr">
        <is>
          <t>EQ</t>
        </is>
      </c>
      <c r="E473" t="inlineStr">
        <is>
          <t>EQ</t>
        </is>
      </c>
      <c r="H473" s="127" t="n">
        <v>46152</v>
      </c>
      <c r="J473" s="38" t="inlineStr">
        <is>
          <t>0-4005</t>
        </is>
      </c>
      <c r="K473" t="inlineStr">
        <is>
          <t>RT1351 2024 CHEVROLET SILVERADO 2500 DIESEL CUSTOM 4X4 2024 CHEVROLET SILVERADO 2500 DIESEL CUSTOM 4X4</t>
        </is>
      </c>
      <c r="L473" t="n">
        <v>0</v>
      </c>
      <c r="M473" t="n">
        <v>0</v>
      </c>
      <c r="O473" t="inlineStr">
        <is>
          <t>RT1351</t>
        </is>
      </c>
      <c r="Q473" s="114" t="n">
        <v>0</v>
      </c>
      <c r="R473" s="114" t="n">
        <v>79.14</v>
      </c>
      <c r="S473" s="114" t="n">
        <v>0</v>
      </c>
      <c r="T473" t="n">
        <v>0</v>
      </c>
    </row>
    <row r="474">
      <c r="A474" t="inlineStr">
        <is>
          <t>ttJTrans</t>
        </is>
      </c>
      <c r="B474" s="38" t="inlineStr">
        <is>
          <t>0-4005</t>
        </is>
      </c>
      <c r="C474" t="inlineStr">
        <is>
          <t>EQ</t>
        </is>
      </c>
      <c r="E474" t="inlineStr">
        <is>
          <t>EQ</t>
        </is>
      </c>
      <c r="H474" s="127" t="n">
        <v>46152</v>
      </c>
      <c r="J474" s="38" t="inlineStr">
        <is>
          <t>0-4005</t>
        </is>
      </c>
      <c r="K474" t="inlineStr">
        <is>
          <t>RT1351 2024 CHEVROLET SILVERADO 2500 DIESEL CUSTOM 4X4 2024 CHEVROLET SILVERADO 2500 DIESEL CUSTOM 4X4</t>
        </is>
      </c>
      <c r="L474" t="n">
        <v>0</v>
      </c>
      <c r="M474" t="n">
        <v>0</v>
      </c>
      <c r="O474" t="inlineStr">
        <is>
          <t>RT1351</t>
        </is>
      </c>
      <c r="Q474" s="114" t="n">
        <v>0</v>
      </c>
      <c r="R474" s="114" t="n">
        <v>79.14</v>
      </c>
      <c r="S474" s="114" t="n">
        <v>0</v>
      </c>
      <c r="T474" t="n">
        <v>0</v>
      </c>
    </row>
    <row r="475">
      <c r="A475" t="inlineStr">
        <is>
          <t>ttJTrans</t>
        </is>
      </c>
      <c r="B475" s="38" t="inlineStr">
        <is>
          <t>0-4005</t>
        </is>
      </c>
      <c r="C475" t="inlineStr">
        <is>
          <t>EQ</t>
        </is>
      </c>
      <c r="E475" t="inlineStr">
        <is>
          <t>EQ</t>
        </is>
      </c>
      <c r="H475" s="127" t="n">
        <v>46152</v>
      </c>
      <c r="J475" s="38" t="inlineStr">
        <is>
          <t>0-4005</t>
        </is>
      </c>
      <c r="K475" t="inlineStr">
        <is>
          <t>TR429 SPARTAN 7X16 CARGO TRAILER W/ RAMP DOOR SPARTAN 7X16 CARGO TRAILER W/ RAMP DOOR</t>
        </is>
      </c>
      <c r="L475" t="n">
        <v>0</v>
      </c>
      <c r="M475" t="n">
        <v>0</v>
      </c>
      <c r="O475" t="inlineStr">
        <is>
          <t>TR429</t>
        </is>
      </c>
      <c r="Q475" s="114" t="n">
        <v>0</v>
      </c>
      <c r="R475" s="114" t="n">
        <v>65</v>
      </c>
      <c r="S475" s="114" t="n">
        <v>0</v>
      </c>
      <c r="T475" t="n">
        <v>0</v>
      </c>
    </row>
    <row r="476">
      <c r="A476" t="inlineStr">
        <is>
          <t>ttJTrans</t>
        </is>
      </c>
      <c r="B476" s="38" t="inlineStr">
        <is>
          <t>0-4005</t>
        </is>
      </c>
      <c r="C476" t="inlineStr">
        <is>
          <t>EQ</t>
        </is>
      </c>
      <c r="E476" t="inlineStr">
        <is>
          <t>EQ</t>
        </is>
      </c>
      <c r="H476" s="127" t="n">
        <v>46152</v>
      </c>
      <c r="J476" s="38" t="inlineStr">
        <is>
          <t>0-4005</t>
        </is>
      </c>
      <c r="K476" t="inlineStr">
        <is>
          <t>TR429 SPARTAN 7X16 CARGO TRAILER W/ RAMP DOOR SPARTAN 7X16 CARGO TRAILER W/ RAMP DOOR</t>
        </is>
      </c>
      <c r="L476" t="n">
        <v>0</v>
      </c>
      <c r="M476" t="n">
        <v>0</v>
      </c>
      <c r="O476" t="inlineStr">
        <is>
          <t>TR429</t>
        </is>
      </c>
      <c r="Q476" s="114" t="n">
        <v>0</v>
      </c>
      <c r="R476" s="114" t="n">
        <v>65</v>
      </c>
      <c r="S476" s="114" t="n">
        <v>0</v>
      </c>
      <c r="T476" t="n">
        <v>0</v>
      </c>
    </row>
    <row r="477">
      <c r="A477" t="inlineStr">
        <is>
          <t>ttJTrans</t>
        </is>
      </c>
      <c r="B477" s="38" t="inlineStr">
        <is>
          <t>0-4005</t>
        </is>
      </c>
      <c r="C477" t="inlineStr">
        <is>
          <t>EQ</t>
        </is>
      </c>
      <c r="E477" t="inlineStr">
        <is>
          <t>EQ</t>
        </is>
      </c>
      <c r="H477" s="127" t="n">
        <v>46152</v>
      </c>
      <c r="J477" s="38" t="inlineStr">
        <is>
          <t>0-4005</t>
        </is>
      </c>
      <c r="K477" t="inlineStr">
        <is>
          <t>TR429 SPARTAN 7X16 CARGO TRAILER W/ RAMP DOOR SPARTAN 7X16 CARGO TRAILER W/ RAMP DOOR</t>
        </is>
      </c>
      <c r="L477" t="n">
        <v>0</v>
      </c>
      <c r="M477" t="n">
        <v>0</v>
      </c>
      <c r="O477" t="inlineStr">
        <is>
          <t>TR429</t>
        </is>
      </c>
      <c r="Q477" s="114" t="n">
        <v>0</v>
      </c>
      <c r="R477" s="114" t="n">
        <v>65</v>
      </c>
      <c r="S477" s="114" t="n">
        <v>0</v>
      </c>
      <c r="T477" t="n">
        <v>0</v>
      </c>
    </row>
    <row r="478">
      <c r="A478" t="inlineStr">
        <is>
          <t>ttJTrans</t>
        </is>
      </c>
      <c r="B478" s="38" t="inlineStr">
        <is>
          <t>0-4005</t>
        </is>
      </c>
      <c r="C478" t="inlineStr">
        <is>
          <t>EQ</t>
        </is>
      </c>
      <c r="E478" t="inlineStr">
        <is>
          <t>EQ</t>
        </is>
      </c>
      <c r="H478" s="127" t="n">
        <v>46152</v>
      </c>
      <c r="J478" s="38" t="inlineStr">
        <is>
          <t>0-4005</t>
        </is>
      </c>
      <c r="K478" t="inlineStr">
        <is>
          <t>TR429 SPARTAN 7X16 CARGO TRAILER W/ RAMP DOOR SPARTAN 7X16 CARGO TRAILER W/ RAMP DOOR</t>
        </is>
      </c>
      <c r="L478" t="n">
        <v>0</v>
      </c>
      <c r="M478" t="n">
        <v>0</v>
      </c>
      <c r="O478" t="inlineStr">
        <is>
          <t>TR429</t>
        </is>
      </c>
      <c r="Q478" s="114" t="n">
        <v>0</v>
      </c>
      <c r="R478" s="114" t="n">
        <v>65</v>
      </c>
      <c r="S478" s="114" t="n">
        <v>0</v>
      </c>
      <c r="T478" t="n">
        <v>0</v>
      </c>
    </row>
    <row r="479">
      <c r="A479" t="inlineStr">
        <is>
          <t>ttJTrans</t>
        </is>
      </c>
      <c r="B479" s="38" t="inlineStr">
        <is>
          <t>0-4005</t>
        </is>
      </c>
      <c r="C479" t="inlineStr">
        <is>
          <t>EQ</t>
        </is>
      </c>
      <c r="E479" t="inlineStr">
        <is>
          <t>EQ</t>
        </is>
      </c>
      <c r="H479" s="127" t="n">
        <v>46152</v>
      </c>
      <c r="J479" s="38" t="inlineStr">
        <is>
          <t>0-4005</t>
        </is>
      </c>
      <c r="K479" t="inlineStr">
        <is>
          <t>TR429 SPARTAN 7X16 CARGO TRAILER W/ RAMP DOOR SPARTAN 7X16 CARGO TRAILER W/ RAMP DOOR</t>
        </is>
      </c>
      <c r="L479" t="n">
        <v>0</v>
      </c>
      <c r="M479" t="n">
        <v>0</v>
      </c>
      <c r="O479" t="inlineStr">
        <is>
          <t>TR429</t>
        </is>
      </c>
      <c r="Q479" s="114" t="n">
        <v>0</v>
      </c>
      <c r="R479" s="114" t="n">
        <v>65</v>
      </c>
      <c r="S479" s="114" t="n">
        <v>0</v>
      </c>
      <c r="T479" t="n">
        <v>0</v>
      </c>
    </row>
    <row r="480">
      <c r="A480" t="inlineStr">
        <is>
          <t>ttJTrans</t>
        </is>
      </c>
      <c r="B480" s="38" t="inlineStr">
        <is>
          <t>0-4005</t>
        </is>
      </c>
      <c r="C480" t="inlineStr">
        <is>
          <t>EQ</t>
        </is>
      </c>
      <c r="E480" t="inlineStr">
        <is>
          <t>EQ</t>
        </is>
      </c>
      <c r="H480" s="127" t="n">
        <v>46152</v>
      </c>
      <c r="J480" s="38" t="inlineStr">
        <is>
          <t>0-4005</t>
        </is>
      </c>
      <c r="K480" t="inlineStr">
        <is>
          <t>TR429 SPARTAN 7X16 CARGO TRAILER W/ RAMP DOOR SPARTAN 7X16 CARGO TRAILER W/ RAMP DOOR</t>
        </is>
      </c>
      <c r="L480" t="n">
        <v>0</v>
      </c>
      <c r="M480" t="n">
        <v>0</v>
      </c>
      <c r="O480" t="inlineStr">
        <is>
          <t>TR429</t>
        </is>
      </c>
      <c r="Q480" s="114" t="n">
        <v>0</v>
      </c>
      <c r="R480" s="114" t="n">
        <v>65</v>
      </c>
      <c r="S480" s="114" t="n">
        <v>0</v>
      </c>
      <c r="T480" t="n">
        <v>0</v>
      </c>
    </row>
    <row r="481">
      <c r="A481" t="inlineStr">
        <is>
          <t>ttJTrans</t>
        </is>
      </c>
      <c r="B481" s="38" t="inlineStr">
        <is>
          <t>0-4005</t>
        </is>
      </c>
      <c r="C481" t="inlineStr">
        <is>
          <t>EQ</t>
        </is>
      </c>
      <c r="E481" t="inlineStr">
        <is>
          <t>EQ</t>
        </is>
      </c>
      <c r="H481" s="127" t="n">
        <v>46152</v>
      </c>
      <c r="J481" s="38" t="inlineStr">
        <is>
          <t>0-4005</t>
        </is>
      </c>
      <c r="K481" t="inlineStr">
        <is>
          <t>TR425 20FT ENCLOSED CARGO TRAILER (CHARGED TO 22-4001) 20FT ENCLOSED CARGO TRAILER (CHARGED TO 22-4001)</t>
        </is>
      </c>
      <c r="L481" t="n">
        <v>0</v>
      </c>
      <c r="M481" t="n">
        <v>0</v>
      </c>
      <c r="O481" t="inlineStr">
        <is>
          <t>TR425</t>
        </is>
      </c>
      <c r="Q481" s="114" t="n">
        <v>0</v>
      </c>
      <c r="R481" s="114" t="n">
        <v>65</v>
      </c>
      <c r="S481" s="114" t="n">
        <v>0</v>
      </c>
      <c r="T481" t="n">
        <v>0</v>
      </c>
    </row>
    <row r="482">
      <c r="A482" t="inlineStr">
        <is>
          <t>ttJTrans</t>
        </is>
      </c>
      <c r="B482" s="38" t="inlineStr">
        <is>
          <t>0-4005</t>
        </is>
      </c>
      <c r="C482" t="inlineStr">
        <is>
          <t>EQ</t>
        </is>
      </c>
      <c r="E482" t="inlineStr">
        <is>
          <t>EQ</t>
        </is>
      </c>
      <c r="H482" s="127" t="n">
        <v>46152</v>
      </c>
      <c r="J482" s="38" t="inlineStr">
        <is>
          <t>0-4005</t>
        </is>
      </c>
      <c r="K482" t="inlineStr">
        <is>
          <t>TR425 20FT ENCLOSED CARGO TRAILER (CHARGED TO 22-4001) 20FT ENCLOSED CARGO TRAILER (CHARGED TO 22-4001)</t>
        </is>
      </c>
      <c r="L482" t="n">
        <v>0</v>
      </c>
      <c r="M482" t="n">
        <v>0</v>
      </c>
      <c r="O482" t="inlineStr">
        <is>
          <t>TR425</t>
        </is>
      </c>
      <c r="Q482" s="114" t="n">
        <v>0</v>
      </c>
      <c r="R482" s="114" t="n">
        <v>65</v>
      </c>
      <c r="S482" s="114" t="n">
        <v>0</v>
      </c>
      <c r="T482" t="n">
        <v>0</v>
      </c>
    </row>
    <row r="483">
      <c r="A483" t="inlineStr">
        <is>
          <t>ttJTrans</t>
        </is>
      </c>
      <c r="B483" s="38" t="inlineStr">
        <is>
          <t>0-4005</t>
        </is>
      </c>
      <c r="C483" t="inlineStr">
        <is>
          <t>EQ</t>
        </is>
      </c>
      <c r="E483" t="inlineStr">
        <is>
          <t>EQ</t>
        </is>
      </c>
      <c r="H483" s="127" t="n">
        <v>46152</v>
      </c>
      <c r="J483" s="38" t="inlineStr">
        <is>
          <t>0-4005</t>
        </is>
      </c>
      <c r="K483" t="inlineStr">
        <is>
          <t>TR425 20FT ENCLOSED CARGO TRAILER (CHARGED TO 22-4001) 20FT ENCLOSED CARGO TRAILER (CHARGED TO 22-4001)</t>
        </is>
      </c>
      <c r="L483" t="n">
        <v>0</v>
      </c>
      <c r="M483" t="n">
        <v>0</v>
      </c>
      <c r="O483" t="inlineStr">
        <is>
          <t>TR425</t>
        </is>
      </c>
      <c r="Q483" s="114" t="n">
        <v>0</v>
      </c>
      <c r="R483" s="114" t="n">
        <v>65</v>
      </c>
      <c r="S483" s="114" t="n">
        <v>0</v>
      </c>
      <c r="T483" t="n">
        <v>0</v>
      </c>
    </row>
    <row r="484">
      <c r="A484" t="inlineStr">
        <is>
          <t>ttJTrans</t>
        </is>
      </c>
      <c r="B484" s="38" t="inlineStr">
        <is>
          <t>0-4005</t>
        </is>
      </c>
      <c r="C484" t="inlineStr">
        <is>
          <t>EQ</t>
        </is>
      </c>
      <c r="E484" t="inlineStr">
        <is>
          <t>EQ</t>
        </is>
      </c>
      <c r="H484" s="127" t="n">
        <v>46152</v>
      </c>
      <c r="J484" s="38" t="inlineStr">
        <is>
          <t>0-4005</t>
        </is>
      </c>
      <c r="K484" t="inlineStr">
        <is>
          <t>TR425 20FT ENCLOSED CARGO TRAILER (CHARGED TO 22-4001) 20FT ENCLOSED CARGO TRAILER (CHARGED TO 22-4001)</t>
        </is>
      </c>
      <c r="L484" t="n">
        <v>0</v>
      </c>
      <c r="M484" t="n">
        <v>0</v>
      </c>
      <c r="O484" t="inlineStr">
        <is>
          <t>TR425</t>
        </is>
      </c>
      <c r="Q484" s="114" t="n">
        <v>0</v>
      </c>
      <c r="R484" s="114" t="n">
        <v>65</v>
      </c>
      <c r="S484" s="114" t="n">
        <v>0</v>
      </c>
      <c r="T484" t="n">
        <v>0</v>
      </c>
    </row>
    <row r="485">
      <c r="A485" t="inlineStr">
        <is>
          <t>ttJTrans</t>
        </is>
      </c>
      <c r="B485" s="38" t="inlineStr">
        <is>
          <t>0-4005</t>
        </is>
      </c>
      <c r="C485" t="inlineStr">
        <is>
          <t>EQ</t>
        </is>
      </c>
      <c r="E485" t="inlineStr">
        <is>
          <t>EQ</t>
        </is>
      </c>
      <c r="H485" s="127" t="n">
        <v>46152</v>
      </c>
      <c r="J485" s="38" t="inlineStr">
        <is>
          <t>0-4005</t>
        </is>
      </c>
      <c r="K485" t="inlineStr">
        <is>
          <t>TR425 20FT ENCLOSED CARGO TRAILER (CHARGED TO 22-4001) 20FT ENCLOSED CARGO TRAILER (CHARGED TO 22-4001)</t>
        </is>
      </c>
      <c r="L485" t="n">
        <v>0</v>
      </c>
      <c r="M485" t="n">
        <v>0</v>
      </c>
      <c r="O485" t="inlineStr">
        <is>
          <t>TR425</t>
        </is>
      </c>
      <c r="Q485" s="114" t="n">
        <v>0</v>
      </c>
      <c r="R485" s="114" t="n">
        <v>65</v>
      </c>
      <c r="S485" s="114" t="n">
        <v>0</v>
      </c>
      <c r="T485" t="n">
        <v>0</v>
      </c>
    </row>
    <row r="486">
      <c r="A486" t="inlineStr">
        <is>
          <t>ttJTrans</t>
        </is>
      </c>
      <c r="B486" s="38" t="inlineStr">
        <is>
          <t>0-4005</t>
        </is>
      </c>
      <c r="C486" t="inlineStr">
        <is>
          <t>EQ</t>
        </is>
      </c>
      <c r="E486" t="inlineStr">
        <is>
          <t>EQ</t>
        </is>
      </c>
      <c r="H486" s="127" t="n">
        <v>46152</v>
      </c>
      <c r="J486" s="38" t="inlineStr">
        <is>
          <t>0-4005</t>
        </is>
      </c>
      <c r="K486" t="inlineStr">
        <is>
          <t>RT1479 2025 FORD F150 CREW CAB 4X4 2025 FORD F150 CREW CAB 4X4</t>
        </is>
      </c>
      <c r="L486" t="n">
        <v>0</v>
      </c>
      <c r="M486" t="n">
        <v>0</v>
      </c>
      <c r="O486" t="inlineStr">
        <is>
          <t>RT1479</t>
        </is>
      </c>
      <c r="Q486" s="114" t="n">
        <v>0</v>
      </c>
      <c r="R486" s="114" t="n">
        <v>79.14</v>
      </c>
      <c r="S486" s="114" t="n">
        <v>0</v>
      </c>
      <c r="T486" t="n">
        <v>0</v>
      </c>
    </row>
    <row r="487">
      <c r="A487" t="inlineStr">
        <is>
          <t>ttJTrans</t>
        </is>
      </c>
      <c r="B487" s="41" t="inlineStr">
        <is>
          <t>0-4005</t>
        </is>
      </c>
      <c r="C487" t="inlineStr">
        <is>
          <t>EQ</t>
        </is>
      </c>
      <c r="E487" t="inlineStr">
        <is>
          <t>EQ</t>
        </is>
      </c>
      <c r="H487" s="127" t="n">
        <v>46152</v>
      </c>
      <c r="J487" s="38" t="inlineStr">
        <is>
          <t>0-4005</t>
        </is>
      </c>
      <c r="K487" t="inlineStr">
        <is>
          <t>RT1479 2025 FORD F150 CREW CAB 4X4 2025 FORD F150 CREW CAB 4X4</t>
        </is>
      </c>
      <c r="L487" t="n">
        <v>0</v>
      </c>
      <c r="M487" t="n">
        <v>0</v>
      </c>
      <c r="O487" t="inlineStr">
        <is>
          <t>RT1479</t>
        </is>
      </c>
      <c r="Q487" s="114" t="n">
        <v>0</v>
      </c>
      <c r="R487" s="114" t="n">
        <v>79.14</v>
      </c>
      <c r="S487" s="114" t="n">
        <v>0</v>
      </c>
      <c r="T487" t="n">
        <v>0</v>
      </c>
    </row>
    <row r="488">
      <c r="A488" t="inlineStr">
        <is>
          <t>ttJTrans</t>
        </is>
      </c>
      <c r="B488" s="41" t="inlineStr">
        <is>
          <t>0-4005</t>
        </is>
      </c>
      <c r="C488" t="inlineStr">
        <is>
          <t>EQ</t>
        </is>
      </c>
      <c r="E488" t="inlineStr">
        <is>
          <t>EQ</t>
        </is>
      </c>
      <c r="H488" s="127" t="n">
        <v>46152</v>
      </c>
      <c r="J488" s="38" t="inlineStr">
        <is>
          <t>0-4005</t>
        </is>
      </c>
      <c r="K488" t="inlineStr">
        <is>
          <t>RT1479 2025 FORD F150 CREW CAB 4X4 2025 FORD F150 CREW CAB 4X4</t>
        </is>
      </c>
      <c r="L488" t="n">
        <v>0</v>
      </c>
      <c r="M488" t="n">
        <v>0</v>
      </c>
      <c r="O488" t="inlineStr">
        <is>
          <t>RT1479</t>
        </is>
      </c>
      <c r="Q488" s="114" t="n">
        <v>0</v>
      </c>
      <c r="R488" s="114" t="n">
        <v>79.14</v>
      </c>
      <c r="S488" s="114" t="n">
        <v>0</v>
      </c>
      <c r="T488" t="n">
        <v>0</v>
      </c>
    </row>
    <row r="489">
      <c r="A489" t="inlineStr">
        <is>
          <t>ttJTrans</t>
        </is>
      </c>
      <c r="B489" s="41" t="inlineStr">
        <is>
          <t>0-4005</t>
        </is>
      </c>
      <c r="C489" t="inlineStr">
        <is>
          <t>EQ</t>
        </is>
      </c>
      <c r="E489" t="inlineStr">
        <is>
          <t>EQ</t>
        </is>
      </c>
      <c r="H489" s="127" t="n">
        <v>46152</v>
      </c>
      <c r="J489" s="38" t="inlineStr">
        <is>
          <t>0-4005</t>
        </is>
      </c>
      <c r="K489" t="inlineStr">
        <is>
          <t>RT1479 2025 FORD F150 CREW CAB 4X4 2025 FORD F150 CREW CAB 4X4</t>
        </is>
      </c>
      <c r="L489" t="n">
        <v>0</v>
      </c>
      <c r="M489" t="n">
        <v>0</v>
      </c>
      <c r="O489" t="inlineStr">
        <is>
          <t>RT1479</t>
        </is>
      </c>
      <c r="Q489" s="114" t="n">
        <v>0</v>
      </c>
      <c r="R489" s="114" t="n">
        <v>79.14</v>
      </c>
      <c r="S489" s="114" t="n">
        <v>0</v>
      </c>
      <c r="T489" t="n">
        <v>0</v>
      </c>
    </row>
    <row r="490">
      <c r="A490" t="inlineStr">
        <is>
          <t>ttJTrans</t>
        </is>
      </c>
      <c r="B490" s="41" t="inlineStr">
        <is>
          <t>0-4005</t>
        </is>
      </c>
      <c r="C490" t="inlineStr">
        <is>
          <t>EQ</t>
        </is>
      </c>
      <c r="E490" t="inlineStr">
        <is>
          <t>EQ</t>
        </is>
      </c>
      <c r="H490" s="127" t="n">
        <v>46152</v>
      </c>
      <c r="J490" s="38" t="inlineStr">
        <is>
          <t>0-4005</t>
        </is>
      </c>
      <c r="K490" t="inlineStr">
        <is>
          <t>RT1479 2025 FORD F150 CREW CAB 4X4 2025 FORD F150 CREW CAB 4X4</t>
        </is>
      </c>
      <c r="L490" t="n">
        <v>0</v>
      </c>
      <c r="M490" t="n">
        <v>0</v>
      </c>
      <c r="O490" t="inlineStr">
        <is>
          <t>RT1479</t>
        </is>
      </c>
      <c r="Q490" s="114" t="n">
        <v>0</v>
      </c>
      <c r="R490" s="114" t="n">
        <v>79.14</v>
      </c>
      <c r="S490" s="114" t="n">
        <v>0</v>
      </c>
      <c r="T490" t="n">
        <v>0</v>
      </c>
    </row>
    <row r="491">
      <c r="A491" t="inlineStr">
        <is>
          <t>ttJTrans</t>
        </is>
      </c>
      <c r="B491" s="41" t="inlineStr">
        <is>
          <t>0-4005</t>
        </is>
      </c>
      <c r="C491" t="inlineStr">
        <is>
          <t>EQ</t>
        </is>
      </c>
      <c r="E491" t="inlineStr">
        <is>
          <t>EQ</t>
        </is>
      </c>
      <c r="H491" s="127" t="n">
        <v>46152</v>
      </c>
      <c r="J491" s="38" t="inlineStr">
        <is>
          <t>0-4005</t>
        </is>
      </c>
      <c r="K491" t="inlineStr">
        <is>
          <t>RT1479 2025 FORD F150 CREW CAB 4X4 2025 FORD F150 CREW CAB 4X4</t>
        </is>
      </c>
      <c r="L491" t="n">
        <v>0</v>
      </c>
      <c r="M491" t="n">
        <v>0</v>
      </c>
      <c r="O491" t="inlineStr">
        <is>
          <t>RT1479</t>
        </is>
      </c>
      <c r="Q491" s="114" t="n">
        <v>0</v>
      </c>
      <c r="R491" s="114" t="n">
        <v>79.14</v>
      </c>
      <c r="S491" s="114" t="n">
        <v>0</v>
      </c>
      <c r="T491" t="n">
        <v>0</v>
      </c>
    </row>
    <row r="492">
      <c r="A492" t="inlineStr">
        <is>
          <t>ttJTrans</t>
        </is>
      </c>
      <c r="B492" s="41" t="inlineStr">
        <is>
          <t>0-4005</t>
        </is>
      </c>
      <c r="C492" t="inlineStr">
        <is>
          <t>EQ</t>
        </is>
      </c>
      <c r="E492" t="inlineStr">
        <is>
          <t>EQ</t>
        </is>
      </c>
      <c r="G492" s="128" t="inlineStr"/>
      <c r="H492" s="127" t="n">
        <v>46152</v>
      </c>
      <c r="J492" s="38" t="inlineStr">
        <is>
          <t>0-4005</t>
        </is>
      </c>
      <c r="K492" t="inlineStr">
        <is>
          <t>RT1242 2022 RAM 2500 TRADESMAN 4X4 CREW 8FT BED GAS 2022 RAM 2500 TRADESMAN 4X4 CREW 8FT BED GAS</t>
        </is>
      </c>
      <c r="L492" t="n">
        <v>0</v>
      </c>
      <c r="M492" t="n">
        <v>0</v>
      </c>
      <c r="O492" t="inlineStr">
        <is>
          <t>RT1242</t>
        </is>
      </c>
      <c r="Q492" s="114" t="n">
        <v>0</v>
      </c>
      <c r="R492" s="114" t="n">
        <v>79.14</v>
      </c>
      <c r="S492" s="114" t="n">
        <v>0</v>
      </c>
      <c r="T492" t="n">
        <v>0</v>
      </c>
    </row>
    <row r="493">
      <c r="A493" t="inlineStr">
        <is>
          <t>ttJTrans</t>
        </is>
      </c>
      <c r="B493" s="41" t="inlineStr">
        <is>
          <t>0-4005</t>
        </is>
      </c>
      <c r="C493" t="inlineStr">
        <is>
          <t>EQ</t>
        </is>
      </c>
      <c r="E493" t="inlineStr">
        <is>
          <t>EQ</t>
        </is>
      </c>
      <c r="G493" s="128" t="inlineStr"/>
      <c r="H493" s="127" t="n">
        <v>46159</v>
      </c>
      <c r="J493" s="38" t="inlineStr">
        <is>
          <t>0-4005</t>
        </is>
      </c>
      <c r="K493" t="inlineStr">
        <is>
          <t>WLV106 2025 FORD F150 XL STX (SAFETY) 2025 FORD F150 XL STX (SAFETY)</t>
        </is>
      </c>
      <c r="L493" t="n">
        <v>0</v>
      </c>
      <c r="M493" t="n">
        <v>0</v>
      </c>
      <c r="O493" t="inlineStr">
        <is>
          <t>WLV106</t>
        </is>
      </c>
      <c r="Q493" s="114" t="n">
        <v>0</v>
      </c>
      <c r="R493" s="114" t="n">
        <v>79.14</v>
      </c>
      <c r="S493" s="114" t="n">
        <v>0</v>
      </c>
      <c r="T493" t="n">
        <v>0</v>
      </c>
    </row>
    <row r="494">
      <c r="A494" t="inlineStr">
        <is>
          <t>ttJTrans</t>
        </is>
      </c>
      <c r="B494" s="38" t="inlineStr">
        <is>
          <t>0-4005</t>
        </is>
      </c>
      <c r="C494" t="inlineStr">
        <is>
          <t>EQ</t>
        </is>
      </c>
      <c r="E494" t="inlineStr">
        <is>
          <t>EQ</t>
        </is>
      </c>
      <c r="H494" s="127" t="n">
        <v>46159</v>
      </c>
      <c r="J494" s="38" t="inlineStr">
        <is>
          <t>0-4005</t>
        </is>
      </c>
      <c r="K494" t="inlineStr">
        <is>
          <t>WLV106 2025 FORD F150 XL STX (SAFETY) 2025 FORD F150 XL STX (SAFETY)</t>
        </is>
      </c>
      <c r="L494" t="n">
        <v>0</v>
      </c>
      <c r="M494" t="n">
        <v>0</v>
      </c>
      <c r="O494" t="inlineStr">
        <is>
          <t>WLV106</t>
        </is>
      </c>
      <c r="Q494" s="114" t="n">
        <v>0</v>
      </c>
      <c r="R494" s="114" t="n">
        <v>79.14</v>
      </c>
      <c r="S494" s="114" t="n">
        <v>0</v>
      </c>
      <c r="T494" t="n">
        <v>0</v>
      </c>
    </row>
    <row r="495">
      <c r="A495" t="inlineStr">
        <is>
          <t>ttJTrans</t>
        </is>
      </c>
      <c r="B495" s="38" t="inlineStr">
        <is>
          <t>0-4005</t>
        </is>
      </c>
      <c r="C495" t="inlineStr">
        <is>
          <t>EQ</t>
        </is>
      </c>
      <c r="E495" t="inlineStr">
        <is>
          <t>EQ</t>
        </is>
      </c>
      <c r="H495" s="127" t="n">
        <v>46159</v>
      </c>
      <c r="J495" s="38" t="inlineStr">
        <is>
          <t>0-4005</t>
        </is>
      </c>
      <c r="K495" t="inlineStr">
        <is>
          <t>WLV106 2025 FORD F150 XL STX (SAFETY) 2025 FORD F150 XL STX (SAFETY)</t>
        </is>
      </c>
      <c r="L495" t="n">
        <v>0</v>
      </c>
      <c r="M495" t="n">
        <v>0</v>
      </c>
      <c r="O495" t="inlineStr">
        <is>
          <t>WLV106</t>
        </is>
      </c>
      <c r="Q495" s="114" t="n">
        <v>0</v>
      </c>
      <c r="R495" s="114" t="n">
        <v>79.14</v>
      </c>
      <c r="S495" s="114" t="n">
        <v>0</v>
      </c>
      <c r="T495" t="n">
        <v>0</v>
      </c>
    </row>
    <row r="496">
      <c r="A496" t="inlineStr">
        <is>
          <t>ttJTrans</t>
        </is>
      </c>
      <c r="B496" s="38" t="inlineStr">
        <is>
          <t>0-4005</t>
        </is>
      </c>
      <c r="C496" t="inlineStr">
        <is>
          <t>EQ</t>
        </is>
      </c>
      <c r="E496" t="inlineStr">
        <is>
          <t>EQ</t>
        </is>
      </c>
      <c r="H496" s="127" t="n">
        <v>46159</v>
      </c>
      <c r="J496" s="38" t="inlineStr">
        <is>
          <t>0-4005</t>
        </is>
      </c>
      <c r="K496" t="inlineStr">
        <is>
          <t>WLV106 2025 FORD F150 XL STX (SAFETY) 2025 FORD F150 XL STX (SAFETY)</t>
        </is>
      </c>
      <c r="L496" t="n">
        <v>0</v>
      </c>
      <c r="M496" t="n">
        <v>0</v>
      </c>
      <c r="O496" t="inlineStr">
        <is>
          <t>WLV106</t>
        </is>
      </c>
      <c r="Q496" s="114" t="n">
        <v>0</v>
      </c>
      <c r="R496" s="114" t="n">
        <v>79.14</v>
      </c>
      <c r="S496" s="114" t="n">
        <v>0</v>
      </c>
      <c r="T496" t="n">
        <v>0</v>
      </c>
    </row>
    <row r="497">
      <c r="A497" t="inlineStr">
        <is>
          <t>ttJTrans</t>
        </is>
      </c>
      <c r="B497" s="38" t="inlineStr">
        <is>
          <t>0-4005</t>
        </is>
      </c>
      <c r="C497" t="inlineStr">
        <is>
          <t>EQ</t>
        </is>
      </c>
      <c r="E497" t="inlineStr">
        <is>
          <t>EQ</t>
        </is>
      </c>
      <c r="H497" s="127" t="n">
        <v>46159</v>
      </c>
      <c r="J497" s="38" t="inlineStr">
        <is>
          <t>0-4005</t>
        </is>
      </c>
      <c r="K497" t="inlineStr">
        <is>
          <t>WLV106 2025 FORD F150 XL STX (SAFETY) 2025 FORD F150 XL STX (SAFETY)</t>
        </is>
      </c>
      <c r="L497" t="n">
        <v>0</v>
      </c>
      <c r="M497" t="n">
        <v>0</v>
      </c>
      <c r="O497" t="inlineStr">
        <is>
          <t>WLV106</t>
        </is>
      </c>
      <c r="Q497" s="114" t="n">
        <v>0</v>
      </c>
      <c r="R497" s="114" t="n">
        <v>79.14</v>
      </c>
      <c r="S497" s="114" t="n">
        <v>0</v>
      </c>
      <c r="T497" t="n">
        <v>0</v>
      </c>
    </row>
    <row r="498">
      <c r="A498" t="inlineStr">
        <is>
          <t>ttJTrans</t>
        </is>
      </c>
      <c r="B498" s="38" t="inlineStr">
        <is>
          <t>0-4005</t>
        </is>
      </c>
      <c r="C498" t="inlineStr">
        <is>
          <t>EQ</t>
        </is>
      </c>
      <c r="E498" t="inlineStr">
        <is>
          <t>EQ</t>
        </is>
      </c>
      <c r="H498" s="127" t="n">
        <v>46159</v>
      </c>
      <c r="J498" s="38" t="inlineStr">
        <is>
          <t>0-4005</t>
        </is>
      </c>
      <c r="K498" t="inlineStr">
        <is>
          <t>WLV106 2025 FORD F150 XL STX (SAFETY) 2025 FORD F150 XL STX (SAFETY)</t>
        </is>
      </c>
      <c r="L498" t="n">
        <v>0</v>
      </c>
      <c r="M498" t="n">
        <v>0</v>
      </c>
      <c r="O498" t="inlineStr">
        <is>
          <t>WLV106</t>
        </is>
      </c>
      <c r="Q498" s="114" t="n">
        <v>0</v>
      </c>
      <c r="R498" s="114" t="n">
        <v>79.14</v>
      </c>
      <c r="S498" s="114" t="n">
        <v>0</v>
      </c>
      <c r="T498" t="n">
        <v>0</v>
      </c>
    </row>
    <row r="499">
      <c r="A499" t="inlineStr">
        <is>
          <t>ttJTrans</t>
        </is>
      </c>
      <c r="B499" s="38" t="inlineStr">
        <is>
          <t>0-4005</t>
        </is>
      </c>
      <c r="C499" t="inlineStr">
        <is>
          <t>EQ</t>
        </is>
      </c>
      <c r="E499" t="inlineStr">
        <is>
          <t>EQ</t>
        </is>
      </c>
      <c r="H499" s="127" t="n">
        <v>46159</v>
      </c>
      <c r="J499" s="38" t="inlineStr">
        <is>
          <t>0-4005</t>
        </is>
      </c>
      <c r="K499" t="inlineStr">
        <is>
          <t>RT1351 2024 CHEVROLET SILVERADO 2500 DIESEL CUSTOM 4X4 2024 CHEVROLET SILVERADO 2500 DIESEL CUSTOM 4X4</t>
        </is>
      </c>
      <c r="L499" t="n">
        <v>0</v>
      </c>
      <c r="M499" t="n">
        <v>0</v>
      </c>
      <c r="O499" t="inlineStr">
        <is>
          <t>RT1351</t>
        </is>
      </c>
      <c r="Q499" s="114" t="n">
        <v>0</v>
      </c>
      <c r="R499" s="114" t="n">
        <v>79.14</v>
      </c>
      <c r="S499" s="114" t="n">
        <v>0</v>
      </c>
      <c r="T499" t="n">
        <v>0</v>
      </c>
    </row>
    <row r="500">
      <c r="A500" t="inlineStr">
        <is>
          <t>ttJTrans</t>
        </is>
      </c>
      <c r="B500" s="38" t="inlineStr">
        <is>
          <t>0-4005</t>
        </is>
      </c>
      <c r="C500" t="inlineStr">
        <is>
          <t>EQ</t>
        </is>
      </c>
      <c r="E500" t="inlineStr">
        <is>
          <t>EQ</t>
        </is>
      </c>
      <c r="H500" s="127" t="n">
        <v>46159</v>
      </c>
      <c r="J500" s="38" t="inlineStr">
        <is>
          <t>0-4005</t>
        </is>
      </c>
      <c r="K500" t="inlineStr">
        <is>
          <t>RT1351 2024 CHEVROLET SILVERADO 2500 DIESEL CUSTOM 4X4 2024 CHEVROLET SILVERADO 2500 DIESEL CUSTOM 4X4</t>
        </is>
      </c>
      <c r="L500" t="n">
        <v>0</v>
      </c>
      <c r="M500" t="n">
        <v>0</v>
      </c>
      <c r="O500" t="inlineStr">
        <is>
          <t>RT1351</t>
        </is>
      </c>
      <c r="Q500" s="114" t="n">
        <v>0</v>
      </c>
      <c r="R500" s="114" t="n">
        <v>79.14</v>
      </c>
      <c r="S500" s="114" t="n">
        <v>0</v>
      </c>
      <c r="T500" t="n">
        <v>0</v>
      </c>
    </row>
    <row r="501">
      <c r="A501" t="inlineStr">
        <is>
          <t>ttJTrans</t>
        </is>
      </c>
      <c r="B501" s="38" t="inlineStr">
        <is>
          <t>0-4005</t>
        </is>
      </c>
      <c r="C501" t="inlineStr">
        <is>
          <t>EQ</t>
        </is>
      </c>
      <c r="E501" t="inlineStr">
        <is>
          <t>EQ</t>
        </is>
      </c>
      <c r="H501" s="127" t="n">
        <v>46159</v>
      </c>
      <c r="J501" s="38" t="inlineStr">
        <is>
          <t>0-4005</t>
        </is>
      </c>
      <c r="K501" t="inlineStr">
        <is>
          <t>RT1351 2024 CHEVROLET SILVERADO 2500 DIESEL CUSTOM 4X4 2024 CHEVROLET SILVERADO 2500 DIESEL CUSTOM 4X4</t>
        </is>
      </c>
      <c r="L501" t="n">
        <v>0</v>
      </c>
      <c r="M501" t="n">
        <v>0</v>
      </c>
      <c r="O501" t="inlineStr">
        <is>
          <t>RT1351</t>
        </is>
      </c>
      <c r="Q501" s="114" t="n">
        <v>0</v>
      </c>
      <c r="R501" s="114" t="n">
        <v>79.14</v>
      </c>
      <c r="S501" s="114" t="n">
        <v>0</v>
      </c>
      <c r="T501" t="n">
        <v>0</v>
      </c>
    </row>
    <row r="502">
      <c r="A502" t="inlineStr">
        <is>
          <t>ttJTrans</t>
        </is>
      </c>
      <c r="B502" s="38" t="inlineStr">
        <is>
          <t>0-4005</t>
        </is>
      </c>
      <c r="C502" t="inlineStr">
        <is>
          <t>EQ</t>
        </is>
      </c>
      <c r="E502" t="inlineStr">
        <is>
          <t>EQ</t>
        </is>
      </c>
      <c r="H502" s="127" t="n">
        <v>46159</v>
      </c>
      <c r="J502" s="38" t="inlineStr">
        <is>
          <t>0-4005</t>
        </is>
      </c>
      <c r="K502" t="inlineStr">
        <is>
          <t>RT1351 2024 CHEVROLET SILVERADO 2500 DIESEL CUSTOM 4X4 2024 CHEVROLET SILVERADO 2500 DIESEL CUSTOM 4X4</t>
        </is>
      </c>
      <c r="L502" t="n">
        <v>0</v>
      </c>
      <c r="M502" t="n">
        <v>0</v>
      </c>
      <c r="O502" t="inlineStr">
        <is>
          <t>RT1351</t>
        </is>
      </c>
      <c r="Q502" s="114" t="n">
        <v>0</v>
      </c>
      <c r="R502" s="114" t="n">
        <v>79.14</v>
      </c>
      <c r="S502" s="114" t="n">
        <v>0</v>
      </c>
      <c r="T502" t="n">
        <v>0</v>
      </c>
    </row>
    <row r="503">
      <c r="A503" t="inlineStr">
        <is>
          <t>ttJTrans</t>
        </is>
      </c>
      <c r="B503" s="38" t="inlineStr">
        <is>
          <t>0-4005</t>
        </is>
      </c>
      <c r="C503" t="inlineStr">
        <is>
          <t>EQ</t>
        </is>
      </c>
      <c r="E503" t="inlineStr">
        <is>
          <t>EQ</t>
        </is>
      </c>
      <c r="H503" s="127" t="n">
        <v>46159</v>
      </c>
      <c r="J503" s="38" t="inlineStr">
        <is>
          <t>0-4005</t>
        </is>
      </c>
      <c r="K503" t="inlineStr">
        <is>
          <t>RT1351 2024 CHEVROLET SILVERADO 2500 DIESEL CUSTOM 4X4 2024 CHEVROLET SILVERADO 2500 DIESEL CUSTOM 4X4</t>
        </is>
      </c>
      <c r="L503" t="n">
        <v>0</v>
      </c>
      <c r="M503" t="n">
        <v>0</v>
      </c>
      <c r="O503" t="inlineStr">
        <is>
          <t>RT1351</t>
        </is>
      </c>
      <c r="Q503" s="114" t="n">
        <v>0</v>
      </c>
      <c r="R503" s="114" t="n">
        <v>79.14</v>
      </c>
      <c r="S503" s="114" t="n">
        <v>0</v>
      </c>
      <c r="T503" t="n">
        <v>0</v>
      </c>
    </row>
    <row r="504">
      <c r="A504" t="inlineStr">
        <is>
          <t>ttJTrans</t>
        </is>
      </c>
      <c r="B504" s="38" t="inlineStr">
        <is>
          <t>0-4005</t>
        </is>
      </c>
      <c r="C504" t="inlineStr">
        <is>
          <t>EQ</t>
        </is>
      </c>
      <c r="E504" t="inlineStr">
        <is>
          <t>EQ</t>
        </is>
      </c>
      <c r="H504" s="127" t="n">
        <v>46159</v>
      </c>
      <c r="J504" s="38" t="inlineStr">
        <is>
          <t>0-4005</t>
        </is>
      </c>
      <c r="K504" t="inlineStr">
        <is>
          <t>RT1351 2024 CHEVROLET SILVERADO 2500 DIESEL CUSTOM 4X4 2024 CHEVROLET SILVERADO 2500 DIESEL CUSTOM 4X4</t>
        </is>
      </c>
      <c r="L504" t="n">
        <v>0</v>
      </c>
      <c r="M504" t="n">
        <v>0</v>
      </c>
      <c r="O504" t="inlineStr">
        <is>
          <t>RT1351</t>
        </is>
      </c>
      <c r="Q504" s="114" t="n">
        <v>0</v>
      </c>
      <c r="R504" s="114" t="n">
        <v>79.14</v>
      </c>
      <c r="S504" s="114" t="n">
        <v>0</v>
      </c>
      <c r="T504" t="n">
        <v>0</v>
      </c>
    </row>
    <row r="505">
      <c r="A505" t="inlineStr">
        <is>
          <t>ttJTrans</t>
        </is>
      </c>
      <c r="B505" s="38" t="inlineStr">
        <is>
          <t>0-4005</t>
        </is>
      </c>
      <c r="C505" t="inlineStr">
        <is>
          <t>EQ</t>
        </is>
      </c>
      <c r="E505" t="inlineStr">
        <is>
          <t>EQ</t>
        </is>
      </c>
      <c r="H505" s="127" t="n">
        <v>46159</v>
      </c>
      <c r="J505" s="38" t="inlineStr">
        <is>
          <t>0-4005</t>
        </is>
      </c>
      <c r="K505" t="inlineStr">
        <is>
          <t>TR429 SPARTAN 7X16 CARGO TRAILER W/ RAMP DOOR SPARTAN 7X16 CARGO TRAILER W/ RAMP DOOR</t>
        </is>
      </c>
      <c r="L505" t="n">
        <v>0</v>
      </c>
      <c r="M505" t="n">
        <v>0</v>
      </c>
      <c r="O505" t="inlineStr">
        <is>
          <t>TR429</t>
        </is>
      </c>
      <c r="Q505" s="114" t="n">
        <v>0</v>
      </c>
      <c r="R505" s="114" t="n">
        <v>65</v>
      </c>
      <c r="S505" s="114" t="n">
        <v>0</v>
      </c>
      <c r="T505" t="n">
        <v>0</v>
      </c>
    </row>
    <row r="506">
      <c r="A506" t="inlineStr">
        <is>
          <t>ttJTrans</t>
        </is>
      </c>
      <c r="B506" s="38" t="inlineStr">
        <is>
          <t>0-4005</t>
        </is>
      </c>
      <c r="C506" t="inlineStr">
        <is>
          <t>EQ</t>
        </is>
      </c>
      <c r="E506" t="inlineStr">
        <is>
          <t>EQ</t>
        </is>
      </c>
      <c r="H506" s="127" t="n">
        <v>46159</v>
      </c>
      <c r="J506" s="38" t="inlineStr">
        <is>
          <t>0-4005</t>
        </is>
      </c>
      <c r="K506" t="inlineStr">
        <is>
          <t>TR429 SPARTAN 7X16 CARGO TRAILER W/ RAMP DOOR SPARTAN 7X16 CARGO TRAILER W/ RAMP DOOR</t>
        </is>
      </c>
      <c r="L506" t="n">
        <v>0</v>
      </c>
      <c r="M506" t="n">
        <v>0</v>
      </c>
      <c r="O506" t="inlineStr">
        <is>
          <t>TR429</t>
        </is>
      </c>
      <c r="Q506" s="114" t="n">
        <v>0</v>
      </c>
      <c r="R506" s="114" t="n">
        <v>65</v>
      </c>
      <c r="S506" s="114" t="n">
        <v>0</v>
      </c>
      <c r="T506" t="n">
        <v>0</v>
      </c>
    </row>
    <row r="507">
      <c r="A507" t="inlineStr">
        <is>
          <t>ttJTrans</t>
        </is>
      </c>
      <c r="B507" s="38" t="inlineStr">
        <is>
          <t>0-4005</t>
        </is>
      </c>
      <c r="C507" t="inlineStr">
        <is>
          <t>EQ</t>
        </is>
      </c>
      <c r="E507" t="inlineStr">
        <is>
          <t>EQ</t>
        </is>
      </c>
      <c r="H507" s="127" t="n">
        <v>46159</v>
      </c>
      <c r="J507" s="38" t="inlineStr">
        <is>
          <t>0-4005</t>
        </is>
      </c>
      <c r="K507" t="inlineStr">
        <is>
          <t>TR429 SPARTAN 7X16 CARGO TRAILER W/ RAMP DOOR SPARTAN 7X16 CARGO TRAILER W/ RAMP DOOR</t>
        </is>
      </c>
      <c r="L507" t="n">
        <v>0</v>
      </c>
      <c r="M507" t="n">
        <v>0</v>
      </c>
      <c r="O507" t="inlineStr">
        <is>
          <t>TR429</t>
        </is>
      </c>
      <c r="Q507" s="114" t="n">
        <v>0</v>
      </c>
      <c r="R507" s="114" t="n">
        <v>65</v>
      </c>
      <c r="S507" s="114" t="n">
        <v>0</v>
      </c>
      <c r="T507" t="n">
        <v>0</v>
      </c>
    </row>
    <row r="508">
      <c r="A508" t="inlineStr">
        <is>
          <t>ttJTrans</t>
        </is>
      </c>
      <c r="B508" s="38" t="inlineStr">
        <is>
          <t>0-4005</t>
        </is>
      </c>
      <c r="C508" t="inlineStr">
        <is>
          <t>EQ</t>
        </is>
      </c>
      <c r="E508" t="inlineStr">
        <is>
          <t>EQ</t>
        </is>
      </c>
      <c r="H508" s="127" t="n">
        <v>46159</v>
      </c>
      <c r="J508" s="38" t="inlineStr">
        <is>
          <t>0-4005</t>
        </is>
      </c>
      <c r="K508" t="inlineStr">
        <is>
          <t>TR429 SPARTAN 7X16 CARGO TRAILER W/ RAMP DOOR SPARTAN 7X16 CARGO TRAILER W/ RAMP DOOR</t>
        </is>
      </c>
      <c r="L508" t="n">
        <v>0</v>
      </c>
      <c r="M508" t="n">
        <v>0</v>
      </c>
      <c r="O508" t="inlineStr">
        <is>
          <t>TR429</t>
        </is>
      </c>
      <c r="Q508" s="114" t="n">
        <v>0</v>
      </c>
      <c r="R508" s="114" t="n">
        <v>65</v>
      </c>
      <c r="S508" s="114" t="n">
        <v>0</v>
      </c>
      <c r="T508" t="n">
        <v>0</v>
      </c>
    </row>
    <row r="509">
      <c r="A509" t="inlineStr">
        <is>
          <t>ttJTrans</t>
        </is>
      </c>
      <c r="B509" s="38" t="inlineStr">
        <is>
          <t>0-4005</t>
        </is>
      </c>
      <c r="C509" t="inlineStr">
        <is>
          <t>EQ</t>
        </is>
      </c>
      <c r="E509" t="inlineStr">
        <is>
          <t>EQ</t>
        </is>
      </c>
      <c r="H509" s="127" t="n">
        <v>46159</v>
      </c>
      <c r="J509" s="38" t="inlineStr">
        <is>
          <t>0-4005</t>
        </is>
      </c>
      <c r="K509" t="inlineStr">
        <is>
          <t>TR429 SPARTAN 7X16 CARGO TRAILER W/ RAMP DOOR SPARTAN 7X16 CARGO TRAILER W/ RAMP DOOR</t>
        </is>
      </c>
      <c r="L509" t="n">
        <v>0</v>
      </c>
      <c r="M509" t="n">
        <v>0</v>
      </c>
      <c r="O509" t="inlineStr">
        <is>
          <t>TR429</t>
        </is>
      </c>
      <c r="Q509" s="114" t="n">
        <v>0</v>
      </c>
      <c r="R509" s="114" t="n">
        <v>65</v>
      </c>
      <c r="S509" s="114" t="n">
        <v>0</v>
      </c>
      <c r="T509" t="n">
        <v>0</v>
      </c>
    </row>
    <row r="510">
      <c r="A510" t="inlineStr">
        <is>
          <t>ttJTrans</t>
        </is>
      </c>
      <c r="B510" s="38" t="inlineStr">
        <is>
          <t>0-4005</t>
        </is>
      </c>
      <c r="C510" t="inlineStr">
        <is>
          <t>EQ</t>
        </is>
      </c>
      <c r="E510" t="inlineStr">
        <is>
          <t>EQ</t>
        </is>
      </c>
      <c r="H510" s="127" t="n">
        <v>46159</v>
      </c>
      <c r="J510" s="38" t="inlineStr">
        <is>
          <t>0-4005</t>
        </is>
      </c>
      <c r="K510" t="inlineStr">
        <is>
          <t>TR429 SPARTAN 7X16 CARGO TRAILER W/ RAMP DOOR SPARTAN 7X16 CARGO TRAILER W/ RAMP DOOR</t>
        </is>
      </c>
      <c r="L510" t="n">
        <v>0</v>
      </c>
      <c r="M510" t="n">
        <v>0</v>
      </c>
      <c r="O510" t="inlineStr">
        <is>
          <t>TR429</t>
        </is>
      </c>
      <c r="Q510" s="114" t="n">
        <v>0</v>
      </c>
      <c r="R510" s="114" t="n">
        <v>65</v>
      </c>
      <c r="S510" s="114" t="n">
        <v>0</v>
      </c>
      <c r="T510" t="n">
        <v>0</v>
      </c>
    </row>
    <row r="511">
      <c r="A511" t="inlineStr">
        <is>
          <t>ttJTrans</t>
        </is>
      </c>
      <c r="B511" s="38" t="inlineStr">
        <is>
          <t>0-4005</t>
        </is>
      </c>
      <c r="C511" t="inlineStr">
        <is>
          <t>EQ</t>
        </is>
      </c>
      <c r="E511" t="inlineStr">
        <is>
          <t>EQ</t>
        </is>
      </c>
      <c r="H511" s="127" t="n">
        <v>46159</v>
      </c>
      <c r="J511" s="38" t="inlineStr">
        <is>
          <t>0-4005</t>
        </is>
      </c>
      <c r="K511" t="inlineStr">
        <is>
          <t>TR425 20FT ENCLOSED CARGO TRAILER (CHARGED TO 22-4001) 20FT ENCLOSED CARGO TRAILER (CHARGED TO 22-4001)</t>
        </is>
      </c>
      <c r="L511" t="n">
        <v>0</v>
      </c>
      <c r="M511" t="n">
        <v>0</v>
      </c>
      <c r="O511" t="inlineStr">
        <is>
          <t>TR425</t>
        </is>
      </c>
      <c r="Q511" s="114" t="n">
        <v>0</v>
      </c>
      <c r="R511" s="114" t="n">
        <v>65</v>
      </c>
      <c r="S511" s="114" t="n">
        <v>0</v>
      </c>
      <c r="T511" t="n">
        <v>0</v>
      </c>
    </row>
    <row r="512">
      <c r="A512" t="inlineStr">
        <is>
          <t>ttJTrans</t>
        </is>
      </c>
      <c r="B512" s="38" t="inlineStr">
        <is>
          <t>0-4005</t>
        </is>
      </c>
      <c r="C512" t="inlineStr">
        <is>
          <t>EQ</t>
        </is>
      </c>
      <c r="E512" t="inlineStr">
        <is>
          <t>EQ</t>
        </is>
      </c>
      <c r="H512" s="127" t="n">
        <v>46159</v>
      </c>
      <c r="J512" s="38" t="inlineStr">
        <is>
          <t>0-4005</t>
        </is>
      </c>
      <c r="K512" t="inlineStr">
        <is>
          <t>TR425 20FT ENCLOSED CARGO TRAILER (CHARGED TO 22-4001) 20FT ENCLOSED CARGO TRAILER (CHARGED TO 22-4001)</t>
        </is>
      </c>
      <c r="L512" t="n">
        <v>0</v>
      </c>
      <c r="M512" t="n">
        <v>0</v>
      </c>
      <c r="O512" t="inlineStr">
        <is>
          <t>TR425</t>
        </is>
      </c>
      <c r="Q512" s="114" t="n">
        <v>0</v>
      </c>
      <c r="R512" s="114" t="n">
        <v>65</v>
      </c>
      <c r="S512" s="114" t="n">
        <v>0</v>
      </c>
      <c r="T512" t="n">
        <v>0</v>
      </c>
    </row>
    <row r="513">
      <c r="A513" t="inlineStr">
        <is>
          <t>ttJTrans</t>
        </is>
      </c>
      <c r="B513" s="38" t="inlineStr">
        <is>
          <t>0-4005</t>
        </is>
      </c>
      <c r="C513" t="inlineStr">
        <is>
          <t>EQ</t>
        </is>
      </c>
      <c r="E513" t="inlineStr">
        <is>
          <t>EQ</t>
        </is>
      </c>
      <c r="H513" s="127" t="n">
        <v>46159</v>
      </c>
      <c r="J513" s="38" t="inlineStr">
        <is>
          <t>0-4005</t>
        </is>
      </c>
      <c r="K513" t="inlineStr">
        <is>
          <t>TR425 20FT ENCLOSED CARGO TRAILER (CHARGED TO 22-4001) 20FT ENCLOSED CARGO TRAILER (CHARGED TO 22-4001)</t>
        </is>
      </c>
      <c r="L513" t="n">
        <v>0</v>
      </c>
      <c r="M513" t="n">
        <v>0</v>
      </c>
      <c r="O513" t="inlineStr">
        <is>
          <t>TR425</t>
        </is>
      </c>
      <c r="Q513" s="114" t="n">
        <v>0</v>
      </c>
      <c r="R513" s="114" t="n">
        <v>65</v>
      </c>
      <c r="S513" s="114" t="n">
        <v>0</v>
      </c>
      <c r="T513" t="n">
        <v>0</v>
      </c>
    </row>
    <row r="514">
      <c r="A514" t="inlineStr">
        <is>
          <t>ttJTrans</t>
        </is>
      </c>
      <c r="B514" s="38" t="inlineStr">
        <is>
          <t>0-4005</t>
        </is>
      </c>
      <c r="C514" t="inlineStr">
        <is>
          <t>EQ</t>
        </is>
      </c>
      <c r="E514" t="inlineStr">
        <is>
          <t>EQ</t>
        </is>
      </c>
      <c r="H514" s="127" t="n">
        <v>46159</v>
      </c>
      <c r="J514" s="38" t="inlineStr">
        <is>
          <t>0-4005</t>
        </is>
      </c>
      <c r="K514" t="inlineStr">
        <is>
          <t>TR425 20FT ENCLOSED CARGO TRAILER (CHARGED TO 22-4001) 20FT ENCLOSED CARGO TRAILER (CHARGED TO 22-4001)</t>
        </is>
      </c>
      <c r="L514" t="n">
        <v>0</v>
      </c>
      <c r="M514" t="n">
        <v>0</v>
      </c>
      <c r="O514" t="inlineStr">
        <is>
          <t>TR425</t>
        </is>
      </c>
      <c r="Q514" s="114" t="n">
        <v>0</v>
      </c>
      <c r="R514" s="114" t="n">
        <v>65</v>
      </c>
      <c r="S514" s="114" t="n">
        <v>0</v>
      </c>
      <c r="T514" t="n">
        <v>0</v>
      </c>
    </row>
    <row r="515">
      <c r="A515" t="inlineStr">
        <is>
          <t>ttJTrans</t>
        </is>
      </c>
      <c r="B515" s="38" t="inlineStr">
        <is>
          <t>0-4005</t>
        </is>
      </c>
      <c r="C515" t="inlineStr">
        <is>
          <t>EQ</t>
        </is>
      </c>
      <c r="E515" t="inlineStr">
        <is>
          <t>EQ</t>
        </is>
      </c>
      <c r="H515" s="127" t="n">
        <v>46159</v>
      </c>
      <c r="J515" s="38" t="inlineStr">
        <is>
          <t>0-4005</t>
        </is>
      </c>
      <c r="K515" t="inlineStr">
        <is>
          <t>TR425 20FT ENCLOSED CARGO TRAILER (CHARGED TO 22-4001) 20FT ENCLOSED CARGO TRAILER (CHARGED TO 22-4001)</t>
        </is>
      </c>
      <c r="L515" t="n">
        <v>0</v>
      </c>
      <c r="M515" t="n">
        <v>0</v>
      </c>
      <c r="O515" t="inlineStr">
        <is>
          <t>TR425</t>
        </is>
      </c>
      <c r="Q515" s="114" t="n">
        <v>0</v>
      </c>
      <c r="R515" s="114" t="n">
        <v>65</v>
      </c>
      <c r="S515" s="114" t="n">
        <v>0</v>
      </c>
      <c r="T515" t="n">
        <v>0</v>
      </c>
    </row>
    <row r="516">
      <c r="A516" t="inlineStr">
        <is>
          <t>ttJTrans</t>
        </is>
      </c>
      <c r="B516" s="38" t="inlineStr">
        <is>
          <t>0-4005</t>
        </is>
      </c>
      <c r="C516" t="inlineStr">
        <is>
          <t>EQ</t>
        </is>
      </c>
      <c r="E516" t="inlineStr">
        <is>
          <t>EQ</t>
        </is>
      </c>
      <c r="H516" s="127" t="n">
        <v>46159</v>
      </c>
      <c r="J516" s="38" t="inlineStr">
        <is>
          <t>0-4005</t>
        </is>
      </c>
      <c r="K516" t="inlineStr">
        <is>
          <t>TR425 20FT ENCLOSED CARGO TRAILER (CHARGED TO 22-4001) 20FT ENCLOSED CARGO TRAILER (CHARGED TO 22-4001)</t>
        </is>
      </c>
      <c r="L516" t="n">
        <v>0</v>
      </c>
      <c r="M516" t="n">
        <v>0</v>
      </c>
      <c r="O516" t="inlineStr">
        <is>
          <t>TR425</t>
        </is>
      </c>
      <c r="Q516" s="114" t="n">
        <v>0</v>
      </c>
      <c r="R516" s="114" t="n">
        <v>65</v>
      </c>
      <c r="S516" s="114" t="n">
        <v>0</v>
      </c>
      <c r="T516" t="n">
        <v>0</v>
      </c>
    </row>
    <row r="517">
      <c r="A517" t="inlineStr">
        <is>
          <t>ttJTrans</t>
        </is>
      </c>
      <c r="B517" s="38" t="inlineStr">
        <is>
          <t>0-4005</t>
        </is>
      </c>
      <c r="C517" t="inlineStr">
        <is>
          <t>EQ</t>
        </is>
      </c>
      <c r="E517" t="inlineStr">
        <is>
          <t>EQ</t>
        </is>
      </c>
      <c r="H517" s="127" t="n">
        <v>46159</v>
      </c>
      <c r="J517" s="38" t="inlineStr">
        <is>
          <t>0-4005</t>
        </is>
      </c>
      <c r="K517" t="inlineStr">
        <is>
          <t>RT1479 2025 FORD F150 CREW CAB 4X4 2025 FORD F150 CREW CAB 4X4</t>
        </is>
      </c>
      <c r="L517" t="n">
        <v>0</v>
      </c>
      <c r="M517" t="n">
        <v>0</v>
      </c>
      <c r="O517" t="inlineStr">
        <is>
          <t>RT1479</t>
        </is>
      </c>
      <c r="Q517" s="114" t="n">
        <v>0</v>
      </c>
      <c r="R517" s="114" t="n">
        <v>79.14</v>
      </c>
      <c r="S517" s="114" t="n">
        <v>0</v>
      </c>
      <c r="T517" t="n">
        <v>0</v>
      </c>
    </row>
    <row r="518">
      <c r="A518" t="inlineStr">
        <is>
          <t>ttJTrans</t>
        </is>
      </c>
      <c r="B518" s="38" t="inlineStr">
        <is>
          <t>0-4005</t>
        </is>
      </c>
      <c r="C518" t="inlineStr">
        <is>
          <t>EQ</t>
        </is>
      </c>
      <c r="E518" t="inlineStr">
        <is>
          <t>EQ</t>
        </is>
      </c>
      <c r="H518" s="127" t="n">
        <v>46159</v>
      </c>
      <c r="J518" s="38" t="inlineStr">
        <is>
          <t>0-4005</t>
        </is>
      </c>
      <c r="K518" t="inlineStr">
        <is>
          <t>RT1479 2025 FORD F150 CREW CAB 4X4 2025 FORD F150 CREW CAB 4X4</t>
        </is>
      </c>
      <c r="L518" t="n">
        <v>0</v>
      </c>
      <c r="M518" t="n">
        <v>0</v>
      </c>
      <c r="O518" t="inlineStr">
        <is>
          <t>RT1479</t>
        </is>
      </c>
      <c r="Q518" s="114" t="n">
        <v>0</v>
      </c>
      <c r="R518" s="114" t="n">
        <v>79.14</v>
      </c>
      <c r="S518" s="114" t="n">
        <v>0</v>
      </c>
      <c r="T518" t="n">
        <v>0</v>
      </c>
    </row>
    <row r="519">
      <c r="A519" t="inlineStr">
        <is>
          <t>ttJTrans</t>
        </is>
      </c>
      <c r="B519" s="38" t="inlineStr">
        <is>
          <t>0-4005</t>
        </is>
      </c>
      <c r="C519" t="inlineStr">
        <is>
          <t>EQ</t>
        </is>
      </c>
      <c r="E519" t="inlineStr">
        <is>
          <t>EQ</t>
        </is>
      </c>
      <c r="H519" s="127" t="n">
        <v>46159</v>
      </c>
      <c r="J519" s="38" t="inlineStr">
        <is>
          <t>0-4005</t>
        </is>
      </c>
      <c r="K519" t="inlineStr">
        <is>
          <t>RT1479 2025 FORD F150 CREW CAB 4X4 2025 FORD F150 CREW CAB 4X4</t>
        </is>
      </c>
      <c r="L519" t="n">
        <v>0</v>
      </c>
      <c r="M519" t="n">
        <v>0</v>
      </c>
      <c r="O519" t="inlineStr">
        <is>
          <t>RT1479</t>
        </is>
      </c>
      <c r="Q519" s="114" t="n">
        <v>0</v>
      </c>
      <c r="R519" s="114" t="n">
        <v>79.14</v>
      </c>
      <c r="S519" s="114" t="n">
        <v>0</v>
      </c>
      <c r="T519" t="n">
        <v>0</v>
      </c>
    </row>
    <row r="520">
      <c r="A520" t="inlineStr">
        <is>
          <t>ttJTrans</t>
        </is>
      </c>
      <c r="B520" s="38" t="inlineStr">
        <is>
          <t>0-4005</t>
        </is>
      </c>
      <c r="C520" t="inlineStr">
        <is>
          <t>EQ</t>
        </is>
      </c>
      <c r="E520" t="inlineStr">
        <is>
          <t>EQ</t>
        </is>
      </c>
      <c r="H520" s="127" t="n">
        <v>46159</v>
      </c>
      <c r="J520" s="38" t="inlineStr">
        <is>
          <t>0-4005</t>
        </is>
      </c>
      <c r="K520" t="inlineStr">
        <is>
          <t>RT1479 2025 FORD F150 CREW CAB 4X4 2025 FORD F150 CREW CAB 4X4</t>
        </is>
      </c>
      <c r="L520" t="n">
        <v>0</v>
      </c>
      <c r="M520" t="n">
        <v>0</v>
      </c>
      <c r="O520" t="inlineStr">
        <is>
          <t>RT1479</t>
        </is>
      </c>
      <c r="Q520" s="114" t="n">
        <v>0</v>
      </c>
      <c r="R520" s="114" t="n">
        <v>79.14</v>
      </c>
      <c r="S520" s="114" t="n">
        <v>0</v>
      </c>
      <c r="T520" t="n">
        <v>0</v>
      </c>
    </row>
    <row r="521">
      <c r="A521" t="inlineStr">
        <is>
          <t>ttJTrans</t>
        </is>
      </c>
      <c r="B521" s="38" t="inlineStr">
        <is>
          <t>0-4005</t>
        </is>
      </c>
      <c r="C521" t="inlineStr">
        <is>
          <t>EQ</t>
        </is>
      </c>
      <c r="E521" t="inlineStr">
        <is>
          <t>EQ</t>
        </is>
      </c>
      <c r="H521" s="127" t="n">
        <v>46159</v>
      </c>
      <c r="J521" s="38" t="inlineStr">
        <is>
          <t>0-4005</t>
        </is>
      </c>
      <c r="K521" t="inlineStr">
        <is>
          <t>RT1479 2025 FORD F150 CREW CAB 4X4 2025 FORD F150 CREW CAB 4X4</t>
        </is>
      </c>
      <c r="L521" t="n">
        <v>0</v>
      </c>
      <c r="M521" t="n">
        <v>0</v>
      </c>
      <c r="O521" t="inlineStr">
        <is>
          <t>RT1479</t>
        </is>
      </c>
      <c r="Q521" s="114" t="n">
        <v>0</v>
      </c>
      <c r="R521" s="114" t="n">
        <v>79.14</v>
      </c>
      <c r="S521" s="114" t="n">
        <v>0</v>
      </c>
      <c r="T521" t="n">
        <v>0</v>
      </c>
    </row>
    <row r="522">
      <c r="A522" t="inlineStr">
        <is>
          <t>ttJTrans</t>
        </is>
      </c>
      <c r="B522" s="38" t="inlineStr">
        <is>
          <t>0-4005</t>
        </is>
      </c>
      <c r="C522" t="inlineStr">
        <is>
          <t>EQ</t>
        </is>
      </c>
      <c r="E522" t="inlineStr">
        <is>
          <t>EQ</t>
        </is>
      </c>
      <c r="H522" s="127" t="n">
        <v>46159</v>
      </c>
      <c r="J522" s="38" t="inlineStr">
        <is>
          <t>0-4005</t>
        </is>
      </c>
      <c r="K522" t="inlineStr">
        <is>
          <t>RT1479 2025 FORD F150 CREW CAB 4X4 2025 FORD F150 CREW CAB 4X4</t>
        </is>
      </c>
      <c r="L522" t="n">
        <v>0</v>
      </c>
      <c r="M522" t="n">
        <v>0</v>
      </c>
      <c r="O522" t="inlineStr">
        <is>
          <t>RT1479</t>
        </is>
      </c>
      <c r="Q522" s="114" t="n">
        <v>0</v>
      </c>
      <c r="R522" s="114" t="n">
        <v>79.14</v>
      </c>
      <c r="S522" s="114" t="n">
        <v>0</v>
      </c>
      <c r="T522" t="n">
        <v>0</v>
      </c>
    </row>
    <row r="523">
      <c r="A523" t="inlineStr">
        <is>
          <t>ttJTrans</t>
        </is>
      </c>
      <c r="B523" s="38" t="inlineStr">
        <is>
          <t>0-4005</t>
        </is>
      </c>
      <c r="C523" t="inlineStr">
        <is>
          <t>EQ</t>
        </is>
      </c>
      <c r="E523" t="inlineStr">
        <is>
          <t>EQ</t>
        </is>
      </c>
      <c r="H523" s="127" t="n">
        <v>46159</v>
      </c>
      <c r="J523" s="38" t="inlineStr">
        <is>
          <t>0-4005</t>
        </is>
      </c>
      <c r="K523" t="inlineStr">
        <is>
          <t>RT1481 2025 FORD F150 CREW CAB 4X4 2025 FORD F150 CREW CAB 4X4</t>
        </is>
      </c>
      <c r="L523" t="n">
        <v>0</v>
      </c>
      <c r="M523" t="n">
        <v>0</v>
      </c>
      <c r="O523" t="inlineStr">
        <is>
          <t>RT1481</t>
        </is>
      </c>
      <c r="Q523" s="114" t="n">
        <v>0</v>
      </c>
      <c r="R523" s="114" t="n">
        <v>79.14</v>
      </c>
      <c r="S523" s="114" t="n">
        <v>0</v>
      </c>
      <c r="T523" t="n">
        <v>0</v>
      </c>
    </row>
    <row r="524">
      <c r="A524" t="inlineStr">
        <is>
          <t>ttJTrans</t>
        </is>
      </c>
      <c r="B524" s="38" t="inlineStr">
        <is>
          <t>0-4005</t>
        </is>
      </c>
      <c r="C524" t="inlineStr">
        <is>
          <t>EQ</t>
        </is>
      </c>
      <c r="E524" t="inlineStr">
        <is>
          <t>EQ</t>
        </is>
      </c>
      <c r="H524" s="127" t="n">
        <v>46159</v>
      </c>
      <c r="J524" s="38" t="inlineStr">
        <is>
          <t>0-4005</t>
        </is>
      </c>
      <c r="K524" t="inlineStr">
        <is>
          <t>RT1242 2022 RAM 2500 TRADESMAN 4X4 CREW 8FT BED GAS 2022 RAM 2500 TRADESMAN 4X4 CREW 8FT BED GAS</t>
        </is>
      </c>
      <c r="L524" t="n">
        <v>0</v>
      </c>
      <c r="M524" t="n">
        <v>0</v>
      </c>
      <c r="O524" t="inlineStr">
        <is>
          <t>RT1242</t>
        </is>
      </c>
      <c r="Q524" s="114" t="n">
        <v>0</v>
      </c>
      <c r="R524" s="114" t="n">
        <v>79.14</v>
      </c>
      <c r="S524" s="114" t="n">
        <v>0</v>
      </c>
      <c r="T524" t="n">
        <v>0</v>
      </c>
    </row>
    <row r="525">
      <c r="A525" t="inlineStr">
        <is>
          <t>ttJTrans</t>
        </is>
      </c>
      <c r="B525" s="38" t="inlineStr">
        <is>
          <t>0-4005</t>
        </is>
      </c>
      <c r="C525" t="inlineStr">
        <is>
          <t>EQ</t>
        </is>
      </c>
      <c r="E525" t="inlineStr">
        <is>
          <t>EQ</t>
        </is>
      </c>
      <c r="H525" s="127" t="n">
        <v>46159</v>
      </c>
      <c r="J525" s="38" t="inlineStr">
        <is>
          <t>0-4005</t>
        </is>
      </c>
      <c r="K525" t="inlineStr">
        <is>
          <t>RT1481 2025 FORD F150 CREW CAB 4X4 2025 FORD F150 CREW CAB 4X4</t>
        </is>
      </c>
      <c r="L525" t="n">
        <v>0</v>
      </c>
      <c r="M525" t="n">
        <v>0</v>
      </c>
      <c r="O525" t="inlineStr">
        <is>
          <t>RT1481</t>
        </is>
      </c>
      <c r="Q525" s="114" t="n">
        <v>0</v>
      </c>
      <c r="R525" s="114" t="n">
        <v>79.14</v>
      </c>
      <c r="S525" s="114" t="n">
        <v>0</v>
      </c>
      <c r="T525" t="n">
        <v>0</v>
      </c>
    </row>
    <row r="526">
      <c r="A526" t="inlineStr">
        <is>
          <t>ttJTrans</t>
        </is>
      </c>
      <c r="B526" s="38" t="inlineStr">
        <is>
          <t>0-4005</t>
        </is>
      </c>
      <c r="C526" t="inlineStr">
        <is>
          <t>EQ</t>
        </is>
      </c>
      <c r="E526" t="inlineStr">
        <is>
          <t>EQ</t>
        </is>
      </c>
      <c r="H526" s="127" t="n">
        <v>46159</v>
      </c>
      <c r="J526" s="38" t="inlineStr">
        <is>
          <t>0-4005</t>
        </is>
      </c>
      <c r="K526" t="inlineStr">
        <is>
          <t>RT1481 2025 FORD F150 CREW CAB 4X4 2025 FORD F150 CREW CAB 4X4</t>
        </is>
      </c>
      <c r="L526" t="n">
        <v>0</v>
      </c>
      <c r="M526" t="n">
        <v>0</v>
      </c>
      <c r="O526" t="inlineStr">
        <is>
          <t>RT1481</t>
        </is>
      </c>
      <c r="Q526" s="114" t="n">
        <v>0</v>
      </c>
      <c r="R526" s="114" t="n">
        <v>79.14</v>
      </c>
      <c r="S526" s="114" t="n">
        <v>0</v>
      </c>
      <c r="T526" t="n">
        <v>0</v>
      </c>
    </row>
    <row r="527">
      <c r="A527" t="inlineStr">
        <is>
          <t>ttJTrans</t>
        </is>
      </c>
      <c r="B527" s="38" t="inlineStr">
        <is>
          <t>0-4005</t>
        </is>
      </c>
      <c r="C527" t="inlineStr">
        <is>
          <t>EQ</t>
        </is>
      </c>
      <c r="E527" t="inlineStr">
        <is>
          <t>EQ</t>
        </is>
      </c>
      <c r="H527" s="127" t="n">
        <v>46159</v>
      </c>
      <c r="J527" s="38" t="inlineStr">
        <is>
          <t>0-4005</t>
        </is>
      </c>
      <c r="K527" t="inlineStr">
        <is>
          <t>RT1481 2025 FORD F150 CREW CAB 4X4 2025 FORD F150 CREW CAB 4X4</t>
        </is>
      </c>
      <c r="L527" t="n">
        <v>0</v>
      </c>
      <c r="M527" t="n">
        <v>0</v>
      </c>
      <c r="O527" t="inlineStr">
        <is>
          <t>RT1481</t>
        </is>
      </c>
      <c r="Q527" s="114" t="n">
        <v>0</v>
      </c>
      <c r="R527" s="114" t="n">
        <v>79.14</v>
      </c>
      <c r="S527" s="114" t="n">
        <v>0</v>
      </c>
      <c r="T527" t="n">
        <v>0</v>
      </c>
    </row>
    <row r="528">
      <c r="A528" t="inlineStr">
        <is>
          <t>ttJTrans</t>
        </is>
      </c>
      <c r="B528" s="38" t="inlineStr">
        <is>
          <t>0-4005</t>
        </is>
      </c>
      <c r="C528" t="inlineStr">
        <is>
          <t>EQ</t>
        </is>
      </c>
      <c r="E528" t="inlineStr">
        <is>
          <t>EQ</t>
        </is>
      </c>
      <c r="H528" s="127" t="n">
        <v>46159</v>
      </c>
      <c r="J528" s="38" t="inlineStr">
        <is>
          <t>0-4005</t>
        </is>
      </c>
      <c r="K528" t="inlineStr">
        <is>
          <t>RT1481 2025 FORD F150 CREW CAB 4X4 2025 FORD F150 CREW CAB 4X4</t>
        </is>
      </c>
      <c r="L528" t="n">
        <v>0</v>
      </c>
      <c r="M528" t="n">
        <v>0</v>
      </c>
      <c r="O528" t="inlineStr">
        <is>
          <t>RT1481</t>
        </is>
      </c>
      <c r="Q528" s="114" t="n">
        <v>0</v>
      </c>
      <c r="R528" s="114" t="n">
        <v>79.14</v>
      </c>
      <c r="S528" s="114" t="n">
        <v>0</v>
      </c>
      <c r="T528" t="n">
        <v>0</v>
      </c>
    </row>
    <row r="529">
      <c r="A529" t="inlineStr">
        <is>
          <t>ttJTrans</t>
        </is>
      </c>
      <c r="B529" s="41" t="inlineStr">
        <is>
          <t>0-4005</t>
        </is>
      </c>
      <c r="C529" t="inlineStr">
        <is>
          <t>EQ</t>
        </is>
      </c>
      <c r="E529" t="inlineStr">
        <is>
          <t>EQ</t>
        </is>
      </c>
      <c r="H529" s="127" t="n">
        <v>46159</v>
      </c>
      <c r="J529" s="38" t="inlineStr">
        <is>
          <t>0-4005</t>
        </is>
      </c>
      <c r="K529" t="inlineStr">
        <is>
          <t>RT1481 2025 FORD F150 CREW CAB 4X4 2025 FORD F150 CREW CAB 4X4</t>
        </is>
      </c>
      <c r="L529" t="n">
        <v>0</v>
      </c>
      <c r="M529" t="n">
        <v>0</v>
      </c>
      <c r="O529" t="inlineStr">
        <is>
          <t>RT1481</t>
        </is>
      </c>
      <c r="Q529" s="114" t="n">
        <v>0</v>
      </c>
      <c r="R529" s="114" t="n">
        <v>79.14</v>
      </c>
      <c r="S529" s="114" t="n">
        <v>0</v>
      </c>
      <c r="T529" t="n">
        <v>0</v>
      </c>
    </row>
    <row r="530">
      <c r="A530" t="inlineStr">
        <is>
          <t>ttJTrans</t>
        </is>
      </c>
      <c r="B530" s="41" t="inlineStr">
        <is>
          <t>0-4005</t>
        </is>
      </c>
      <c r="C530" t="inlineStr">
        <is>
          <t>EQ</t>
        </is>
      </c>
      <c r="E530" t="inlineStr">
        <is>
          <t>EQ</t>
        </is>
      </c>
      <c r="H530" s="127" t="n">
        <v>46166</v>
      </c>
      <c r="J530" s="38" t="inlineStr">
        <is>
          <t>0-4005</t>
        </is>
      </c>
      <c r="K530" t="inlineStr">
        <is>
          <t>WLV106 2025 FORD F150 XL STX (SAFETY) 2025 FORD F150 XL STX (SAFETY)</t>
        </is>
      </c>
      <c r="L530" t="n">
        <v>0</v>
      </c>
      <c r="M530" t="n">
        <v>0</v>
      </c>
      <c r="O530" t="inlineStr">
        <is>
          <t>WLV106</t>
        </is>
      </c>
      <c r="Q530" s="114" t="n">
        <v>0</v>
      </c>
      <c r="R530" s="114" t="n">
        <v>79.14</v>
      </c>
      <c r="S530" s="114" t="n">
        <v>0</v>
      </c>
      <c r="T530" t="n">
        <v>0</v>
      </c>
    </row>
    <row r="531">
      <c r="A531" t="inlineStr">
        <is>
          <t>ttJTrans</t>
        </is>
      </c>
      <c r="B531" s="41" t="inlineStr">
        <is>
          <t>0-4005</t>
        </is>
      </c>
      <c r="C531" t="inlineStr">
        <is>
          <t>EQ</t>
        </is>
      </c>
      <c r="E531" t="inlineStr">
        <is>
          <t>EQ</t>
        </is>
      </c>
      <c r="H531" s="127" t="n">
        <v>46166</v>
      </c>
      <c r="J531" s="38" t="inlineStr">
        <is>
          <t>0-4005</t>
        </is>
      </c>
      <c r="K531" t="inlineStr">
        <is>
          <t>WLV106 2025 FORD F150 XL STX (SAFETY) 2025 FORD F150 XL STX (SAFETY)</t>
        </is>
      </c>
      <c r="L531" t="n">
        <v>0</v>
      </c>
      <c r="M531" t="n">
        <v>0</v>
      </c>
      <c r="O531" t="inlineStr">
        <is>
          <t>WLV106</t>
        </is>
      </c>
      <c r="Q531" s="114" t="n">
        <v>0</v>
      </c>
      <c r="R531" s="114" t="n">
        <v>79.14</v>
      </c>
      <c r="S531" s="114" t="n">
        <v>0</v>
      </c>
      <c r="T531" t="n">
        <v>0</v>
      </c>
    </row>
    <row r="532">
      <c r="A532" t="inlineStr">
        <is>
          <t>ttJTrans</t>
        </is>
      </c>
      <c r="B532" s="41" t="inlineStr">
        <is>
          <t>0-4005</t>
        </is>
      </c>
      <c r="C532" t="inlineStr">
        <is>
          <t>EQ</t>
        </is>
      </c>
      <c r="E532" t="inlineStr">
        <is>
          <t>EQ</t>
        </is>
      </c>
      <c r="H532" s="127" t="n">
        <v>46166</v>
      </c>
      <c r="J532" s="38" t="inlineStr">
        <is>
          <t>0-4005</t>
        </is>
      </c>
      <c r="K532" t="inlineStr">
        <is>
          <t>WLV106 2025 FORD F150 XL STX (SAFETY) 2025 FORD F150 XL STX (SAFETY)</t>
        </is>
      </c>
      <c r="L532" t="n">
        <v>0</v>
      </c>
      <c r="M532" t="n">
        <v>0</v>
      </c>
      <c r="O532" t="inlineStr">
        <is>
          <t>WLV106</t>
        </is>
      </c>
      <c r="Q532" s="114" t="n">
        <v>0</v>
      </c>
      <c r="R532" s="114" t="n">
        <v>79.14</v>
      </c>
      <c r="S532" s="114" t="n">
        <v>0</v>
      </c>
      <c r="T532" t="n">
        <v>0</v>
      </c>
    </row>
    <row r="533">
      <c r="A533" t="inlineStr">
        <is>
          <t>ttJTrans</t>
        </is>
      </c>
      <c r="B533" s="41" t="inlineStr">
        <is>
          <t>0-4005</t>
        </is>
      </c>
      <c r="C533" t="inlineStr">
        <is>
          <t>EQ</t>
        </is>
      </c>
      <c r="E533" t="inlineStr">
        <is>
          <t>EQ</t>
        </is>
      </c>
      <c r="H533" s="127" t="n">
        <v>46166</v>
      </c>
      <c r="J533" s="38" t="inlineStr">
        <is>
          <t>0-4005</t>
        </is>
      </c>
      <c r="K533" t="inlineStr">
        <is>
          <t>WLV106 2025 FORD F150 XL STX (SAFETY) 2025 FORD F150 XL STX (SAFETY)</t>
        </is>
      </c>
      <c r="L533" t="n">
        <v>0</v>
      </c>
      <c r="M533" t="n">
        <v>0</v>
      </c>
      <c r="O533" t="inlineStr">
        <is>
          <t>WLV106</t>
        </is>
      </c>
      <c r="Q533" s="114" t="n">
        <v>0</v>
      </c>
      <c r="R533" s="114" t="n">
        <v>79.14</v>
      </c>
      <c r="S533" s="114" t="n">
        <v>0</v>
      </c>
      <c r="T533" t="n">
        <v>0</v>
      </c>
    </row>
    <row r="534">
      <c r="A534" t="inlineStr">
        <is>
          <t>ttJTrans</t>
        </is>
      </c>
      <c r="B534" s="41" t="inlineStr">
        <is>
          <t>0-4005</t>
        </is>
      </c>
      <c r="C534" t="inlineStr">
        <is>
          <t>EQ</t>
        </is>
      </c>
      <c r="E534" t="inlineStr">
        <is>
          <t>EQ</t>
        </is>
      </c>
      <c r="H534" s="127" t="n">
        <v>46166</v>
      </c>
      <c r="J534" s="38" t="inlineStr">
        <is>
          <t>0-4005</t>
        </is>
      </c>
      <c r="K534" t="inlineStr">
        <is>
          <t>WLV106 2025 FORD F150 XL STX (SAFETY) 2025 FORD F150 XL STX (SAFETY)</t>
        </is>
      </c>
      <c r="L534" t="n">
        <v>0</v>
      </c>
      <c r="M534" t="n">
        <v>0</v>
      </c>
      <c r="O534" t="inlineStr">
        <is>
          <t>WLV106</t>
        </is>
      </c>
      <c r="Q534" s="114" t="n">
        <v>0</v>
      </c>
      <c r="R534" s="114" t="n">
        <v>79.14</v>
      </c>
      <c r="S534" s="114" t="n">
        <v>0</v>
      </c>
      <c r="T534" t="n">
        <v>0</v>
      </c>
    </row>
    <row r="535">
      <c r="A535" t="inlineStr">
        <is>
          <t>ttJTrans</t>
        </is>
      </c>
      <c r="B535" s="41" t="inlineStr">
        <is>
          <t>0-4005</t>
        </is>
      </c>
      <c r="C535" t="inlineStr">
        <is>
          <t>EQ</t>
        </is>
      </c>
      <c r="E535" t="inlineStr">
        <is>
          <t>EQ</t>
        </is>
      </c>
      <c r="H535" s="127" t="n">
        <v>46166</v>
      </c>
      <c r="J535" s="38" t="inlineStr">
        <is>
          <t>0-4005</t>
        </is>
      </c>
      <c r="K535" t="inlineStr">
        <is>
          <t>WLV106 2025 FORD F150 XL STX (SAFETY) 2025 FORD F150 XL STX (SAFETY)</t>
        </is>
      </c>
      <c r="L535" t="n">
        <v>0</v>
      </c>
      <c r="M535" t="n">
        <v>0</v>
      </c>
      <c r="O535" t="inlineStr">
        <is>
          <t>WLV106</t>
        </is>
      </c>
      <c r="Q535" s="114" t="n">
        <v>0</v>
      </c>
      <c r="R535" s="114" t="n">
        <v>79.14</v>
      </c>
      <c r="S535" s="114" t="n">
        <v>0</v>
      </c>
      <c r="T535" t="n">
        <v>0</v>
      </c>
    </row>
    <row r="536">
      <c r="A536" t="inlineStr">
        <is>
          <t>ttJTrans</t>
        </is>
      </c>
      <c r="B536" s="41" t="inlineStr">
        <is>
          <t>0-4005</t>
        </is>
      </c>
      <c r="C536" t="inlineStr">
        <is>
          <t>EQ</t>
        </is>
      </c>
      <c r="E536" t="inlineStr">
        <is>
          <t>EQ</t>
        </is>
      </c>
      <c r="H536" s="127" t="n">
        <v>46166</v>
      </c>
      <c r="J536" s="38" t="inlineStr">
        <is>
          <t>0-4005</t>
        </is>
      </c>
      <c r="K536" t="inlineStr">
        <is>
          <t>RT1351 2024 CHEVROLET SILVERADO 2500 DIESEL CUSTOM 4X4 2024 CHEVROLET SILVERADO 2500 DIESEL CUSTOM 4X4</t>
        </is>
      </c>
      <c r="L536" t="n">
        <v>0</v>
      </c>
      <c r="M536" t="n">
        <v>0</v>
      </c>
      <c r="O536" t="inlineStr">
        <is>
          <t>RT1351</t>
        </is>
      </c>
      <c r="Q536" s="114" t="n">
        <v>0</v>
      </c>
      <c r="R536" s="114" t="n">
        <v>79.14</v>
      </c>
      <c r="S536" s="114" t="n">
        <v>0</v>
      </c>
      <c r="T536" t="n">
        <v>0</v>
      </c>
    </row>
    <row r="537">
      <c r="A537" t="inlineStr">
        <is>
          <t>ttJTrans</t>
        </is>
      </c>
      <c r="B537" s="41" t="inlineStr">
        <is>
          <t>0-4005</t>
        </is>
      </c>
      <c r="C537" t="inlineStr">
        <is>
          <t>EQ</t>
        </is>
      </c>
      <c r="E537" t="inlineStr">
        <is>
          <t>EQ</t>
        </is>
      </c>
      <c r="H537" s="127" t="n">
        <v>46166</v>
      </c>
      <c r="J537" s="38" t="inlineStr">
        <is>
          <t>0-4005</t>
        </is>
      </c>
      <c r="K537" t="inlineStr">
        <is>
          <t>RT1351 2024 CHEVROLET SILVERADO 2500 DIESEL CUSTOM 4X4 2024 CHEVROLET SILVERADO 2500 DIESEL CUSTOM 4X4</t>
        </is>
      </c>
      <c r="L537" t="n">
        <v>0</v>
      </c>
      <c r="M537" t="n">
        <v>0</v>
      </c>
      <c r="O537" t="inlineStr">
        <is>
          <t>RT1351</t>
        </is>
      </c>
      <c r="Q537" s="114" t="n">
        <v>0</v>
      </c>
      <c r="R537" s="114" t="n">
        <v>79.14</v>
      </c>
      <c r="S537" s="114" t="n">
        <v>0</v>
      </c>
      <c r="T537" t="n">
        <v>0</v>
      </c>
    </row>
    <row r="538">
      <c r="A538" t="inlineStr">
        <is>
          <t>ttJTrans</t>
        </is>
      </c>
      <c r="B538" s="41" t="inlineStr">
        <is>
          <t>0-4005</t>
        </is>
      </c>
      <c r="C538" t="inlineStr">
        <is>
          <t>EQ</t>
        </is>
      </c>
      <c r="E538" t="inlineStr">
        <is>
          <t>EQ</t>
        </is>
      </c>
      <c r="H538" s="127" t="n">
        <v>46166</v>
      </c>
      <c r="J538" s="38" t="inlineStr">
        <is>
          <t>0-4005</t>
        </is>
      </c>
      <c r="K538" t="inlineStr">
        <is>
          <t>RT1351 2024 CHEVROLET SILVERADO 2500 DIESEL CUSTOM 4X4 2024 CHEVROLET SILVERADO 2500 DIESEL CUSTOM 4X4</t>
        </is>
      </c>
      <c r="L538" t="n">
        <v>0</v>
      </c>
      <c r="M538" t="n">
        <v>0</v>
      </c>
      <c r="O538" t="inlineStr">
        <is>
          <t>RT1351</t>
        </is>
      </c>
      <c r="Q538" s="114" t="n">
        <v>0</v>
      </c>
      <c r="R538" s="114" t="n">
        <v>79.14</v>
      </c>
      <c r="S538" s="114" t="n">
        <v>0</v>
      </c>
      <c r="T538" t="n">
        <v>0</v>
      </c>
    </row>
    <row r="539">
      <c r="A539" t="inlineStr">
        <is>
          <t>ttJTrans</t>
        </is>
      </c>
      <c r="B539" s="38" t="inlineStr">
        <is>
          <t>0-4005</t>
        </is>
      </c>
      <c r="C539" t="inlineStr">
        <is>
          <t>EQ</t>
        </is>
      </c>
      <c r="E539" t="inlineStr">
        <is>
          <t>EQ</t>
        </is>
      </c>
      <c r="G539" s="128" t="inlineStr"/>
      <c r="H539" s="127" t="n">
        <v>46166</v>
      </c>
      <c r="J539" s="38" t="inlineStr">
        <is>
          <t>0-4005</t>
        </is>
      </c>
      <c r="K539" t="inlineStr">
        <is>
          <t>RT1351 2024 CHEVROLET SILVERADO 2500 DIESEL CUSTOM 4X4 2024 CHEVROLET SILVERADO 2500 DIESEL CUSTOM 4X4</t>
        </is>
      </c>
      <c r="L539" t="n">
        <v>0</v>
      </c>
      <c r="M539" t="n">
        <v>0</v>
      </c>
      <c r="O539" t="inlineStr">
        <is>
          <t>RT1351</t>
        </is>
      </c>
      <c r="Q539" s="114" t="n">
        <v>0</v>
      </c>
      <c r="R539" s="114" t="n">
        <v>79.14</v>
      </c>
      <c r="S539" s="114" t="n">
        <v>0</v>
      </c>
      <c r="T539" t="n">
        <v>0</v>
      </c>
    </row>
    <row r="540">
      <c r="A540" t="inlineStr">
        <is>
          <t>ttJTrans</t>
        </is>
      </c>
      <c r="B540" s="38" t="inlineStr">
        <is>
          <t>0-4005</t>
        </is>
      </c>
      <c r="C540" t="inlineStr">
        <is>
          <t>EQ</t>
        </is>
      </c>
      <c r="E540" t="inlineStr">
        <is>
          <t>EQ</t>
        </is>
      </c>
      <c r="G540" s="128" t="inlineStr"/>
      <c r="H540" s="127" t="n">
        <v>46166</v>
      </c>
      <c r="J540" s="38" t="inlineStr">
        <is>
          <t>0-4005</t>
        </is>
      </c>
      <c r="K540" t="inlineStr">
        <is>
          <t>RT1351 2024 CHEVROLET SILVERADO 2500 DIESEL CUSTOM 4X4 2024 CHEVROLET SILVERADO 2500 DIESEL CUSTOM 4X4</t>
        </is>
      </c>
      <c r="L540" t="n">
        <v>0</v>
      </c>
      <c r="M540" t="n">
        <v>0</v>
      </c>
      <c r="O540" t="inlineStr">
        <is>
          <t>RT1351</t>
        </is>
      </c>
      <c r="Q540" s="114" t="n">
        <v>0</v>
      </c>
      <c r="R540" s="114" t="n">
        <v>79.14</v>
      </c>
      <c r="S540" s="114" t="n">
        <v>0</v>
      </c>
      <c r="T540" t="n">
        <v>0</v>
      </c>
    </row>
    <row r="541">
      <c r="A541" t="inlineStr">
        <is>
          <t>ttJTrans</t>
        </is>
      </c>
      <c r="B541" s="38" t="inlineStr">
        <is>
          <t>0-4005</t>
        </is>
      </c>
      <c r="C541" t="inlineStr">
        <is>
          <t>EQ</t>
        </is>
      </c>
      <c r="E541" t="inlineStr">
        <is>
          <t>EQ</t>
        </is>
      </c>
      <c r="G541" s="128" t="inlineStr"/>
      <c r="H541" s="127" t="n">
        <v>46166</v>
      </c>
      <c r="J541" s="38" t="inlineStr">
        <is>
          <t>0-4005</t>
        </is>
      </c>
      <c r="K541" t="inlineStr">
        <is>
          <t>RT1351 2024 CHEVROLET SILVERADO 2500 DIESEL CUSTOM 4X4 2024 CHEVROLET SILVERADO 2500 DIESEL CUSTOM 4X4</t>
        </is>
      </c>
      <c r="L541" t="n">
        <v>0</v>
      </c>
      <c r="M541" t="n">
        <v>0</v>
      </c>
      <c r="O541" t="inlineStr">
        <is>
          <t>RT1351</t>
        </is>
      </c>
      <c r="Q541" s="114" t="n">
        <v>0</v>
      </c>
      <c r="R541" s="114" t="n">
        <v>79.14</v>
      </c>
      <c r="S541" s="114" t="n">
        <v>0</v>
      </c>
      <c r="T541" t="n">
        <v>0</v>
      </c>
    </row>
    <row r="542">
      <c r="A542" t="inlineStr">
        <is>
          <t>ttJTrans</t>
        </is>
      </c>
      <c r="B542" s="38" t="inlineStr">
        <is>
          <t>0-4005</t>
        </is>
      </c>
      <c r="C542" t="inlineStr">
        <is>
          <t>EQ</t>
        </is>
      </c>
      <c r="E542" t="inlineStr">
        <is>
          <t>EQ</t>
        </is>
      </c>
      <c r="G542" s="128" t="inlineStr"/>
      <c r="H542" s="127" t="n">
        <v>46166</v>
      </c>
      <c r="J542" s="38" t="inlineStr">
        <is>
          <t>0-4005</t>
        </is>
      </c>
      <c r="K542" t="inlineStr">
        <is>
          <t>TR429 SPARTAN 7X16 CARGO TRAILER W/ RAMP DOOR SPARTAN 7X16 CARGO TRAILER W/ RAMP DOOR</t>
        </is>
      </c>
      <c r="L542" t="n">
        <v>0</v>
      </c>
      <c r="M542" t="n">
        <v>0</v>
      </c>
      <c r="O542" t="inlineStr">
        <is>
          <t>TR429</t>
        </is>
      </c>
      <c r="Q542" s="114" t="n">
        <v>0</v>
      </c>
      <c r="R542" s="114" t="n">
        <v>65</v>
      </c>
      <c r="S542" s="114" t="n">
        <v>0</v>
      </c>
      <c r="T542" t="n">
        <v>0</v>
      </c>
    </row>
    <row r="543">
      <c r="A543" t="inlineStr">
        <is>
          <t>ttJTrans</t>
        </is>
      </c>
      <c r="B543" s="38" t="inlineStr">
        <is>
          <t>0-4005</t>
        </is>
      </c>
      <c r="C543" t="inlineStr">
        <is>
          <t>EQ</t>
        </is>
      </c>
      <c r="E543" t="inlineStr">
        <is>
          <t>EQ</t>
        </is>
      </c>
      <c r="G543" s="128" t="inlineStr"/>
      <c r="H543" s="127" t="n">
        <v>46166</v>
      </c>
      <c r="J543" s="38" t="inlineStr">
        <is>
          <t>0-4005</t>
        </is>
      </c>
      <c r="K543" t="inlineStr">
        <is>
          <t>TR429 SPARTAN 7X16 CARGO TRAILER W/ RAMP DOOR SPARTAN 7X16 CARGO TRAILER W/ RAMP DOOR</t>
        </is>
      </c>
      <c r="L543" t="n">
        <v>0</v>
      </c>
      <c r="M543" t="n">
        <v>0</v>
      </c>
      <c r="O543" t="inlineStr">
        <is>
          <t>TR429</t>
        </is>
      </c>
      <c r="Q543" s="114" t="n">
        <v>0</v>
      </c>
      <c r="R543" s="114" t="n">
        <v>65</v>
      </c>
      <c r="S543" s="114" t="n">
        <v>0</v>
      </c>
      <c r="T543" t="n">
        <v>0</v>
      </c>
    </row>
    <row r="544">
      <c r="A544" t="inlineStr">
        <is>
          <t>ttJTrans</t>
        </is>
      </c>
      <c r="B544" s="38" t="inlineStr">
        <is>
          <t>0-4005</t>
        </is>
      </c>
      <c r="C544" t="inlineStr">
        <is>
          <t>EQ</t>
        </is>
      </c>
      <c r="E544" t="inlineStr">
        <is>
          <t>EQ</t>
        </is>
      </c>
      <c r="G544" s="128" t="inlineStr"/>
      <c r="H544" s="127" t="n">
        <v>46166</v>
      </c>
      <c r="J544" s="38" t="inlineStr">
        <is>
          <t>0-4005</t>
        </is>
      </c>
      <c r="K544" t="inlineStr">
        <is>
          <t>TR429 SPARTAN 7X16 CARGO TRAILER W/ RAMP DOOR SPARTAN 7X16 CARGO TRAILER W/ RAMP DOOR</t>
        </is>
      </c>
      <c r="L544" t="n">
        <v>0</v>
      </c>
      <c r="M544" t="n">
        <v>0</v>
      </c>
      <c r="O544" t="inlineStr">
        <is>
          <t>TR429</t>
        </is>
      </c>
      <c r="Q544" s="114" t="n">
        <v>0</v>
      </c>
      <c r="R544" s="114" t="n">
        <v>65</v>
      </c>
      <c r="S544" s="114" t="n">
        <v>0</v>
      </c>
      <c r="T544" t="n">
        <v>0</v>
      </c>
    </row>
    <row r="545">
      <c r="A545" t="inlineStr">
        <is>
          <t>ttJTrans</t>
        </is>
      </c>
      <c r="B545" s="38" t="inlineStr">
        <is>
          <t>0-4005</t>
        </is>
      </c>
      <c r="C545" t="inlineStr">
        <is>
          <t>EQ</t>
        </is>
      </c>
      <c r="E545" t="inlineStr">
        <is>
          <t>EQ</t>
        </is>
      </c>
      <c r="G545" s="128" t="inlineStr"/>
      <c r="H545" s="127" t="n">
        <v>46166</v>
      </c>
      <c r="J545" s="38" t="inlineStr">
        <is>
          <t>0-4005</t>
        </is>
      </c>
      <c r="K545" t="inlineStr">
        <is>
          <t>TR429 SPARTAN 7X16 CARGO TRAILER W/ RAMP DOOR SPARTAN 7X16 CARGO TRAILER W/ RAMP DOOR</t>
        </is>
      </c>
      <c r="L545" t="n">
        <v>0</v>
      </c>
      <c r="M545" t="n">
        <v>0</v>
      </c>
      <c r="O545" t="inlineStr">
        <is>
          <t>TR429</t>
        </is>
      </c>
      <c r="Q545" s="114" t="n">
        <v>0</v>
      </c>
      <c r="R545" s="114" t="n">
        <v>65</v>
      </c>
      <c r="S545" s="114" t="n">
        <v>0</v>
      </c>
      <c r="T545" t="n">
        <v>0</v>
      </c>
    </row>
    <row r="546">
      <c r="A546" t="inlineStr">
        <is>
          <t>ttJTrans</t>
        </is>
      </c>
      <c r="B546" s="38" t="inlineStr">
        <is>
          <t>0-4005</t>
        </is>
      </c>
      <c r="C546" t="inlineStr">
        <is>
          <t>EQ</t>
        </is>
      </c>
      <c r="E546" t="inlineStr">
        <is>
          <t>EQ</t>
        </is>
      </c>
      <c r="G546" s="128" t="inlineStr"/>
      <c r="H546" s="127" t="n">
        <v>46166</v>
      </c>
      <c r="J546" s="38" t="inlineStr">
        <is>
          <t>0-4005</t>
        </is>
      </c>
      <c r="K546" t="inlineStr">
        <is>
          <t>TR429 SPARTAN 7X16 CARGO TRAILER W/ RAMP DOOR SPARTAN 7X16 CARGO TRAILER W/ RAMP DOOR</t>
        </is>
      </c>
      <c r="L546" t="n">
        <v>0</v>
      </c>
      <c r="M546" t="n">
        <v>0</v>
      </c>
      <c r="O546" t="inlineStr">
        <is>
          <t>TR429</t>
        </is>
      </c>
      <c r="Q546" s="114" t="n">
        <v>0</v>
      </c>
      <c r="R546" s="114" t="n">
        <v>65</v>
      </c>
      <c r="S546" s="114" t="n">
        <v>0</v>
      </c>
      <c r="T546" t="n">
        <v>0</v>
      </c>
    </row>
    <row r="547">
      <c r="A547" t="inlineStr">
        <is>
          <t>ttJTrans</t>
        </is>
      </c>
      <c r="B547" s="38" t="inlineStr">
        <is>
          <t>0-4005</t>
        </is>
      </c>
      <c r="C547" t="inlineStr">
        <is>
          <t>EQ</t>
        </is>
      </c>
      <c r="E547" t="inlineStr">
        <is>
          <t>EQ</t>
        </is>
      </c>
      <c r="G547" s="128" t="inlineStr"/>
      <c r="H547" s="127" t="n">
        <v>46166</v>
      </c>
      <c r="J547" s="38" t="inlineStr">
        <is>
          <t>0-4005</t>
        </is>
      </c>
      <c r="K547" t="inlineStr">
        <is>
          <t>TR429 SPARTAN 7X16 CARGO TRAILER W/ RAMP DOOR SPARTAN 7X16 CARGO TRAILER W/ RAMP DOOR</t>
        </is>
      </c>
      <c r="L547" t="n">
        <v>0</v>
      </c>
      <c r="M547" t="n">
        <v>0</v>
      </c>
      <c r="O547" t="inlineStr">
        <is>
          <t>TR429</t>
        </is>
      </c>
      <c r="Q547" s="114" t="n">
        <v>0</v>
      </c>
      <c r="R547" s="114" t="n">
        <v>65</v>
      </c>
      <c r="S547" s="114" t="n">
        <v>0</v>
      </c>
      <c r="T547" t="n">
        <v>0</v>
      </c>
    </row>
    <row r="548">
      <c r="A548" t="inlineStr">
        <is>
          <t>ttJTrans</t>
        </is>
      </c>
      <c r="B548" s="38" t="inlineStr">
        <is>
          <t>0-4005</t>
        </is>
      </c>
      <c r="C548" t="inlineStr">
        <is>
          <t>EQ</t>
        </is>
      </c>
      <c r="E548" t="inlineStr">
        <is>
          <t>EQ</t>
        </is>
      </c>
      <c r="G548" s="128" t="inlineStr"/>
      <c r="H548" s="127" t="n">
        <v>46166</v>
      </c>
      <c r="J548" s="38" t="inlineStr">
        <is>
          <t>0-4005</t>
        </is>
      </c>
      <c r="K548" t="inlineStr">
        <is>
          <t>TR425 20FT ENCLOSED CARGO TRAILER (CHARGED TO 22-4001) 20FT ENCLOSED CARGO TRAILER (CHARGED TO 22-4001)</t>
        </is>
      </c>
      <c r="L548" t="n">
        <v>0</v>
      </c>
      <c r="M548" t="n">
        <v>0</v>
      </c>
      <c r="O548" t="inlineStr">
        <is>
          <t>TR425</t>
        </is>
      </c>
      <c r="Q548" s="114" t="n">
        <v>0</v>
      </c>
      <c r="R548" s="114" t="n">
        <v>65</v>
      </c>
      <c r="S548" s="114" t="n">
        <v>0</v>
      </c>
      <c r="T548" t="n">
        <v>0</v>
      </c>
    </row>
    <row r="549">
      <c r="A549" t="inlineStr">
        <is>
          <t>ttJTrans</t>
        </is>
      </c>
      <c r="B549" s="38" t="inlineStr">
        <is>
          <t>0-4005</t>
        </is>
      </c>
      <c r="C549" t="inlineStr">
        <is>
          <t>EQ</t>
        </is>
      </c>
      <c r="E549" t="inlineStr">
        <is>
          <t>EQ</t>
        </is>
      </c>
      <c r="G549" s="128" t="inlineStr"/>
      <c r="H549" s="127" t="n">
        <v>46166</v>
      </c>
      <c r="J549" s="38" t="inlineStr">
        <is>
          <t>0-4005</t>
        </is>
      </c>
      <c r="K549" t="inlineStr">
        <is>
          <t>TR425 20FT ENCLOSED CARGO TRAILER (CHARGED TO 22-4001) 20FT ENCLOSED CARGO TRAILER (CHARGED TO 22-4001)</t>
        </is>
      </c>
      <c r="L549" t="n">
        <v>0</v>
      </c>
      <c r="M549" t="n">
        <v>0</v>
      </c>
      <c r="O549" t="inlineStr">
        <is>
          <t>TR425</t>
        </is>
      </c>
      <c r="Q549" s="114" t="n">
        <v>0</v>
      </c>
      <c r="R549" s="114" t="n">
        <v>65</v>
      </c>
      <c r="S549" s="114" t="n">
        <v>0</v>
      </c>
      <c r="T549" t="n">
        <v>0</v>
      </c>
    </row>
    <row r="550">
      <c r="A550" t="inlineStr">
        <is>
          <t>ttJTrans</t>
        </is>
      </c>
      <c r="B550" s="38" t="inlineStr">
        <is>
          <t>0-4005</t>
        </is>
      </c>
      <c r="C550" t="inlineStr">
        <is>
          <t>EQ</t>
        </is>
      </c>
      <c r="E550" t="inlineStr">
        <is>
          <t>EQ</t>
        </is>
      </c>
      <c r="G550" s="128" t="inlineStr"/>
      <c r="H550" s="127" t="n">
        <v>46166</v>
      </c>
      <c r="J550" s="38" t="inlineStr">
        <is>
          <t>0-4005</t>
        </is>
      </c>
      <c r="K550" t="inlineStr">
        <is>
          <t>TR425 20FT ENCLOSED CARGO TRAILER (CHARGED TO 22-4001) 20FT ENCLOSED CARGO TRAILER (CHARGED TO 22-4001)</t>
        </is>
      </c>
      <c r="L550" t="n">
        <v>0</v>
      </c>
      <c r="M550" t="n">
        <v>0</v>
      </c>
      <c r="O550" t="inlineStr">
        <is>
          <t>TR425</t>
        </is>
      </c>
      <c r="Q550" s="114" t="n">
        <v>0</v>
      </c>
      <c r="R550" s="114" t="n">
        <v>65</v>
      </c>
      <c r="S550" s="114" t="n">
        <v>0</v>
      </c>
      <c r="T550" t="n">
        <v>0</v>
      </c>
    </row>
    <row r="551">
      <c r="A551" t="inlineStr">
        <is>
          <t>ttJTrans</t>
        </is>
      </c>
      <c r="B551" s="38" t="inlineStr">
        <is>
          <t>0-4005</t>
        </is>
      </c>
      <c r="C551" t="inlineStr">
        <is>
          <t>EQ</t>
        </is>
      </c>
      <c r="E551" t="inlineStr">
        <is>
          <t>EQ</t>
        </is>
      </c>
      <c r="G551" s="128" t="inlineStr"/>
      <c r="H551" s="127" t="n">
        <v>46166</v>
      </c>
      <c r="J551" s="38" t="inlineStr">
        <is>
          <t>0-4005</t>
        </is>
      </c>
      <c r="K551" t="inlineStr">
        <is>
          <t>RT1479 2025 FORD F150 CREW CAB 4X4 2025 FORD F150 CREW CAB 4X4</t>
        </is>
      </c>
      <c r="L551" t="n">
        <v>0</v>
      </c>
      <c r="M551" t="n">
        <v>0</v>
      </c>
      <c r="O551" t="inlineStr">
        <is>
          <t>RT1479</t>
        </is>
      </c>
      <c r="Q551" s="114" t="n">
        <v>0</v>
      </c>
      <c r="R551" s="114" t="n">
        <v>79.14</v>
      </c>
      <c r="S551" s="114" t="n">
        <v>0</v>
      </c>
      <c r="T551" t="n">
        <v>0</v>
      </c>
    </row>
    <row r="552">
      <c r="A552" t="inlineStr">
        <is>
          <t>ttJTrans</t>
        </is>
      </c>
      <c r="B552" s="38" t="inlineStr">
        <is>
          <t>0-4005</t>
        </is>
      </c>
      <c r="C552" t="inlineStr">
        <is>
          <t>EQ</t>
        </is>
      </c>
      <c r="E552" t="inlineStr">
        <is>
          <t>EQ</t>
        </is>
      </c>
      <c r="G552" s="128" t="inlineStr"/>
      <c r="H552" s="127" t="n">
        <v>46166</v>
      </c>
      <c r="J552" s="38" t="inlineStr">
        <is>
          <t>0-4005</t>
        </is>
      </c>
      <c r="K552" t="inlineStr">
        <is>
          <t>RT1479 2025 FORD F150 CREW CAB 4X4 2025 FORD F150 CREW CAB 4X4</t>
        </is>
      </c>
      <c r="L552" t="n">
        <v>0</v>
      </c>
      <c r="M552" t="n">
        <v>0</v>
      </c>
      <c r="O552" t="inlineStr">
        <is>
          <t>RT1479</t>
        </is>
      </c>
      <c r="Q552" s="114" t="n">
        <v>0</v>
      </c>
      <c r="R552" s="114" t="n">
        <v>79.14</v>
      </c>
      <c r="S552" s="114" t="n">
        <v>0</v>
      </c>
      <c r="T552" t="n">
        <v>0</v>
      </c>
    </row>
    <row r="553">
      <c r="A553" t="inlineStr">
        <is>
          <t>ttJTrans</t>
        </is>
      </c>
      <c r="B553" s="38" t="inlineStr">
        <is>
          <t>0-4005</t>
        </is>
      </c>
      <c r="C553" t="inlineStr">
        <is>
          <t>EQ</t>
        </is>
      </c>
      <c r="E553" t="inlineStr">
        <is>
          <t>EQ</t>
        </is>
      </c>
      <c r="G553" s="128" t="inlineStr"/>
      <c r="H553" s="127" t="n">
        <v>46166</v>
      </c>
      <c r="J553" s="38" t="inlineStr">
        <is>
          <t>0-4005</t>
        </is>
      </c>
      <c r="K553" t="inlineStr">
        <is>
          <t>RT1479 2025 FORD F150 CREW CAB 4X4 2025 FORD F150 CREW CAB 4X4</t>
        </is>
      </c>
      <c r="L553" t="n">
        <v>0</v>
      </c>
      <c r="M553" t="n">
        <v>0</v>
      </c>
      <c r="O553" t="inlineStr">
        <is>
          <t>RT1479</t>
        </is>
      </c>
      <c r="Q553" s="114" t="n">
        <v>0</v>
      </c>
      <c r="R553" s="114" t="n">
        <v>79.14</v>
      </c>
      <c r="S553" s="114" t="n">
        <v>0</v>
      </c>
      <c r="T553" t="n">
        <v>0</v>
      </c>
    </row>
    <row r="554">
      <c r="A554" t="inlineStr">
        <is>
          <t>ttJTrans</t>
        </is>
      </c>
      <c r="B554" s="38" t="inlineStr">
        <is>
          <t>0-4005</t>
        </is>
      </c>
      <c r="C554" t="inlineStr">
        <is>
          <t>EQ</t>
        </is>
      </c>
      <c r="E554" t="inlineStr">
        <is>
          <t>EQ</t>
        </is>
      </c>
      <c r="G554" s="128" t="inlineStr"/>
      <c r="H554" s="127" t="n">
        <v>46166</v>
      </c>
      <c r="J554" s="38" t="inlineStr">
        <is>
          <t>0-4005</t>
        </is>
      </c>
      <c r="K554" t="inlineStr">
        <is>
          <t>RT1479 2025 FORD F150 CREW CAB 4X4 2025 FORD F150 CREW CAB 4X4</t>
        </is>
      </c>
      <c r="L554" t="n">
        <v>0</v>
      </c>
      <c r="M554" t="n">
        <v>0</v>
      </c>
      <c r="O554" t="inlineStr">
        <is>
          <t>RT1479</t>
        </is>
      </c>
      <c r="Q554" s="114" t="n">
        <v>0</v>
      </c>
      <c r="R554" s="114" t="n">
        <v>79.14</v>
      </c>
      <c r="S554" s="114" t="n">
        <v>0</v>
      </c>
      <c r="T554" t="n">
        <v>0</v>
      </c>
    </row>
    <row r="555">
      <c r="A555" t="inlineStr">
        <is>
          <t>ttJTrans</t>
        </is>
      </c>
      <c r="B555" s="38" t="inlineStr">
        <is>
          <t>0-4005</t>
        </is>
      </c>
      <c r="C555" t="inlineStr">
        <is>
          <t>EQ</t>
        </is>
      </c>
      <c r="E555" t="inlineStr">
        <is>
          <t>EQ</t>
        </is>
      </c>
      <c r="G555" s="128" t="inlineStr"/>
      <c r="H555" s="127" t="n">
        <v>46166</v>
      </c>
      <c r="J555" s="38" t="inlineStr">
        <is>
          <t>0-4005</t>
        </is>
      </c>
      <c r="K555" t="inlineStr">
        <is>
          <t>RT1479 2025 FORD F150 CREW CAB 4X4 2025 FORD F150 CREW CAB 4X4</t>
        </is>
      </c>
      <c r="L555" t="n">
        <v>0</v>
      </c>
      <c r="M555" t="n">
        <v>0</v>
      </c>
      <c r="O555" t="inlineStr">
        <is>
          <t>RT1479</t>
        </is>
      </c>
      <c r="Q555" s="114" t="n">
        <v>0</v>
      </c>
      <c r="R555" s="114" t="n">
        <v>79.14</v>
      </c>
      <c r="S555" s="114" t="n">
        <v>0</v>
      </c>
      <c r="T555" t="n">
        <v>0</v>
      </c>
    </row>
    <row r="556">
      <c r="A556" t="inlineStr">
        <is>
          <t>ttJTrans</t>
        </is>
      </c>
      <c r="B556" s="38" t="inlineStr">
        <is>
          <t>0-4005</t>
        </is>
      </c>
      <c r="C556" t="inlineStr">
        <is>
          <t>EQ</t>
        </is>
      </c>
      <c r="E556" t="inlineStr">
        <is>
          <t>EQ</t>
        </is>
      </c>
      <c r="G556" s="128" t="inlineStr"/>
      <c r="H556" s="127" t="n">
        <v>46166</v>
      </c>
      <c r="J556" s="38" t="inlineStr">
        <is>
          <t>0-4005</t>
        </is>
      </c>
      <c r="K556" t="inlineStr">
        <is>
          <t>RT1479 2025 FORD F150 CREW CAB 4X4 2025 FORD F150 CREW CAB 4X4</t>
        </is>
      </c>
      <c r="L556" t="n">
        <v>0</v>
      </c>
      <c r="M556" t="n">
        <v>0</v>
      </c>
      <c r="O556" t="inlineStr">
        <is>
          <t>RT1479</t>
        </is>
      </c>
      <c r="Q556" s="114" t="n">
        <v>0</v>
      </c>
      <c r="R556" s="114" t="n">
        <v>79.14</v>
      </c>
      <c r="S556" s="114" t="n">
        <v>0</v>
      </c>
      <c r="T556" t="n">
        <v>0</v>
      </c>
    </row>
    <row r="557">
      <c r="A557" t="inlineStr">
        <is>
          <t>ttJTrans</t>
        </is>
      </c>
      <c r="B557" s="38" t="inlineStr">
        <is>
          <t>0-4005</t>
        </is>
      </c>
      <c r="C557" t="inlineStr">
        <is>
          <t>EQ</t>
        </is>
      </c>
      <c r="E557" t="inlineStr">
        <is>
          <t>EQ</t>
        </is>
      </c>
      <c r="G557" s="128" t="inlineStr"/>
      <c r="H557" s="127" t="n">
        <v>46166</v>
      </c>
      <c r="J557" s="38" t="inlineStr">
        <is>
          <t>0-4005</t>
        </is>
      </c>
      <c r="K557" t="inlineStr">
        <is>
          <t>RT1242 2022 RAM 2500 TRADESMAN 4X4 CREW 8FT BED GAS 2022 RAM 2500 TRADESMAN 4X4 CREW 8FT BED GAS</t>
        </is>
      </c>
      <c r="L557" t="n">
        <v>0</v>
      </c>
      <c r="M557" t="n">
        <v>0</v>
      </c>
      <c r="O557" t="inlineStr">
        <is>
          <t>RT1242</t>
        </is>
      </c>
      <c r="Q557" s="114" t="n">
        <v>0</v>
      </c>
      <c r="R557" s="114" t="n">
        <v>79.14</v>
      </c>
      <c r="S557" s="114" t="n">
        <v>0</v>
      </c>
      <c r="T557" t="n">
        <v>0</v>
      </c>
    </row>
    <row r="558">
      <c r="A558" t="inlineStr">
        <is>
          <t>ttJTrans</t>
        </is>
      </c>
      <c r="B558" s="38" t="inlineStr">
        <is>
          <t>0-4005</t>
        </is>
      </c>
      <c r="C558" t="inlineStr">
        <is>
          <t>EQ</t>
        </is>
      </c>
      <c r="E558" t="inlineStr">
        <is>
          <t>EQ</t>
        </is>
      </c>
      <c r="G558" s="128" t="inlineStr"/>
      <c r="H558" s="127" t="n">
        <v>46166</v>
      </c>
      <c r="J558" s="38" t="inlineStr">
        <is>
          <t>0-4005</t>
        </is>
      </c>
      <c r="K558" t="inlineStr">
        <is>
          <t>RT1481 2025 FORD F150 CREW CAB 4X4 2025 FORD F150 CREW CAB 4X4</t>
        </is>
      </c>
      <c r="L558" t="n">
        <v>0</v>
      </c>
      <c r="M558" t="n">
        <v>0</v>
      </c>
      <c r="O558" t="inlineStr">
        <is>
          <t>RT1481</t>
        </is>
      </c>
      <c r="Q558" s="114" t="n">
        <v>0</v>
      </c>
      <c r="R558" s="114" t="n">
        <v>79.14</v>
      </c>
      <c r="S558" s="114" t="n">
        <v>0</v>
      </c>
      <c r="T558" t="n">
        <v>0</v>
      </c>
    </row>
    <row r="559">
      <c r="A559" t="inlineStr">
        <is>
          <t>ttJTrans</t>
        </is>
      </c>
      <c r="B559" s="38" t="inlineStr">
        <is>
          <t>0-4005</t>
        </is>
      </c>
      <c r="C559" t="inlineStr">
        <is>
          <t>ER</t>
        </is>
      </c>
      <c r="E559" t="inlineStr">
        <is>
          <t>ER</t>
        </is>
      </c>
      <c r="G559" s="128" t="inlineStr"/>
      <c r="H559" s="127" t="n">
        <v>45977</v>
      </c>
      <c r="J559" s="38" t="inlineStr">
        <is>
          <t>0-4005</t>
        </is>
      </c>
      <c r="K559" t="inlineStr">
        <is>
          <t>RAT403 RANGER 100 4X4 CREW CAB CART RANGER 100 4X4 CREW CAB CART</t>
        </is>
      </c>
      <c r="L559" t="n">
        <v>0</v>
      </c>
      <c r="M559" t="n">
        <v>0</v>
      </c>
      <c r="O559" t="inlineStr">
        <is>
          <t>RAT403</t>
        </is>
      </c>
      <c r="Q559" s="114" t="n">
        <v>0</v>
      </c>
      <c r="R559" s="114" t="n">
        <v>62.5</v>
      </c>
      <c r="S559" s="114" t="n">
        <v>0</v>
      </c>
      <c r="T559" t="n">
        <v>0</v>
      </c>
    </row>
    <row r="560">
      <c r="A560" t="inlineStr">
        <is>
          <t>ttJTrans</t>
        </is>
      </c>
      <c r="B560" s="38" t="inlineStr">
        <is>
          <t>0-4005</t>
        </is>
      </c>
      <c r="C560" t="inlineStr">
        <is>
          <t>ER</t>
        </is>
      </c>
      <c r="E560" t="inlineStr">
        <is>
          <t>ER</t>
        </is>
      </c>
      <c r="G560" s="128" t="inlineStr"/>
      <c r="H560" s="127" t="n">
        <v>45977</v>
      </c>
      <c r="J560" s="38" t="inlineStr">
        <is>
          <t>0-4005</t>
        </is>
      </c>
      <c r="K560" t="inlineStr">
        <is>
          <t>RAT403 RANGER 100 4X4 CREW CAB CART RANGER 100 4X4 CREW CAB CART</t>
        </is>
      </c>
      <c r="L560" t="n">
        <v>0</v>
      </c>
      <c r="M560" t="n">
        <v>0</v>
      </c>
      <c r="O560" t="inlineStr">
        <is>
          <t>RAT403</t>
        </is>
      </c>
      <c r="Q560" s="114" t="n">
        <v>0</v>
      </c>
      <c r="R560" s="114" t="n">
        <v>62.5</v>
      </c>
      <c r="S560" s="114" t="n">
        <v>0</v>
      </c>
      <c r="T560" t="n">
        <v>0</v>
      </c>
    </row>
    <row r="561">
      <c r="A561" t="inlineStr">
        <is>
          <t>ttJTrans</t>
        </is>
      </c>
      <c r="B561" s="38" t="inlineStr">
        <is>
          <t>0-4005</t>
        </is>
      </c>
      <c r="C561" t="inlineStr">
        <is>
          <t>ER</t>
        </is>
      </c>
      <c r="E561" t="inlineStr">
        <is>
          <t>ER</t>
        </is>
      </c>
      <c r="G561" s="128" t="inlineStr"/>
      <c r="H561" s="127" t="n">
        <v>45977</v>
      </c>
      <c r="J561" s="38" t="inlineStr">
        <is>
          <t>0-4005</t>
        </is>
      </c>
      <c r="K561" t="inlineStr">
        <is>
          <t>RST279 HYPER BASE/ ROVER HYPER BASE/ ROVER</t>
        </is>
      </c>
      <c r="L561" t="n">
        <v>0</v>
      </c>
      <c r="M561" t="n">
        <v>0</v>
      </c>
      <c r="O561" t="inlineStr">
        <is>
          <t>RST279</t>
        </is>
      </c>
      <c r="Q561" s="114" t="n">
        <v>0</v>
      </c>
      <c r="R561" s="114" t="n">
        <v>125</v>
      </c>
      <c r="S561" s="114" t="n">
        <v>0</v>
      </c>
      <c r="T561" t="n">
        <v>0</v>
      </c>
    </row>
    <row r="562">
      <c r="A562" t="inlineStr">
        <is>
          <t>ttJTrans</t>
        </is>
      </c>
      <c r="B562" s="38" t="inlineStr">
        <is>
          <t>0-4005</t>
        </is>
      </c>
      <c r="C562" t="inlineStr">
        <is>
          <t>ER</t>
        </is>
      </c>
      <c r="E562" t="inlineStr">
        <is>
          <t>ER</t>
        </is>
      </c>
      <c r="G562" s="128" t="inlineStr"/>
      <c r="H562" s="127" t="n">
        <v>45977</v>
      </c>
      <c r="J562" s="38" t="inlineStr">
        <is>
          <t>0-4005</t>
        </is>
      </c>
      <c r="K562" t="inlineStr">
        <is>
          <t>RST279 HYPER BASE/ ROVER HYPER BASE/ ROVER</t>
        </is>
      </c>
      <c r="L562" t="n">
        <v>0</v>
      </c>
      <c r="M562" t="n">
        <v>0</v>
      </c>
      <c r="O562" t="inlineStr">
        <is>
          <t>RST279</t>
        </is>
      </c>
      <c r="Q562" s="114" t="n">
        <v>0</v>
      </c>
      <c r="R562" s="114" t="n">
        <v>125</v>
      </c>
      <c r="S562" s="114" t="n">
        <v>0</v>
      </c>
      <c r="T562" t="n">
        <v>0</v>
      </c>
    </row>
    <row r="563">
      <c r="A563" t="inlineStr">
        <is>
          <t>ttJTrans</t>
        </is>
      </c>
      <c r="B563" s="38" t="inlineStr">
        <is>
          <t>0-4005</t>
        </is>
      </c>
      <c r="C563" t="inlineStr">
        <is>
          <t>ER</t>
        </is>
      </c>
      <c r="E563" t="inlineStr">
        <is>
          <t>ER</t>
        </is>
      </c>
      <c r="G563" s="128" t="inlineStr"/>
      <c r="H563" s="127" t="n">
        <v>45984</v>
      </c>
      <c r="J563" s="38" t="inlineStr">
        <is>
          <t>0-4005</t>
        </is>
      </c>
      <c r="K563" t="inlineStr">
        <is>
          <t>RAT403 RANGER 100 4X4 CREW CAB CART RANGER 100 4X4 CREW CAB CART</t>
        </is>
      </c>
      <c r="L563" t="n">
        <v>0</v>
      </c>
      <c r="M563" t="n">
        <v>0</v>
      </c>
      <c r="O563" t="inlineStr">
        <is>
          <t>RAT403</t>
        </is>
      </c>
      <c r="Q563" s="114" t="n">
        <v>0</v>
      </c>
      <c r="R563" s="114" t="n">
        <v>62.5</v>
      </c>
      <c r="S563" s="114" t="n">
        <v>0</v>
      </c>
      <c r="T563" t="n">
        <v>0</v>
      </c>
    </row>
    <row r="564">
      <c r="A564" t="inlineStr">
        <is>
          <t>ttJTrans</t>
        </is>
      </c>
      <c r="B564" s="38" t="inlineStr">
        <is>
          <t>0-4005</t>
        </is>
      </c>
      <c r="C564" t="inlineStr">
        <is>
          <t>ER</t>
        </is>
      </c>
      <c r="E564" t="inlineStr">
        <is>
          <t>ER</t>
        </is>
      </c>
      <c r="G564" s="128" t="inlineStr"/>
      <c r="H564" s="127" t="n">
        <v>45984</v>
      </c>
      <c r="J564" s="38" t="inlineStr">
        <is>
          <t>0-4005</t>
        </is>
      </c>
      <c r="K564" t="inlineStr">
        <is>
          <t>RAT403 RANGER 100 4X4 CREW CAB CART RANGER 100 4X4 CREW CAB CART</t>
        </is>
      </c>
      <c r="L564" t="n">
        <v>0</v>
      </c>
      <c r="M564" t="n">
        <v>0</v>
      </c>
      <c r="O564" t="inlineStr">
        <is>
          <t>RAT403</t>
        </is>
      </c>
      <c r="Q564" s="114" t="n">
        <v>0</v>
      </c>
      <c r="R564" s="114" t="n">
        <v>62.5</v>
      </c>
      <c r="S564" s="114" t="n">
        <v>0</v>
      </c>
      <c r="T564" t="n">
        <v>0</v>
      </c>
    </row>
    <row r="565">
      <c r="A565" t="inlineStr">
        <is>
          <t>ttJTrans</t>
        </is>
      </c>
      <c r="B565" s="38" t="inlineStr">
        <is>
          <t>0-4005</t>
        </is>
      </c>
      <c r="C565" t="inlineStr">
        <is>
          <t>ER</t>
        </is>
      </c>
      <c r="E565" t="inlineStr">
        <is>
          <t>ER</t>
        </is>
      </c>
      <c r="G565" s="128" t="inlineStr"/>
      <c r="H565" s="127" t="n">
        <v>45984</v>
      </c>
      <c r="J565" s="38" t="inlineStr">
        <is>
          <t>0-4005</t>
        </is>
      </c>
      <c r="K565" t="inlineStr">
        <is>
          <t>RAT403 RANGER 100 4X4 CREW CAB CART RANGER 100 4X4 CREW CAB CART</t>
        </is>
      </c>
      <c r="L565" t="n">
        <v>0</v>
      </c>
      <c r="M565" t="n">
        <v>0</v>
      </c>
      <c r="O565" t="inlineStr">
        <is>
          <t>RAT403</t>
        </is>
      </c>
      <c r="Q565" s="114" t="n">
        <v>0</v>
      </c>
      <c r="R565" s="114" t="n">
        <v>62.5</v>
      </c>
      <c r="S565" s="114" t="n">
        <v>0</v>
      </c>
      <c r="T565" t="n">
        <v>0</v>
      </c>
    </row>
    <row r="566">
      <c r="A566" t="inlineStr">
        <is>
          <t>ttJTrans</t>
        </is>
      </c>
      <c r="B566" s="38" t="inlineStr">
        <is>
          <t>0-4005</t>
        </is>
      </c>
      <c r="C566" t="inlineStr">
        <is>
          <t>ER</t>
        </is>
      </c>
      <c r="E566" t="inlineStr">
        <is>
          <t>ER</t>
        </is>
      </c>
      <c r="G566" s="128" t="inlineStr"/>
      <c r="H566" s="127" t="n">
        <v>45984</v>
      </c>
      <c r="J566" s="38" t="inlineStr">
        <is>
          <t>0-4005</t>
        </is>
      </c>
      <c r="K566" t="inlineStr">
        <is>
          <t>RAT403 RANGER 100 4X4 CREW CAB CART RANGER 100 4X4 CREW CAB CART</t>
        </is>
      </c>
      <c r="L566" t="n">
        <v>0</v>
      </c>
      <c r="M566" t="n">
        <v>0</v>
      </c>
      <c r="O566" t="inlineStr">
        <is>
          <t>RAT403</t>
        </is>
      </c>
      <c r="Q566" s="114" t="n">
        <v>0</v>
      </c>
      <c r="R566" s="114" t="n">
        <v>62.5</v>
      </c>
      <c r="S566" s="114" t="n">
        <v>0</v>
      </c>
      <c r="T566" t="n">
        <v>0</v>
      </c>
    </row>
    <row r="567">
      <c r="A567" t="inlineStr">
        <is>
          <t>ttJTrans</t>
        </is>
      </c>
      <c r="B567" s="38" t="inlineStr">
        <is>
          <t>0-4005</t>
        </is>
      </c>
      <c r="C567" t="inlineStr">
        <is>
          <t>ER</t>
        </is>
      </c>
      <c r="E567" t="inlineStr">
        <is>
          <t>ER</t>
        </is>
      </c>
      <c r="G567" s="128" t="inlineStr"/>
      <c r="H567" s="127" t="n">
        <v>45984</v>
      </c>
      <c r="J567" s="38" t="inlineStr">
        <is>
          <t>0-4005</t>
        </is>
      </c>
      <c r="K567" t="inlineStr">
        <is>
          <t>RAT403 RANGER 100 4X4 CREW CAB CART RANGER 100 4X4 CREW CAB CART</t>
        </is>
      </c>
      <c r="L567" t="n">
        <v>0</v>
      </c>
      <c r="M567" t="n">
        <v>0</v>
      </c>
      <c r="O567" t="inlineStr">
        <is>
          <t>RAT403</t>
        </is>
      </c>
      <c r="Q567" s="114" t="n">
        <v>0</v>
      </c>
      <c r="R567" s="114" t="n">
        <v>62.5</v>
      </c>
      <c r="S567" s="114" t="n">
        <v>0</v>
      </c>
      <c r="T567" t="n">
        <v>0</v>
      </c>
    </row>
    <row r="568">
      <c r="A568" t="inlineStr">
        <is>
          <t>ttJTrans</t>
        </is>
      </c>
      <c r="B568" s="38" t="inlineStr">
        <is>
          <t>0-4005</t>
        </is>
      </c>
      <c r="C568" t="inlineStr">
        <is>
          <t>ER</t>
        </is>
      </c>
      <c r="E568" t="inlineStr">
        <is>
          <t>ER</t>
        </is>
      </c>
      <c r="G568" s="128" t="inlineStr"/>
      <c r="H568" s="127" t="n">
        <v>45984</v>
      </c>
      <c r="J568" s="38" t="inlineStr">
        <is>
          <t>0-4005</t>
        </is>
      </c>
      <c r="K568" t="inlineStr">
        <is>
          <t>RST279 HYPER BASE/ ROVER HYPER BASE/ ROVER</t>
        </is>
      </c>
      <c r="L568" t="n">
        <v>0</v>
      </c>
      <c r="M568" t="n">
        <v>0</v>
      </c>
      <c r="O568" t="inlineStr">
        <is>
          <t>RST279</t>
        </is>
      </c>
      <c r="Q568" s="114" t="n">
        <v>0</v>
      </c>
      <c r="R568" s="114" t="n">
        <v>125</v>
      </c>
      <c r="S568" s="114" t="n">
        <v>0</v>
      </c>
      <c r="T568" t="n">
        <v>0</v>
      </c>
    </row>
    <row r="569">
      <c r="A569" t="inlineStr">
        <is>
          <t>ttJTrans</t>
        </is>
      </c>
      <c r="B569" s="38" t="inlineStr">
        <is>
          <t>0-4005</t>
        </is>
      </c>
      <c r="C569" t="inlineStr">
        <is>
          <t>ER</t>
        </is>
      </c>
      <c r="E569" t="inlineStr">
        <is>
          <t>ER</t>
        </is>
      </c>
      <c r="G569" s="128" t="inlineStr"/>
      <c r="H569" s="127" t="n">
        <v>45984</v>
      </c>
      <c r="J569" s="38" t="inlineStr">
        <is>
          <t>0-4005</t>
        </is>
      </c>
      <c r="K569" t="inlineStr">
        <is>
          <t>RST279 HYPER BASE/ ROVER HYPER BASE/ ROVER</t>
        </is>
      </c>
      <c r="L569" t="n">
        <v>0</v>
      </c>
      <c r="M569" t="n">
        <v>0</v>
      </c>
      <c r="O569" t="inlineStr">
        <is>
          <t>RST279</t>
        </is>
      </c>
      <c r="Q569" s="114" t="n">
        <v>0</v>
      </c>
      <c r="R569" s="114" t="n">
        <v>125</v>
      </c>
      <c r="S569" s="114" t="n">
        <v>0</v>
      </c>
      <c r="T569" t="n">
        <v>0</v>
      </c>
    </row>
    <row r="570">
      <c r="A570" t="inlineStr">
        <is>
          <t>ttJTrans</t>
        </is>
      </c>
      <c r="B570" s="38" t="inlineStr">
        <is>
          <t>0-4005</t>
        </is>
      </c>
      <c r="C570" t="inlineStr">
        <is>
          <t>ER</t>
        </is>
      </c>
      <c r="E570" t="inlineStr">
        <is>
          <t>ER</t>
        </is>
      </c>
      <c r="G570" s="128" t="inlineStr"/>
      <c r="H570" s="127" t="n">
        <v>45984</v>
      </c>
      <c r="J570" s="38" t="inlineStr">
        <is>
          <t>0-4005</t>
        </is>
      </c>
      <c r="K570" t="inlineStr">
        <is>
          <t>RST279 HYPER BASE/ ROVER HYPER BASE/ ROVER</t>
        </is>
      </c>
      <c r="L570" t="n">
        <v>0</v>
      </c>
      <c r="M570" t="n">
        <v>0</v>
      </c>
      <c r="O570" t="inlineStr">
        <is>
          <t>RST279</t>
        </is>
      </c>
      <c r="Q570" s="114" t="n">
        <v>0</v>
      </c>
      <c r="R570" s="114" t="n">
        <v>125</v>
      </c>
      <c r="S570" s="114" t="n">
        <v>0</v>
      </c>
      <c r="T570" t="n">
        <v>0</v>
      </c>
    </row>
    <row r="571">
      <c r="A571" t="inlineStr">
        <is>
          <t>ttJTrans</t>
        </is>
      </c>
      <c r="B571" s="38" t="inlineStr">
        <is>
          <t>0-4005</t>
        </is>
      </c>
      <c r="C571" t="inlineStr">
        <is>
          <t>ER</t>
        </is>
      </c>
      <c r="E571" t="inlineStr">
        <is>
          <t>ER</t>
        </is>
      </c>
      <c r="G571" s="128" t="inlineStr"/>
      <c r="H571" s="127" t="n">
        <v>45984</v>
      </c>
      <c r="J571" s="38" t="inlineStr">
        <is>
          <t>0-4005</t>
        </is>
      </c>
      <c r="K571" t="inlineStr">
        <is>
          <t>RST279 HYPER BASE/ ROVER HYPER BASE/ ROVER</t>
        </is>
      </c>
      <c r="L571" t="n">
        <v>0</v>
      </c>
      <c r="M571" t="n">
        <v>0</v>
      </c>
      <c r="O571" t="inlineStr">
        <is>
          <t>RST279</t>
        </is>
      </c>
      <c r="Q571" s="114" t="n">
        <v>0</v>
      </c>
      <c r="R571" s="114" t="n">
        <v>125</v>
      </c>
      <c r="S571" s="114" t="n">
        <v>0</v>
      </c>
      <c r="T571" t="n">
        <v>0</v>
      </c>
    </row>
    <row r="572">
      <c r="A572" t="inlineStr">
        <is>
          <t>ttJTrans</t>
        </is>
      </c>
      <c r="B572" s="38" t="inlineStr">
        <is>
          <t>0-4005</t>
        </is>
      </c>
      <c r="C572" t="inlineStr">
        <is>
          <t>ER</t>
        </is>
      </c>
      <c r="E572" t="inlineStr">
        <is>
          <t>ER</t>
        </is>
      </c>
      <c r="G572" s="128" t="inlineStr"/>
      <c r="H572" s="127" t="n">
        <v>45984</v>
      </c>
      <c r="J572" s="38" t="inlineStr">
        <is>
          <t>0-4005</t>
        </is>
      </c>
      <c r="K572" t="inlineStr">
        <is>
          <t>RST279 HYPER BASE/ ROVER HYPER BASE/ ROVER</t>
        </is>
      </c>
      <c r="L572" t="n">
        <v>0</v>
      </c>
      <c r="M572" t="n">
        <v>0</v>
      </c>
      <c r="O572" t="inlineStr">
        <is>
          <t>RST279</t>
        </is>
      </c>
      <c r="Q572" s="114" t="n">
        <v>0</v>
      </c>
      <c r="R572" s="114" t="n">
        <v>125</v>
      </c>
      <c r="S572" s="114" t="n">
        <v>0</v>
      </c>
      <c r="T572" t="n">
        <v>0</v>
      </c>
    </row>
    <row r="573">
      <c r="A573" t="inlineStr">
        <is>
          <t>ttJTrans</t>
        </is>
      </c>
      <c r="B573" s="38" t="inlineStr">
        <is>
          <t>0-4005</t>
        </is>
      </c>
      <c r="C573" t="inlineStr">
        <is>
          <t>ER</t>
        </is>
      </c>
      <c r="E573" t="inlineStr">
        <is>
          <t>ER</t>
        </is>
      </c>
      <c r="G573" s="128" t="inlineStr"/>
      <c r="H573" s="127" t="n">
        <v>45984</v>
      </c>
      <c r="J573" s="38" t="inlineStr">
        <is>
          <t>0-4005</t>
        </is>
      </c>
      <c r="K573" t="inlineStr">
        <is>
          <t>RST279 HYPER BASE/ ROVER HYPER BASE/ ROVER</t>
        </is>
      </c>
      <c r="L573" t="n">
        <v>0</v>
      </c>
      <c r="M573" t="n">
        <v>0</v>
      </c>
      <c r="O573" t="inlineStr">
        <is>
          <t>RST279</t>
        </is>
      </c>
      <c r="Q573" s="114" t="n">
        <v>0</v>
      </c>
      <c r="R573" s="114" t="n">
        <v>125</v>
      </c>
      <c r="S573" s="114" t="n">
        <v>0</v>
      </c>
      <c r="T573" t="n">
        <v>0</v>
      </c>
    </row>
    <row r="574">
      <c r="A574" t="inlineStr">
        <is>
          <t>ttJTrans</t>
        </is>
      </c>
      <c r="B574" s="38" t="inlineStr">
        <is>
          <t>0-4005</t>
        </is>
      </c>
      <c r="C574" t="inlineStr">
        <is>
          <t>ER</t>
        </is>
      </c>
      <c r="E574" t="inlineStr">
        <is>
          <t>ER</t>
        </is>
      </c>
      <c r="G574" s="128" t="inlineStr"/>
      <c r="H574" s="127" t="n">
        <v>45991</v>
      </c>
      <c r="J574" s="38" t="inlineStr">
        <is>
          <t>0-4005</t>
        </is>
      </c>
      <c r="K574" t="inlineStr">
        <is>
          <t>RST279 HYPER BASE/ ROVER HYPER BASE/ ROVER</t>
        </is>
      </c>
      <c r="L574" t="n">
        <v>0</v>
      </c>
      <c r="M574" t="n">
        <v>0</v>
      </c>
      <c r="O574" t="inlineStr">
        <is>
          <t>RST279</t>
        </is>
      </c>
      <c r="Q574" s="114" t="n">
        <v>0</v>
      </c>
      <c r="R574" s="114" t="n">
        <v>125</v>
      </c>
      <c r="S574" s="114" t="n">
        <v>0</v>
      </c>
      <c r="T574" t="n">
        <v>0</v>
      </c>
    </row>
    <row r="575">
      <c r="A575" t="inlineStr">
        <is>
          <t>ttJTrans</t>
        </is>
      </c>
      <c r="B575" s="38" t="inlineStr">
        <is>
          <t>0-4005</t>
        </is>
      </c>
      <c r="C575" t="inlineStr">
        <is>
          <t>ER</t>
        </is>
      </c>
      <c r="E575" t="inlineStr">
        <is>
          <t>ER</t>
        </is>
      </c>
      <c r="G575" s="128" t="inlineStr"/>
      <c r="H575" s="127" t="n">
        <v>46142</v>
      </c>
      <c r="J575" s="38" t="inlineStr">
        <is>
          <t>0-4005</t>
        </is>
      </c>
      <c r="K575" t="inlineStr">
        <is>
          <t>RMS2318 BROCE RCT350 WHEEL SWEEPER BROCE RCT350 WHEEL SWEEPER</t>
        </is>
      </c>
      <c r="L575" t="n">
        <v>0</v>
      </c>
      <c r="M575" t="n">
        <v>0</v>
      </c>
      <c r="O575" t="inlineStr">
        <is>
          <t>RMS2318</t>
        </is>
      </c>
      <c r="Q575" s="114" t="n">
        <v>0</v>
      </c>
      <c r="R575" s="114" t="n">
        <v>200</v>
      </c>
      <c r="S575" s="114" t="n">
        <v>0</v>
      </c>
      <c r="T575" t="n">
        <v>0</v>
      </c>
    </row>
    <row r="576">
      <c r="A576" t="inlineStr">
        <is>
          <t>ttJTrans</t>
        </is>
      </c>
      <c r="B576" s="38" t="inlineStr">
        <is>
          <t>0-4005</t>
        </is>
      </c>
      <c r="C576" t="inlineStr">
        <is>
          <t>ER</t>
        </is>
      </c>
      <c r="E576" t="inlineStr">
        <is>
          <t>ER</t>
        </is>
      </c>
      <c r="G576" s="128" t="inlineStr"/>
      <c r="H576" s="127" t="n">
        <v>46142</v>
      </c>
      <c r="J576" s="38" t="inlineStr">
        <is>
          <t>0-4005</t>
        </is>
      </c>
      <c r="K576" t="inlineStr">
        <is>
          <t>RMS2318 BROCE RCT350 WHEEL SWEEPER BROCE RCT350 WHEEL SWEEPER</t>
        </is>
      </c>
      <c r="L576" t="n">
        <v>0</v>
      </c>
      <c r="M576" t="n">
        <v>0</v>
      </c>
      <c r="O576" t="inlineStr">
        <is>
          <t>RMS2318</t>
        </is>
      </c>
      <c r="Q576" s="114" t="n">
        <v>0</v>
      </c>
      <c r="R576" s="114" t="n">
        <v>200</v>
      </c>
      <c r="S576" s="114" t="n">
        <v>0</v>
      </c>
      <c r="T576" t="n">
        <v>0</v>
      </c>
    </row>
    <row r="577">
      <c r="A577" t="inlineStr">
        <is>
          <t>ttJTrans</t>
        </is>
      </c>
      <c r="B577" s="38" t="inlineStr">
        <is>
          <t>0-4005</t>
        </is>
      </c>
      <c r="C577" t="inlineStr">
        <is>
          <t>ER</t>
        </is>
      </c>
      <c r="E577" t="inlineStr">
        <is>
          <t>ER</t>
        </is>
      </c>
      <c r="G577" s="128" t="inlineStr"/>
      <c r="H577" s="127" t="n">
        <v>46142</v>
      </c>
      <c r="J577" s="38" t="inlineStr">
        <is>
          <t>0-4005</t>
        </is>
      </c>
      <c r="K577" t="inlineStr">
        <is>
          <t>RMS2318 BROCE RCT350 WHEEL SWEEPER BROCE RCT350 WHEEL SWEEPER</t>
        </is>
      </c>
      <c r="L577" t="n">
        <v>0</v>
      </c>
      <c r="M577" t="n">
        <v>0</v>
      </c>
      <c r="O577" t="inlineStr">
        <is>
          <t>RMS2318</t>
        </is>
      </c>
      <c r="Q577" s="114" t="n">
        <v>0</v>
      </c>
      <c r="R577" s="114" t="n">
        <v>200</v>
      </c>
      <c r="S577" s="114" t="n">
        <v>0</v>
      </c>
      <c r="T577" t="n">
        <v>0</v>
      </c>
    </row>
    <row r="578">
      <c r="A578" t="inlineStr">
        <is>
          <t>ttJTrans</t>
        </is>
      </c>
      <c r="B578" s="38" t="inlineStr">
        <is>
          <t>0-4005</t>
        </is>
      </c>
      <c r="C578" t="inlineStr">
        <is>
          <t>ER</t>
        </is>
      </c>
      <c r="E578" t="inlineStr">
        <is>
          <t>ER</t>
        </is>
      </c>
      <c r="G578" s="128" t="inlineStr"/>
      <c r="H578" s="127" t="n">
        <v>46142</v>
      </c>
      <c r="J578" s="38" t="inlineStr">
        <is>
          <t>0-4005</t>
        </is>
      </c>
      <c r="K578" t="inlineStr">
        <is>
          <t>RMS2318 BROCE RCT350 WHEEL SWEEPER BROCE RCT350 WHEEL SWEEPER</t>
        </is>
      </c>
      <c r="L578" t="n">
        <v>0</v>
      </c>
      <c r="M578" t="n">
        <v>0</v>
      </c>
      <c r="O578" t="inlineStr">
        <is>
          <t>RMS2318</t>
        </is>
      </c>
      <c r="Q578" s="114" t="n">
        <v>0</v>
      </c>
      <c r="R578" s="114" t="n">
        <v>200</v>
      </c>
      <c r="S578" s="114" t="n">
        <v>0</v>
      </c>
      <c r="T578" t="n">
        <v>0</v>
      </c>
    </row>
    <row r="579">
      <c r="A579" t="inlineStr">
        <is>
          <t>ttJTrans</t>
        </is>
      </c>
      <c r="B579" s="38" t="inlineStr">
        <is>
          <t>0-4005</t>
        </is>
      </c>
      <c r="C579" t="inlineStr">
        <is>
          <t>ER</t>
        </is>
      </c>
      <c r="E579" t="inlineStr">
        <is>
          <t>ER</t>
        </is>
      </c>
      <c r="G579" s="128" t="inlineStr"/>
      <c r="H579" s="127" t="n">
        <v>46152</v>
      </c>
      <c r="J579" s="38" t="inlineStr">
        <is>
          <t>0-4005</t>
        </is>
      </c>
      <c r="K579" t="inlineStr">
        <is>
          <t>RMS2318 BROCE RCT350 WHEEL SWEEPER BROCE RCT350 WHEEL SWEEPER</t>
        </is>
      </c>
      <c r="L579" t="n">
        <v>0</v>
      </c>
      <c r="M579" t="n">
        <v>0</v>
      </c>
      <c r="O579" t="inlineStr">
        <is>
          <t>RMS2318</t>
        </is>
      </c>
      <c r="Q579" s="114" t="n">
        <v>0</v>
      </c>
      <c r="R579" s="114" t="n">
        <v>200</v>
      </c>
      <c r="S579" s="114" t="n">
        <v>0</v>
      </c>
      <c r="T579" t="n">
        <v>0</v>
      </c>
    </row>
    <row r="580">
      <c r="A580" t="inlineStr">
        <is>
          <t>ttJTrans</t>
        </is>
      </c>
      <c r="B580" s="38" t="inlineStr">
        <is>
          <t>0-4005</t>
        </is>
      </c>
      <c r="C580" t="inlineStr">
        <is>
          <t>LA</t>
        </is>
      </c>
      <c r="E580" t="inlineStr">
        <is>
          <t>LA</t>
        </is>
      </c>
      <c r="G580" s="128" t="inlineStr"/>
      <c r="H580" s="127" t="n">
        <v>45945</v>
      </c>
      <c r="J580" s="38" t="inlineStr">
        <is>
          <t>0-4005</t>
        </is>
      </c>
      <c r="K580" t="inlineStr">
        <is>
          <t>PR P2COST 000273 (PR) Summary</t>
        </is>
      </c>
      <c r="L580" t="n">
        <v>0</v>
      </c>
      <c r="M580" t="n">
        <v>0</v>
      </c>
      <c r="Q580" s="114" t="n">
        <v>0</v>
      </c>
      <c r="R580" s="114" t="n">
        <v>60.03</v>
      </c>
      <c r="S580" s="114" t="n">
        <v>0</v>
      </c>
      <c r="T580" t="n">
        <v>1</v>
      </c>
    </row>
    <row r="581">
      <c r="A581" t="inlineStr">
        <is>
          <t>ttJTrans</t>
        </is>
      </c>
      <c r="B581" s="38" t="inlineStr">
        <is>
          <t>0-4005</t>
        </is>
      </c>
      <c r="C581" t="inlineStr">
        <is>
          <t>LA</t>
        </is>
      </c>
      <c r="E581" t="inlineStr">
        <is>
          <t>LA</t>
        </is>
      </c>
      <c r="G581" s="128" t="inlineStr"/>
      <c r="H581" s="127" t="n">
        <v>45945</v>
      </c>
      <c r="J581" s="38" t="inlineStr">
        <is>
          <t>0-4005</t>
        </is>
      </c>
      <c r="K581" t="inlineStr">
        <is>
          <t>PR P2COST 000273 (PR) Summary</t>
        </is>
      </c>
      <c r="L581" t="n">
        <v>0</v>
      </c>
      <c r="M581" t="n">
        <v>0</v>
      </c>
      <c r="Q581" s="114" t="n">
        <v>0</v>
      </c>
      <c r="R581" s="114" t="n">
        <v>60.03</v>
      </c>
      <c r="S581" s="114" t="n">
        <v>0</v>
      </c>
      <c r="T581" t="n">
        <v>1</v>
      </c>
    </row>
    <row r="582">
      <c r="A582" t="inlineStr">
        <is>
          <t>ttJTrans</t>
        </is>
      </c>
      <c r="B582" s="38" t="inlineStr">
        <is>
          <t>0-4005</t>
        </is>
      </c>
      <c r="C582" t="inlineStr">
        <is>
          <t>LA</t>
        </is>
      </c>
      <c r="E582" t="inlineStr">
        <is>
          <t>LA</t>
        </is>
      </c>
      <c r="G582" s="128" t="inlineStr"/>
      <c r="H582" s="127" t="n">
        <v>45945</v>
      </c>
      <c r="J582" s="38" t="inlineStr">
        <is>
          <t>0-4005</t>
        </is>
      </c>
      <c r="K582" t="inlineStr">
        <is>
          <t>PR P2COST 000273 (PR) Summary</t>
        </is>
      </c>
      <c r="L582" t="n">
        <v>0</v>
      </c>
      <c r="M582" t="n">
        <v>0</v>
      </c>
      <c r="Q582" s="114" t="n">
        <v>0</v>
      </c>
      <c r="R582" s="114" t="n">
        <v>1236.73</v>
      </c>
      <c r="S582" s="114" t="n">
        <v>0</v>
      </c>
      <c r="T582" t="n">
        <v>10</v>
      </c>
    </row>
    <row r="583">
      <c r="A583" t="inlineStr">
        <is>
          <t>ttJTrans</t>
        </is>
      </c>
      <c r="B583" s="38" t="inlineStr">
        <is>
          <t>0-4005</t>
        </is>
      </c>
      <c r="C583" t="inlineStr">
        <is>
          <t>LA</t>
        </is>
      </c>
      <c r="E583" t="inlineStr">
        <is>
          <t>LA</t>
        </is>
      </c>
      <c r="G583" s="128" t="inlineStr"/>
      <c r="H583" s="127" t="n">
        <v>45958</v>
      </c>
      <c r="J583" s="38" t="inlineStr">
        <is>
          <t>0-4005</t>
        </is>
      </c>
      <c r="K583" t="inlineStr">
        <is>
          <t>PR P2COST 000274 (PR) Summary</t>
        </is>
      </c>
      <c r="L583" t="n">
        <v>0</v>
      </c>
      <c r="M583" t="n">
        <v>0</v>
      </c>
      <c r="Q583" s="114" t="n">
        <v>0</v>
      </c>
      <c r="R583" s="114" t="n">
        <v>815.5</v>
      </c>
      <c r="S583" s="114" t="n">
        <v>0</v>
      </c>
      <c r="T583" t="n">
        <v>9.5</v>
      </c>
    </row>
    <row r="584">
      <c r="A584" t="inlineStr">
        <is>
          <t>ttJTrans</t>
        </is>
      </c>
      <c r="B584" s="38" t="inlineStr">
        <is>
          <t>0-4005</t>
        </is>
      </c>
      <c r="C584" t="inlineStr">
        <is>
          <t>LA</t>
        </is>
      </c>
      <c r="E584" t="inlineStr">
        <is>
          <t>LA</t>
        </is>
      </c>
      <c r="G584" s="128" t="inlineStr"/>
      <c r="H584" s="127" t="n">
        <v>45958</v>
      </c>
      <c r="J584" s="38" t="inlineStr">
        <is>
          <t>0-4005</t>
        </is>
      </c>
      <c r="K584" t="inlineStr">
        <is>
          <t>PR P2COST 000274 (PR) Summary</t>
        </is>
      </c>
      <c r="L584" t="n">
        <v>0</v>
      </c>
      <c r="M584" t="n">
        <v>0</v>
      </c>
      <c r="Q584" s="114" t="n">
        <v>0</v>
      </c>
      <c r="R584" s="114" t="n">
        <v>703.92</v>
      </c>
      <c r="S584" s="114" t="n">
        <v>0</v>
      </c>
      <c r="T584" t="n">
        <v>8</v>
      </c>
    </row>
    <row r="585">
      <c r="A585" t="inlineStr">
        <is>
          <t>ttJTrans</t>
        </is>
      </c>
      <c r="B585" s="38" t="inlineStr">
        <is>
          <t>0-4005</t>
        </is>
      </c>
      <c r="C585" t="inlineStr">
        <is>
          <t>LA</t>
        </is>
      </c>
      <c r="E585" t="inlineStr">
        <is>
          <t>LA</t>
        </is>
      </c>
      <c r="G585" s="128" t="inlineStr"/>
      <c r="H585" s="127" t="n">
        <v>45958</v>
      </c>
      <c r="J585" s="38" t="inlineStr">
        <is>
          <t>0-4005</t>
        </is>
      </c>
      <c r="K585" t="inlineStr">
        <is>
          <t>PR P2COST 000274 (PR) Summary</t>
        </is>
      </c>
      <c r="L585" t="n">
        <v>0</v>
      </c>
      <c r="M585" t="n">
        <v>0</v>
      </c>
      <c r="Q585" s="114" t="n">
        <v>0</v>
      </c>
      <c r="R585" s="114" t="n">
        <v>1527.57</v>
      </c>
      <c r="S585" s="114" t="n">
        <v>0</v>
      </c>
      <c r="T585" t="n">
        <v>17</v>
      </c>
    </row>
    <row r="586">
      <c r="A586" t="inlineStr">
        <is>
          <t>ttJTrans</t>
        </is>
      </c>
      <c r="B586" s="38" t="inlineStr">
        <is>
          <t>0-4005</t>
        </is>
      </c>
      <c r="C586" t="inlineStr">
        <is>
          <t>LA</t>
        </is>
      </c>
      <c r="E586" t="inlineStr">
        <is>
          <t>LA</t>
        </is>
      </c>
      <c r="G586" s="128" t="inlineStr"/>
      <c r="H586" s="127" t="n">
        <v>45958</v>
      </c>
      <c r="J586" s="38" t="inlineStr">
        <is>
          <t>0-4005</t>
        </is>
      </c>
      <c r="K586" t="inlineStr">
        <is>
          <t>PR P2COST 000274 (PR) Summary</t>
        </is>
      </c>
      <c r="L586" t="n">
        <v>0</v>
      </c>
      <c r="M586" t="n">
        <v>0</v>
      </c>
      <c r="Q586" s="114" t="n">
        <v>0</v>
      </c>
      <c r="R586" s="114" t="n">
        <v>1404.73</v>
      </c>
      <c r="S586" s="114" t="n">
        <v>0</v>
      </c>
      <c r="T586" t="n">
        <v>16</v>
      </c>
    </row>
    <row r="587">
      <c r="A587" t="inlineStr">
        <is>
          <t>ttJTrans</t>
        </is>
      </c>
      <c r="B587" s="38" t="inlineStr">
        <is>
          <t>0-4005</t>
        </is>
      </c>
      <c r="C587" t="inlineStr">
        <is>
          <t>LA</t>
        </is>
      </c>
      <c r="E587" t="inlineStr">
        <is>
          <t>LA</t>
        </is>
      </c>
      <c r="G587" s="128" t="inlineStr"/>
      <c r="H587" s="127" t="n">
        <v>45958</v>
      </c>
      <c r="J587" s="38" t="inlineStr">
        <is>
          <t>0-4005</t>
        </is>
      </c>
      <c r="K587" t="inlineStr">
        <is>
          <t>PR P2COST 000274 (PR) Summary</t>
        </is>
      </c>
      <c r="L587" t="n">
        <v>0</v>
      </c>
      <c r="M587" t="n">
        <v>0</v>
      </c>
      <c r="Q587" s="114" t="n">
        <v>0</v>
      </c>
      <c r="R587" s="114" t="n">
        <v>1242.91</v>
      </c>
      <c r="S587" s="114" t="n">
        <v>0</v>
      </c>
      <c r="T587" t="n">
        <v>14.5</v>
      </c>
    </row>
    <row r="588">
      <c r="A588" t="inlineStr">
        <is>
          <t>ttJTrans</t>
        </is>
      </c>
      <c r="B588" s="38" t="inlineStr">
        <is>
          <t>0-4005</t>
        </is>
      </c>
      <c r="C588" t="inlineStr">
        <is>
          <t>LA</t>
        </is>
      </c>
      <c r="E588" t="inlineStr">
        <is>
          <t>LA</t>
        </is>
      </c>
      <c r="G588" s="128" t="inlineStr"/>
      <c r="H588" s="127" t="n">
        <v>45958</v>
      </c>
      <c r="J588" s="38" t="inlineStr">
        <is>
          <t>0-4005</t>
        </is>
      </c>
      <c r="K588" t="inlineStr">
        <is>
          <t>PR P2COST 000274 (PR) Summary</t>
        </is>
      </c>
      <c r="L588" t="n">
        <v>0</v>
      </c>
      <c r="M588" t="n">
        <v>0</v>
      </c>
      <c r="Q588" s="114" t="n">
        <v>0</v>
      </c>
      <c r="R588" s="114" t="n">
        <v>1349.88</v>
      </c>
      <c r="S588" s="114" t="n">
        <v>0</v>
      </c>
      <c r="T588" t="n">
        <v>15</v>
      </c>
    </row>
    <row r="589">
      <c r="A589" t="inlineStr">
        <is>
          <t>ttJTrans</t>
        </is>
      </c>
      <c r="B589" s="38" t="inlineStr">
        <is>
          <t>0-4005</t>
        </is>
      </c>
      <c r="C589" t="inlineStr">
        <is>
          <t>LA</t>
        </is>
      </c>
      <c r="E589" t="inlineStr">
        <is>
          <t>LA</t>
        </is>
      </c>
      <c r="G589" s="128" t="inlineStr"/>
      <c r="H589" s="127" t="n">
        <v>45958</v>
      </c>
      <c r="J589" s="38" t="inlineStr">
        <is>
          <t>0-4005</t>
        </is>
      </c>
      <c r="K589" t="inlineStr">
        <is>
          <t>PR P2COST 000274 (PR) Summary</t>
        </is>
      </c>
      <c r="L589" t="n">
        <v>0</v>
      </c>
      <c r="M589" t="n">
        <v>0</v>
      </c>
      <c r="Q589" s="114" t="n">
        <v>0</v>
      </c>
      <c r="R589" s="114" t="n">
        <v>986.16</v>
      </c>
      <c r="S589" s="114" t="n">
        <v>0</v>
      </c>
      <c r="T589" t="n">
        <v>11</v>
      </c>
    </row>
    <row r="590">
      <c r="A590" t="inlineStr">
        <is>
          <t>ttJTrans</t>
        </is>
      </c>
      <c r="B590" s="38" t="inlineStr">
        <is>
          <t>0-4005</t>
        </is>
      </c>
      <c r="C590" t="inlineStr">
        <is>
          <t>LA</t>
        </is>
      </c>
      <c r="E590" t="inlineStr">
        <is>
          <t>LA</t>
        </is>
      </c>
      <c r="G590" s="128" t="inlineStr"/>
      <c r="H590" s="127" t="n">
        <v>45958</v>
      </c>
      <c r="J590" s="38" t="inlineStr">
        <is>
          <t>0-4005</t>
        </is>
      </c>
      <c r="K590" t="inlineStr">
        <is>
          <t>PR P2COST 000274 (PR) Summary</t>
        </is>
      </c>
      <c r="L590" t="n">
        <v>0</v>
      </c>
      <c r="M590" t="n">
        <v>0</v>
      </c>
      <c r="Q590" s="114" t="n">
        <v>0</v>
      </c>
      <c r="R590" s="114" t="n">
        <v>827.4299999999999</v>
      </c>
      <c r="S590" s="114" t="n">
        <v>0</v>
      </c>
      <c r="T590" t="n">
        <v>9</v>
      </c>
    </row>
    <row r="591">
      <c r="A591" t="inlineStr">
        <is>
          <t>ttJTrans</t>
        </is>
      </c>
      <c r="B591" s="38" t="inlineStr">
        <is>
          <t>0-4005</t>
        </is>
      </c>
      <c r="C591" t="inlineStr">
        <is>
          <t>LA</t>
        </is>
      </c>
      <c r="E591" t="inlineStr">
        <is>
          <t>LA</t>
        </is>
      </c>
      <c r="G591" s="128" t="inlineStr"/>
      <c r="H591" s="127" t="n">
        <v>45958</v>
      </c>
      <c r="J591" s="38" t="inlineStr">
        <is>
          <t>0-4005</t>
        </is>
      </c>
      <c r="K591" t="inlineStr">
        <is>
          <t>PR P2COST 000274 (PR) Summary</t>
        </is>
      </c>
      <c r="L591" t="n">
        <v>0</v>
      </c>
      <c r="M591" t="n">
        <v>0</v>
      </c>
      <c r="Q591" s="114" t="n">
        <v>0</v>
      </c>
      <c r="R591" s="114" t="n">
        <v>827.42</v>
      </c>
      <c r="S591" s="114" t="n">
        <v>0</v>
      </c>
      <c r="T591" t="n">
        <v>9</v>
      </c>
    </row>
    <row r="592">
      <c r="A592" t="inlineStr">
        <is>
          <t>ttJTrans</t>
        </is>
      </c>
      <c r="B592" s="38" t="inlineStr">
        <is>
          <t>0-4005</t>
        </is>
      </c>
      <c r="C592" t="inlineStr">
        <is>
          <t>LA</t>
        </is>
      </c>
      <c r="E592" t="inlineStr">
        <is>
          <t>LA</t>
        </is>
      </c>
      <c r="G592" s="128" t="inlineStr"/>
      <c r="H592" s="127" t="n">
        <v>45958</v>
      </c>
      <c r="J592" s="38" t="inlineStr">
        <is>
          <t>0-4005</t>
        </is>
      </c>
      <c r="K592" t="inlineStr">
        <is>
          <t>PR P2COST 000274 (PR) Summary</t>
        </is>
      </c>
      <c r="L592" t="n">
        <v>0</v>
      </c>
      <c r="M592" t="n">
        <v>0</v>
      </c>
      <c r="Q592" s="114" t="n">
        <v>0</v>
      </c>
      <c r="R592" s="114" t="n">
        <v>633.4</v>
      </c>
      <c r="S592" s="114" t="n">
        <v>0</v>
      </c>
      <c r="T592" t="n">
        <v>7</v>
      </c>
    </row>
    <row r="593">
      <c r="A593" t="inlineStr">
        <is>
          <t>ttJTrans</t>
        </is>
      </c>
      <c r="B593" s="38" t="inlineStr">
        <is>
          <t>0-4005</t>
        </is>
      </c>
      <c r="C593" t="inlineStr">
        <is>
          <t>LA</t>
        </is>
      </c>
      <c r="E593" t="inlineStr">
        <is>
          <t>LA</t>
        </is>
      </c>
      <c r="G593" s="128" t="inlineStr"/>
      <c r="H593" s="127" t="n">
        <v>45972</v>
      </c>
      <c r="J593" s="38" t="inlineStr">
        <is>
          <t>0-4005</t>
        </is>
      </c>
      <c r="K593" t="inlineStr">
        <is>
          <t>PR P2COST 000275 (PR) Summary</t>
        </is>
      </c>
      <c r="L593" t="n">
        <v>0</v>
      </c>
      <c r="M593" t="n">
        <v>0</v>
      </c>
      <c r="Q593" s="114" t="n">
        <v>0</v>
      </c>
      <c r="R593" s="114" t="n">
        <v>1434.81</v>
      </c>
      <c r="S593" s="114" t="n">
        <v>0</v>
      </c>
      <c r="T593" t="n">
        <v>16</v>
      </c>
    </row>
    <row r="594">
      <c r="A594" t="inlineStr">
        <is>
          <t>ttJTrans</t>
        </is>
      </c>
      <c r="B594" s="38" t="inlineStr">
        <is>
          <t>0-4005</t>
        </is>
      </c>
      <c r="C594" t="inlineStr">
        <is>
          <t>LA</t>
        </is>
      </c>
      <c r="E594" t="inlineStr">
        <is>
          <t>LA</t>
        </is>
      </c>
      <c r="G594" s="128" t="inlineStr"/>
      <c r="H594" s="127" t="n">
        <v>45972</v>
      </c>
      <c r="J594" s="38" t="inlineStr">
        <is>
          <t>0-4005</t>
        </is>
      </c>
      <c r="K594" t="inlineStr">
        <is>
          <t>PR P2COST 000275 (PR) Summary</t>
        </is>
      </c>
      <c r="L594" t="n">
        <v>0</v>
      </c>
      <c r="M594" t="n">
        <v>0</v>
      </c>
      <c r="Q594" s="114" t="n">
        <v>0</v>
      </c>
      <c r="R594" s="114" t="n">
        <v>916.29</v>
      </c>
      <c r="S594" s="114" t="n">
        <v>0</v>
      </c>
      <c r="T594" t="n">
        <v>10.5</v>
      </c>
    </row>
    <row r="595">
      <c r="A595" t="inlineStr">
        <is>
          <t>ttJTrans</t>
        </is>
      </c>
      <c r="B595" s="38" t="inlineStr">
        <is>
          <t>0-4005</t>
        </is>
      </c>
      <c r="C595" t="inlineStr">
        <is>
          <t>LA</t>
        </is>
      </c>
      <c r="E595" t="inlineStr">
        <is>
          <t>LA</t>
        </is>
      </c>
      <c r="G595" s="128" t="inlineStr"/>
      <c r="H595" s="127" t="n">
        <v>45972</v>
      </c>
      <c r="J595" s="38" t="inlineStr">
        <is>
          <t>0-4005</t>
        </is>
      </c>
      <c r="K595" t="inlineStr">
        <is>
          <t>PR P2COST 000275 (PR) Summary</t>
        </is>
      </c>
      <c r="L595" t="n">
        <v>0</v>
      </c>
      <c r="M595" t="n">
        <v>0</v>
      </c>
      <c r="Q595" s="114" t="n">
        <v>0</v>
      </c>
      <c r="R595" s="114" t="n">
        <v>2084.17</v>
      </c>
      <c r="S595" s="114" t="n">
        <v>0</v>
      </c>
      <c r="T595" t="n">
        <v>22.5</v>
      </c>
    </row>
    <row r="596">
      <c r="A596" t="inlineStr">
        <is>
          <t>ttJTrans</t>
        </is>
      </c>
      <c r="B596" s="38" t="inlineStr">
        <is>
          <t>0-4005</t>
        </is>
      </c>
      <c r="C596" t="inlineStr">
        <is>
          <t>LA</t>
        </is>
      </c>
      <c r="E596" t="inlineStr">
        <is>
          <t>LA</t>
        </is>
      </c>
      <c r="G596" s="128" t="inlineStr"/>
      <c r="H596" s="127" t="n">
        <v>45972</v>
      </c>
      <c r="J596" s="38" t="inlineStr">
        <is>
          <t>0-4005</t>
        </is>
      </c>
      <c r="K596" t="inlineStr">
        <is>
          <t>PR P2COST 000275 (PR) Summary</t>
        </is>
      </c>
      <c r="L596" t="n">
        <v>0</v>
      </c>
      <c r="M596" t="n">
        <v>0</v>
      </c>
      <c r="Q596" s="114" t="n">
        <v>0</v>
      </c>
      <c r="R596" s="114" t="n">
        <v>1660.97</v>
      </c>
      <c r="S596" s="114" t="n">
        <v>0</v>
      </c>
      <c r="T596" t="n">
        <v>18</v>
      </c>
    </row>
    <row r="597">
      <c r="A597" t="inlineStr">
        <is>
          <t>ttJTrans</t>
        </is>
      </c>
      <c r="B597" s="38" t="inlineStr">
        <is>
          <t>0-4005</t>
        </is>
      </c>
      <c r="C597" t="inlineStr">
        <is>
          <t>LA</t>
        </is>
      </c>
      <c r="E597" t="inlineStr">
        <is>
          <t>LA</t>
        </is>
      </c>
      <c r="G597" s="128" t="inlineStr"/>
      <c r="H597" s="127" t="n">
        <v>45972</v>
      </c>
      <c r="J597" s="38" t="inlineStr">
        <is>
          <t>0-4005</t>
        </is>
      </c>
      <c r="K597" t="inlineStr">
        <is>
          <t>PR P2COST 000275 (PR) Summary</t>
        </is>
      </c>
      <c r="L597" t="n">
        <v>0</v>
      </c>
      <c r="M597" t="n">
        <v>0</v>
      </c>
      <c r="Q597" s="114" t="n">
        <v>0</v>
      </c>
      <c r="R597" s="114" t="n">
        <v>1248.98</v>
      </c>
      <c r="S597" s="114" t="n">
        <v>0</v>
      </c>
      <c r="T597" t="n">
        <v>13.5</v>
      </c>
    </row>
    <row r="598">
      <c r="A598" t="inlineStr">
        <is>
          <t>ttJTrans</t>
        </is>
      </c>
      <c r="B598" s="38" t="inlineStr">
        <is>
          <t>0-4005</t>
        </is>
      </c>
      <c r="C598" t="inlineStr">
        <is>
          <t>LA</t>
        </is>
      </c>
      <c r="E598" t="inlineStr">
        <is>
          <t>LA</t>
        </is>
      </c>
      <c r="G598" s="128" t="inlineStr"/>
      <c r="H598" s="127" t="n">
        <v>45972</v>
      </c>
      <c r="J598" s="38" t="inlineStr">
        <is>
          <t>0-4005</t>
        </is>
      </c>
      <c r="K598" t="inlineStr">
        <is>
          <t>PR P2COST 000275 (PR) Summary</t>
        </is>
      </c>
      <c r="L598" t="n">
        <v>0</v>
      </c>
      <c r="M598" t="n">
        <v>0</v>
      </c>
      <c r="Q598" s="114" t="n">
        <v>0</v>
      </c>
      <c r="R598" s="114" t="n">
        <v>802.49</v>
      </c>
      <c r="S598" s="114" t="n">
        <v>0</v>
      </c>
      <c r="T598" t="n">
        <v>9</v>
      </c>
    </row>
    <row r="599">
      <c r="A599" t="inlineStr">
        <is>
          <t>ttJTrans</t>
        </is>
      </c>
      <c r="B599" s="38" t="inlineStr">
        <is>
          <t>0-4005</t>
        </is>
      </c>
      <c r="C599" t="inlineStr">
        <is>
          <t>LA</t>
        </is>
      </c>
      <c r="E599" t="inlineStr">
        <is>
          <t>LA</t>
        </is>
      </c>
      <c r="G599" s="128" t="inlineStr"/>
      <c r="H599" s="127" t="n">
        <v>45972</v>
      </c>
      <c r="J599" s="38" t="inlineStr">
        <is>
          <t>0-4005</t>
        </is>
      </c>
      <c r="K599" t="inlineStr">
        <is>
          <t>PR P2COST 000275 (PR) Summary</t>
        </is>
      </c>
      <c r="L599" t="n">
        <v>0</v>
      </c>
      <c r="M599" t="n">
        <v>0</v>
      </c>
      <c r="Q599" s="114" t="n">
        <v>0</v>
      </c>
      <c r="R599" s="114" t="n">
        <v>1248.97</v>
      </c>
      <c r="S599" s="114" t="n">
        <v>0</v>
      </c>
      <c r="T599" t="n">
        <v>13.5</v>
      </c>
    </row>
    <row r="600">
      <c r="A600" t="inlineStr">
        <is>
          <t>ttJTrans</t>
        </is>
      </c>
      <c r="B600" s="38" t="inlineStr">
        <is>
          <t>0-4005</t>
        </is>
      </c>
      <c r="C600" t="inlineStr">
        <is>
          <t>LA</t>
        </is>
      </c>
      <c r="E600" t="inlineStr">
        <is>
          <t>LA</t>
        </is>
      </c>
      <c r="G600" s="128" t="inlineStr"/>
      <c r="H600" s="127" t="n">
        <v>45972</v>
      </c>
      <c r="J600" s="38" t="inlineStr">
        <is>
          <t>0-4005</t>
        </is>
      </c>
      <c r="K600" t="inlineStr">
        <is>
          <t>PR P2COST 000275 (PR) Summary</t>
        </is>
      </c>
      <c r="L600" t="n">
        <v>0</v>
      </c>
      <c r="M600" t="n">
        <v>0</v>
      </c>
      <c r="Q600" s="114" t="n">
        <v>0</v>
      </c>
      <c r="R600" s="114" t="n">
        <v>1146.81</v>
      </c>
      <c r="S600" s="114" t="n">
        <v>0</v>
      </c>
      <c r="T600" t="n">
        <v>12.5</v>
      </c>
    </row>
    <row r="601">
      <c r="A601" t="inlineStr">
        <is>
          <t>ttJTrans</t>
        </is>
      </c>
      <c r="B601" s="38" t="inlineStr">
        <is>
          <t>0-4005</t>
        </is>
      </c>
      <c r="C601" t="inlineStr">
        <is>
          <t>LA</t>
        </is>
      </c>
      <c r="E601" t="inlineStr">
        <is>
          <t>LA</t>
        </is>
      </c>
      <c r="G601" s="128" t="inlineStr"/>
      <c r="H601" s="127" t="n">
        <v>45972</v>
      </c>
      <c r="J601" s="38" t="inlineStr">
        <is>
          <t>0-4005</t>
        </is>
      </c>
      <c r="K601" t="inlineStr">
        <is>
          <t>PR P2COST 000275 (PR) Summary</t>
        </is>
      </c>
      <c r="L601" t="n">
        <v>0</v>
      </c>
      <c r="M601" t="n">
        <v>0</v>
      </c>
      <c r="Q601" s="114" t="n">
        <v>0</v>
      </c>
      <c r="R601" s="114" t="n">
        <v>1220.14</v>
      </c>
      <c r="S601" s="114" t="n">
        <v>0</v>
      </c>
      <c r="T601" t="n">
        <v>13</v>
      </c>
    </row>
    <row r="602">
      <c r="A602" t="inlineStr">
        <is>
          <t>ttJTrans</t>
        </is>
      </c>
      <c r="B602" s="38" t="inlineStr">
        <is>
          <t>0-4005</t>
        </is>
      </c>
      <c r="C602" t="inlineStr">
        <is>
          <t>LA</t>
        </is>
      </c>
      <c r="E602" t="inlineStr">
        <is>
          <t>LA</t>
        </is>
      </c>
      <c r="G602" s="128" t="inlineStr"/>
      <c r="H602" s="127" t="n">
        <v>45972</v>
      </c>
      <c r="J602" s="38" t="inlineStr">
        <is>
          <t>0-4005</t>
        </is>
      </c>
      <c r="K602" t="inlineStr">
        <is>
          <t>PR P2COST 000275 (PR) Summary</t>
        </is>
      </c>
      <c r="L602" t="n">
        <v>0</v>
      </c>
      <c r="M602" t="n">
        <v>0</v>
      </c>
      <c r="Q602" s="114" t="n">
        <v>0</v>
      </c>
      <c r="R602" s="114" t="n">
        <v>1013.81</v>
      </c>
      <c r="S602" s="114" t="n">
        <v>0</v>
      </c>
      <c r="T602" t="n">
        <v>11</v>
      </c>
    </row>
    <row r="603">
      <c r="A603" t="inlineStr">
        <is>
          <t>ttJTrans</t>
        </is>
      </c>
      <c r="B603" s="38" t="inlineStr">
        <is>
          <t>0-4005</t>
        </is>
      </c>
      <c r="C603" t="inlineStr">
        <is>
          <t>LA</t>
        </is>
      </c>
      <c r="E603" t="inlineStr">
        <is>
          <t>LA</t>
        </is>
      </c>
      <c r="G603" s="128" t="inlineStr"/>
      <c r="H603" s="127" t="n">
        <v>45981</v>
      </c>
      <c r="J603" s="38" t="inlineStr">
        <is>
          <t>0-4005</t>
        </is>
      </c>
      <c r="K603" t="inlineStr">
        <is>
          <t>PR P0COST 000503 (PR) Summary</t>
        </is>
      </c>
      <c r="L603" t="n">
        <v>0</v>
      </c>
      <c r="M603" t="n">
        <v>0</v>
      </c>
      <c r="Q603" s="114" t="n">
        <v>0</v>
      </c>
      <c r="R603" s="114" t="n">
        <v>535.49</v>
      </c>
      <c r="S603" s="114" t="n">
        <v>0</v>
      </c>
      <c r="T603" t="n">
        <v>10</v>
      </c>
    </row>
    <row r="604">
      <c r="A604" t="inlineStr">
        <is>
          <t>ttJTrans</t>
        </is>
      </c>
      <c r="B604" s="38" t="inlineStr">
        <is>
          <t>0-4005</t>
        </is>
      </c>
      <c r="C604" t="inlineStr">
        <is>
          <t>LA</t>
        </is>
      </c>
      <c r="E604" t="inlineStr">
        <is>
          <t>LA</t>
        </is>
      </c>
      <c r="G604" s="128" t="inlineStr"/>
      <c r="H604" s="127" t="n">
        <v>45981</v>
      </c>
      <c r="J604" s="38" t="inlineStr">
        <is>
          <t>0-4005</t>
        </is>
      </c>
      <c r="K604" t="inlineStr">
        <is>
          <t>PR P0COST 000503 (PR) Summary</t>
        </is>
      </c>
      <c r="L604" t="n">
        <v>0</v>
      </c>
      <c r="M604" t="n">
        <v>0</v>
      </c>
      <c r="Q604" s="114" t="n">
        <v>0</v>
      </c>
      <c r="R604" s="114" t="n">
        <v>535.49</v>
      </c>
      <c r="S604" s="114" t="n">
        <v>0</v>
      </c>
      <c r="T604" t="n">
        <v>10</v>
      </c>
    </row>
    <row r="605">
      <c r="A605" t="inlineStr">
        <is>
          <t>ttJTrans</t>
        </is>
      </c>
      <c r="B605" s="38" t="inlineStr">
        <is>
          <t>0-4005</t>
        </is>
      </c>
      <c r="C605" t="inlineStr">
        <is>
          <t>LA</t>
        </is>
      </c>
      <c r="E605" t="inlineStr">
        <is>
          <t>LA</t>
        </is>
      </c>
      <c r="G605" s="128" t="inlineStr"/>
      <c r="H605" s="127" t="n">
        <v>45981</v>
      </c>
      <c r="J605" s="38" t="inlineStr">
        <is>
          <t>0-4005</t>
        </is>
      </c>
      <c r="K605" t="inlineStr">
        <is>
          <t>PR P0COST 000503 (PR) Summary</t>
        </is>
      </c>
      <c r="L605" t="n">
        <v>0</v>
      </c>
      <c r="M605" t="n">
        <v>0</v>
      </c>
      <c r="Q605" s="114" t="n">
        <v>0</v>
      </c>
      <c r="R605" s="114" t="n">
        <v>535.49</v>
      </c>
      <c r="S605" s="114" t="n">
        <v>0</v>
      </c>
      <c r="T605" t="n">
        <v>10</v>
      </c>
    </row>
    <row r="606">
      <c r="A606" t="inlineStr">
        <is>
          <t>ttJTrans</t>
        </is>
      </c>
      <c r="B606" s="38" t="inlineStr">
        <is>
          <t>0-4005</t>
        </is>
      </c>
      <c r="C606" t="inlineStr">
        <is>
          <t>LA</t>
        </is>
      </c>
      <c r="E606" t="inlineStr">
        <is>
          <t>LA</t>
        </is>
      </c>
      <c r="G606" s="128" t="inlineStr"/>
      <c r="H606" s="127" t="n">
        <v>45981</v>
      </c>
      <c r="J606" s="38" t="inlineStr">
        <is>
          <t>0-4005</t>
        </is>
      </c>
      <c r="K606" t="inlineStr">
        <is>
          <t>PR P0COST 000503 (PR) Summary</t>
        </is>
      </c>
      <c r="L606" t="n">
        <v>0</v>
      </c>
      <c r="M606" t="n">
        <v>0</v>
      </c>
      <c r="Q606" s="114" t="n">
        <v>0</v>
      </c>
      <c r="R606" s="114" t="n">
        <v>532.99</v>
      </c>
      <c r="S606" s="114" t="n">
        <v>0</v>
      </c>
      <c r="T606" t="n">
        <v>10</v>
      </c>
    </row>
    <row r="607">
      <c r="A607" t="inlineStr">
        <is>
          <t>ttJTrans</t>
        </is>
      </c>
      <c r="B607" s="38" t="inlineStr">
        <is>
          <t>0-4005</t>
        </is>
      </c>
      <c r="C607" t="inlineStr">
        <is>
          <t>LA</t>
        </is>
      </c>
      <c r="E607" t="inlineStr">
        <is>
          <t>LA</t>
        </is>
      </c>
      <c r="G607" s="128" t="inlineStr"/>
      <c r="H607" s="127" t="n">
        <v>45985</v>
      </c>
      <c r="J607" s="38" t="inlineStr">
        <is>
          <t>0-4005</t>
        </is>
      </c>
      <c r="K607" t="inlineStr">
        <is>
          <t>PR P2COST 000276 (PR) Summary</t>
        </is>
      </c>
      <c r="L607" t="n">
        <v>0</v>
      </c>
      <c r="M607" t="n">
        <v>0</v>
      </c>
      <c r="Q607" s="114" t="n">
        <v>0</v>
      </c>
      <c r="R607" s="114" t="n">
        <v>1717.45</v>
      </c>
      <c r="S607" s="114" t="n">
        <v>0</v>
      </c>
      <c r="T607" t="n">
        <v>20</v>
      </c>
    </row>
    <row r="608">
      <c r="A608" t="inlineStr">
        <is>
          <t>ttJTrans</t>
        </is>
      </c>
      <c r="B608" s="38" t="inlineStr">
        <is>
          <t>0-4005</t>
        </is>
      </c>
      <c r="C608" t="inlineStr">
        <is>
          <t>LA</t>
        </is>
      </c>
      <c r="E608" t="inlineStr">
        <is>
          <t>LA</t>
        </is>
      </c>
      <c r="G608" s="128" t="inlineStr"/>
      <c r="H608" s="127" t="n">
        <v>45985</v>
      </c>
      <c r="J608" s="38" t="inlineStr">
        <is>
          <t>0-4005</t>
        </is>
      </c>
      <c r="K608" t="inlineStr">
        <is>
          <t>PR P2COST 000276 (PR) Summary</t>
        </is>
      </c>
      <c r="L608" t="n">
        <v>0</v>
      </c>
      <c r="M608" t="n">
        <v>0</v>
      </c>
      <c r="Q608" s="114" t="n">
        <v>0</v>
      </c>
      <c r="R608" s="114" t="n">
        <v>2098.49</v>
      </c>
      <c r="S608" s="114" t="n">
        <v>0</v>
      </c>
      <c r="T608" t="n">
        <v>24</v>
      </c>
    </row>
    <row r="609">
      <c r="A609" t="inlineStr">
        <is>
          <t>ttJTrans</t>
        </is>
      </c>
      <c r="B609" s="38" t="inlineStr">
        <is>
          <t>0-4005</t>
        </is>
      </c>
      <c r="C609" t="inlineStr">
        <is>
          <t>LA</t>
        </is>
      </c>
      <c r="E609" t="inlineStr">
        <is>
          <t>LA</t>
        </is>
      </c>
      <c r="G609" s="128" t="inlineStr"/>
      <c r="H609" s="127" t="n">
        <v>45985</v>
      </c>
      <c r="J609" s="38" t="inlineStr">
        <is>
          <t>0-4005</t>
        </is>
      </c>
      <c r="K609" t="inlineStr">
        <is>
          <t>PR P2COST 000276 (PR) Summary</t>
        </is>
      </c>
      <c r="L609" t="n">
        <v>0</v>
      </c>
      <c r="M609" t="n">
        <v>0</v>
      </c>
      <c r="Q609" s="114" t="n">
        <v>0</v>
      </c>
      <c r="R609" s="114" t="n">
        <v>1771.04</v>
      </c>
      <c r="S609" s="114" t="n">
        <v>0</v>
      </c>
      <c r="T609" t="n">
        <v>20</v>
      </c>
    </row>
    <row r="610">
      <c r="A610" t="inlineStr">
        <is>
          <t>ttJTrans</t>
        </is>
      </c>
      <c r="B610" s="38" t="inlineStr">
        <is>
          <t>0-4005</t>
        </is>
      </c>
      <c r="C610" t="inlineStr">
        <is>
          <t>LA</t>
        </is>
      </c>
      <c r="E610" t="inlineStr">
        <is>
          <t>LA</t>
        </is>
      </c>
      <c r="G610" s="128" t="inlineStr"/>
      <c r="H610" s="127" t="n">
        <v>45985</v>
      </c>
      <c r="J610" s="38" t="inlineStr">
        <is>
          <t>0-4005</t>
        </is>
      </c>
      <c r="K610" t="inlineStr">
        <is>
          <t>PR P2COST 000276 (PR) Summary</t>
        </is>
      </c>
      <c r="L610" t="n">
        <v>0</v>
      </c>
      <c r="M610" t="n">
        <v>0</v>
      </c>
      <c r="Q610" s="114" t="n">
        <v>0</v>
      </c>
      <c r="R610" s="114" t="n">
        <v>1606.44</v>
      </c>
      <c r="S610" s="114" t="n">
        <v>0</v>
      </c>
      <c r="T610" t="n">
        <v>23.5</v>
      </c>
    </row>
    <row r="611">
      <c r="A611" t="inlineStr">
        <is>
          <t>ttJTrans</t>
        </is>
      </c>
      <c r="B611" s="38" t="inlineStr">
        <is>
          <t>0-4005</t>
        </is>
      </c>
      <c r="C611" t="inlineStr">
        <is>
          <t>LA</t>
        </is>
      </c>
      <c r="E611" t="inlineStr">
        <is>
          <t>LA</t>
        </is>
      </c>
      <c r="G611" s="128" t="inlineStr"/>
      <c r="H611" s="127" t="n">
        <v>45985</v>
      </c>
      <c r="J611" s="38" t="inlineStr">
        <is>
          <t>0-4005</t>
        </is>
      </c>
      <c r="K611" t="inlineStr">
        <is>
          <t>PR P2COST 000276 (PR) Summary</t>
        </is>
      </c>
      <c r="L611" t="n">
        <v>0</v>
      </c>
      <c r="M611" t="n">
        <v>0</v>
      </c>
      <c r="Q611" s="114" t="n">
        <v>0</v>
      </c>
      <c r="R611" s="114" t="n">
        <v>1623.26</v>
      </c>
      <c r="S611" s="114" t="n">
        <v>0</v>
      </c>
      <c r="T611" t="n">
        <v>18.5</v>
      </c>
    </row>
    <row r="612">
      <c r="A612" t="inlineStr">
        <is>
          <t>ttJTrans</t>
        </is>
      </c>
      <c r="B612" s="38" t="inlineStr">
        <is>
          <t>0-4005</t>
        </is>
      </c>
      <c r="C612" t="inlineStr">
        <is>
          <t>LA</t>
        </is>
      </c>
      <c r="E612" t="inlineStr">
        <is>
          <t>LA</t>
        </is>
      </c>
      <c r="G612" s="128" t="inlineStr"/>
      <c r="H612" s="127" t="n">
        <v>45985</v>
      </c>
      <c r="J612" s="38" t="inlineStr">
        <is>
          <t>0-4005</t>
        </is>
      </c>
      <c r="K612" t="inlineStr">
        <is>
          <t>PR P2COST 000276 (PR) Summary</t>
        </is>
      </c>
      <c r="L612" t="n">
        <v>0</v>
      </c>
      <c r="M612" t="n">
        <v>0</v>
      </c>
      <c r="Q612" s="114" t="n">
        <v>0</v>
      </c>
      <c r="R612" s="114" t="n">
        <v>1825.05</v>
      </c>
      <c r="S612" s="114" t="n">
        <v>0</v>
      </c>
      <c r="T612" t="n">
        <v>20.5</v>
      </c>
    </row>
    <row r="613">
      <c r="A613" t="inlineStr">
        <is>
          <t>ttJTrans</t>
        </is>
      </c>
      <c r="B613" s="38" t="inlineStr">
        <is>
          <t>0-4005</t>
        </is>
      </c>
      <c r="C613" t="inlineStr">
        <is>
          <t>LA</t>
        </is>
      </c>
      <c r="E613" t="inlineStr">
        <is>
          <t>LA</t>
        </is>
      </c>
      <c r="G613" s="128" t="inlineStr"/>
      <c r="H613" s="127" t="n">
        <v>45985</v>
      </c>
      <c r="J613" s="38" t="inlineStr">
        <is>
          <t>0-4005</t>
        </is>
      </c>
      <c r="K613" t="inlineStr">
        <is>
          <t>PR P2COST 000276 (PR) Summary</t>
        </is>
      </c>
      <c r="L613" t="n">
        <v>0</v>
      </c>
      <c r="M613" t="n">
        <v>0</v>
      </c>
      <c r="Q613" s="114" t="n">
        <v>0</v>
      </c>
      <c r="R613" s="114" t="n">
        <v>1466.13</v>
      </c>
      <c r="S613" s="114" t="n">
        <v>0</v>
      </c>
      <c r="T613" t="n">
        <v>17</v>
      </c>
    </row>
    <row r="614">
      <c r="A614" t="inlineStr">
        <is>
          <t>ttJTrans</t>
        </is>
      </c>
      <c r="B614" s="38" t="inlineStr">
        <is>
          <t>0-4005</t>
        </is>
      </c>
      <c r="C614" t="inlineStr">
        <is>
          <t>LA</t>
        </is>
      </c>
      <c r="E614" t="inlineStr">
        <is>
          <t>LA</t>
        </is>
      </c>
      <c r="G614" s="128" t="inlineStr"/>
      <c r="H614" s="127" t="n">
        <v>45985</v>
      </c>
      <c r="J614" s="38" t="inlineStr">
        <is>
          <t>0-4005</t>
        </is>
      </c>
      <c r="K614" t="inlineStr">
        <is>
          <t>PR P2COST 000276 (PR) Summary</t>
        </is>
      </c>
      <c r="L614" t="n">
        <v>0</v>
      </c>
      <c r="M614" t="n">
        <v>0</v>
      </c>
      <c r="Q614" s="114" t="n">
        <v>0</v>
      </c>
      <c r="R614" s="114" t="n">
        <v>2822.4</v>
      </c>
      <c r="S614" s="114" t="n">
        <v>0</v>
      </c>
      <c r="T614" t="n">
        <v>32</v>
      </c>
    </row>
    <row r="615">
      <c r="A615" t="inlineStr">
        <is>
          <t>ttJTrans</t>
        </is>
      </c>
      <c r="B615" s="38" t="inlineStr">
        <is>
          <t>0-4005</t>
        </is>
      </c>
      <c r="C615" t="inlineStr">
        <is>
          <t>LA</t>
        </is>
      </c>
      <c r="E615" t="inlineStr">
        <is>
          <t>LA</t>
        </is>
      </c>
      <c r="H615" s="127" t="n">
        <v>45985</v>
      </c>
      <c r="J615" s="38" t="inlineStr">
        <is>
          <t>0-4005</t>
        </is>
      </c>
      <c r="K615" t="inlineStr">
        <is>
          <t>PR P2COST 000276 (PR) Summary</t>
        </is>
      </c>
      <c r="L615" t="n">
        <v>0</v>
      </c>
      <c r="M615" t="n">
        <v>0</v>
      </c>
      <c r="Q615" s="114" t="n">
        <v>0</v>
      </c>
      <c r="R615" s="114" t="n">
        <v>1377.39</v>
      </c>
      <c r="S615" s="114" t="n">
        <v>0</v>
      </c>
      <c r="T615" t="n">
        <v>16</v>
      </c>
    </row>
    <row r="616">
      <c r="A616" t="inlineStr">
        <is>
          <t>ttJTrans</t>
        </is>
      </c>
      <c r="B616" s="38" t="inlineStr">
        <is>
          <t>0-4005</t>
        </is>
      </c>
      <c r="C616" t="inlineStr">
        <is>
          <t>LA</t>
        </is>
      </c>
      <c r="E616" t="inlineStr">
        <is>
          <t>LA</t>
        </is>
      </c>
      <c r="H616" s="127" t="n">
        <v>45985</v>
      </c>
      <c r="J616" s="38" t="inlineStr">
        <is>
          <t>0-4005</t>
        </is>
      </c>
      <c r="K616" t="inlineStr">
        <is>
          <t>PR P2COST 000276 (PR) Summary</t>
        </is>
      </c>
      <c r="L616" t="n">
        <v>0</v>
      </c>
      <c r="M616" t="n">
        <v>0</v>
      </c>
      <c r="Q616" s="114" t="n">
        <v>0</v>
      </c>
      <c r="R616" s="114" t="n">
        <v>1376.5</v>
      </c>
      <c r="S616" s="114" t="n">
        <v>0</v>
      </c>
      <c r="T616" t="n">
        <v>16</v>
      </c>
    </row>
    <row r="617">
      <c r="A617" t="inlineStr">
        <is>
          <t>ttJTrans</t>
        </is>
      </c>
      <c r="B617" s="38" t="inlineStr">
        <is>
          <t>0-4005</t>
        </is>
      </c>
      <c r="C617" t="inlineStr">
        <is>
          <t>LA</t>
        </is>
      </c>
      <c r="E617" t="inlineStr">
        <is>
          <t>LA</t>
        </is>
      </c>
      <c r="H617" s="127" t="n">
        <v>45985</v>
      </c>
      <c r="J617" s="38" t="inlineStr">
        <is>
          <t>0-4005</t>
        </is>
      </c>
      <c r="K617" t="inlineStr">
        <is>
          <t>PR P2COST 000276 (PR) Summary</t>
        </is>
      </c>
      <c r="L617" t="n">
        <v>0</v>
      </c>
      <c r="M617" t="n">
        <v>0</v>
      </c>
      <c r="Q617" s="114" t="n">
        <v>0</v>
      </c>
      <c r="R617" s="114" t="n">
        <v>825.26</v>
      </c>
      <c r="S617" s="114" t="n">
        <v>0</v>
      </c>
      <c r="T617" t="n">
        <v>10</v>
      </c>
    </row>
    <row r="618">
      <c r="A618" t="inlineStr">
        <is>
          <t>ttJTrans</t>
        </is>
      </c>
      <c r="B618" s="38" t="inlineStr">
        <is>
          <t>0-4005</t>
        </is>
      </c>
      <c r="C618" t="inlineStr">
        <is>
          <t>LA</t>
        </is>
      </c>
      <c r="E618" t="inlineStr">
        <is>
          <t>LA</t>
        </is>
      </c>
      <c r="H618" s="127" t="n">
        <v>45985</v>
      </c>
      <c r="J618" s="38" t="inlineStr">
        <is>
          <t>0-4005</t>
        </is>
      </c>
      <c r="K618" t="inlineStr">
        <is>
          <t>PR P2COST 000276 (PR) Summary</t>
        </is>
      </c>
      <c r="L618" t="n">
        <v>0</v>
      </c>
      <c r="M618" t="n">
        <v>0</v>
      </c>
      <c r="Q618" s="114" t="n">
        <v>0</v>
      </c>
      <c r="R618" s="114" t="n">
        <v>412.61</v>
      </c>
      <c r="S618" s="114" t="n">
        <v>0</v>
      </c>
      <c r="T618" t="n">
        <v>5</v>
      </c>
    </row>
    <row r="619">
      <c r="A619" t="inlineStr">
        <is>
          <t>ttJTrans</t>
        </is>
      </c>
      <c r="B619" s="38" t="inlineStr">
        <is>
          <t>0-4005</t>
        </is>
      </c>
      <c r="C619" t="inlineStr">
        <is>
          <t>LA</t>
        </is>
      </c>
      <c r="E619" t="inlineStr">
        <is>
          <t>LA</t>
        </is>
      </c>
      <c r="H619" s="127" t="n">
        <v>45988</v>
      </c>
      <c r="J619" s="38" t="inlineStr">
        <is>
          <t>0-4005</t>
        </is>
      </c>
      <c r="K619" t="inlineStr">
        <is>
          <t>PR P0COST 000504 (PR) Summary</t>
        </is>
      </c>
      <c r="L619" t="n">
        <v>0</v>
      </c>
      <c r="M619" t="n">
        <v>0</v>
      </c>
      <c r="Q619" s="114" t="n">
        <v>0</v>
      </c>
      <c r="R619" s="114" t="n">
        <v>519.24</v>
      </c>
      <c r="S619" s="114" t="n">
        <v>0</v>
      </c>
      <c r="T619" t="n">
        <v>10</v>
      </c>
    </row>
    <row r="620">
      <c r="A620" t="inlineStr">
        <is>
          <t>ttJTrans</t>
        </is>
      </c>
      <c r="B620" s="38" t="inlineStr">
        <is>
          <t>0-4005</t>
        </is>
      </c>
      <c r="C620" t="inlineStr">
        <is>
          <t>LA</t>
        </is>
      </c>
      <c r="E620" t="inlineStr">
        <is>
          <t>LA</t>
        </is>
      </c>
      <c r="H620" s="127" t="n">
        <v>45988</v>
      </c>
      <c r="J620" s="38" t="inlineStr">
        <is>
          <t>0-4005</t>
        </is>
      </c>
      <c r="K620" t="inlineStr">
        <is>
          <t>PR P0COST 000504 (PR) Summary</t>
        </is>
      </c>
      <c r="L620" t="n">
        <v>0</v>
      </c>
      <c r="M620" t="n">
        <v>0</v>
      </c>
      <c r="Q620" s="114" t="n">
        <v>0</v>
      </c>
      <c r="R620" s="114" t="n">
        <v>519.24</v>
      </c>
      <c r="S620" s="114" t="n">
        <v>0</v>
      </c>
      <c r="T620" t="n">
        <v>10</v>
      </c>
    </row>
    <row r="621">
      <c r="A621" t="inlineStr">
        <is>
          <t>ttJTrans</t>
        </is>
      </c>
      <c r="B621" s="38" t="inlineStr">
        <is>
          <t>0-4005</t>
        </is>
      </c>
      <c r="C621" t="inlineStr">
        <is>
          <t>LA</t>
        </is>
      </c>
      <c r="E621" t="inlineStr">
        <is>
          <t>LA</t>
        </is>
      </c>
      <c r="H621" s="127" t="n">
        <v>45988</v>
      </c>
      <c r="J621" s="38" t="inlineStr">
        <is>
          <t>0-4005</t>
        </is>
      </c>
      <c r="K621" t="inlineStr">
        <is>
          <t>PR P0COST 000504 (PR) Summary</t>
        </is>
      </c>
      <c r="L621" t="n">
        <v>0</v>
      </c>
      <c r="M621" t="n">
        <v>0</v>
      </c>
      <c r="Q621" s="114" t="n">
        <v>0</v>
      </c>
      <c r="R621" s="114" t="n">
        <v>519.24</v>
      </c>
      <c r="S621" s="114" t="n">
        <v>0</v>
      </c>
      <c r="T621" t="n">
        <v>10</v>
      </c>
    </row>
    <row r="622">
      <c r="A622" t="inlineStr">
        <is>
          <t>ttJTrans</t>
        </is>
      </c>
      <c r="B622" s="38" t="inlineStr">
        <is>
          <t>0-4005</t>
        </is>
      </c>
      <c r="C622" t="inlineStr">
        <is>
          <t>LA</t>
        </is>
      </c>
      <c r="E622" t="inlineStr">
        <is>
          <t>LA</t>
        </is>
      </c>
      <c r="H622" s="127" t="n">
        <v>45988</v>
      </c>
      <c r="J622" s="38" t="inlineStr">
        <is>
          <t>0-4005</t>
        </is>
      </c>
      <c r="K622" t="inlineStr">
        <is>
          <t>PR P0COST 000504 (PR) Summary</t>
        </is>
      </c>
      <c r="L622" t="n">
        <v>0</v>
      </c>
      <c r="M622" t="n">
        <v>0</v>
      </c>
      <c r="Q622" s="114" t="n">
        <v>0</v>
      </c>
      <c r="R622" s="114" t="n">
        <v>519.24</v>
      </c>
      <c r="S622" s="114" t="n">
        <v>0</v>
      </c>
      <c r="T622" t="n">
        <v>10</v>
      </c>
    </row>
    <row r="623">
      <c r="A623" t="inlineStr">
        <is>
          <t>ttJTrans</t>
        </is>
      </c>
      <c r="B623" s="38" t="inlineStr">
        <is>
          <t>0-4005</t>
        </is>
      </c>
      <c r="C623" t="inlineStr">
        <is>
          <t>LA</t>
        </is>
      </c>
      <c r="E623" t="inlineStr">
        <is>
          <t>LA</t>
        </is>
      </c>
      <c r="H623" s="127" t="n">
        <v>46000</v>
      </c>
      <c r="J623" s="38" t="inlineStr">
        <is>
          <t>0-4005</t>
        </is>
      </c>
      <c r="K623" t="inlineStr">
        <is>
          <t>PR P2COST 000277 (PR) Summary</t>
        </is>
      </c>
      <c r="L623" t="n">
        <v>0</v>
      </c>
      <c r="M623" t="n">
        <v>0</v>
      </c>
      <c r="Q623" s="114" t="n">
        <v>0</v>
      </c>
      <c r="R623" s="114" t="n">
        <v>4186.47</v>
      </c>
      <c r="S623" s="114" t="n">
        <v>0</v>
      </c>
      <c r="T623" t="n">
        <v>51</v>
      </c>
    </row>
    <row r="624">
      <c r="A624" t="inlineStr">
        <is>
          <t>ttJTrans</t>
        </is>
      </c>
      <c r="B624" s="38" t="inlineStr">
        <is>
          <t>0-4005</t>
        </is>
      </c>
      <c r="C624" t="inlineStr">
        <is>
          <t>LA</t>
        </is>
      </c>
      <c r="E624" t="inlineStr">
        <is>
          <t>LA</t>
        </is>
      </c>
      <c r="H624" s="127" t="n">
        <v>46000</v>
      </c>
      <c r="J624" s="38" t="inlineStr">
        <is>
          <t>0-4005</t>
        </is>
      </c>
      <c r="K624" t="inlineStr">
        <is>
          <t>PR P2COST 000277 (PR) Summary</t>
        </is>
      </c>
      <c r="L624" t="n">
        <v>0</v>
      </c>
      <c r="M624" t="n">
        <v>0</v>
      </c>
      <c r="Q624" s="114" t="n">
        <v>0</v>
      </c>
      <c r="R624" s="114" t="n">
        <v>3810.99</v>
      </c>
      <c r="S624" s="114" t="n">
        <v>0</v>
      </c>
      <c r="T624" t="n">
        <v>47</v>
      </c>
    </row>
    <row r="625">
      <c r="A625" t="inlineStr">
        <is>
          <t>ttJTrans</t>
        </is>
      </c>
      <c r="B625" s="38" t="inlineStr">
        <is>
          <t>0-4005</t>
        </is>
      </c>
      <c r="C625" t="inlineStr">
        <is>
          <t>LA</t>
        </is>
      </c>
      <c r="E625" t="inlineStr">
        <is>
          <t>LA</t>
        </is>
      </c>
      <c r="H625" s="127" t="n">
        <v>46000</v>
      </c>
      <c r="J625" s="38" t="inlineStr">
        <is>
          <t>0-4005</t>
        </is>
      </c>
      <c r="K625" t="inlineStr">
        <is>
          <t>PR P2COST 000277 (PR) Summary</t>
        </is>
      </c>
      <c r="L625" t="n">
        <v>0</v>
      </c>
      <c r="M625" t="n">
        <v>0</v>
      </c>
      <c r="Q625" s="114" t="n">
        <v>0</v>
      </c>
      <c r="R625" s="114" t="n">
        <v>2143.5</v>
      </c>
      <c r="S625" s="114" t="n">
        <v>0</v>
      </c>
      <c r="T625" t="n">
        <v>24</v>
      </c>
    </row>
    <row r="626">
      <c r="A626" t="inlineStr">
        <is>
          <t>ttJTrans</t>
        </is>
      </c>
      <c r="B626" s="38" t="inlineStr">
        <is>
          <t>0-4005</t>
        </is>
      </c>
      <c r="C626" t="inlineStr">
        <is>
          <t>LA</t>
        </is>
      </c>
      <c r="E626" t="inlineStr">
        <is>
          <t>LA</t>
        </is>
      </c>
      <c r="H626" s="127" t="n">
        <v>46000</v>
      </c>
      <c r="J626" s="38" t="inlineStr">
        <is>
          <t>0-4005</t>
        </is>
      </c>
      <c r="K626" t="inlineStr">
        <is>
          <t>PR P2COST 000277 (PR) Summary</t>
        </is>
      </c>
      <c r="L626" t="n">
        <v>0</v>
      </c>
      <c r="M626" t="n">
        <v>0</v>
      </c>
      <c r="Q626" s="114" t="n">
        <v>0</v>
      </c>
      <c r="R626" s="114" t="n">
        <v>1791.44</v>
      </c>
      <c r="S626" s="114" t="n">
        <v>0</v>
      </c>
      <c r="T626" t="n">
        <v>19</v>
      </c>
    </row>
    <row r="627">
      <c r="A627" t="inlineStr">
        <is>
          <t>ttJTrans</t>
        </is>
      </c>
      <c r="B627" s="38" t="inlineStr">
        <is>
          <t>0-4005</t>
        </is>
      </c>
      <c r="C627" t="inlineStr">
        <is>
          <t>LA</t>
        </is>
      </c>
      <c r="E627" t="inlineStr">
        <is>
          <t>LA</t>
        </is>
      </c>
      <c r="H627" s="127" t="n">
        <v>46000</v>
      </c>
      <c r="J627" s="38" t="inlineStr">
        <is>
          <t>0-4005</t>
        </is>
      </c>
      <c r="K627" t="inlineStr">
        <is>
          <t>PR P2COST 000277 (PR) Summary</t>
        </is>
      </c>
      <c r="L627" t="n">
        <v>0</v>
      </c>
      <c r="M627" t="n">
        <v>0</v>
      </c>
      <c r="Q627" s="114" t="n">
        <v>0</v>
      </c>
      <c r="R627" s="114" t="n">
        <v>2823.36</v>
      </c>
      <c r="S627" s="114" t="n">
        <v>0</v>
      </c>
      <c r="T627" t="n">
        <v>40</v>
      </c>
    </row>
    <row r="628">
      <c r="A628" t="inlineStr">
        <is>
          <t>ttJTrans</t>
        </is>
      </c>
      <c r="B628" s="38" t="inlineStr">
        <is>
          <t>0-4005</t>
        </is>
      </c>
      <c r="C628" t="inlineStr">
        <is>
          <t>LA</t>
        </is>
      </c>
      <c r="E628" t="inlineStr">
        <is>
          <t>LA</t>
        </is>
      </c>
      <c r="H628" s="127" t="n">
        <v>46000</v>
      </c>
      <c r="J628" s="38" t="inlineStr">
        <is>
          <t>0-4005</t>
        </is>
      </c>
      <c r="K628" t="inlineStr">
        <is>
          <t>PR P2COST 000277 (PR) Summary</t>
        </is>
      </c>
      <c r="L628" t="n">
        <v>0</v>
      </c>
      <c r="M628" t="n">
        <v>0</v>
      </c>
      <c r="Q628" s="114" t="n">
        <v>0</v>
      </c>
      <c r="R628" s="114" t="n">
        <v>2643.87</v>
      </c>
      <c r="S628" s="114" t="n">
        <v>0</v>
      </c>
      <c r="T628" t="n">
        <v>37</v>
      </c>
    </row>
    <row r="629">
      <c r="A629" t="inlineStr">
        <is>
          <t>ttJTrans</t>
        </is>
      </c>
      <c r="B629" s="38" t="inlineStr">
        <is>
          <t>0-4005</t>
        </is>
      </c>
      <c r="C629" t="inlineStr">
        <is>
          <t>LA</t>
        </is>
      </c>
      <c r="E629" t="inlineStr">
        <is>
          <t>LA</t>
        </is>
      </c>
      <c r="H629" s="127" t="n">
        <v>46000</v>
      </c>
      <c r="J629" s="38" t="inlineStr">
        <is>
          <t>0-4005</t>
        </is>
      </c>
      <c r="K629" t="inlineStr">
        <is>
          <t>PR P2COST 000277 (PR) Summary</t>
        </is>
      </c>
      <c r="L629" t="n">
        <v>0</v>
      </c>
      <c r="M629" t="n">
        <v>0</v>
      </c>
      <c r="Q629" s="114" t="n">
        <v>0</v>
      </c>
      <c r="R629" s="114" t="n">
        <v>1772.28</v>
      </c>
      <c r="S629" s="114" t="n">
        <v>0</v>
      </c>
      <c r="T629" t="n">
        <v>19</v>
      </c>
    </row>
    <row r="630">
      <c r="A630" t="inlineStr">
        <is>
          <t>ttJTrans</t>
        </is>
      </c>
      <c r="B630" s="38" t="inlineStr">
        <is>
          <t>0-4005</t>
        </is>
      </c>
      <c r="C630" t="inlineStr">
        <is>
          <t>LA</t>
        </is>
      </c>
      <c r="E630" t="inlineStr">
        <is>
          <t>LA</t>
        </is>
      </c>
      <c r="H630" s="127" t="n">
        <v>46000</v>
      </c>
      <c r="J630" s="38" t="inlineStr">
        <is>
          <t>0-4005</t>
        </is>
      </c>
      <c r="K630" t="inlineStr">
        <is>
          <t>PR P2COST 000277 (PR) Summary</t>
        </is>
      </c>
      <c r="L630" t="n">
        <v>0</v>
      </c>
      <c r="M630" t="n">
        <v>0</v>
      </c>
      <c r="Q630" s="114" t="n">
        <v>0</v>
      </c>
      <c r="R630" s="114" t="n">
        <v>2852.65</v>
      </c>
      <c r="S630" s="114" t="n">
        <v>0</v>
      </c>
      <c r="T630" t="n">
        <v>39</v>
      </c>
    </row>
    <row r="631">
      <c r="A631" t="inlineStr">
        <is>
          <t>ttJTrans</t>
        </is>
      </c>
      <c r="B631" s="38" t="inlineStr">
        <is>
          <t>0-4005</t>
        </is>
      </c>
      <c r="C631" t="inlineStr">
        <is>
          <t>LA</t>
        </is>
      </c>
      <c r="E631" t="inlineStr">
        <is>
          <t>LA</t>
        </is>
      </c>
      <c r="H631" s="127" t="n">
        <v>46000</v>
      </c>
      <c r="J631" s="38" t="inlineStr">
        <is>
          <t>0-4005</t>
        </is>
      </c>
      <c r="K631" t="inlineStr">
        <is>
          <t>PR P2COST 000277 (PR) Summary</t>
        </is>
      </c>
      <c r="L631" t="n">
        <v>0</v>
      </c>
      <c r="M631" t="n">
        <v>0</v>
      </c>
      <c r="Q631" s="114" t="n">
        <v>0</v>
      </c>
      <c r="R631" s="114" t="n">
        <v>498.21</v>
      </c>
      <c r="S631" s="114" t="n">
        <v>0</v>
      </c>
      <c r="T631" t="n">
        <v>6</v>
      </c>
    </row>
    <row r="632">
      <c r="A632" t="inlineStr">
        <is>
          <t>ttJTrans</t>
        </is>
      </c>
      <c r="B632" s="38" t="inlineStr">
        <is>
          <t>0-4005</t>
        </is>
      </c>
      <c r="C632" t="inlineStr">
        <is>
          <t>LA</t>
        </is>
      </c>
      <c r="E632" t="inlineStr">
        <is>
          <t>LA</t>
        </is>
      </c>
      <c r="H632" s="127" t="n">
        <v>46000</v>
      </c>
      <c r="J632" s="38" t="inlineStr">
        <is>
          <t>0-4005</t>
        </is>
      </c>
      <c r="K632" t="inlineStr">
        <is>
          <t>PR P2COST 000277 (PR) Summary</t>
        </is>
      </c>
      <c r="L632" t="n">
        <v>0</v>
      </c>
      <c r="M632" t="n">
        <v>0</v>
      </c>
      <c r="Q632" s="114" t="n">
        <v>0</v>
      </c>
      <c r="R632" s="114" t="n">
        <v>498.21</v>
      </c>
      <c r="S632" s="114" t="n">
        <v>0</v>
      </c>
      <c r="T632" t="n">
        <v>6</v>
      </c>
    </row>
    <row r="633">
      <c r="A633" t="inlineStr">
        <is>
          <t>ttJTrans</t>
        </is>
      </c>
      <c r="B633" s="38" t="inlineStr">
        <is>
          <t>0-4005</t>
        </is>
      </c>
      <c r="C633" t="inlineStr">
        <is>
          <t>LA</t>
        </is>
      </c>
      <c r="E633" t="inlineStr">
        <is>
          <t>LA</t>
        </is>
      </c>
      <c r="H633" s="127" t="n">
        <v>46000</v>
      </c>
      <c r="J633" s="38" t="inlineStr">
        <is>
          <t>0-4005</t>
        </is>
      </c>
      <c r="K633" t="inlineStr">
        <is>
          <t>PR P2COST 000277 (PR) Summary</t>
        </is>
      </c>
      <c r="L633" t="n">
        <v>0</v>
      </c>
      <c r="M633" t="n">
        <v>0</v>
      </c>
      <c r="Q633" s="114" t="n">
        <v>0</v>
      </c>
      <c r="R633" s="114" t="n">
        <v>1025.07</v>
      </c>
      <c r="S633" s="114" t="n">
        <v>0</v>
      </c>
      <c r="T633" t="n">
        <v>20</v>
      </c>
    </row>
    <row r="634">
      <c r="A634" t="inlineStr">
        <is>
          <t>ttJTrans</t>
        </is>
      </c>
      <c r="B634" s="38" t="inlineStr">
        <is>
          <t>0-4005</t>
        </is>
      </c>
      <c r="C634" t="inlineStr">
        <is>
          <t>LA</t>
        </is>
      </c>
      <c r="E634" t="inlineStr">
        <is>
          <t>LA</t>
        </is>
      </c>
      <c r="H634" s="127" t="n">
        <v>46002</v>
      </c>
      <c r="J634" s="38" t="inlineStr">
        <is>
          <t>0-4005</t>
        </is>
      </c>
      <c r="K634" t="inlineStr">
        <is>
          <t>PR P2COST 000278 (PR) Summary</t>
        </is>
      </c>
      <c r="L634" t="n">
        <v>0</v>
      </c>
      <c r="M634" t="n">
        <v>0</v>
      </c>
      <c r="Q634" s="114" t="n">
        <v>0</v>
      </c>
      <c r="R634" s="114" t="n">
        <v>2809.65</v>
      </c>
      <c r="S634" s="114" t="n">
        <v>0</v>
      </c>
      <c r="T634" t="n">
        <v>32</v>
      </c>
    </row>
    <row r="635">
      <c r="A635" t="inlineStr">
        <is>
          <t>ttJTrans</t>
        </is>
      </c>
      <c r="B635" s="38" t="inlineStr">
        <is>
          <t>0-4005</t>
        </is>
      </c>
      <c r="C635" t="inlineStr">
        <is>
          <t>LA</t>
        </is>
      </c>
      <c r="E635" t="inlineStr">
        <is>
          <t>LA</t>
        </is>
      </c>
      <c r="H635" s="127" t="n">
        <v>46002</v>
      </c>
      <c r="J635" s="38" t="inlineStr">
        <is>
          <t>0-4005</t>
        </is>
      </c>
      <c r="K635" t="inlineStr">
        <is>
          <t>PR P2COST 000278 (PR) Summary</t>
        </is>
      </c>
      <c r="L635" t="n">
        <v>0</v>
      </c>
      <c r="M635" t="n">
        <v>0</v>
      </c>
      <c r="Q635" s="114" t="n">
        <v>0</v>
      </c>
      <c r="R635" s="114" t="n">
        <v>1328.21</v>
      </c>
      <c r="S635" s="114" t="n">
        <v>0</v>
      </c>
      <c r="T635" t="n">
        <v>19</v>
      </c>
    </row>
    <row r="636">
      <c r="A636" t="inlineStr">
        <is>
          <t>ttJTrans</t>
        </is>
      </c>
      <c r="B636" s="38" t="inlineStr">
        <is>
          <t>0-4005</t>
        </is>
      </c>
      <c r="C636" t="inlineStr">
        <is>
          <t>LA</t>
        </is>
      </c>
      <c r="E636" t="inlineStr">
        <is>
          <t>LA</t>
        </is>
      </c>
      <c r="H636" s="127" t="n">
        <v>46002</v>
      </c>
      <c r="J636" s="38" t="inlineStr">
        <is>
          <t>0-4005</t>
        </is>
      </c>
      <c r="K636" t="inlineStr">
        <is>
          <t>PR P2COST 000278 (PR) Summary</t>
        </is>
      </c>
      <c r="L636" t="n">
        <v>0</v>
      </c>
      <c r="M636" t="n">
        <v>0</v>
      </c>
      <c r="Q636" s="114" t="n">
        <v>0</v>
      </c>
      <c r="R636" s="114" t="n">
        <v>1607.08</v>
      </c>
      <c r="S636" s="114" t="n">
        <v>0</v>
      </c>
      <c r="T636" t="n">
        <v>21</v>
      </c>
    </row>
    <row r="637">
      <c r="A637" t="inlineStr">
        <is>
          <t>ttJTrans</t>
        </is>
      </c>
      <c r="B637" s="38" t="inlineStr">
        <is>
          <t>0-4005</t>
        </is>
      </c>
      <c r="C637" t="inlineStr">
        <is>
          <t>LA</t>
        </is>
      </c>
      <c r="E637" t="inlineStr">
        <is>
          <t>LA</t>
        </is>
      </c>
      <c r="H637" s="127" t="n">
        <v>46002</v>
      </c>
      <c r="J637" s="38" t="inlineStr">
        <is>
          <t>0-4005</t>
        </is>
      </c>
      <c r="K637" t="inlineStr">
        <is>
          <t>PR P2COST 000278 (PR) Summary</t>
        </is>
      </c>
      <c r="L637" t="n">
        <v>0</v>
      </c>
      <c r="M637" t="n">
        <v>0</v>
      </c>
      <c r="Q637" s="114" t="n">
        <v>0</v>
      </c>
      <c r="R637" s="114" t="n">
        <v>1433.56</v>
      </c>
      <c r="S637" s="114" t="n">
        <v>0</v>
      </c>
      <c r="T637" t="n">
        <v>19</v>
      </c>
    </row>
    <row r="638">
      <c r="A638" t="inlineStr">
        <is>
          <t>ttJTrans</t>
        </is>
      </c>
      <c r="B638" s="38" t="inlineStr">
        <is>
          <t>0-4005</t>
        </is>
      </c>
      <c r="C638" t="inlineStr">
        <is>
          <t>LA</t>
        </is>
      </c>
      <c r="E638" t="inlineStr">
        <is>
          <t>LA</t>
        </is>
      </c>
      <c r="H638" s="127" t="n">
        <v>46002</v>
      </c>
      <c r="J638" s="38" t="inlineStr">
        <is>
          <t>0-4005</t>
        </is>
      </c>
      <c r="K638" t="inlineStr">
        <is>
          <t>PR P2COST 000278 (PR) Summary</t>
        </is>
      </c>
      <c r="L638" t="n">
        <v>0</v>
      </c>
      <c r="M638" t="n">
        <v>0</v>
      </c>
      <c r="Q638" s="114" t="n">
        <v>0</v>
      </c>
      <c r="R638" s="114" t="n">
        <v>2439.35</v>
      </c>
      <c r="S638" s="114" t="n">
        <v>0</v>
      </c>
      <c r="T638" t="n">
        <v>28</v>
      </c>
    </row>
    <row r="639">
      <c r="A639" t="inlineStr">
        <is>
          <t>ttJTrans</t>
        </is>
      </c>
      <c r="B639" s="38" t="inlineStr">
        <is>
          <t>0-4005</t>
        </is>
      </c>
      <c r="C639" t="inlineStr">
        <is>
          <t>LA</t>
        </is>
      </c>
      <c r="E639" t="inlineStr">
        <is>
          <t>LA</t>
        </is>
      </c>
      <c r="G639" s="128" t="inlineStr"/>
      <c r="H639" s="127" t="n">
        <v>46002</v>
      </c>
      <c r="J639" s="38" t="inlineStr">
        <is>
          <t>0-4005</t>
        </is>
      </c>
      <c r="K639" t="inlineStr">
        <is>
          <t>PR P2COST 000278 (PR) Summary</t>
        </is>
      </c>
      <c r="L639" t="n">
        <v>0</v>
      </c>
      <c r="M639" t="n">
        <v>0</v>
      </c>
      <c r="Q639" s="114" t="n">
        <v>0</v>
      </c>
      <c r="R639" s="114" t="n">
        <v>1344.76</v>
      </c>
      <c r="S639" s="114" t="n">
        <v>0</v>
      </c>
      <c r="T639" t="n">
        <v>18</v>
      </c>
    </row>
    <row r="640">
      <c r="A640" t="inlineStr">
        <is>
          <t>ttJTrans</t>
        </is>
      </c>
      <c r="B640" s="38" t="inlineStr">
        <is>
          <t>0-4005</t>
        </is>
      </c>
      <c r="C640" t="inlineStr">
        <is>
          <t>LA</t>
        </is>
      </c>
      <c r="E640" t="inlineStr">
        <is>
          <t>LA</t>
        </is>
      </c>
      <c r="G640" s="128" t="inlineStr"/>
      <c r="H640" s="127" t="n">
        <v>46002</v>
      </c>
      <c r="J640" s="38" t="inlineStr">
        <is>
          <t>0-4005</t>
        </is>
      </c>
      <c r="K640" t="inlineStr">
        <is>
          <t>PR P2COST 000278 (PR) Summary</t>
        </is>
      </c>
      <c r="L640" t="n">
        <v>0</v>
      </c>
      <c r="M640" t="n">
        <v>0</v>
      </c>
      <c r="Q640" s="114" t="n">
        <v>0</v>
      </c>
      <c r="R640" s="114" t="n">
        <v>390.23</v>
      </c>
      <c r="S640" s="114" t="n">
        <v>0</v>
      </c>
      <c r="T640" t="n">
        <v>5</v>
      </c>
    </row>
    <row r="641">
      <c r="A641" t="inlineStr">
        <is>
          <t>ttJTrans</t>
        </is>
      </c>
      <c r="B641" s="38" t="inlineStr">
        <is>
          <t>0-4005</t>
        </is>
      </c>
      <c r="C641" t="inlineStr">
        <is>
          <t>LA</t>
        </is>
      </c>
      <c r="E641" t="inlineStr">
        <is>
          <t>LA</t>
        </is>
      </c>
      <c r="G641" s="128" t="inlineStr"/>
      <c r="H641" s="127" t="n">
        <v>46002</v>
      </c>
      <c r="J641" s="38" t="inlineStr">
        <is>
          <t>0-4005</t>
        </is>
      </c>
      <c r="K641" t="inlineStr">
        <is>
          <t>PR P2COST 000278 (PR) Summary</t>
        </is>
      </c>
      <c r="L641" t="n">
        <v>0</v>
      </c>
      <c r="M641" t="n">
        <v>0</v>
      </c>
      <c r="Q641" s="114" t="n">
        <v>0</v>
      </c>
      <c r="R641" s="114" t="n">
        <v>1149.01</v>
      </c>
      <c r="S641" s="114" t="n">
        <v>0</v>
      </c>
      <c r="T641" t="n">
        <v>16</v>
      </c>
    </row>
    <row r="642">
      <c r="A642" t="inlineStr">
        <is>
          <t>ttJTrans</t>
        </is>
      </c>
      <c r="B642" s="38" t="inlineStr">
        <is>
          <t>0-4005</t>
        </is>
      </c>
      <c r="C642" t="inlineStr">
        <is>
          <t>LA</t>
        </is>
      </c>
      <c r="E642" t="inlineStr">
        <is>
          <t>LA</t>
        </is>
      </c>
      <c r="H642" s="127" t="n">
        <v>46002</v>
      </c>
      <c r="J642" s="38" t="inlineStr">
        <is>
          <t>0-4005</t>
        </is>
      </c>
      <c r="K642" t="inlineStr">
        <is>
          <t>PR P2COST 000278 (PR) Summary</t>
        </is>
      </c>
      <c r="L642" t="n">
        <v>0</v>
      </c>
      <c r="M642" t="n">
        <v>0</v>
      </c>
      <c r="Q642" s="114" t="n">
        <v>0</v>
      </c>
      <c r="R642" s="114" t="n">
        <v>1113.77</v>
      </c>
      <c r="S642" s="114" t="n">
        <v>0</v>
      </c>
      <c r="T642" t="n">
        <v>15</v>
      </c>
    </row>
    <row r="643">
      <c r="A643" t="inlineStr">
        <is>
          <t>ttJTrans</t>
        </is>
      </c>
      <c r="B643" s="38" t="inlineStr">
        <is>
          <t>0-4005</t>
        </is>
      </c>
      <c r="C643" t="inlineStr">
        <is>
          <t>LA</t>
        </is>
      </c>
      <c r="E643" t="inlineStr">
        <is>
          <t>LA</t>
        </is>
      </c>
      <c r="G643" s="128" t="inlineStr"/>
      <c r="H643" s="127" t="n">
        <v>46002</v>
      </c>
      <c r="J643" s="38" t="inlineStr">
        <is>
          <t>0-4005</t>
        </is>
      </c>
      <c r="K643" t="inlineStr">
        <is>
          <t>PR P2COST 000278 (PR) Summary</t>
        </is>
      </c>
      <c r="L643" t="n">
        <v>0</v>
      </c>
      <c r="M643" t="n">
        <v>0</v>
      </c>
      <c r="Q643" s="114" t="n">
        <v>0</v>
      </c>
      <c r="R643" s="114" t="n">
        <v>2179.2</v>
      </c>
      <c r="S643" s="114" t="n">
        <v>0</v>
      </c>
      <c r="T643" t="n">
        <v>24</v>
      </c>
    </row>
    <row r="644">
      <c r="A644" t="inlineStr">
        <is>
          <t>ttJTrans</t>
        </is>
      </c>
      <c r="B644" s="38" t="inlineStr">
        <is>
          <t>0-4005</t>
        </is>
      </c>
      <c r="C644" t="inlineStr">
        <is>
          <t>LA</t>
        </is>
      </c>
      <c r="E644" t="inlineStr">
        <is>
          <t>LA</t>
        </is>
      </c>
      <c r="G644" s="128" t="inlineStr"/>
      <c r="H644" s="127" t="n">
        <v>46002</v>
      </c>
      <c r="J644" s="38" t="inlineStr">
        <is>
          <t>0-4005</t>
        </is>
      </c>
      <c r="K644" t="inlineStr">
        <is>
          <t>PR P2COST 000278 (PR) Summary</t>
        </is>
      </c>
      <c r="L644" t="n">
        <v>0</v>
      </c>
      <c r="M644" t="n">
        <v>0</v>
      </c>
      <c r="Q644" s="114" t="n">
        <v>0</v>
      </c>
      <c r="R644" s="114" t="n">
        <v>851.53</v>
      </c>
      <c r="S644" s="114" t="n">
        <v>0</v>
      </c>
      <c r="T644" t="n">
        <v>12</v>
      </c>
    </row>
    <row r="645">
      <c r="A645" t="inlineStr">
        <is>
          <t>ttJTrans</t>
        </is>
      </c>
      <c r="B645" s="38" t="inlineStr">
        <is>
          <t>0-4005</t>
        </is>
      </c>
      <c r="C645" t="inlineStr">
        <is>
          <t>LA</t>
        </is>
      </c>
      <c r="E645" t="inlineStr">
        <is>
          <t>LA</t>
        </is>
      </c>
      <c r="G645" s="128" t="inlineStr"/>
      <c r="H645" s="127" t="n">
        <v>46002</v>
      </c>
      <c r="J645" s="38" t="inlineStr">
        <is>
          <t>0-4005</t>
        </is>
      </c>
      <c r="K645" t="inlineStr">
        <is>
          <t>PR P2COST 000278 (PR) Summary</t>
        </is>
      </c>
      <c r="L645" t="n">
        <v>0</v>
      </c>
      <c r="M645" t="n">
        <v>0</v>
      </c>
      <c r="Q645" s="114" t="n">
        <v>0</v>
      </c>
      <c r="R645" s="114" t="n">
        <v>225.35</v>
      </c>
      <c r="S645" s="114" t="n">
        <v>0</v>
      </c>
      <c r="T645" t="n">
        <v>2</v>
      </c>
    </row>
    <row r="646">
      <c r="A646" t="inlineStr">
        <is>
          <t>ttJTrans</t>
        </is>
      </c>
      <c r="B646" s="38" t="inlineStr">
        <is>
          <t>0-4005</t>
        </is>
      </c>
      <c r="C646" t="inlineStr">
        <is>
          <t>LA</t>
        </is>
      </c>
      <c r="E646" t="inlineStr">
        <is>
          <t>LA</t>
        </is>
      </c>
      <c r="G646" s="128" t="inlineStr"/>
      <c r="H646" s="127" t="n">
        <v>46028</v>
      </c>
      <c r="J646" s="38" t="inlineStr">
        <is>
          <t>0-4005</t>
        </is>
      </c>
      <c r="K646" t="inlineStr">
        <is>
          <t>PR P2COST 000280 (PR) Summary</t>
        </is>
      </c>
      <c r="L646" t="n">
        <v>0</v>
      </c>
      <c r="M646" t="n">
        <v>0</v>
      </c>
      <c r="Q646" s="114" t="n">
        <v>0</v>
      </c>
      <c r="R646" s="114" t="n">
        <v>1064.47</v>
      </c>
      <c r="S646" s="114" t="n">
        <v>0</v>
      </c>
      <c r="T646" t="n">
        <v>13</v>
      </c>
    </row>
    <row r="647">
      <c r="A647" t="inlineStr">
        <is>
          <t>ttJTrans</t>
        </is>
      </c>
      <c r="B647" s="38" t="inlineStr">
        <is>
          <t>0-4005</t>
        </is>
      </c>
      <c r="C647" t="inlineStr">
        <is>
          <t>LA</t>
        </is>
      </c>
      <c r="E647" t="inlineStr">
        <is>
          <t>LA</t>
        </is>
      </c>
      <c r="G647" s="128" t="inlineStr"/>
      <c r="H647" s="127" t="n">
        <v>46028</v>
      </c>
      <c r="J647" s="38" t="inlineStr">
        <is>
          <t>0-4005</t>
        </is>
      </c>
      <c r="K647" t="inlineStr">
        <is>
          <t>PR P2COST 000280 (PR) Summary</t>
        </is>
      </c>
      <c r="L647" t="n">
        <v>0</v>
      </c>
      <c r="M647" t="n">
        <v>0</v>
      </c>
      <c r="Q647" s="114" t="n">
        <v>0</v>
      </c>
      <c r="R647" s="114" t="n">
        <v>1199.04</v>
      </c>
      <c r="S647" s="114" t="n">
        <v>0</v>
      </c>
      <c r="T647" t="n">
        <v>14</v>
      </c>
    </row>
    <row r="648">
      <c r="A648" t="inlineStr">
        <is>
          <t>ttJTrans</t>
        </is>
      </c>
      <c r="B648" s="38" t="inlineStr">
        <is>
          <t>0-4005</t>
        </is>
      </c>
      <c r="C648" t="inlineStr">
        <is>
          <t>LA</t>
        </is>
      </c>
      <c r="E648" t="inlineStr">
        <is>
          <t>LA</t>
        </is>
      </c>
      <c r="G648" s="128" t="inlineStr"/>
      <c r="H648" s="127" t="n">
        <v>46028</v>
      </c>
      <c r="J648" s="38" t="inlineStr">
        <is>
          <t>0-4005</t>
        </is>
      </c>
      <c r="K648" t="inlineStr">
        <is>
          <t>PR P2COST 000280 (PR) Summary</t>
        </is>
      </c>
      <c r="L648" t="n">
        <v>0</v>
      </c>
      <c r="M648" t="n">
        <v>0</v>
      </c>
      <c r="Q648" s="114" t="n">
        <v>0</v>
      </c>
      <c r="R648" s="114" t="n">
        <v>1144</v>
      </c>
      <c r="S648" s="114" t="n">
        <v>0</v>
      </c>
      <c r="T648" t="n">
        <v>14</v>
      </c>
    </row>
    <row r="649">
      <c r="A649" t="inlineStr">
        <is>
          <t>ttJTrans</t>
        </is>
      </c>
      <c r="B649" s="38" t="inlineStr">
        <is>
          <t>0-4005</t>
        </is>
      </c>
      <c r="C649" t="inlineStr">
        <is>
          <t>LA</t>
        </is>
      </c>
      <c r="E649" t="inlineStr">
        <is>
          <t>LA</t>
        </is>
      </c>
      <c r="G649" s="128" t="inlineStr"/>
      <c r="H649" s="127" t="n">
        <v>46028</v>
      </c>
      <c r="J649" s="38" t="inlineStr">
        <is>
          <t>0-4005</t>
        </is>
      </c>
      <c r="K649" t="inlineStr">
        <is>
          <t>PR P2COST 000280 (PR) Summary</t>
        </is>
      </c>
      <c r="L649" t="n">
        <v>0</v>
      </c>
      <c r="M649" t="n">
        <v>0</v>
      </c>
      <c r="Q649" s="114" t="n">
        <v>0</v>
      </c>
      <c r="R649" s="114" t="n">
        <v>1426.32</v>
      </c>
      <c r="S649" s="114" t="n">
        <v>0</v>
      </c>
      <c r="T649" t="n">
        <v>16.5</v>
      </c>
    </row>
    <row r="650">
      <c r="A650" t="inlineStr">
        <is>
          <t>ttJTrans</t>
        </is>
      </c>
      <c r="B650" s="38" t="inlineStr">
        <is>
          <t>0-4005</t>
        </is>
      </c>
      <c r="C650" t="inlineStr">
        <is>
          <t>LA</t>
        </is>
      </c>
      <c r="E650" t="inlineStr">
        <is>
          <t>LA</t>
        </is>
      </c>
      <c r="G650" s="128" t="inlineStr"/>
      <c r="H650" s="127" t="n">
        <v>46028</v>
      </c>
      <c r="J650" s="38" t="inlineStr">
        <is>
          <t>0-4005</t>
        </is>
      </c>
      <c r="K650" t="inlineStr">
        <is>
          <t>PR P2COST 000280 (PR) Summary</t>
        </is>
      </c>
      <c r="L650" t="n">
        <v>0</v>
      </c>
      <c r="M650" t="n">
        <v>0</v>
      </c>
      <c r="Q650" s="114" t="n">
        <v>0</v>
      </c>
      <c r="R650" s="114" t="n">
        <v>2795.13</v>
      </c>
      <c r="S650" s="114" t="n">
        <v>0</v>
      </c>
      <c r="T650" t="n">
        <v>28</v>
      </c>
    </row>
    <row r="651">
      <c r="A651" t="inlineStr">
        <is>
          <t>ttJTrans</t>
        </is>
      </c>
      <c r="B651" s="38" t="inlineStr">
        <is>
          <t>0-4005</t>
        </is>
      </c>
      <c r="C651" t="inlineStr">
        <is>
          <t>LA</t>
        </is>
      </c>
      <c r="E651" t="inlineStr">
        <is>
          <t>LA</t>
        </is>
      </c>
      <c r="G651" s="128" t="inlineStr"/>
      <c r="H651" s="127" t="n">
        <v>46028</v>
      </c>
      <c r="J651" s="38" t="inlineStr">
        <is>
          <t>0-4005</t>
        </is>
      </c>
      <c r="K651" t="inlineStr">
        <is>
          <t>PR P2COST 000280 (PR) Summary</t>
        </is>
      </c>
      <c r="L651" t="n">
        <v>0</v>
      </c>
      <c r="M651" t="n">
        <v>0</v>
      </c>
      <c r="Q651" s="114" t="n">
        <v>0</v>
      </c>
      <c r="R651" s="114" t="n">
        <v>2135.16</v>
      </c>
      <c r="S651" s="114" t="n">
        <v>0</v>
      </c>
      <c r="T651" t="n">
        <v>21</v>
      </c>
    </row>
    <row r="652">
      <c r="A652" t="inlineStr">
        <is>
          <t>ttJTrans</t>
        </is>
      </c>
      <c r="B652" s="38" t="inlineStr">
        <is>
          <t>0-4005</t>
        </is>
      </c>
      <c r="C652" t="inlineStr">
        <is>
          <t>LA</t>
        </is>
      </c>
      <c r="E652" t="inlineStr">
        <is>
          <t>LA</t>
        </is>
      </c>
      <c r="G652" s="128" t="inlineStr"/>
      <c r="H652" s="127" t="n">
        <v>46028</v>
      </c>
      <c r="J652" s="38" t="inlineStr">
        <is>
          <t>0-4005</t>
        </is>
      </c>
      <c r="K652" t="inlineStr">
        <is>
          <t>PR P2COST 000280 (PR) Summary</t>
        </is>
      </c>
      <c r="L652" t="n">
        <v>0</v>
      </c>
      <c r="M652" t="n">
        <v>0</v>
      </c>
      <c r="Q652" s="114" t="n">
        <v>0</v>
      </c>
      <c r="R652" s="114" t="n">
        <v>910.47</v>
      </c>
      <c r="S652" s="114" t="n">
        <v>0</v>
      </c>
      <c r="T652" t="n">
        <v>11</v>
      </c>
    </row>
    <row r="653">
      <c r="A653" t="inlineStr">
        <is>
          <t>ttJTrans</t>
        </is>
      </c>
      <c r="B653" s="38" t="inlineStr">
        <is>
          <t>0-4005</t>
        </is>
      </c>
      <c r="C653" t="inlineStr">
        <is>
          <t>LA</t>
        </is>
      </c>
      <c r="E653" t="inlineStr">
        <is>
          <t>LA</t>
        </is>
      </c>
      <c r="G653" s="128" t="inlineStr"/>
      <c r="H653" s="127" t="n">
        <v>46028</v>
      </c>
      <c r="J653" s="38" t="inlineStr">
        <is>
          <t>0-4005</t>
        </is>
      </c>
      <c r="K653" t="inlineStr">
        <is>
          <t>PR P2COST 000280 (PR) Summary</t>
        </is>
      </c>
      <c r="L653" t="n">
        <v>0</v>
      </c>
      <c r="M653" t="n">
        <v>0</v>
      </c>
      <c r="Q653" s="114" t="n">
        <v>0</v>
      </c>
      <c r="R653" s="114" t="n">
        <v>2003.05</v>
      </c>
      <c r="S653" s="114" t="n">
        <v>0</v>
      </c>
      <c r="T653" t="n">
        <v>19</v>
      </c>
    </row>
    <row r="654">
      <c r="A654" t="inlineStr">
        <is>
          <t>ttJTrans</t>
        </is>
      </c>
      <c r="B654" s="38" t="inlineStr">
        <is>
          <t>0-4005</t>
        </is>
      </c>
      <c r="C654" t="inlineStr">
        <is>
          <t>LA</t>
        </is>
      </c>
      <c r="E654" t="inlineStr">
        <is>
          <t>LA</t>
        </is>
      </c>
      <c r="G654" s="128" t="inlineStr"/>
      <c r="H654" s="127" t="n">
        <v>46028</v>
      </c>
      <c r="J654" s="38" t="inlineStr">
        <is>
          <t>0-4005</t>
        </is>
      </c>
      <c r="K654" t="inlineStr">
        <is>
          <t>PR P2COST 000280 (PR) Summary</t>
        </is>
      </c>
      <c r="L654" t="n">
        <v>0</v>
      </c>
      <c r="M654" t="n">
        <v>0</v>
      </c>
      <c r="Q654" s="114" t="n">
        <v>0</v>
      </c>
      <c r="R654" s="114" t="n">
        <v>230.28</v>
      </c>
      <c r="S654" s="114" t="n">
        <v>0</v>
      </c>
      <c r="T654" t="n">
        <v>2</v>
      </c>
    </row>
    <row r="655">
      <c r="A655" t="inlineStr">
        <is>
          <t>ttJTrans</t>
        </is>
      </c>
      <c r="B655" s="38" t="inlineStr">
        <is>
          <t>0-4005</t>
        </is>
      </c>
      <c r="C655" t="inlineStr">
        <is>
          <t>LA</t>
        </is>
      </c>
      <c r="E655" t="inlineStr">
        <is>
          <t>LA</t>
        </is>
      </c>
      <c r="G655" s="128" t="inlineStr"/>
      <c r="H655" s="127" t="n">
        <v>46028</v>
      </c>
      <c r="J655" s="38" t="inlineStr">
        <is>
          <t>0-4005</t>
        </is>
      </c>
      <c r="K655" t="inlineStr">
        <is>
          <t>PR P2COST 000280 (PR) Summary</t>
        </is>
      </c>
      <c r="L655" t="n">
        <v>0</v>
      </c>
      <c r="M655" t="n">
        <v>0</v>
      </c>
      <c r="Q655" s="114" t="n">
        <v>0</v>
      </c>
      <c r="R655" s="114" t="n">
        <v>172.72</v>
      </c>
      <c r="S655" s="114" t="n">
        <v>0</v>
      </c>
      <c r="T655" t="n">
        <v>1.5</v>
      </c>
    </row>
    <row r="656">
      <c r="A656" t="inlineStr">
        <is>
          <t>ttJTrans</t>
        </is>
      </c>
      <c r="B656" s="38" t="inlineStr">
        <is>
          <t>0-4005</t>
        </is>
      </c>
      <c r="C656" t="inlineStr">
        <is>
          <t>LA</t>
        </is>
      </c>
      <c r="E656" t="inlineStr">
        <is>
          <t>LA</t>
        </is>
      </c>
      <c r="G656" s="128" t="inlineStr"/>
      <c r="H656" s="127" t="n">
        <v>46041</v>
      </c>
      <c r="J656" s="38" t="inlineStr">
        <is>
          <t>0-4005</t>
        </is>
      </c>
      <c r="K656" t="inlineStr">
        <is>
          <t>PR P2COST 000281 (PR) Summary</t>
        </is>
      </c>
      <c r="L656" t="n">
        <v>0</v>
      </c>
      <c r="M656" t="n">
        <v>0</v>
      </c>
      <c r="Q656" s="114" t="n">
        <v>0</v>
      </c>
      <c r="R656" s="114" t="n">
        <v>3267.49</v>
      </c>
      <c r="S656" s="114" t="n">
        <v>0</v>
      </c>
      <c r="T656" t="n">
        <v>31</v>
      </c>
    </row>
    <row r="657">
      <c r="A657" t="inlineStr">
        <is>
          <t>ttJTrans</t>
        </is>
      </c>
      <c r="B657" s="38" t="inlineStr">
        <is>
          <t>0-4005</t>
        </is>
      </c>
      <c r="C657" t="inlineStr">
        <is>
          <t>LA</t>
        </is>
      </c>
      <c r="E657" t="inlineStr">
        <is>
          <t>LA</t>
        </is>
      </c>
      <c r="G657" s="128" t="inlineStr"/>
      <c r="H657" s="127" t="n">
        <v>46041</v>
      </c>
      <c r="J657" s="38" t="inlineStr">
        <is>
          <t>0-4005</t>
        </is>
      </c>
      <c r="K657" t="inlineStr">
        <is>
          <t>PR P2COST 000281 (PR) Summary</t>
        </is>
      </c>
      <c r="L657" t="n">
        <v>0</v>
      </c>
      <c r="M657" t="n">
        <v>0</v>
      </c>
      <c r="Q657" s="114" t="n">
        <v>0</v>
      </c>
      <c r="R657" s="114" t="n">
        <v>3486.6</v>
      </c>
      <c r="S657" s="114" t="n">
        <v>0</v>
      </c>
      <c r="T657" t="n">
        <v>35</v>
      </c>
    </row>
    <row r="658">
      <c r="A658" t="inlineStr">
        <is>
          <t>ttJTrans</t>
        </is>
      </c>
      <c r="B658" s="38" t="inlineStr">
        <is>
          <t>0-4005</t>
        </is>
      </c>
      <c r="C658" t="inlineStr">
        <is>
          <t>LA</t>
        </is>
      </c>
      <c r="E658" t="inlineStr">
        <is>
          <t>LA</t>
        </is>
      </c>
      <c r="G658" s="128" t="inlineStr"/>
      <c r="H658" s="127" t="n">
        <v>46041</v>
      </c>
      <c r="J658" s="38" t="inlineStr">
        <is>
          <t>0-4005</t>
        </is>
      </c>
      <c r="K658" t="inlineStr">
        <is>
          <t>PR P2COST 000281 (PR) Summary</t>
        </is>
      </c>
      <c r="L658" t="n">
        <v>0</v>
      </c>
      <c r="M658" t="n">
        <v>0</v>
      </c>
      <c r="Q658" s="114" t="n">
        <v>0</v>
      </c>
      <c r="R658" s="114" t="n">
        <v>3273.09</v>
      </c>
      <c r="S658" s="114" t="n">
        <v>0</v>
      </c>
      <c r="T658" t="n">
        <v>32.5</v>
      </c>
    </row>
    <row r="659">
      <c r="A659" t="inlineStr">
        <is>
          <t>ttJTrans</t>
        </is>
      </c>
      <c r="B659" s="38" t="inlineStr">
        <is>
          <t>0-4005</t>
        </is>
      </c>
      <c r="C659" t="inlineStr">
        <is>
          <t>LA</t>
        </is>
      </c>
      <c r="E659" t="inlineStr">
        <is>
          <t>LA</t>
        </is>
      </c>
      <c r="G659" s="128" t="inlineStr"/>
      <c r="H659" s="127" t="n">
        <v>46041</v>
      </c>
      <c r="J659" s="38" t="inlineStr">
        <is>
          <t>0-4005</t>
        </is>
      </c>
      <c r="K659" t="inlineStr">
        <is>
          <t>PR P2COST 000281 (PR) Summary</t>
        </is>
      </c>
      <c r="L659" t="n">
        <v>0</v>
      </c>
      <c r="M659" t="n">
        <v>0</v>
      </c>
      <c r="Q659" s="114" t="n">
        <v>0</v>
      </c>
      <c r="R659" s="114" t="n">
        <v>918.96</v>
      </c>
      <c r="S659" s="114" t="n">
        <v>0</v>
      </c>
      <c r="T659" t="n">
        <v>10</v>
      </c>
    </row>
    <row r="660">
      <c r="A660" t="inlineStr">
        <is>
          <t>ttJTrans</t>
        </is>
      </c>
      <c r="B660" s="38" t="inlineStr">
        <is>
          <t>0-4005</t>
        </is>
      </c>
      <c r="C660" t="inlineStr">
        <is>
          <t>LA</t>
        </is>
      </c>
      <c r="E660" t="inlineStr">
        <is>
          <t>LA</t>
        </is>
      </c>
      <c r="G660" s="128" t="inlineStr"/>
      <c r="H660" s="127" t="n">
        <v>46041</v>
      </c>
      <c r="J660" s="38" t="inlineStr">
        <is>
          <t>0-4005</t>
        </is>
      </c>
      <c r="K660" t="inlineStr">
        <is>
          <t>PR P2COST 000281 (PR) Summary</t>
        </is>
      </c>
      <c r="L660" t="n">
        <v>0</v>
      </c>
      <c r="M660" t="n">
        <v>0</v>
      </c>
      <c r="Q660" s="114" t="n">
        <v>0</v>
      </c>
      <c r="R660" s="114" t="n">
        <v>536.15</v>
      </c>
      <c r="S660" s="114" t="n">
        <v>0</v>
      </c>
      <c r="T660" t="n">
        <v>5</v>
      </c>
    </row>
    <row r="661">
      <c r="A661" t="inlineStr">
        <is>
          <t>ttJTrans</t>
        </is>
      </c>
      <c r="B661" s="38" t="inlineStr">
        <is>
          <t>0-4005</t>
        </is>
      </c>
      <c r="C661" t="inlineStr">
        <is>
          <t>LA</t>
        </is>
      </c>
      <c r="E661" t="inlineStr">
        <is>
          <t>LA</t>
        </is>
      </c>
      <c r="G661" s="128" t="inlineStr"/>
      <c r="H661" s="127" t="n">
        <v>46041</v>
      </c>
      <c r="J661" s="38" t="inlineStr">
        <is>
          <t>0-4005</t>
        </is>
      </c>
      <c r="K661" t="inlineStr">
        <is>
          <t>PR P2COST 000281 (PR) Summary</t>
        </is>
      </c>
      <c r="L661" t="n">
        <v>0</v>
      </c>
      <c r="M661" t="n">
        <v>0</v>
      </c>
      <c r="Q661" s="114" t="n">
        <v>0</v>
      </c>
      <c r="R661" s="114" t="n">
        <v>536.15</v>
      </c>
      <c r="S661" s="114" t="n">
        <v>0</v>
      </c>
      <c r="T661" t="n">
        <v>5</v>
      </c>
    </row>
    <row r="662">
      <c r="A662" t="inlineStr">
        <is>
          <t>ttJTrans</t>
        </is>
      </c>
      <c r="B662" s="38" t="inlineStr">
        <is>
          <t>0-4005</t>
        </is>
      </c>
      <c r="C662" t="inlineStr">
        <is>
          <t>LA</t>
        </is>
      </c>
      <c r="E662" t="inlineStr">
        <is>
          <t>LA</t>
        </is>
      </c>
      <c r="G662" s="128" t="inlineStr"/>
      <c r="H662" s="127" t="n">
        <v>46041</v>
      </c>
      <c r="J662" s="38" t="inlineStr">
        <is>
          <t>0-4005</t>
        </is>
      </c>
      <c r="K662" t="inlineStr">
        <is>
          <t>PR P2COST 000281 (PR) Summary</t>
        </is>
      </c>
      <c r="L662" t="n">
        <v>0</v>
      </c>
      <c r="M662" t="n">
        <v>0</v>
      </c>
      <c r="Q662" s="114" t="n">
        <v>0</v>
      </c>
      <c r="R662" s="114" t="n">
        <v>6245.35</v>
      </c>
      <c r="S662" s="114" t="n">
        <v>0</v>
      </c>
      <c r="T662" t="n">
        <v>61</v>
      </c>
    </row>
    <row r="663">
      <c r="A663" t="inlineStr">
        <is>
          <t>ttJTrans</t>
        </is>
      </c>
      <c r="B663" s="38" t="inlineStr">
        <is>
          <t>0-4005</t>
        </is>
      </c>
      <c r="C663" t="inlineStr">
        <is>
          <t>LA</t>
        </is>
      </c>
      <c r="E663" t="inlineStr">
        <is>
          <t>LA</t>
        </is>
      </c>
      <c r="G663" s="128" t="inlineStr"/>
      <c r="H663" s="127" t="n">
        <v>46041</v>
      </c>
      <c r="J663" s="38" t="inlineStr">
        <is>
          <t>0-4005</t>
        </is>
      </c>
      <c r="K663" t="inlineStr">
        <is>
          <t>PR P2COST 000281 (PR) Summary</t>
        </is>
      </c>
      <c r="L663" t="n">
        <v>0</v>
      </c>
      <c r="M663" t="n">
        <v>0</v>
      </c>
      <c r="Q663" s="114" t="n">
        <v>0</v>
      </c>
      <c r="R663" s="114" t="n">
        <v>2165.28</v>
      </c>
      <c r="S663" s="114" t="n">
        <v>0</v>
      </c>
      <c r="T663" t="n">
        <v>20</v>
      </c>
    </row>
    <row r="664">
      <c r="A664" t="inlineStr">
        <is>
          <t>ttJTrans</t>
        </is>
      </c>
      <c r="B664" s="38" t="inlineStr">
        <is>
          <t>0-4005</t>
        </is>
      </c>
      <c r="C664" t="inlineStr">
        <is>
          <t>LA</t>
        </is>
      </c>
      <c r="E664" t="inlineStr">
        <is>
          <t>LA</t>
        </is>
      </c>
      <c r="G664" s="128" t="inlineStr"/>
      <c r="H664" s="127" t="n">
        <v>46041</v>
      </c>
      <c r="J664" s="38" t="inlineStr">
        <is>
          <t>0-4005</t>
        </is>
      </c>
      <c r="K664" t="inlineStr">
        <is>
          <t>PR P2COST 000281 (PR) Summary</t>
        </is>
      </c>
      <c r="L664" t="n">
        <v>0</v>
      </c>
      <c r="M664" t="n">
        <v>0</v>
      </c>
      <c r="Q664" s="114" t="n">
        <v>0</v>
      </c>
      <c r="R664" s="114" t="n">
        <v>536.13</v>
      </c>
      <c r="S664" s="114" t="n">
        <v>0</v>
      </c>
      <c r="T664" t="n">
        <v>5</v>
      </c>
    </row>
    <row r="665">
      <c r="A665" t="inlineStr">
        <is>
          <t>ttJTrans</t>
        </is>
      </c>
      <c r="B665" s="38" t="inlineStr">
        <is>
          <t>0-4005</t>
        </is>
      </c>
      <c r="C665" t="inlineStr">
        <is>
          <t>LA</t>
        </is>
      </c>
      <c r="E665" t="inlineStr">
        <is>
          <t>LA</t>
        </is>
      </c>
      <c r="G665" s="128" t="inlineStr"/>
      <c r="H665" s="127" t="n">
        <v>46041</v>
      </c>
      <c r="J665" s="38" t="inlineStr">
        <is>
          <t>0-4005</t>
        </is>
      </c>
      <c r="K665" t="inlineStr">
        <is>
          <t>PR P2COST 000281 (PR) Summary</t>
        </is>
      </c>
      <c r="L665" t="n">
        <v>0</v>
      </c>
      <c r="M665" t="n">
        <v>0</v>
      </c>
      <c r="Q665" s="114" t="n">
        <v>0</v>
      </c>
      <c r="R665" s="114" t="n">
        <v>398.59</v>
      </c>
      <c r="S665" s="114" t="n">
        <v>0</v>
      </c>
      <c r="T665" t="n">
        <v>4</v>
      </c>
    </row>
    <row r="666">
      <c r="A666" t="inlineStr">
        <is>
          <t>ttJTrans</t>
        </is>
      </c>
      <c r="B666" s="38" t="inlineStr">
        <is>
          <t>0-4005</t>
        </is>
      </c>
      <c r="C666" t="inlineStr">
        <is>
          <t>LA</t>
        </is>
      </c>
      <c r="E666" t="inlineStr">
        <is>
          <t>LA</t>
        </is>
      </c>
      <c r="G666" s="128" t="inlineStr"/>
      <c r="H666" s="127" t="n">
        <v>46041</v>
      </c>
      <c r="J666" s="38" t="inlineStr">
        <is>
          <t>0-4005</t>
        </is>
      </c>
      <c r="K666" t="inlineStr">
        <is>
          <t>PR P2COST 000281 (PR) Summary</t>
        </is>
      </c>
      <c r="L666" t="n">
        <v>0</v>
      </c>
      <c r="M666" t="n">
        <v>0</v>
      </c>
      <c r="Q666" s="114" t="n">
        <v>0</v>
      </c>
      <c r="R666" s="114" t="n">
        <v>3257.19</v>
      </c>
      <c r="S666" s="114" t="n">
        <v>0</v>
      </c>
      <c r="T666" t="n">
        <v>31</v>
      </c>
    </row>
    <row r="667">
      <c r="A667" t="inlineStr">
        <is>
          <t>ttJTrans</t>
        </is>
      </c>
      <c r="B667" s="38" t="inlineStr">
        <is>
          <t>0-4005</t>
        </is>
      </c>
      <c r="C667" t="inlineStr">
        <is>
          <t>LA</t>
        </is>
      </c>
      <c r="E667" t="inlineStr">
        <is>
          <t>LA</t>
        </is>
      </c>
      <c r="G667" s="128" t="inlineStr"/>
      <c r="H667" s="127" t="n">
        <v>46069</v>
      </c>
      <c r="J667" s="38" t="inlineStr">
        <is>
          <t>0-4005</t>
        </is>
      </c>
      <c r="K667" t="inlineStr">
        <is>
          <t>PR P2COST 000285 (PR) Summary</t>
        </is>
      </c>
      <c r="L667" t="n">
        <v>0</v>
      </c>
      <c r="M667" t="n">
        <v>0</v>
      </c>
      <c r="Q667" s="114" t="n">
        <v>0</v>
      </c>
      <c r="R667" s="114" t="n">
        <v>5693.27</v>
      </c>
      <c r="S667" s="114" t="n">
        <v>0</v>
      </c>
      <c r="T667" t="n">
        <v>64.48</v>
      </c>
    </row>
    <row r="668">
      <c r="A668" t="inlineStr">
        <is>
          <t>ttJTrans</t>
        </is>
      </c>
      <c r="B668" s="38" t="inlineStr">
        <is>
          <t>0-4005</t>
        </is>
      </c>
      <c r="C668" t="inlineStr">
        <is>
          <t>LA</t>
        </is>
      </c>
      <c r="E668" t="inlineStr">
        <is>
          <t>LA</t>
        </is>
      </c>
      <c r="G668" s="128" t="inlineStr"/>
      <c r="H668" s="127" t="n">
        <v>46069</v>
      </c>
      <c r="J668" s="38" t="inlineStr">
        <is>
          <t>0-4005</t>
        </is>
      </c>
      <c r="K668" t="inlineStr">
        <is>
          <t>PR P2COST 000285 (PR) Summary</t>
        </is>
      </c>
      <c r="L668" t="n">
        <v>0</v>
      </c>
      <c r="M668" t="n">
        <v>0</v>
      </c>
      <c r="Q668" s="114" t="n">
        <v>0</v>
      </c>
      <c r="R668" s="114" t="n">
        <v>4041.33</v>
      </c>
      <c r="S668" s="114" t="n">
        <v>0</v>
      </c>
      <c r="T668" t="n">
        <v>47.5</v>
      </c>
    </row>
    <row r="669">
      <c r="A669" t="inlineStr">
        <is>
          <t>ttJTrans</t>
        </is>
      </c>
      <c r="B669" s="38" t="inlineStr">
        <is>
          <t>0-4005</t>
        </is>
      </c>
      <c r="C669" t="inlineStr">
        <is>
          <t>LA</t>
        </is>
      </c>
      <c r="E669" t="inlineStr">
        <is>
          <t>LA</t>
        </is>
      </c>
      <c r="G669" s="128" t="inlineStr"/>
      <c r="H669" s="127" t="n">
        <v>46069</v>
      </c>
      <c r="J669" s="38" t="inlineStr">
        <is>
          <t>0-4005</t>
        </is>
      </c>
      <c r="K669" t="inlineStr">
        <is>
          <t>PR P2COST 000285 (PR) Summary</t>
        </is>
      </c>
      <c r="L669" t="n">
        <v>0</v>
      </c>
      <c r="M669" t="n">
        <v>0</v>
      </c>
      <c r="Q669" s="114" t="n">
        <v>0</v>
      </c>
      <c r="R669" s="114" t="n">
        <v>4365.5</v>
      </c>
      <c r="S669" s="114" t="n">
        <v>0</v>
      </c>
      <c r="T669" t="n">
        <v>51.39</v>
      </c>
    </row>
    <row r="670">
      <c r="A670" t="inlineStr">
        <is>
          <t>ttJTrans</t>
        </is>
      </c>
      <c r="B670" s="38" t="inlineStr">
        <is>
          <t>0-4005</t>
        </is>
      </c>
      <c r="C670" t="inlineStr">
        <is>
          <t>LA</t>
        </is>
      </c>
      <c r="E670" t="inlineStr">
        <is>
          <t>LA</t>
        </is>
      </c>
      <c r="G670" s="128" t="inlineStr"/>
      <c r="H670" s="127" t="n">
        <v>46069</v>
      </c>
      <c r="J670" s="38" t="inlineStr">
        <is>
          <t>0-4005</t>
        </is>
      </c>
      <c r="K670" t="inlineStr">
        <is>
          <t>PR P2COST 000285 (PR) Summary</t>
        </is>
      </c>
      <c r="L670" t="n">
        <v>0</v>
      </c>
      <c r="M670" t="n">
        <v>0</v>
      </c>
      <c r="Q670" s="114" t="n">
        <v>0</v>
      </c>
      <c r="R670" s="114" t="n">
        <v>851.49</v>
      </c>
      <c r="S670" s="114" t="n">
        <v>0</v>
      </c>
      <c r="T670" t="n">
        <v>10</v>
      </c>
    </row>
    <row r="671">
      <c r="A671" t="inlineStr">
        <is>
          <t>ttJTrans</t>
        </is>
      </c>
      <c r="B671" s="38" t="inlineStr">
        <is>
          <t>0-4005</t>
        </is>
      </c>
      <c r="C671" t="inlineStr">
        <is>
          <t>LA</t>
        </is>
      </c>
      <c r="E671" t="inlineStr">
        <is>
          <t>LA</t>
        </is>
      </c>
      <c r="G671" s="128" t="inlineStr"/>
      <c r="H671" s="127" t="n">
        <v>46069</v>
      </c>
      <c r="J671" s="38" t="inlineStr">
        <is>
          <t>0-4005</t>
        </is>
      </c>
      <c r="K671" t="inlineStr">
        <is>
          <t>PR P2COST 000285 (PR) Summary</t>
        </is>
      </c>
      <c r="L671" t="n">
        <v>0</v>
      </c>
      <c r="M671" t="n">
        <v>0</v>
      </c>
      <c r="Q671" s="114" t="n">
        <v>0</v>
      </c>
      <c r="R671" s="114" t="n">
        <v>1498.77</v>
      </c>
      <c r="S671" s="114" t="n">
        <v>0</v>
      </c>
      <c r="T671" t="n">
        <v>20</v>
      </c>
    </row>
    <row r="672">
      <c r="A672" t="inlineStr">
        <is>
          <t>ttJTrans</t>
        </is>
      </c>
      <c r="B672" s="38" t="inlineStr">
        <is>
          <t>0-4005</t>
        </is>
      </c>
      <c r="C672" t="inlineStr">
        <is>
          <t>LA</t>
        </is>
      </c>
      <c r="E672" t="inlineStr">
        <is>
          <t>LA</t>
        </is>
      </c>
      <c r="G672" s="128" t="inlineStr"/>
      <c r="H672" s="127" t="n">
        <v>46069</v>
      </c>
      <c r="J672" s="38" t="inlineStr">
        <is>
          <t>0-4005</t>
        </is>
      </c>
      <c r="K672" t="inlineStr">
        <is>
          <t>PR P2COST 000285 (PR) Summary</t>
        </is>
      </c>
      <c r="L672" t="n">
        <v>0</v>
      </c>
      <c r="M672" t="n">
        <v>0</v>
      </c>
      <c r="Q672" s="114" t="n">
        <v>0</v>
      </c>
      <c r="R672" s="114" t="n">
        <v>7283.46</v>
      </c>
      <c r="S672" s="114" t="n">
        <v>0</v>
      </c>
      <c r="T672" t="n">
        <v>83.63</v>
      </c>
    </row>
    <row r="673">
      <c r="A673" t="inlineStr">
        <is>
          <t>ttJTrans</t>
        </is>
      </c>
      <c r="B673" s="38" t="inlineStr">
        <is>
          <t>0-4005</t>
        </is>
      </c>
      <c r="C673" t="inlineStr">
        <is>
          <t>LA</t>
        </is>
      </c>
      <c r="E673" t="inlineStr">
        <is>
          <t>LA</t>
        </is>
      </c>
      <c r="G673" s="128" t="inlineStr"/>
      <c r="H673" s="127" t="n">
        <v>46069</v>
      </c>
      <c r="J673" s="38" t="inlineStr">
        <is>
          <t>0-4005</t>
        </is>
      </c>
      <c r="K673" t="inlineStr">
        <is>
          <t>PR P2COST 000285 (PR) Summary</t>
        </is>
      </c>
      <c r="L673" t="n">
        <v>0</v>
      </c>
      <c r="M673" t="n">
        <v>0</v>
      </c>
      <c r="Q673" s="114" t="n">
        <v>0</v>
      </c>
      <c r="R673" s="114" t="n">
        <v>3906.27</v>
      </c>
      <c r="S673" s="114" t="n">
        <v>0</v>
      </c>
      <c r="T673" t="n">
        <v>46.65</v>
      </c>
    </row>
    <row r="674">
      <c r="A674" t="inlineStr">
        <is>
          <t>ttJTrans</t>
        </is>
      </c>
      <c r="B674" s="38" t="inlineStr">
        <is>
          <t>0-4005</t>
        </is>
      </c>
      <c r="C674" t="inlineStr">
        <is>
          <t>LA</t>
        </is>
      </c>
      <c r="E674" t="inlineStr">
        <is>
          <t>LA</t>
        </is>
      </c>
      <c r="G674" s="128" t="inlineStr"/>
      <c r="H674" s="127" t="n">
        <v>46069</v>
      </c>
      <c r="J674" s="38" t="inlineStr">
        <is>
          <t>0-4005</t>
        </is>
      </c>
      <c r="K674" t="inlineStr">
        <is>
          <t>PR P2COST 000285 (PR) Summary</t>
        </is>
      </c>
      <c r="L674" t="n">
        <v>0</v>
      </c>
      <c r="M674" t="n">
        <v>0</v>
      </c>
      <c r="Q674" s="114" t="n">
        <v>0</v>
      </c>
      <c r="R674" s="114" t="n">
        <v>3662.34</v>
      </c>
      <c r="S674" s="114" t="n">
        <v>0</v>
      </c>
      <c r="T674" t="n">
        <v>42.07</v>
      </c>
    </row>
    <row r="675">
      <c r="A675" t="inlineStr">
        <is>
          <t>ttJTrans</t>
        </is>
      </c>
      <c r="B675" s="38" t="inlineStr">
        <is>
          <t>0-4005</t>
        </is>
      </c>
      <c r="C675" t="inlineStr">
        <is>
          <t>LA</t>
        </is>
      </c>
      <c r="E675" t="inlineStr">
        <is>
          <t>LA</t>
        </is>
      </c>
      <c r="G675" s="128" t="inlineStr"/>
      <c r="H675" s="127" t="n">
        <v>46069</v>
      </c>
      <c r="J675" s="38" t="inlineStr">
        <is>
          <t>0-4005</t>
        </is>
      </c>
      <c r="K675" t="inlineStr">
        <is>
          <t>PR P2COST 000285 (PR) Summary</t>
        </is>
      </c>
      <c r="L675" t="n">
        <v>0</v>
      </c>
      <c r="M675" t="n">
        <v>0</v>
      </c>
      <c r="Q675" s="114" t="n">
        <v>0</v>
      </c>
      <c r="R675" s="114" t="n">
        <v>52.76</v>
      </c>
      <c r="S675" s="114" t="n">
        <v>0</v>
      </c>
      <c r="T675" t="n">
        <v>0.73</v>
      </c>
    </row>
    <row r="676">
      <c r="A676" t="inlineStr">
        <is>
          <t>ttJTrans</t>
        </is>
      </c>
      <c r="B676" s="41" t="inlineStr">
        <is>
          <t>0-4005</t>
        </is>
      </c>
      <c r="C676" t="inlineStr">
        <is>
          <t>LA</t>
        </is>
      </c>
      <c r="E676" t="inlineStr">
        <is>
          <t>LA</t>
        </is>
      </c>
      <c r="G676" s="128" t="inlineStr"/>
      <c r="H676" s="127" t="n">
        <v>46055</v>
      </c>
      <c r="J676" s="38" t="inlineStr">
        <is>
          <t>0-4005</t>
        </is>
      </c>
      <c r="K676" t="inlineStr">
        <is>
          <t>PR P2COST 000284 (PR) Summary</t>
        </is>
      </c>
      <c r="L676" t="n">
        <v>0</v>
      </c>
      <c r="M676" t="n">
        <v>0</v>
      </c>
      <c r="Q676" s="114" t="n">
        <v>0</v>
      </c>
      <c r="R676" s="114" t="n">
        <v>4612.79</v>
      </c>
      <c r="S676" s="114" t="n">
        <v>0</v>
      </c>
      <c r="T676" t="n">
        <v>51</v>
      </c>
    </row>
    <row r="677">
      <c r="A677" t="inlineStr">
        <is>
          <t>ttJTrans</t>
        </is>
      </c>
      <c r="B677" s="41" t="inlineStr">
        <is>
          <t>0-4005</t>
        </is>
      </c>
      <c r="C677" t="inlineStr">
        <is>
          <t>LA</t>
        </is>
      </c>
      <c r="E677" t="inlineStr">
        <is>
          <t>LA</t>
        </is>
      </c>
      <c r="G677" s="128" t="inlineStr"/>
      <c r="H677" s="127" t="n">
        <v>46055</v>
      </c>
      <c r="J677" s="38" t="inlineStr">
        <is>
          <t>0-4005</t>
        </is>
      </c>
      <c r="K677" t="inlineStr">
        <is>
          <t>PR P2COST 000284 (PR) Summary</t>
        </is>
      </c>
      <c r="L677" t="n">
        <v>0</v>
      </c>
      <c r="M677" t="n">
        <v>0</v>
      </c>
      <c r="Q677" s="114" t="n">
        <v>0</v>
      </c>
      <c r="R677" s="114" t="n">
        <v>4760.37</v>
      </c>
      <c r="S677" s="114" t="n">
        <v>0</v>
      </c>
      <c r="T677" t="n">
        <v>52</v>
      </c>
    </row>
    <row r="678">
      <c r="A678" t="inlineStr">
        <is>
          <t>ttJTrans</t>
        </is>
      </c>
      <c r="B678" s="41" t="inlineStr">
        <is>
          <t>0-4005</t>
        </is>
      </c>
      <c r="C678" t="inlineStr">
        <is>
          <t>LA</t>
        </is>
      </c>
      <c r="E678" t="inlineStr">
        <is>
          <t>LA</t>
        </is>
      </c>
      <c r="G678" s="128" t="inlineStr"/>
      <c r="H678" s="127" t="n">
        <v>46055</v>
      </c>
      <c r="J678" s="38" t="inlineStr">
        <is>
          <t>0-4005</t>
        </is>
      </c>
      <c r="K678" t="inlineStr">
        <is>
          <t>PR P2COST 000284 (PR) Summary</t>
        </is>
      </c>
      <c r="L678" t="n">
        <v>0</v>
      </c>
      <c r="M678" t="n">
        <v>0</v>
      </c>
      <c r="Q678" s="114" t="n">
        <v>0</v>
      </c>
      <c r="R678" s="114" t="n">
        <v>3142.37</v>
      </c>
      <c r="S678" s="114" t="n">
        <v>0</v>
      </c>
      <c r="T678" t="n">
        <v>37</v>
      </c>
    </row>
    <row r="679">
      <c r="A679" t="inlineStr">
        <is>
          <t>ttJTrans</t>
        </is>
      </c>
      <c r="B679" s="41" t="inlineStr">
        <is>
          <t>0-4005</t>
        </is>
      </c>
      <c r="C679" t="inlineStr">
        <is>
          <t>LA</t>
        </is>
      </c>
      <c r="E679" t="inlineStr">
        <is>
          <t>LA</t>
        </is>
      </c>
      <c r="G679" s="128" t="inlineStr"/>
      <c r="H679" s="127" t="n">
        <v>46055</v>
      </c>
      <c r="J679" s="38" t="inlineStr">
        <is>
          <t>0-4005</t>
        </is>
      </c>
      <c r="K679" t="inlineStr">
        <is>
          <t>PR P2COST 000284 (PR) Summary</t>
        </is>
      </c>
      <c r="L679" t="n">
        <v>0</v>
      </c>
      <c r="M679" t="n">
        <v>0</v>
      </c>
      <c r="Q679" s="114" t="n">
        <v>0</v>
      </c>
      <c r="R679" s="114" t="n">
        <v>3031.63</v>
      </c>
      <c r="S679" s="114" t="n">
        <v>0</v>
      </c>
      <c r="T679" t="n">
        <v>35</v>
      </c>
    </row>
    <row r="680">
      <c r="A680" t="inlineStr">
        <is>
          <t>ttJTrans</t>
        </is>
      </c>
      <c r="B680" s="41" t="inlineStr">
        <is>
          <t>0-4005</t>
        </is>
      </c>
      <c r="C680" t="inlineStr">
        <is>
          <t>LA</t>
        </is>
      </c>
      <c r="E680" t="inlineStr">
        <is>
          <t>LA</t>
        </is>
      </c>
      <c r="G680" s="128" t="inlineStr"/>
      <c r="H680" s="127" t="n">
        <v>46055</v>
      </c>
      <c r="J680" s="38" t="inlineStr">
        <is>
          <t>0-4005</t>
        </is>
      </c>
      <c r="K680" t="inlineStr">
        <is>
          <t>PR P2COST 000284 (PR) Summary</t>
        </is>
      </c>
      <c r="L680" t="n">
        <v>0</v>
      </c>
      <c r="M680" t="n">
        <v>0</v>
      </c>
      <c r="Q680" s="114" t="n">
        <v>0</v>
      </c>
      <c r="R680" s="114" t="n">
        <v>3715.12</v>
      </c>
      <c r="S680" s="114" t="n">
        <v>0</v>
      </c>
      <c r="T680" t="n">
        <v>44</v>
      </c>
    </row>
    <row r="681">
      <c r="A681" t="inlineStr">
        <is>
          <t>ttJTrans</t>
        </is>
      </c>
      <c r="B681" s="41" t="inlineStr">
        <is>
          <t>0-4005</t>
        </is>
      </c>
      <c r="C681" t="inlineStr">
        <is>
          <t>LA</t>
        </is>
      </c>
      <c r="E681" t="inlineStr">
        <is>
          <t>LA</t>
        </is>
      </c>
      <c r="G681" s="128" t="inlineStr"/>
      <c r="H681" s="127" t="n">
        <v>46055</v>
      </c>
      <c r="J681" s="38" t="inlineStr">
        <is>
          <t>0-4005</t>
        </is>
      </c>
      <c r="K681" t="inlineStr">
        <is>
          <t>PR P2COST 000284 (PR) Summary</t>
        </is>
      </c>
      <c r="L681" t="n">
        <v>0</v>
      </c>
      <c r="M681" t="n">
        <v>0</v>
      </c>
      <c r="Q681" s="114" t="n">
        <v>0</v>
      </c>
      <c r="R681" s="114" t="n">
        <v>846.1799999999999</v>
      </c>
      <c r="S681" s="114" t="n">
        <v>0</v>
      </c>
      <c r="T681" t="n">
        <v>10</v>
      </c>
    </row>
    <row r="682">
      <c r="A682" t="inlineStr">
        <is>
          <t>ttJTrans</t>
        </is>
      </c>
      <c r="B682" s="41" t="inlineStr">
        <is>
          <t>0-4005</t>
        </is>
      </c>
      <c r="C682" t="inlineStr">
        <is>
          <t>LA</t>
        </is>
      </c>
      <c r="E682" t="inlineStr">
        <is>
          <t>LA</t>
        </is>
      </c>
      <c r="G682" s="128" t="inlineStr"/>
      <c r="H682" s="127" t="n">
        <v>46055</v>
      </c>
      <c r="J682" s="38" t="inlineStr">
        <is>
          <t>0-4005</t>
        </is>
      </c>
      <c r="K682" t="inlineStr">
        <is>
          <t>PR P2COST 000284 (PR) Summary</t>
        </is>
      </c>
      <c r="L682" t="n">
        <v>0</v>
      </c>
      <c r="M682" t="n">
        <v>0</v>
      </c>
      <c r="Q682" s="114" t="n">
        <v>0</v>
      </c>
      <c r="R682" s="114" t="n">
        <v>3988.4</v>
      </c>
      <c r="S682" s="114" t="n">
        <v>0</v>
      </c>
      <c r="T682" t="n">
        <v>46</v>
      </c>
    </row>
    <row r="683">
      <c r="A683" t="inlineStr">
        <is>
          <t>ttJTrans</t>
        </is>
      </c>
      <c r="B683" s="41" t="inlineStr">
        <is>
          <t>0-4005</t>
        </is>
      </c>
      <c r="C683" t="inlineStr">
        <is>
          <t>LA</t>
        </is>
      </c>
      <c r="E683" t="inlineStr">
        <is>
          <t>LA</t>
        </is>
      </c>
      <c r="G683" s="128" t="inlineStr"/>
      <c r="H683" s="127" t="n">
        <v>46055</v>
      </c>
      <c r="J683" s="38" t="inlineStr">
        <is>
          <t>0-4005</t>
        </is>
      </c>
      <c r="K683" t="inlineStr">
        <is>
          <t>PR P2COST 000284 (PR) Summary</t>
        </is>
      </c>
      <c r="L683" t="n">
        <v>0</v>
      </c>
      <c r="M683" t="n">
        <v>0</v>
      </c>
      <c r="Q683" s="114" t="n">
        <v>0</v>
      </c>
      <c r="R683" s="114" t="n">
        <v>1073.18</v>
      </c>
      <c r="S683" s="114" t="n">
        <v>0</v>
      </c>
      <c r="T683" t="n">
        <v>12</v>
      </c>
    </row>
    <row r="684">
      <c r="A684" t="inlineStr">
        <is>
          <t>ttJTrans</t>
        </is>
      </c>
      <c r="B684" s="41" t="inlineStr">
        <is>
          <t>0-4005</t>
        </is>
      </c>
      <c r="C684" t="inlineStr">
        <is>
          <t>LA</t>
        </is>
      </c>
      <c r="E684" t="inlineStr">
        <is>
          <t>LA</t>
        </is>
      </c>
      <c r="G684" s="128" t="inlineStr"/>
      <c r="H684" s="127" t="n">
        <v>46055</v>
      </c>
      <c r="J684" s="38" t="inlineStr">
        <is>
          <t>0-4005</t>
        </is>
      </c>
      <c r="K684" t="inlineStr">
        <is>
          <t>PR P2COST 000284 (PR) Summary</t>
        </is>
      </c>
      <c r="L684" t="n">
        <v>0</v>
      </c>
      <c r="M684" t="n">
        <v>0</v>
      </c>
      <c r="Q684" s="114" t="n">
        <v>0</v>
      </c>
      <c r="R684" s="114" t="n">
        <v>3267.34</v>
      </c>
      <c r="S684" s="114" t="n">
        <v>0</v>
      </c>
      <c r="T684" t="n">
        <v>38</v>
      </c>
    </row>
    <row r="685">
      <c r="A685" t="inlineStr">
        <is>
          <t>ttJTrans</t>
        </is>
      </c>
      <c r="B685" s="41" t="inlineStr">
        <is>
          <t>0-4005</t>
        </is>
      </c>
      <c r="C685" t="inlineStr">
        <is>
          <t>LA</t>
        </is>
      </c>
      <c r="E685" t="inlineStr">
        <is>
          <t>LA</t>
        </is>
      </c>
      <c r="G685" s="128" t="inlineStr"/>
      <c r="H685" s="127" t="n">
        <v>46055</v>
      </c>
      <c r="J685" s="38" t="inlineStr">
        <is>
          <t>0-4005</t>
        </is>
      </c>
      <c r="K685" t="inlineStr">
        <is>
          <t>PR P2COST 000284 (PR) Summary</t>
        </is>
      </c>
      <c r="L685" t="n">
        <v>0</v>
      </c>
      <c r="M685" t="n">
        <v>0</v>
      </c>
      <c r="Q685" s="114" t="n">
        <v>0</v>
      </c>
      <c r="R685" s="114" t="n">
        <v>3685.43</v>
      </c>
      <c r="S685" s="114" t="n">
        <v>0</v>
      </c>
      <c r="T685" t="n">
        <v>42</v>
      </c>
    </row>
    <row r="686">
      <c r="A686" t="inlineStr">
        <is>
          <t>ttJTrans</t>
        </is>
      </c>
      <c r="B686" s="41" t="inlineStr">
        <is>
          <t>0-4005</t>
        </is>
      </c>
      <c r="C686" t="inlineStr">
        <is>
          <t>LA</t>
        </is>
      </c>
      <c r="E686" t="inlineStr">
        <is>
          <t>LA</t>
        </is>
      </c>
      <c r="G686" s="128" t="inlineStr"/>
      <c r="H686" s="127" t="n">
        <v>46055</v>
      </c>
      <c r="J686" s="38" t="inlineStr">
        <is>
          <t>0-4005</t>
        </is>
      </c>
      <c r="K686" t="inlineStr">
        <is>
          <t>PR P2COST 000284 (PR) Summary</t>
        </is>
      </c>
      <c r="L686" t="n">
        <v>0</v>
      </c>
      <c r="M686" t="n">
        <v>0</v>
      </c>
      <c r="Q686" s="114" t="n">
        <v>0</v>
      </c>
      <c r="R686" s="114" t="n">
        <v>3038.9</v>
      </c>
      <c r="S686" s="114" t="n">
        <v>0</v>
      </c>
      <c r="T686" t="n">
        <v>36</v>
      </c>
    </row>
    <row r="687">
      <c r="A687" t="inlineStr">
        <is>
          <t>ttJTrans</t>
        </is>
      </c>
      <c r="B687" s="41" t="inlineStr">
        <is>
          <t>0-4005</t>
        </is>
      </c>
      <c r="C687" t="inlineStr">
        <is>
          <t>LA</t>
        </is>
      </c>
      <c r="E687" t="inlineStr">
        <is>
          <t>LA</t>
        </is>
      </c>
      <c r="G687" s="128" t="inlineStr"/>
      <c r="H687" s="127" t="n">
        <v>46055</v>
      </c>
      <c r="J687" s="38" t="inlineStr">
        <is>
          <t>0-4005</t>
        </is>
      </c>
      <c r="K687" t="inlineStr">
        <is>
          <t>PR P2COST 000284 (PR) Summary</t>
        </is>
      </c>
      <c r="L687" t="n">
        <v>0</v>
      </c>
      <c r="M687" t="n">
        <v>0</v>
      </c>
      <c r="Q687" s="114" t="n">
        <v>0</v>
      </c>
      <c r="R687" s="114" t="n">
        <v>2477.79</v>
      </c>
      <c r="S687" s="114" t="n">
        <v>0</v>
      </c>
      <c r="T687" t="n">
        <v>30</v>
      </c>
    </row>
    <row r="688">
      <c r="A688" t="inlineStr">
        <is>
          <t>ttJTrans</t>
        </is>
      </c>
      <c r="B688" s="41" t="inlineStr">
        <is>
          <t>0-4005</t>
        </is>
      </c>
      <c r="C688" t="inlineStr">
        <is>
          <t>LA</t>
        </is>
      </c>
      <c r="E688" t="inlineStr">
        <is>
          <t>LA</t>
        </is>
      </c>
      <c r="G688" s="128" t="inlineStr"/>
      <c r="H688" s="127" t="n">
        <v>46069</v>
      </c>
      <c r="J688" s="38" t="inlineStr">
        <is>
          <t>0-4005</t>
        </is>
      </c>
      <c r="K688" t="inlineStr">
        <is>
          <t>PR P2COST 000285 (PR) Summary</t>
        </is>
      </c>
      <c r="L688" t="n">
        <v>0</v>
      </c>
      <c r="M688" t="n">
        <v>0</v>
      </c>
      <c r="Q688" s="114" t="n">
        <v>0</v>
      </c>
      <c r="R688" s="114" t="n">
        <v>5615.66</v>
      </c>
      <c r="S688" s="114" t="n">
        <v>0</v>
      </c>
      <c r="T688" t="n">
        <v>65.61</v>
      </c>
    </row>
    <row r="689">
      <c r="A689" t="inlineStr">
        <is>
          <t>ttJTrans</t>
        </is>
      </c>
      <c r="B689" s="41" t="inlineStr">
        <is>
          <t>0-4005</t>
        </is>
      </c>
      <c r="C689" t="inlineStr">
        <is>
          <t>LA</t>
        </is>
      </c>
      <c r="E689" t="inlineStr">
        <is>
          <t>LA</t>
        </is>
      </c>
      <c r="G689" s="128" t="inlineStr"/>
      <c r="H689" s="127" t="n">
        <v>46069</v>
      </c>
      <c r="J689" s="38" t="inlineStr">
        <is>
          <t>0-4005</t>
        </is>
      </c>
      <c r="K689" t="inlineStr">
        <is>
          <t>PR P2COST 000285 (PR) Summary</t>
        </is>
      </c>
      <c r="L689" t="n">
        <v>0</v>
      </c>
      <c r="M689" t="n">
        <v>0</v>
      </c>
      <c r="Q689" s="114" t="n">
        <v>0</v>
      </c>
      <c r="R689" s="114" t="n">
        <v>4071.47</v>
      </c>
      <c r="S689" s="114" t="n">
        <v>0</v>
      </c>
      <c r="T689" t="n">
        <v>47.47</v>
      </c>
    </row>
    <row r="690">
      <c r="A690" t="inlineStr">
        <is>
          <t>ttJTrans</t>
        </is>
      </c>
      <c r="B690" s="41" t="inlineStr">
        <is>
          <t>0-4005</t>
        </is>
      </c>
      <c r="C690" t="inlineStr">
        <is>
          <t>LA</t>
        </is>
      </c>
      <c r="E690" t="inlineStr">
        <is>
          <t>LA</t>
        </is>
      </c>
      <c r="G690" s="128" t="inlineStr"/>
      <c r="H690" s="127" t="n">
        <v>46069</v>
      </c>
      <c r="J690" s="38" t="inlineStr">
        <is>
          <t>0-4005</t>
        </is>
      </c>
      <c r="K690" t="inlineStr">
        <is>
          <t>PR P2COST 000285 (PR) Summary</t>
        </is>
      </c>
      <c r="L690" t="n">
        <v>0</v>
      </c>
      <c r="M690" t="n">
        <v>0</v>
      </c>
      <c r="Q690" s="114" t="n">
        <v>0</v>
      </c>
      <c r="R690" s="114" t="n">
        <v>4693.98</v>
      </c>
      <c r="S690" s="114" t="n">
        <v>0</v>
      </c>
      <c r="T690" t="n">
        <v>54.46</v>
      </c>
    </row>
    <row r="691">
      <c r="A691" t="inlineStr">
        <is>
          <t>ttJTrans</t>
        </is>
      </c>
      <c r="B691" s="41" t="inlineStr">
        <is>
          <t>0-4005</t>
        </is>
      </c>
      <c r="C691" t="inlineStr">
        <is>
          <t>LA</t>
        </is>
      </c>
      <c r="E691" t="inlineStr">
        <is>
          <t>LA</t>
        </is>
      </c>
      <c r="G691" s="128" t="inlineStr"/>
      <c r="H691" s="127" t="n">
        <v>46069</v>
      </c>
      <c r="J691" s="38" t="inlineStr">
        <is>
          <t>0-4005</t>
        </is>
      </c>
      <c r="K691" t="inlineStr">
        <is>
          <t>PR P2COST 000285 (PR) Summary</t>
        </is>
      </c>
      <c r="L691" t="n">
        <v>0</v>
      </c>
      <c r="M691" t="n">
        <v>0</v>
      </c>
      <c r="Q691" s="114" t="n">
        <v>0</v>
      </c>
      <c r="R691" s="114" t="n">
        <v>5728.07</v>
      </c>
      <c r="S691" s="114" t="n">
        <v>0</v>
      </c>
      <c r="T691" t="n">
        <v>66.83</v>
      </c>
    </row>
    <row r="692">
      <c r="A692" t="inlineStr">
        <is>
          <t>ttJTrans</t>
        </is>
      </c>
      <c r="B692" s="41" t="inlineStr">
        <is>
          <t>0-4005</t>
        </is>
      </c>
      <c r="C692" t="inlineStr">
        <is>
          <t>LA</t>
        </is>
      </c>
      <c r="E692" t="inlineStr">
        <is>
          <t>LA</t>
        </is>
      </c>
      <c r="G692" s="128" t="inlineStr"/>
      <c r="H692" s="127" t="n">
        <v>46079</v>
      </c>
      <c r="J692" s="38" t="inlineStr">
        <is>
          <t>0-4005</t>
        </is>
      </c>
      <c r="K692" t="inlineStr">
        <is>
          <t>PR P0COST 000518 (PR) Summary</t>
        </is>
      </c>
      <c r="L692" t="n">
        <v>0</v>
      </c>
      <c r="M692" t="n">
        <v>0</v>
      </c>
      <c r="Q692" s="114" t="n">
        <v>0</v>
      </c>
      <c r="R692" s="114" t="n">
        <v>899.66</v>
      </c>
      <c r="S692" s="114" t="n">
        <v>0</v>
      </c>
      <c r="T692" t="n">
        <v>8</v>
      </c>
    </row>
    <row r="693">
      <c r="A693" t="inlineStr">
        <is>
          <t>ttJTrans</t>
        </is>
      </c>
      <c r="B693" s="41" t="inlineStr">
        <is>
          <t>0-4005</t>
        </is>
      </c>
      <c r="C693" t="inlineStr">
        <is>
          <t>LA</t>
        </is>
      </c>
      <c r="E693" t="inlineStr">
        <is>
          <t>LA</t>
        </is>
      </c>
      <c r="G693" s="128" t="inlineStr"/>
      <c r="H693" s="127" t="n">
        <v>46079</v>
      </c>
      <c r="J693" s="38" t="inlineStr">
        <is>
          <t>0-4005</t>
        </is>
      </c>
      <c r="K693" t="inlineStr">
        <is>
          <t>PR P0COST 000518 (PR) Summary</t>
        </is>
      </c>
      <c r="L693" t="n">
        <v>0</v>
      </c>
      <c r="M693" t="n">
        <v>0</v>
      </c>
      <c r="Q693" s="114" t="n">
        <v>0</v>
      </c>
      <c r="R693" s="114" t="n">
        <v>899.66</v>
      </c>
      <c r="S693" s="114" t="n">
        <v>0</v>
      </c>
      <c r="T693" t="n">
        <v>8</v>
      </c>
    </row>
    <row r="694">
      <c r="A694" t="inlineStr">
        <is>
          <t>ttJTrans</t>
        </is>
      </c>
      <c r="B694" s="41" t="inlineStr">
        <is>
          <t>0-4005</t>
        </is>
      </c>
      <c r="C694" t="inlineStr">
        <is>
          <t>LA</t>
        </is>
      </c>
      <c r="E694" t="inlineStr">
        <is>
          <t>LA</t>
        </is>
      </c>
      <c r="G694" s="128" t="inlineStr"/>
      <c r="H694" s="127" t="n">
        <v>46079</v>
      </c>
      <c r="J694" s="38" t="inlineStr">
        <is>
          <t>0-4005</t>
        </is>
      </c>
      <c r="K694" t="inlineStr">
        <is>
          <t>PR P0COST 000518 (PR) Summary</t>
        </is>
      </c>
      <c r="L694" t="n">
        <v>0</v>
      </c>
      <c r="M694" t="n">
        <v>0</v>
      </c>
      <c r="Q694" s="114" t="n">
        <v>0</v>
      </c>
      <c r="R694" s="114" t="n">
        <v>899.66</v>
      </c>
      <c r="S694" s="114" t="n">
        <v>0</v>
      </c>
      <c r="T694" t="n">
        <v>8</v>
      </c>
    </row>
    <row r="695">
      <c r="A695" t="inlineStr">
        <is>
          <t>ttJTrans</t>
        </is>
      </c>
      <c r="B695" s="41" t="inlineStr">
        <is>
          <t>0-4005</t>
        </is>
      </c>
      <c r="C695" t="inlineStr">
        <is>
          <t>LA</t>
        </is>
      </c>
      <c r="E695" t="inlineStr">
        <is>
          <t>LA</t>
        </is>
      </c>
      <c r="G695" s="128" t="inlineStr"/>
      <c r="H695" s="127" t="n">
        <v>46079</v>
      </c>
      <c r="J695" s="38" t="inlineStr">
        <is>
          <t>0-4005</t>
        </is>
      </c>
      <c r="K695" t="inlineStr">
        <is>
          <t>PR P0COST 000518 (PR) Summary</t>
        </is>
      </c>
      <c r="L695" t="n">
        <v>0</v>
      </c>
      <c r="M695" t="n">
        <v>0</v>
      </c>
      <c r="Q695" s="114" t="n">
        <v>0</v>
      </c>
      <c r="R695" s="114" t="n">
        <v>899.66</v>
      </c>
      <c r="S695" s="114" t="n">
        <v>0</v>
      </c>
      <c r="T695" t="n">
        <v>8</v>
      </c>
    </row>
    <row r="696">
      <c r="A696" t="inlineStr">
        <is>
          <t>ttJTrans</t>
        </is>
      </c>
      <c r="B696" s="41" t="inlineStr">
        <is>
          <t>0-4005</t>
        </is>
      </c>
      <c r="C696" t="inlineStr">
        <is>
          <t>LA</t>
        </is>
      </c>
      <c r="E696" t="inlineStr">
        <is>
          <t>LA</t>
        </is>
      </c>
      <c r="G696" s="128" t="inlineStr"/>
      <c r="H696" s="127" t="n">
        <v>46079</v>
      </c>
      <c r="J696" s="38" t="inlineStr">
        <is>
          <t>0-4005</t>
        </is>
      </c>
      <c r="K696" t="inlineStr">
        <is>
          <t>PR P0COST 000518 (PR) Summary</t>
        </is>
      </c>
      <c r="L696" t="n">
        <v>0</v>
      </c>
      <c r="M696" t="n">
        <v>0</v>
      </c>
      <c r="Q696" s="114" t="n">
        <v>0</v>
      </c>
      <c r="R696" s="114" t="n">
        <v>899.6900000000001</v>
      </c>
      <c r="S696" s="114" t="n">
        <v>0</v>
      </c>
      <c r="T696" t="n">
        <v>8</v>
      </c>
    </row>
    <row r="697">
      <c r="A697" t="inlineStr">
        <is>
          <t>ttJTrans</t>
        </is>
      </c>
      <c r="B697" s="41" t="inlineStr">
        <is>
          <t>0-4005</t>
        </is>
      </c>
      <c r="C697" t="inlineStr">
        <is>
          <t>LA</t>
        </is>
      </c>
      <c r="E697" t="inlineStr">
        <is>
          <t>LA</t>
        </is>
      </c>
      <c r="G697" s="128" t="inlineStr"/>
      <c r="H697" s="127" t="n">
        <v>46083</v>
      </c>
      <c r="J697" s="38" t="inlineStr">
        <is>
          <t>0-4005</t>
        </is>
      </c>
      <c r="K697" t="inlineStr">
        <is>
          <t>PR P2COST 000286 (PR) Summary</t>
        </is>
      </c>
      <c r="L697" t="n">
        <v>0</v>
      </c>
      <c r="M697" t="n">
        <v>0</v>
      </c>
      <c r="Q697" s="114" t="n">
        <v>0</v>
      </c>
      <c r="R697" s="114" t="n">
        <v>6838.18</v>
      </c>
      <c r="S697" s="114" t="n">
        <v>0</v>
      </c>
      <c r="T697" t="n">
        <v>73.38</v>
      </c>
    </row>
    <row r="698">
      <c r="A698" t="inlineStr">
        <is>
          <t>ttJTrans</t>
        </is>
      </c>
      <c r="B698" s="41" t="inlineStr">
        <is>
          <t>0-4005</t>
        </is>
      </c>
      <c r="C698" t="inlineStr">
        <is>
          <t>LA</t>
        </is>
      </c>
      <c r="E698" t="inlineStr">
        <is>
          <t>LA</t>
        </is>
      </c>
      <c r="G698" s="128" t="inlineStr"/>
      <c r="H698" s="127" t="n">
        <v>46083</v>
      </c>
      <c r="J698" s="38" t="inlineStr">
        <is>
          <t>0-4005</t>
        </is>
      </c>
      <c r="K698" t="inlineStr">
        <is>
          <t>PR P2COST 000286 (PR) Summary</t>
        </is>
      </c>
      <c r="L698" t="n">
        <v>0</v>
      </c>
      <c r="M698" t="n">
        <v>0</v>
      </c>
      <c r="Q698" s="114" t="n">
        <v>0</v>
      </c>
      <c r="R698" s="114" t="n">
        <v>7209.73</v>
      </c>
      <c r="S698" s="114" t="n">
        <v>0</v>
      </c>
      <c r="T698" t="n">
        <v>76.03</v>
      </c>
    </row>
    <row r="699">
      <c r="A699" t="inlineStr">
        <is>
          <t>ttJTrans</t>
        </is>
      </c>
      <c r="B699" s="41" t="inlineStr">
        <is>
          <t>0-4005</t>
        </is>
      </c>
      <c r="C699" t="inlineStr">
        <is>
          <t>LA</t>
        </is>
      </c>
      <c r="E699" t="inlineStr">
        <is>
          <t>LA</t>
        </is>
      </c>
      <c r="G699" s="128" t="inlineStr"/>
      <c r="H699" s="127" t="n">
        <v>46083</v>
      </c>
      <c r="J699" s="38" t="inlineStr">
        <is>
          <t>0-4005</t>
        </is>
      </c>
      <c r="K699" t="inlineStr">
        <is>
          <t>PR P2COST 000286 (PR) Summary</t>
        </is>
      </c>
      <c r="L699" t="n">
        <v>0</v>
      </c>
      <c r="M699" t="n">
        <v>0</v>
      </c>
      <c r="Q699" s="114" t="n">
        <v>0</v>
      </c>
      <c r="R699" s="114" t="n">
        <v>1434.59</v>
      </c>
      <c r="S699" s="114" t="n">
        <v>0</v>
      </c>
      <c r="T699" t="n">
        <v>16.5</v>
      </c>
    </row>
    <row r="700">
      <c r="A700" t="inlineStr">
        <is>
          <t>ttJTrans</t>
        </is>
      </c>
      <c r="B700" s="41" t="inlineStr">
        <is>
          <t>0-4005</t>
        </is>
      </c>
      <c r="C700" t="inlineStr">
        <is>
          <t>LA</t>
        </is>
      </c>
      <c r="E700" t="inlineStr">
        <is>
          <t>LA</t>
        </is>
      </c>
      <c r="G700" s="128" t="inlineStr"/>
      <c r="H700" s="127" t="n">
        <v>46083</v>
      </c>
      <c r="J700" s="38" t="inlineStr">
        <is>
          <t>0-4005</t>
        </is>
      </c>
      <c r="K700" t="inlineStr">
        <is>
          <t>PR P2COST 000286 (PR) Summary</t>
        </is>
      </c>
      <c r="L700" t="n">
        <v>0</v>
      </c>
      <c r="M700" t="n">
        <v>0</v>
      </c>
      <c r="Q700" s="114" t="n">
        <v>0</v>
      </c>
      <c r="R700" s="114" t="n">
        <v>5394.44</v>
      </c>
      <c r="S700" s="114" t="n">
        <v>0</v>
      </c>
      <c r="T700" t="n">
        <v>63.23</v>
      </c>
    </row>
    <row r="701">
      <c r="A701" t="inlineStr">
        <is>
          <t>ttJTrans</t>
        </is>
      </c>
      <c r="B701" s="38" t="inlineStr">
        <is>
          <t>0-4005</t>
        </is>
      </c>
      <c r="C701" t="inlineStr">
        <is>
          <t>LA</t>
        </is>
      </c>
      <c r="E701" t="inlineStr">
        <is>
          <t>LA</t>
        </is>
      </c>
      <c r="G701" s="128" t="inlineStr"/>
      <c r="H701" s="127" t="n">
        <v>46083</v>
      </c>
      <c r="J701" s="38" t="inlineStr">
        <is>
          <t>0-4005</t>
        </is>
      </c>
      <c r="K701" t="inlineStr">
        <is>
          <t>PR P2COST 000286 (PR) Summary</t>
        </is>
      </c>
      <c r="L701" t="n">
        <v>0</v>
      </c>
      <c r="M701" t="n">
        <v>0</v>
      </c>
      <c r="Q701" s="114" t="n">
        <v>0</v>
      </c>
      <c r="R701" s="114" t="n">
        <v>1435.57</v>
      </c>
      <c r="S701" s="114" t="n">
        <v>0</v>
      </c>
      <c r="T701" t="n">
        <v>16.5</v>
      </c>
    </row>
    <row r="702">
      <c r="A702" t="inlineStr">
        <is>
          <t>ttJTrans</t>
        </is>
      </c>
      <c r="B702" s="38" t="inlineStr">
        <is>
          <t>0-4005</t>
        </is>
      </c>
      <c r="C702" t="inlineStr">
        <is>
          <t>LA</t>
        </is>
      </c>
      <c r="E702" t="inlineStr">
        <is>
          <t>LA</t>
        </is>
      </c>
      <c r="G702" s="128" t="inlineStr"/>
      <c r="H702" s="127" t="n">
        <v>46083</v>
      </c>
      <c r="J702" s="38" t="inlineStr">
        <is>
          <t>0-4005</t>
        </is>
      </c>
      <c r="K702" t="inlineStr">
        <is>
          <t>PR P2COST 000286 (PR) Summary</t>
        </is>
      </c>
      <c r="L702" t="n">
        <v>0</v>
      </c>
      <c r="M702" t="n">
        <v>0</v>
      </c>
      <c r="Q702" s="114" t="n">
        <v>0</v>
      </c>
      <c r="R702" s="114" t="n">
        <v>4521.21</v>
      </c>
      <c r="S702" s="114" t="n">
        <v>0</v>
      </c>
      <c r="T702" t="n">
        <v>50.55</v>
      </c>
    </row>
    <row r="703">
      <c r="A703" t="inlineStr">
        <is>
          <t>ttJTrans</t>
        </is>
      </c>
      <c r="B703" s="38" t="inlineStr">
        <is>
          <t>0-4005</t>
        </is>
      </c>
      <c r="C703" t="inlineStr">
        <is>
          <t>LA</t>
        </is>
      </c>
      <c r="E703" t="inlineStr">
        <is>
          <t>LA</t>
        </is>
      </c>
      <c r="G703" s="128" t="inlineStr"/>
      <c r="H703" s="127" t="n">
        <v>46083</v>
      </c>
      <c r="J703" s="38" t="inlineStr">
        <is>
          <t>0-4005</t>
        </is>
      </c>
      <c r="K703" t="inlineStr">
        <is>
          <t>PR P2COST 000286 (PR) Summary</t>
        </is>
      </c>
      <c r="L703" t="n">
        <v>0</v>
      </c>
      <c r="M703" t="n">
        <v>0</v>
      </c>
      <c r="Q703" s="114" t="n">
        <v>0</v>
      </c>
      <c r="R703" s="114" t="n">
        <v>5053.41</v>
      </c>
      <c r="S703" s="114" t="n">
        <v>0</v>
      </c>
      <c r="T703" t="n">
        <v>60.9</v>
      </c>
    </row>
    <row r="704">
      <c r="A704" t="inlineStr">
        <is>
          <t>ttJTrans</t>
        </is>
      </c>
      <c r="B704" s="38" t="inlineStr">
        <is>
          <t>0-4005</t>
        </is>
      </c>
      <c r="C704" t="inlineStr">
        <is>
          <t>LA</t>
        </is>
      </c>
      <c r="E704" t="inlineStr">
        <is>
          <t>LA</t>
        </is>
      </c>
      <c r="G704" s="128" t="inlineStr"/>
      <c r="H704" s="127" t="n">
        <v>46083</v>
      </c>
      <c r="J704" s="38" t="inlineStr">
        <is>
          <t>0-4005</t>
        </is>
      </c>
      <c r="K704" t="inlineStr">
        <is>
          <t>PR P2COST 000286 (PR) Summary</t>
        </is>
      </c>
      <c r="L704" t="n">
        <v>0</v>
      </c>
      <c r="M704" t="n">
        <v>0</v>
      </c>
      <c r="Q704" s="114" t="n">
        <v>0</v>
      </c>
      <c r="R704" s="114" t="n">
        <v>3494.61</v>
      </c>
      <c r="S704" s="114" t="n">
        <v>0</v>
      </c>
      <c r="T704" t="n">
        <v>39.14</v>
      </c>
    </row>
    <row r="705">
      <c r="A705" t="inlineStr">
        <is>
          <t>ttJTrans</t>
        </is>
      </c>
      <c r="B705" s="38" t="inlineStr">
        <is>
          <t>0-4005</t>
        </is>
      </c>
      <c r="C705" t="inlineStr">
        <is>
          <t>LA</t>
        </is>
      </c>
      <c r="E705" t="inlineStr">
        <is>
          <t>LA</t>
        </is>
      </c>
      <c r="G705" s="128" t="inlineStr"/>
      <c r="H705" s="127" t="n">
        <v>46083</v>
      </c>
      <c r="J705" s="38" t="inlineStr">
        <is>
          <t>0-4005</t>
        </is>
      </c>
      <c r="K705" t="inlineStr">
        <is>
          <t>PR P2COST 000286 (PR) Summary</t>
        </is>
      </c>
      <c r="L705" t="n">
        <v>0</v>
      </c>
      <c r="M705" t="n">
        <v>0</v>
      </c>
      <c r="Q705" s="114" t="n">
        <v>0</v>
      </c>
      <c r="R705" s="114" t="n">
        <v>4119.91</v>
      </c>
      <c r="S705" s="114" t="n">
        <v>0</v>
      </c>
      <c r="T705" t="n">
        <v>48.55</v>
      </c>
    </row>
    <row r="706">
      <c r="A706" t="inlineStr">
        <is>
          <t>ttJTrans</t>
        </is>
      </c>
      <c r="B706" s="38" t="inlineStr">
        <is>
          <t>0-4005</t>
        </is>
      </c>
      <c r="C706" t="inlineStr">
        <is>
          <t>LA</t>
        </is>
      </c>
      <c r="E706" t="inlineStr">
        <is>
          <t>LA</t>
        </is>
      </c>
      <c r="G706" s="128" t="inlineStr"/>
      <c r="H706" s="127" t="n">
        <v>46083</v>
      </c>
      <c r="J706" s="38" t="inlineStr">
        <is>
          <t>0-4005</t>
        </is>
      </c>
      <c r="K706" t="inlineStr">
        <is>
          <t>PR P2COST 000286 (PR) Summary</t>
        </is>
      </c>
      <c r="L706" t="n">
        <v>0</v>
      </c>
      <c r="M706" t="n">
        <v>0</v>
      </c>
      <c r="Q706" s="114" t="n">
        <v>0</v>
      </c>
      <c r="R706" s="114" t="n">
        <v>5503.2</v>
      </c>
      <c r="S706" s="114" t="n">
        <v>0</v>
      </c>
      <c r="T706" t="n">
        <v>64.02</v>
      </c>
    </row>
    <row r="707">
      <c r="A707" t="inlineStr">
        <is>
          <t>ttJTrans</t>
        </is>
      </c>
      <c r="B707" s="38" t="inlineStr">
        <is>
          <t>0-4005</t>
        </is>
      </c>
      <c r="C707" t="inlineStr">
        <is>
          <t>LA</t>
        </is>
      </c>
      <c r="E707" t="inlineStr">
        <is>
          <t>LA</t>
        </is>
      </c>
      <c r="G707" s="128" t="inlineStr"/>
      <c r="H707" s="127" t="n">
        <v>46083</v>
      </c>
      <c r="J707" s="38" t="inlineStr">
        <is>
          <t>0-4005</t>
        </is>
      </c>
      <c r="K707" t="inlineStr">
        <is>
          <t>PR P2COST 000286 (PR) Summary</t>
        </is>
      </c>
      <c r="L707" t="n">
        <v>0</v>
      </c>
      <c r="M707" t="n">
        <v>0</v>
      </c>
      <c r="Q707" s="114" t="n">
        <v>0</v>
      </c>
      <c r="R707" s="114" t="n">
        <v>4188.25</v>
      </c>
      <c r="S707" s="114" t="n">
        <v>0</v>
      </c>
      <c r="T707" t="n">
        <v>51.3</v>
      </c>
    </row>
    <row r="708">
      <c r="A708" t="inlineStr">
        <is>
          <t>ttJTrans</t>
        </is>
      </c>
      <c r="B708" s="38" t="inlineStr">
        <is>
          <t>0-4005</t>
        </is>
      </c>
      <c r="C708" t="inlineStr">
        <is>
          <t>LA</t>
        </is>
      </c>
      <c r="E708" t="inlineStr">
        <is>
          <t>LA</t>
        </is>
      </c>
      <c r="G708" s="128" t="inlineStr"/>
      <c r="H708" s="127" t="n">
        <v>46083</v>
      </c>
      <c r="J708" s="38" t="inlineStr">
        <is>
          <t>0-4005</t>
        </is>
      </c>
      <c r="K708" t="inlineStr">
        <is>
          <t>PR P2COST 000286 (PR) Summary</t>
        </is>
      </c>
      <c r="L708" t="n">
        <v>0</v>
      </c>
      <c r="M708" t="n">
        <v>0</v>
      </c>
      <c r="Q708" s="114" t="n">
        <v>0</v>
      </c>
      <c r="R708" s="114" t="n">
        <v>6606.47</v>
      </c>
      <c r="S708" s="114" t="n">
        <v>0</v>
      </c>
      <c r="T708" t="n">
        <v>83.5</v>
      </c>
    </row>
    <row r="709">
      <c r="A709" t="inlineStr">
        <is>
          <t>ttJTrans</t>
        </is>
      </c>
      <c r="B709" s="38" t="inlineStr">
        <is>
          <t>0-4005</t>
        </is>
      </c>
      <c r="C709" t="inlineStr">
        <is>
          <t>LA</t>
        </is>
      </c>
      <c r="E709" t="inlineStr">
        <is>
          <t>LA</t>
        </is>
      </c>
      <c r="G709" s="128" t="inlineStr"/>
      <c r="H709" s="127" t="n">
        <v>46083</v>
      </c>
      <c r="J709" s="38" t="inlineStr">
        <is>
          <t>0-4005</t>
        </is>
      </c>
      <c r="K709" t="inlineStr">
        <is>
          <t>PR P2COST 000286 (PR) Summary</t>
        </is>
      </c>
      <c r="L709" t="n">
        <v>0</v>
      </c>
      <c r="M709" t="n">
        <v>0</v>
      </c>
      <c r="Q709" s="114" t="n">
        <v>0</v>
      </c>
      <c r="R709" s="114" t="n">
        <v>6852.13</v>
      </c>
      <c r="S709" s="114" t="n">
        <v>0</v>
      </c>
      <c r="T709" t="n">
        <v>80.27</v>
      </c>
    </row>
    <row r="710">
      <c r="A710" t="inlineStr">
        <is>
          <t>ttJTrans</t>
        </is>
      </c>
      <c r="B710" s="38" t="inlineStr">
        <is>
          <t>0-4005</t>
        </is>
      </c>
      <c r="C710" t="inlineStr">
        <is>
          <t>LA</t>
        </is>
      </c>
      <c r="E710" t="inlineStr">
        <is>
          <t>LA</t>
        </is>
      </c>
      <c r="G710" s="128" t="inlineStr"/>
      <c r="H710" s="127" t="n">
        <v>46097</v>
      </c>
      <c r="J710" s="38" t="inlineStr">
        <is>
          <t>0-4005</t>
        </is>
      </c>
      <c r="K710" t="inlineStr">
        <is>
          <t>PR P2COST 000287 (PR) Summary</t>
        </is>
      </c>
      <c r="L710" t="n">
        <v>0</v>
      </c>
      <c r="M710" t="n">
        <v>0</v>
      </c>
      <c r="Q710" s="114" t="n">
        <v>0</v>
      </c>
      <c r="R710" s="114" t="n">
        <v>7364.87</v>
      </c>
      <c r="S710" s="114" t="n">
        <v>0</v>
      </c>
      <c r="T710" t="n">
        <v>81.13</v>
      </c>
    </row>
    <row r="711">
      <c r="A711" t="inlineStr">
        <is>
          <t>ttJTrans</t>
        </is>
      </c>
      <c r="B711" s="38" t="inlineStr">
        <is>
          <t>0-4005</t>
        </is>
      </c>
      <c r="C711" t="inlineStr">
        <is>
          <t>LA</t>
        </is>
      </c>
      <c r="E711" t="inlineStr">
        <is>
          <t>LA</t>
        </is>
      </c>
      <c r="G711" s="128" t="inlineStr"/>
      <c r="H711" s="127" t="n">
        <v>46097</v>
      </c>
      <c r="J711" s="38" t="inlineStr">
        <is>
          <t>0-4005</t>
        </is>
      </c>
      <c r="K711" t="inlineStr">
        <is>
          <t>PR P2COST 000287 (PR) Summary</t>
        </is>
      </c>
      <c r="L711" t="n">
        <v>0</v>
      </c>
      <c r="M711" t="n">
        <v>0</v>
      </c>
      <c r="Q711" s="114" t="n">
        <v>0</v>
      </c>
      <c r="R711" s="114" t="n">
        <v>6245.73</v>
      </c>
      <c r="S711" s="114" t="n">
        <v>0</v>
      </c>
      <c r="T711" t="n">
        <v>72.16</v>
      </c>
    </row>
    <row r="712">
      <c r="A712" t="inlineStr">
        <is>
          <t>ttJTrans</t>
        </is>
      </c>
      <c r="B712" s="38" t="inlineStr">
        <is>
          <t>0-4005</t>
        </is>
      </c>
      <c r="C712" t="inlineStr">
        <is>
          <t>LA</t>
        </is>
      </c>
      <c r="E712" t="inlineStr">
        <is>
          <t>LA</t>
        </is>
      </c>
      <c r="G712" s="128" t="inlineStr"/>
      <c r="H712" s="127" t="n">
        <v>46097</v>
      </c>
      <c r="J712" s="38" t="inlineStr">
        <is>
          <t>0-4005</t>
        </is>
      </c>
      <c r="K712" t="inlineStr">
        <is>
          <t>PR P2COST 000287 (PR) Summary</t>
        </is>
      </c>
      <c r="L712" t="n">
        <v>0</v>
      </c>
      <c r="M712" t="n">
        <v>0</v>
      </c>
      <c r="Q712" s="114" t="n">
        <v>0</v>
      </c>
      <c r="R712" s="114" t="n">
        <v>9508.219999999999</v>
      </c>
      <c r="S712" s="114" t="n">
        <v>0</v>
      </c>
      <c r="T712" t="n">
        <v>114.67</v>
      </c>
    </row>
    <row r="713">
      <c r="A713" t="inlineStr">
        <is>
          <t>ttJTrans</t>
        </is>
      </c>
      <c r="B713" s="38" t="inlineStr">
        <is>
          <t>0-4005</t>
        </is>
      </c>
      <c r="C713" t="inlineStr">
        <is>
          <t>LA</t>
        </is>
      </c>
      <c r="E713" t="inlineStr">
        <is>
          <t>LA</t>
        </is>
      </c>
      <c r="G713" s="128" t="inlineStr"/>
      <c r="H713" s="127" t="n">
        <v>46086</v>
      </c>
      <c r="J713" s="38" t="inlineStr">
        <is>
          <t>0-4005</t>
        </is>
      </c>
      <c r="K713" t="inlineStr">
        <is>
          <t>PR P0COST 000520 (PR) Summary</t>
        </is>
      </c>
      <c r="L713" t="n">
        <v>0</v>
      </c>
      <c r="M713" t="n">
        <v>0</v>
      </c>
      <c r="Q713" s="114" t="n">
        <v>0</v>
      </c>
      <c r="R713" s="114" t="n">
        <v>912.66</v>
      </c>
      <c r="S713" s="114" t="n">
        <v>0</v>
      </c>
      <c r="T713" t="n">
        <v>8</v>
      </c>
    </row>
    <row r="714">
      <c r="A714" t="inlineStr">
        <is>
          <t>ttJTrans</t>
        </is>
      </c>
      <c r="B714" s="38" t="inlineStr">
        <is>
          <t>0-4005</t>
        </is>
      </c>
      <c r="C714" t="inlineStr">
        <is>
          <t>LA</t>
        </is>
      </c>
      <c r="E714" t="inlineStr">
        <is>
          <t>LA</t>
        </is>
      </c>
      <c r="G714" s="128" t="inlineStr"/>
      <c r="H714" s="127" t="n">
        <v>46086</v>
      </c>
      <c r="J714" s="38" t="inlineStr">
        <is>
          <t>0-4005</t>
        </is>
      </c>
      <c r="K714" t="inlineStr">
        <is>
          <t>PR P0COST 000520 (PR) Summary</t>
        </is>
      </c>
      <c r="L714" t="n">
        <v>0</v>
      </c>
      <c r="M714" t="n">
        <v>0</v>
      </c>
      <c r="Q714" s="114" t="n">
        <v>0</v>
      </c>
      <c r="R714" s="114" t="n">
        <v>912.66</v>
      </c>
      <c r="S714" s="114" t="n">
        <v>0</v>
      </c>
      <c r="T714" t="n">
        <v>8</v>
      </c>
    </row>
    <row r="715">
      <c r="A715" t="inlineStr">
        <is>
          <t>ttJTrans</t>
        </is>
      </c>
      <c r="B715" s="38" t="inlineStr">
        <is>
          <t>0-4005</t>
        </is>
      </c>
      <c r="C715" t="inlineStr">
        <is>
          <t>LA</t>
        </is>
      </c>
      <c r="E715" t="inlineStr">
        <is>
          <t>LA</t>
        </is>
      </c>
      <c r="G715" s="128" t="inlineStr"/>
      <c r="H715" s="127" t="n">
        <v>46086</v>
      </c>
      <c r="J715" s="38" t="inlineStr">
        <is>
          <t>0-4005</t>
        </is>
      </c>
      <c r="K715" t="inlineStr">
        <is>
          <t>PR P0COST 000520 (PR) Summary</t>
        </is>
      </c>
      <c r="L715" t="n">
        <v>0</v>
      </c>
      <c r="M715" t="n">
        <v>0</v>
      </c>
      <c r="Q715" s="114" t="n">
        <v>0</v>
      </c>
      <c r="R715" s="114" t="n">
        <v>912.66</v>
      </c>
      <c r="S715" s="114" t="n">
        <v>0</v>
      </c>
      <c r="T715" t="n">
        <v>8</v>
      </c>
    </row>
    <row r="716">
      <c r="A716" t="inlineStr">
        <is>
          <t>ttJTrans</t>
        </is>
      </c>
      <c r="B716" s="38" t="inlineStr">
        <is>
          <t>0-4005</t>
        </is>
      </c>
      <c r="C716" t="inlineStr">
        <is>
          <t>LA</t>
        </is>
      </c>
      <c r="E716" t="inlineStr">
        <is>
          <t>LA</t>
        </is>
      </c>
      <c r="G716" s="128" t="inlineStr"/>
      <c r="H716" s="127" t="n">
        <v>46086</v>
      </c>
      <c r="J716" s="38" t="inlineStr">
        <is>
          <t>0-4005</t>
        </is>
      </c>
      <c r="K716" t="inlineStr">
        <is>
          <t>PR P0COST 000520 (PR) Summary</t>
        </is>
      </c>
      <c r="L716" t="n">
        <v>0</v>
      </c>
      <c r="M716" t="n">
        <v>0</v>
      </c>
      <c r="Q716" s="114" t="n">
        <v>0</v>
      </c>
      <c r="R716" s="114" t="n">
        <v>912.66</v>
      </c>
      <c r="S716" s="114" t="n">
        <v>0</v>
      </c>
      <c r="T716" t="n">
        <v>8</v>
      </c>
    </row>
    <row r="717">
      <c r="A717" t="inlineStr">
        <is>
          <t>ttJTrans</t>
        </is>
      </c>
      <c r="B717" s="38" t="inlineStr">
        <is>
          <t>0-4005</t>
        </is>
      </c>
      <c r="C717" t="inlineStr">
        <is>
          <t>LA</t>
        </is>
      </c>
      <c r="E717" t="inlineStr">
        <is>
          <t>LA</t>
        </is>
      </c>
      <c r="G717" s="128" t="inlineStr"/>
      <c r="H717" s="127" t="n">
        <v>46086</v>
      </c>
      <c r="J717" s="38" t="inlineStr">
        <is>
          <t>0-4005</t>
        </is>
      </c>
      <c r="K717" t="inlineStr">
        <is>
          <t>PR P0COST 000520 (PR) Summary</t>
        </is>
      </c>
      <c r="L717" t="n">
        <v>0</v>
      </c>
      <c r="M717" t="n">
        <v>0</v>
      </c>
      <c r="Q717" s="114" t="n">
        <v>0</v>
      </c>
      <c r="R717" s="114" t="n">
        <v>912.6900000000001</v>
      </c>
      <c r="S717" s="114" t="n">
        <v>0</v>
      </c>
      <c r="T717" t="n">
        <v>8</v>
      </c>
    </row>
    <row r="718">
      <c r="A718" t="inlineStr">
        <is>
          <t>ttJTrans</t>
        </is>
      </c>
      <c r="B718" s="38" t="inlineStr">
        <is>
          <t>0-4005</t>
        </is>
      </c>
      <c r="C718" t="inlineStr">
        <is>
          <t>LA</t>
        </is>
      </c>
      <c r="E718" t="inlineStr">
        <is>
          <t>LA</t>
        </is>
      </c>
      <c r="G718" s="128" t="inlineStr"/>
      <c r="H718" s="127" t="n">
        <v>46097</v>
      </c>
      <c r="J718" s="38" t="inlineStr">
        <is>
          <t>0-4005</t>
        </is>
      </c>
      <c r="K718" t="inlineStr">
        <is>
          <t>PR P2COST 000287 (PR) Summary</t>
        </is>
      </c>
      <c r="L718" t="n">
        <v>0</v>
      </c>
      <c r="M718" t="n">
        <v>0</v>
      </c>
      <c r="Q718" s="114" t="n">
        <v>0</v>
      </c>
      <c r="R718" s="114" t="n">
        <v>549.85</v>
      </c>
      <c r="S718" s="114" t="n">
        <v>0</v>
      </c>
      <c r="T718" t="n">
        <v>8</v>
      </c>
    </row>
    <row r="719">
      <c r="A719" t="inlineStr">
        <is>
          <t>ttJTrans</t>
        </is>
      </c>
      <c r="B719" s="38" t="inlineStr">
        <is>
          <t>0-4005</t>
        </is>
      </c>
      <c r="C719" t="inlineStr">
        <is>
          <t>LA</t>
        </is>
      </c>
      <c r="E719" t="inlineStr">
        <is>
          <t>LA</t>
        </is>
      </c>
      <c r="G719" s="128" t="inlineStr"/>
      <c r="H719" s="127" t="n">
        <v>46097</v>
      </c>
      <c r="J719" s="38" t="inlineStr">
        <is>
          <t>0-4005</t>
        </is>
      </c>
      <c r="K719" t="inlineStr">
        <is>
          <t>PR P2COST 000287 (PR) Summary</t>
        </is>
      </c>
      <c r="L719" t="n">
        <v>0</v>
      </c>
      <c r="M719" t="n">
        <v>0</v>
      </c>
      <c r="Q719" s="114" t="n">
        <v>0</v>
      </c>
      <c r="R719" s="114" t="n">
        <v>549.8200000000001</v>
      </c>
      <c r="S719" s="114" t="n">
        <v>0</v>
      </c>
      <c r="T719" t="n">
        <v>8</v>
      </c>
    </row>
    <row r="720">
      <c r="A720" t="inlineStr">
        <is>
          <t>ttJTrans</t>
        </is>
      </c>
      <c r="B720" s="38" t="inlineStr">
        <is>
          <t>0-4005</t>
        </is>
      </c>
      <c r="C720" t="inlineStr">
        <is>
          <t>LA</t>
        </is>
      </c>
      <c r="E720" t="inlineStr">
        <is>
          <t>LA</t>
        </is>
      </c>
      <c r="G720" s="128" t="inlineStr"/>
      <c r="H720" s="127" t="n">
        <v>46097</v>
      </c>
      <c r="J720" s="38" t="inlineStr">
        <is>
          <t>0-4005</t>
        </is>
      </c>
      <c r="K720" t="inlineStr">
        <is>
          <t>PR P2COST 000287 (PR) Summary</t>
        </is>
      </c>
      <c r="L720" t="n">
        <v>0</v>
      </c>
      <c r="M720" t="n">
        <v>0</v>
      </c>
      <c r="Q720" s="114" t="n">
        <v>0</v>
      </c>
      <c r="R720" s="114" t="n">
        <v>549.85</v>
      </c>
      <c r="S720" s="114" t="n">
        <v>0</v>
      </c>
      <c r="T720" t="n">
        <v>8</v>
      </c>
    </row>
    <row r="721">
      <c r="A721" t="inlineStr">
        <is>
          <t>ttJTrans</t>
        </is>
      </c>
      <c r="B721" s="38" t="inlineStr">
        <is>
          <t>0-4005</t>
        </is>
      </c>
      <c r="C721" t="inlineStr">
        <is>
          <t>LA</t>
        </is>
      </c>
      <c r="E721" t="inlineStr">
        <is>
          <t>LA</t>
        </is>
      </c>
      <c r="G721" s="128" t="inlineStr"/>
      <c r="H721" s="127" t="n">
        <v>46097</v>
      </c>
      <c r="J721" s="38" t="inlineStr">
        <is>
          <t>0-4005</t>
        </is>
      </c>
      <c r="K721" t="inlineStr">
        <is>
          <t>PR P2COST 000287 (PR) Summary</t>
        </is>
      </c>
      <c r="L721" t="n">
        <v>0</v>
      </c>
      <c r="M721" t="n">
        <v>0</v>
      </c>
      <c r="Q721" s="114" t="n">
        <v>0</v>
      </c>
      <c r="R721" s="114" t="n">
        <v>593.96</v>
      </c>
      <c r="S721" s="114" t="n">
        <v>0</v>
      </c>
      <c r="T721" t="n">
        <v>6.5</v>
      </c>
    </row>
    <row r="722">
      <c r="A722" t="inlineStr">
        <is>
          <t>ttJTrans</t>
        </is>
      </c>
      <c r="B722" s="38" t="inlineStr">
        <is>
          <t>0-4005</t>
        </is>
      </c>
      <c r="C722" t="inlineStr">
        <is>
          <t>LA</t>
        </is>
      </c>
      <c r="E722" t="inlineStr">
        <is>
          <t>LA</t>
        </is>
      </c>
      <c r="G722" s="128" t="inlineStr"/>
      <c r="H722" s="127" t="n">
        <v>46097</v>
      </c>
      <c r="J722" s="38" t="inlineStr">
        <is>
          <t>0-4005</t>
        </is>
      </c>
      <c r="K722" t="inlineStr">
        <is>
          <t>PR P2COST 000287 (PR) Summary</t>
        </is>
      </c>
      <c r="L722" t="n">
        <v>0</v>
      </c>
      <c r="M722" t="n">
        <v>0</v>
      </c>
      <c r="Q722" s="114" t="n">
        <v>0</v>
      </c>
      <c r="R722" s="114" t="n">
        <v>4942.33</v>
      </c>
      <c r="S722" s="114" t="n">
        <v>0</v>
      </c>
      <c r="T722" t="n">
        <v>62.04</v>
      </c>
    </row>
    <row r="723">
      <c r="A723" t="inlineStr">
        <is>
          <t>ttJTrans</t>
        </is>
      </c>
      <c r="B723" s="38" t="inlineStr">
        <is>
          <t>0-4005</t>
        </is>
      </c>
      <c r="C723" t="inlineStr">
        <is>
          <t>LA</t>
        </is>
      </c>
      <c r="E723" t="inlineStr">
        <is>
          <t>LA</t>
        </is>
      </c>
      <c r="G723" s="128" t="inlineStr"/>
      <c r="H723" s="127" t="n">
        <v>46097</v>
      </c>
      <c r="J723" s="38" t="inlineStr">
        <is>
          <t>0-4005</t>
        </is>
      </c>
      <c r="K723" t="inlineStr">
        <is>
          <t>PR P2COST 000287 (PR) Summary</t>
        </is>
      </c>
      <c r="L723" t="n">
        <v>0</v>
      </c>
      <c r="M723" t="n">
        <v>0</v>
      </c>
      <c r="Q723" s="114" t="n">
        <v>0</v>
      </c>
      <c r="R723" s="114" t="n">
        <v>9069.15</v>
      </c>
      <c r="S723" s="114" t="n">
        <v>0</v>
      </c>
      <c r="T723" t="n">
        <v>108.9</v>
      </c>
    </row>
    <row r="724">
      <c r="A724" t="inlineStr">
        <is>
          <t>ttJTrans</t>
        </is>
      </c>
      <c r="B724" s="38" t="inlineStr">
        <is>
          <t>0-4005</t>
        </is>
      </c>
      <c r="C724" t="inlineStr">
        <is>
          <t>LA</t>
        </is>
      </c>
      <c r="E724" t="inlineStr">
        <is>
          <t>LA</t>
        </is>
      </c>
      <c r="G724" s="128" t="inlineStr"/>
      <c r="H724" s="127" t="n">
        <v>46097</v>
      </c>
      <c r="J724" s="38" t="inlineStr">
        <is>
          <t>0-4005</t>
        </is>
      </c>
      <c r="K724" t="inlineStr">
        <is>
          <t>PR P2COST 000287 (PR) Summary</t>
        </is>
      </c>
      <c r="L724" t="n">
        <v>0</v>
      </c>
      <c r="M724" t="n">
        <v>0</v>
      </c>
      <c r="Q724" s="114" t="n">
        <v>0</v>
      </c>
      <c r="R724" s="114" t="n">
        <v>6800.09</v>
      </c>
      <c r="S724" s="114" t="n">
        <v>0</v>
      </c>
      <c r="T724" t="n">
        <v>83.29000000000001</v>
      </c>
    </row>
    <row r="725">
      <c r="A725" t="inlineStr">
        <is>
          <t>ttJTrans</t>
        </is>
      </c>
      <c r="B725" s="38" t="inlineStr">
        <is>
          <t>0-4005</t>
        </is>
      </c>
      <c r="C725" t="inlineStr">
        <is>
          <t>LA</t>
        </is>
      </c>
      <c r="E725" t="inlineStr">
        <is>
          <t>LA</t>
        </is>
      </c>
      <c r="G725" s="128" t="inlineStr"/>
      <c r="H725" s="127" t="n">
        <v>46097</v>
      </c>
      <c r="J725" s="38" t="inlineStr">
        <is>
          <t>0-4005</t>
        </is>
      </c>
      <c r="K725" t="inlineStr">
        <is>
          <t>PR P2COST 000287 (PR) Summary</t>
        </is>
      </c>
      <c r="L725" t="n">
        <v>0</v>
      </c>
      <c r="M725" t="n">
        <v>0</v>
      </c>
      <c r="Q725" s="114" t="n">
        <v>0</v>
      </c>
      <c r="R725" s="114" t="n">
        <v>1385.12</v>
      </c>
      <c r="S725" s="114" t="n">
        <v>0</v>
      </c>
      <c r="T725" t="n">
        <v>18.5</v>
      </c>
    </row>
    <row r="726">
      <c r="A726" t="inlineStr">
        <is>
          <t>ttJTrans</t>
        </is>
      </c>
      <c r="B726" s="38" t="inlineStr">
        <is>
          <t>0-4005</t>
        </is>
      </c>
      <c r="C726" t="inlineStr">
        <is>
          <t>LA</t>
        </is>
      </c>
      <c r="E726" t="inlineStr">
        <is>
          <t>LA</t>
        </is>
      </c>
      <c r="G726" s="128" t="inlineStr"/>
      <c r="H726" s="127" t="n">
        <v>46097</v>
      </c>
      <c r="J726" s="38" t="inlineStr">
        <is>
          <t>0-4005</t>
        </is>
      </c>
      <c r="K726" t="inlineStr">
        <is>
          <t>PR P2COST 000287 (PR) Summary</t>
        </is>
      </c>
      <c r="L726" t="n">
        <v>0</v>
      </c>
      <c r="M726" t="n">
        <v>0</v>
      </c>
      <c r="Q726" s="114" t="n">
        <v>0</v>
      </c>
      <c r="R726" s="114" t="n">
        <v>8223.51</v>
      </c>
      <c r="S726" s="114" t="n">
        <v>0</v>
      </c>
      <c r="T726" t="n">
        <v>91.37</v>
      </c>
    </row>
    <row r="727">
      <c r="A727" t="inlineStr">
        <is>
          <t>ttJTrans</t>
        </is>
      </c>
      <c r="B727" s="38" t="inlineStr">
        <is>
          <t>0-4005</t>
        </is>
      </c>
      <c r="C727" t="inlineStr">
        <is>
          <t>LA</t>
        </is>
      </c>
      <c r="E727" t="inlineStr">
        <is>
          <t>LA</t>
        </is>
      </c>
      <c r="G727" s="128" t="inlineStr"/>
      <c r="H727" s="127" t="n">
        <v>46097</v>
      </c>
      <c r="J727" s="38" t="inlineStr">
        <is>
          <t>0-4005</t>
        </is>
      </c>
      <c r="K727" t="inlineStr">
        <is>
          <t>PR P2COST 000287 (PR) Summary</t>
        </is>
      </c>
      <c r="L727" t="n">
        <v>0</v>
      </c>
      <c r="M727" t="n">
        <v>0</v>
      </c>
      <c r="Q727" s="114" t="n">
        <v>0</v>
      </c>
      <c r="R727" s="114" t="n">
        <v>6651.02</v>
      </c>
      <c r="S727" s="114" t="n">
        <v>0</v>
      </c>
      <c r="T727" t="n">
        <v>78.09999999999999</v>
      </c>
    </row>
    <row r="728">
      <c r="A728" t="inlineStr">
        <is>
          <t>ttJTrans</t>
        </is>
      </c>
      <c r="B728" s="38" t="inlineStr">
        <is>
          <t>0-4005</t>
        </is>
      </c>
      <c r="C728" t="inlineStr">
        <is>
          <t>LA</t>
        </is>
      </c>
      <c r="E728" t="inlineStr">
        <is>
          <t>LA</t>
        </is>
      </c>
      <c r="G728" s="128" t="inlineStr"/>
      <c r="H728" s="127" t="n">
        <v>46097</v>
      </c>
      <c r="J728" s="38" t="inlineStr">
        <is>
          <t>0-4005</t>
        </is>
      </c>
      <c r="K728" t="inlineStr">
        <is>
          <t>PR P2COST 000287 (PR) Summary</t>
        </is>
      </c>
      <c r="L728" t="n">
        <v>0</v>
      </c>
      <c r="M728" t="n">
        <v>0</v>
      </c>
      <c r="Q728" s="114" t="n">
        <v>0</v>
      </c>
      <c r="R728" s="114" t="n">
        <v>7433.13</v>
      </c>
      <c r="S728" s="114" t="n">
        <v>0</v>
      </c>
      <c r="T728" t="n">
        <v>94.01000000000001</v>
      </c>
    </row>
    <row r="729">
      <c r="A729" t="inlineStr">
        <is>
          <t>ttJTrans</t>
        </is>
      </c>
      <c r="B729" s="38" t="inlineStr">
        <is>
          <t>0-4005</t>
        </is>
      </c>
      <c r="C729" t="inlineStr">
        <is>
          <t>LA</t>
        </is>
      </c>
      <c r="E729" t="inlineStr">
        <is>
          <t>LA</t>
        </is>
      </c>
      <c r="G729" s="128" t="inlineStr"/>
      <c r="H729" s="127" t="n">
        <v>46097</v>
      </c>
      <c r="J729" s="38" t="inlineStr">
        <is>
          <t>0-4005</t>
        </is>
      </c>
      <c r="K729" t="inlineStr">
        <is>
          <t>PR P2COST 000287 (PR) Summary</t>
        </is>
      </c>
      <c r="L729" t="n">
        <v>0</v>
      </c>
      <c r="M729" t="n">
        <v>0</v>
      </c>
      <c r="Q729" s="114" t="n">
        <v>0</v>
      </c>
      <c r="R729" s="114" t="n">
        <v>8410.4</v>
      </c>
      <c r="S729" s="114" t="n">
        <v>0</v>
      </c>
      <c r="T729" t="n">
        <v>106.08</v>
      </c>
    </row>
    <row r="730">
      <c r="A730" t="inlineStr">
        <is>
          <t>ttJTrans</t>
        </is>
      </c>
      <c r="B730" s="38" t="inlineStr">
        <is>
          <t>0-4005</t>
        </is>
      </c>
      <c r="C730" t="inlineStr">
        <is>
          <t>LA</t>
        </is>
      </c>
      <c r="E730" t="inlineStr">
        <is>
          <t>LA</t>
        </is>
      </c>
      <c r="G730" s="128" t="inlineStr"/>
      <c r="H730" s="127" t="n">
        <v>46097</v>
      </c>
      <c r="J730" s="38" t="inlineStr">
        <is>
          <t>0-4005</t>
        </is>
      </c>
      <c r="K730" t="inlineStr">
        <is>
          <t>PR P2COST 000287 (PR) Summary</t>
        </is>
      </c>
      <c r="L730" t="n">
        <v>0</v>
      </c>
      <c r="M730" t="n">
        <v>0</v>
      </c>
      <c r="Q730" s="114" t="n">
        <v>0</v>
      </c>
      <c r="R730" s="114" t="n">
        <v>549.75</v>
      </c>
      <c r="S730" s="114" t="n">
        <v>0</v>
      </c>
      <c r="T730" t="n">
        <v>8</v>
      </c>
    </row>
    <row r="731">
      <c r="A731" t="inlineStr">
        <is>
          <t>ttJTrans</t>
        </is>
      </c>
      <c r="B731" s="38" t="inlineStr">
        <is>
          <t>0-4005</t>
        </is>
      </c>
      <c r="C731" t="inlineStr">
        <is>
          <t>LA</t>
        </is>
      </c>
      <c r="E731" t="inlineStr">
        <is>
          <t>LA</t>
        </is>
      </c>
      <c r="G731" s="128" t="inlineStr"/>
      <c r="H731" s="127" t="n">
        <v>46097</v>
      </c>
      <c r="J731" s="38" t="inlineStr">
        <is>
          <t>0-4005</t>
        </is>
      </c>
      <c r="K731" t="inlineStr">
        <is>
          <t>PR P2COST 000287 (PR) Summary</t>
        </is>
      </c>
      <c r="L731" t="n">
        <v>0</v>
      </c>
      <c r="M731" t="n">
        <v>0</v>
      </c>
      <c r="Q731" s="114" t="n">
        <v>0</v>
      </c>
      <c r="R731" s="114" t="n">
        <v>549.85</v>
      </c>
      <c r="S731" s="114" t="n">
        <v>0</v>
      </c>
      <c r="T731" t="n">
        <v>8</v>
      </c>
    </row>
    <row r="732">
      <c r="A732" t="inlineStr">
        <is>
          <t>ttJTrans</t>
        </is>
      </c>
      <c r="B732" s="38" t="inlineStr">
        <is>
          <t>0-4005</t>
        </is>
      </c>
      <c r="C732" t="inlineStr">
        <is>
          <t>LA</t>
        </is>
      </c>
      <c r="E732" t="inlineStr">
        <is>
          <t>LA</t>
        </is>
      </c>
      <c r="G732" s="128" t="inlineStr"/>
      <c r="H732" s="127" t="n">
        <v>46097</v>
      </c>
      <c r="J732" s="38" t="inlineStr">
        <is>
          <t>0-4005</t>
        </is>
      </c>
      <c r="K732" t="inlineStr">
        <is>
          <t>PR P2COST 000287 (PR) Summary</t>
        </is>
      </c>
      <c r="L732" t="n">
        <v>0</v>
      </c>
      <c r="M732" t="n">
        <v>0</v>
      </c>
      <c r="Q732" s="114" t="n">
        <v>0</v>
      </c>
      <c r="R732" s="114" t="n">
        <v>549.8200000000001</v>
      </c>
      <c r="S732" s="114" t="n">
        <v>0</v>
      </c>
      <c r="T732" t="n">
        <v>8</v>
      </c>
    </row>
    <row r="733">
      <c r="A733" t="inlineStr">
        <is>
          <t>ttJTrans</t>
        </is>
      </c>
      <c r="B733" s="38" t="inlineStr">
        <is>
          <t>0-4005</t>
        </is>
      </c>
      <c r="C733" t="inlineStr">
        <is>
          <t>LA</t>
        </is>
      </c>
      <c r="E733" t="inlineStr">
        <is>
          <t>LA</t>
        </is>
      </c>
      <c r="G733" s="128" t="inlineStr"/>
      <c r="H733" s="127" t="n">
        <v>46097</v>
      </c>
      <c r="J733" s="38" t="inlineStr">
        <is>
          <t>0-4005</t>
        </is>
      </c>
      <c r="K733" t="inlineStr">
        <is>
          <t>PR P2COST 000287 (PR) Summary</t>
        </is>
      </c>
      <c r="L733" t="n">
        <v>0</v>
      </c>
      <c r="M733" t="n">
        <v>0</v>
      </c>
      <c r="Q733" s="114" t="n">
        <v>0</v>
      </c>
      <c r="R733" s="114" t="n">
        <v>549.85</v>
      </c>
      <c r="S733" s="114" t="n">
        <v>0</v>
      </c>
      <c r="T733" t="n">
        <v>8</v>
      </c>
    </row>
    <row r="734">
      <c r="A734" t="inlineStr">
        <is>
          <t>ttJTrans</t>
        </is>
      </c>
      <c r="B734" s="38" t="inlineStr">
        <is>
          <t>0-4005</t>
        </is>
      </c>
      <c r="C734" t="inlineStr">
        <is>
          <t>LA</t>
        </is>
      </c>
      <c r="E734" t="inlineStr">
        <is>
          <t>LA</t>
        </is>
      </c>
      <c r="G734" s="128" t="inlineStr"/>
      <c r="H734" s="127" t="n">
        <v>46097</v>
      </c>
      <c r="J734" s="38" t="inlineStr">
        <is>
          <t>0-4005</t>
        </is>
      </c>
      <c r="K734" t="inlineStr">
        <is>
          <t>PR P2COST 000287 (PR) Summary</t>
        </is>
      </c>
      <c r="L734" t="n">
        <v>0</v>
      </c>
      <c r="M734" t="n">
        <v>0</v>
      </c>
      <c r="Q734" s="114" t="n">
        <v>0</v>
      </c>
      <c r="R734" s="114" t="n">
        <v>549.85</v>
      </c>
      <c r="S734" s="114" t="n">
        <v>0</v>
      </c>
      <c r="T734" t="n">
        <v>8</v>
      </c>
    </row>
    <row r="735">
      <c r="A735" t="inlineStr">
        <is>
          <t>ttJTrans</t>
        </is>
      </c>
      <c r="B735" s="38" t="inlineStr">
        <is>
          <t>0-4005</t>
        </is>
      </c>
      <c r="C735" t="inlineStr">
        <is>
          <t>LA</t>
        </is>
      </c>
      <c r="E735" t="inlineStr">
        <is>
          <t>LA</t>
        </is>
      </c>
      <c r="G735" s="128" t="inlineStr"/>
      <c r="H735" s="127" t="n">
        <v>46097</v>
      </c>
      <c r="J735" s="38" t="inlineStr">
        <is>
          <t>0-4005</t>
        </is>
      </c>
      <c r="K735" t="inlineStr">
        <is>
          <t>PR P2COST 000287 (PR) Summary</t>
        </is>
      </c>
      <c r="L735" t="n">
        <v>0</v>
      </c>
      <c r="M735" t="n">
        <v>0</v>
      </c>
      <c r="Q735" s="114" t="n">
        <v>0</v>
      </c>
      <c r="R735" s="114" t="n">
        <v>549.85</v>
      </c>
      <c r="S735" s="114" t="n">
        <v>0</v>
      </c>
      <c r="T735" t="n">
        <v>8</v>
      </c>
    </row>
    <row r="736">
      <c r="A736" t="inlineStr">
        <is>
          <t>ttJTrans</t>
        </is>
      </c>
      <c r="B736" s="38" t="inlineStr">
        <is>
          <t>0-4005</t>
        </is>
      </c>
      <c r="C736" t="inlineStr">
        <is>
          <t>LA</t>
        </is>
      </c>
      <c r="E736" t="inlineStr">
        <is>
          <t>LA</t>
        </is>
      </c>
      <c r="G736" s="128" t="inlineStr"/>
      <c r="H736" s="127" t="n">
        <v>46097</v>
      </c>
      <c r="J736" s="38" t="inlineStr">
        <is>
          <t>0-4005</t>
        </is>
      </c>
      <c r="K736" t="inlineStr">
        <is>
          <t>PR P2COST 000287 (PR) Summary</t>
        </is>
      </c>
      <c r="L736" t="n">
        <v>0</v>
      </c>
      <c r="M736" t="n">
        <v>0</v>
      </c>
      <c r="Q736" s="114" t="n">
        <v>0</v>
      </c>
      <c r="R736" s="114" t="n">
        <v>549.85</v>
      </c>
      <c r="S736" s="114" t="n">
        <v>0</v>
      </c>
      <c r="T736" t="n">
        <v>8</v>
      </c>
    </row>
    <row r="737">
      <c r="A737" t="inlineStr">
        <is>
          <t>ttJTrans</t>
        </is>
      </c>
      <c r="B737" s="38" t="inlineStr">
        <is>
          <t>0-4005</t>
        </is>
      </c>
      <c r="C737" t="inlineStr">
        <is>
          <t>LA</t>
        </is>
      </c>
      <c r="E737" t="inlineStr">
        <is>
          <t>LA</t>
        </is>
      </c>
      <c r="G737" s="128" t="inlineStr"/>
      <c r="H737" s="127" t="n">
        <v>46093</v>
      </c>
      <c r="J737" s="38" t="inlineStr">
        <is>
          <t>0-4005</t>
        </is>
      </c>
      <c r="K737" t="inlineStr">
        <is>
          <t>PR P0COST 000521 (PR) Summary</t>
        </is>
      </c>
      <c r="L737" t="n">
        <v>0</v>
      </c>
      <c r="M737" t="n">
        <v>0</v>
      </c>
      <c r="Q737" s="114" t="n">
        <v>0</v>
      </c>
      <c r="R737" s="114" t="n">
        <v>603.0700000000001</v>
      </c>
      <c r="S737" s="114" t="n">
        <v>0</v>
      </c>
      <c r="T737" t="n">
        <v>10</v>
      </c>
    </row>
    <row r="738">
      <c r="A738" t="inlineStr">
        <is>
          <t>ttJTrans</t>
        </is>
      </c>
      <c r="B738" s="38" t="inlineStr">
        <is>
          <t>0-4005</t>
        </is>
      </c>
      <c r="C738" t="inlineStr">
        <is>
          <t>LA</t>
        </is>
      </c>
      <c r="E738" t="inlineStr">
        <is>
          <t>LA</t>
        </is>
      </c>
      <c r="G738" s="128" t="inlineStr"/>
      <c r="H738" s="127" t="n">
        <v>46093</v>
      </c>
      <c r="J738" s="38" t="inlineStr">
        <is>
          <t>0-4005</t>
        </is>
      </c>
      <c r="K738" t="inlineStr">
        <is>
          <t>PR P0COST 000521 (PR) Summary</t>
        </is>
      </c>
      <c r="L738" t="n">
        <v>0</v>
      </c>
      <c r="M738" t="n">
        <v>0</v>
      </c>
      <c r="Q738" s="114" t="n">
        <v>0</v>
      </c>
      <c r="R738" s="114" t="n">
        <v>603.05</v>
      </c>
      <c r="S738" s="114" t="n">
        <v>0</v>
      </c>
      <c r="T738" t="n">
        <v>10</v>
      </c>
    </row>
    <row r="739">
      <c r="A739" t="inlineStr">
        <is>
          <t>ttJTrans</t>
        </is>
      </c>
      <c r="B739" s="38" t="inlineStr">
        <is>
          <t>0-4005</t>
        </is>
      </c>
      <c r="C739" t="inlineStr">
        <is>
          <t>LA</t>
        </is>
      </c>
      <c r="E739" t="inlineStr">
        <is>
          <t>LA</t>
        </is>
      </c>
      <c r="G739" s="128" t="inlineStr"/>
      <c r="H739" s="127" t="n">
        <v>46093</v>
      </c>
      <c r="J739" s="38" t="inlineStr">
        <is>
          <t>0-4005</t>
        </is>
      </c>
      <c r="K739" t="inlineStr">
        <is>
          <t>PR P0COST 000521 (PR) Summary</t>
        </is>
      </c>
      <c r="L739" t="n">
        <v>0</v>
      </c>
      <c r="M739" t="n">
        <v>0</v>
      </c>
      <c r="Q739" s="114" t="n">
        <v>0</v>
      </c>
      <c r="R739" s="114" t="n">
        <v>1359.64</v>
      </c>
      <c r="S739" s="114" t="n">
        <v>0</v>
      </c>
      <c r="T739" t="n">
        <v>18</v>
      </c>
    </row>
    <row r="740">
      <c r="A740" t="inlineStr">
        <is>
          <t>ttJTrans</t>
        </is>
      </c>
      <c r="B740" s="38" t="inlineStr">
        <is>
          <t>0-4005</t>
        </is>
      </c>
      <c r="C740" t="inlineStr">
        <is>
          <t>LA</t>
        </is>
      </c>
      <c r="E740" t="inlineStr">
        <is>
          <t>LA</t>
        </is>
      </c>
      <c r="G740" s="128" t="inlineStr"/>
      <c r="H740" s="127" t="n">
        <v>46093</v>
      </c>
      <c r="J740" s="38" t="inlineStr">
        <is>
          <t>0-4005</t>
        </is>
      </c>
      <c r="K740" t="inlineStr">
        <is>
          <t>PR P0COST 000521 (PR) Summary</t>
        </is>
      </c>
      <c r="L740" t="n">
        <v>0</v>
      </c>
      <c r="M740" t="n">
        <v>0</v>
      </c>
      <c r="Q740" s="114" t="n">
        <v>0</v>
      </c>
      <c r="R740" s="114" t="n">
        <v>1359.64</v>
      </c>
      <c r="S740" s="114" t="n">
        <v>0</v>
      </c>
      <c r="T740" t="n">
        <v>18</v>
      </c>
    </row>
    <row r="741">
      <c r="A741" t="inlineStr">
        <is>
          <t>ttJTrans</t>
        </is>
      </c>
      <c r="B741" s="38" t="inlineStr">
        <is>
          <t>0-4005</t>
        </is>
      </c>
      <c r="C741" t="inlineStr">
        <is>
          <t>LA</t>
        </is>
      </c>
      <c r="E741" t="inlineStr">
        <is>
          <t>LA</t>
        </is>
      </c>
      <c r="G741" s="128" t="inlineStr"/>
      <c r="H741" s="127" t="n">
        <v>46093</v>
      </c>
      <c r="J741" s="38" t="inlineStr">
        <is>
          <t>0-4005</t>
        </is>
      </c>
      <c r="K741" t="inlineStr">
        <is>
          <t>PR P0COST 000521 (PR) Summary</t>
        </is>
      </c>
      <c r="L741" t="n">
        <v>0</v>
      </c>
      <c r="M741" t="n">
        <v>0</v>
      </c>
      <c r="Q741" s="114" t="n">
        <v>0</v>
      </c>
      <c r="R741" s="114" t="n">
        <v>1359.64</v>
      </c>
      <c r="S741" s="114" t="n">
        <v>0</v>
      </c>
      <c r="T741" t="n">
        <v>18</v>
      </c>
    </row>
    <row r="742">
      <c r="A742" t="inlineStr">
        <is>
          <t>ttJTrans</t>
        </is>
      </c>
      <c r="B742" s="38" t="inlineStr">
        <is>
          <t>0-4005</t>
        </is>
      </c>
      <c r="C742" t="inlineStr">
        <is>
          <t>LA</t>
        </is>
      </c>
      <c r="E742" t="inlineStr">
        <is>
          <t>LA</t>
        </is>
      </c>
      <c r="G742" s="128" t="inlineStr"/>
      <c r="H742" s="127" t="n">
        <v>46093</v>
      </c>
      <c r="J742" s="38" t="inlineStr">
        <is>
          <t>0-4005</t>
        </is>
      </c>
      <c r="K742" t="inlineStr">
        <is>
          <t>PR P0COST 000521 (PR) Summary</t>
        </is>
      </c>
      <c r="L742" t="n">
        <v>0</v>
      </c>
      <c r="M742" t="n">
        <v>0</v>
      </c>
      <c r="Q742" s="114" t="n">
        <v>0</v>
      </c>
      <c r="R742" s="114" t="n">
        <v>1359.64</v>
      </c>
      <c r="S742" s="114" t="n">
        <v>0</v>
      </c>
      <c r="T742" t="n">
        <v>18</v>
      </c>
    </row>
    <row r="743">
      <c r="A743" t="inlineStr">
        <is>
          <t>ttJTrans</t>
        </is>
      </c>
      <c r="B743" s="38" t="inlineStr">
        <is>
          <t>0-4005</t>
        </is>
      </c>
      <c r="C743" t="inlineStr">
        <is>
          <t>LA</t>
        </is>
      </c>
      <c r="E743" t="inlineStr">
        <is>
          <t>LA</t>
        </is>
      </c>
      <c r="G743" s="128" t="inlineStr"/>
      <c r="H743" s="127" t="n">
        <v>46093</v>
      </c>
      <c r="J743" s="38" t="inlineStr">
        <is>
          <t>0-4005</t>
        </is>
      </c>
      <c r="K743" t="inlineStr">
        <is>
          <t>PR P0COST 000521 (PR) Summary</t>
        </is>
      </c>
      <c r="L743" t="n">
        <v>0</v>
      </c>
      <c r="M743" t="n">
        <v>0</v>
      </c>
      <c r="Q743" s="114" t="n">
        <v>0</v>
      </c>
      <c r="R743" s="114" t="n">
        <v>899.6900000000001</v>
      </c>
      <c r="S743" s="114" t="n">
        <v>0</v>
      </c>
      <c r="T743" t="n">
        <v>8</v>
      </c>
    </row>
    <row r="744">
      <c r="A744" t="inlineStr">
        <is>
          <t>ttJTrans</t>
        </is>
      </c>
      <c r="B744" s="38" t="inlineStr">
        <is>
          <t>0-4005</t>
        </is>
      </c>
      <c r="C744" t="inlineStr">
        <is>
          <t>LA</t>
        </is>
      </c>
      <c r="E744" t="inlineStr">
        <is>
          <t>LA</t>
        </is>
      </c>
      <c r="G744" s="128" t="inlineStr"/>
      <c r="H744" s="127" t="n">
        <v>46100</v>
      </c>
      <c r="J744" s="38" t="inlineStr">
        <is>
          <t>0-4005</t>
        </is>
      </c>
      <c r="K744" t="inlineStr">
        <is>
          <t>PR P0COST 000522 (PR) Summary</t>
        </is>
      </c>
      <c r="L744" t="n">
        <v>0</v>
      </c>
      <c r="M744" t="n">
        <v>0</v>
      </c>
      <c r="Q744" s="114" t="n">
        <v>0</v>
      </c>
      <c r="R744" s="114" t="n">
        <v>1163.93</v>
      </c>
      <c r="S744" s="114" t="n">
        <v>0</v>
      </c>
      <c r="T744" t="n">
        <v>20</v>
      </c>
    </row>
    <row r="745">
      <c r="A745" t="inlineStr">
        <is>
          <t>ttJTrans</t>
        </is>
      </c>
      <c r="B745" s="38" t="inlineStr">
        <is>
          <t>0-4005</t>
        </is>
      </c>
      <c r="C745" t="inlineStr">
        <is>
          <t>LA</t>
        </is>
      </c>
      <c r="E745" t="inlineStr">
        <is>
          <t>LA</t>
        </is>
      </c>
      <c r="G745" s="128" t="inlineStr"/>
      <c r="H745" s="127" t="n">
        <v>46100</v>
      </c>
      <c r="J745" s="38" t="inlineStr">
        <is>
          <t>0-4005</t>
        </is>
      </c>
      <c r="K745" t="inlineStr">
        <is>
          <t>PR P0COST 000522 (PR) Summary</t>
        </is>
      </c>
      <c r="L745" t="n">
        <v>0</v>
      </c>
      <c r="M745" t="n">
        <v>0</v>
      </c>
      <c r="Q745" s="114" t="n">
        <v>0</v>
      </c>
      <c r="R745" s="114" t="n">
        <v>1163.9</v>
      </c>
      <c r="S745" s="114" t="n">
        <v>0</v>
      </c>
      <c r="T745" t="n">
        <v>20</v>
      </c>
    </row>
    <row r="746">
      <c r="A746" t="inlineStr">
        <is>
          <t>ttJTrans</t>
        </is>
      </c>
      <c r="B746" s="38" t="inlineStr">
        <is>
          <t>0-4005</t>
        </is>
      </c>
      <c r="C746" t="inlineStr">
        <is>
          <t>LA</t>
        </is>
      </c>
      <c r="E746" t="inlineStr">
        <is>
          <t>LA</t>
        </is>
      </c>
      <c r="G746" s="128" t="inlineStr"/>
      <c r="H746" s="127" t="n">
        <v>46100</v>
      </c>
      <c r="J746" s="38" t="inlineStr">
        <is>
          <t>0-4005</t>
        </is>
      </c>
      <c r="K746" t="inlineStr">
        <is>
          <t>PR P0COST 000522 (PR) Summary</t>
        </is>
      </c>
      <c r="L746" t="n">
        <v>0</v>
      </c>
      <c r="M746" t="n">
        <v>0</v>
      </c>
      <c r="Q746" s="114" t="n">
        <v>0</v>
      </c>
      <c r="R746" s="114" t="n">
        <v>1741.62</v>
      </c>
      <c r="S746" s="114" t="n">
        <v>0</v>
      </c>
      <c r="T746" t="n">
        <v>28</v>
      </c>
    </row>
    <row r="747">
      <c r="A747" t="inlineStr">
        <is>
          <t>ttJTrans</t>
        </is>
      </c>
      <c r="B747" s="38" t="inlineStr">
        <is>
          <t>0-4005</t>
        </is>
      </c>
      <c r="C747" t="inlineStr">
        <is>
          <t>LA</t>
        </is>
      </c>
      <c r="E747" t="inlineStr">
        <is>
          <t>LA</t>
        </is>
      </c>
      <c r="G747" s="128" t="inlineStr"/>
      <c r="H747" s="127" t="n">
        <v>46100</v>
      </c>
      <c r="J747" s="38" t="inlineStr">
        <is>
          <t>0-4005</t>
        </is>
      </c>
      <c r="K747" t="inlineStr">
        <is>
          <t>PR P0COST 000522 (PR) Summary</t>
        </is>
      </c>
      <c r="L747" t="n">
        <v>0</v>
      </c>
      <c r="M747" t="n">
        <v>0</v>
      </c>
      <c r="Q747" s="114" t="n">
        <v>0</v>
      </c>
      <c r="R747" s="114" t="n">
        <v>1345.55</v>
      </c>
      <c r="S747" s="114" t="n">
        <v>0</v>
      </c>
      <c r="T747" t="n">
        <v>18</v>
      </c>
    </row>
    <row r="748">
      <c r="A748" t="inlineStr">
        <is>
          <t>ttJTrans</t>
        </is>
      </c>
      <c r="B748" s="38" t="inlineStr">
        <is>
          <t>0-4005</t>
        </is>
      </c>
      <c r="C748" t="inlineStr">
        <is>
          <t>LA</t>
        </is>
      </c>
      <c r="E748" t="inlineStr">
        <is>
          <t>LA</t>
        </is>
      </c>
      <c r="G748" s="128" t="inlineStr"/>
      <c r="H748" s="127" t="n">
        <v>46100</v>
      </c>
      <c r="J748" s="38" t="inlineStr">
        <is>
          <t>0-4005</t>
        </is>
      </c>
      <c r="K748" t="inlineStr">
        <is>
          <t>PR P0COST 000522 (PR) Summary</t>
        </is>
      </c>
      <c r="L748" t="n">
        <v>0</v>
      </c>
      <c r="M748" t="n">
        <v>0</v>
      </c>
      <c r="Q748" s="114" t="n">
        <v>0</v>
      </c>
      <c r="R748" s="114" t="n">
        <v>1344.8</v>
      </c>
      <c r="S748" s="114" t="n">
        <v>0</v>
      </c>
      <c r="T748" t="n">
        <v>18</v>
      </c>
    </row>
    <row r="749">
      <c r="A749" t="inlineStr">
        <is>
          <t>ttJTrans</t>
        </is>
      </c>
      <c r="B749" s="38" t="inlineStr">
        <is>
          <t>0-4005</t>
        </is>
      </c>
      <c r="C749" t="inlineStr">
        <is>
          <t>LA</t>
        </is>
      </c>
      <c r="E749" t="inlineStr">
        <is>
          <t>LA</t>
        </is>
      </c>
      <c r="G749" s="128" t="inlineStr"/>
      <c r="H749" s="127" t="n">
        <v>46100</v>
      </c>
      <c r="J749" s="38" t="inlineStr">
        <is>
          <t>0-4005</t>
        </is>
      </c>
      <c r="K749" t="inlineStr">
        <is>
          <t>PR P0COST 000522 (PR) Summary</t>
        </is>
      </c>
      <c r="L749" t="n">
        <v>0</v>
      </c>
      <c r="M749" t="n">
        <v>0</v>
      </c>
      <c r="Q749" s="114" t="n">
        <v>0</v>
      </c>
      <c r="R749" s="114" t="n">
        <v>1344.05</v>
      </c>
      <c r="S749" s="114" t="n">
        <v>0</v>
      </c>
      <c r="T749" t="n">
        <v>18</v>
      </c>
    </row>
    <row r="750">
      <c r="A750" t="inlineStr">
        <is>
          <t>ttJTrans</t>
        </is>
      </c>
      <c r="B750" s="38" t="inlineStr">
        <is>
          <t>0-4005</t>
        </is>
      </c>
      <c r="C750" t="inlineStr">
        <is>
          <t>LA</t>
        </is>
      </c>
      <c r="E750" t="inlineStr">
        <is>
          <t>LA</t>
        </is>
      </c>
      <c r="G750" s="128" t="inlineStr"/>
      <c r="H750" s="127" t="n">
        <v>46100</v>
      </c>
      <c r="J750" s="38" t="inlineStr">
        <is>
          <t>0-4005</t>
        </is>
      </c>
      <c r="K750" t="inlineStr">
        <is>
          <t>PR P0COST 000522 (PR) Summary</t>
        </is>
      </c>
      <c r="L750" t="n">
        <v>0</v>
      </c>
      <c r="M750" t="n">
        <v>0</v>
      </c>
      <c r="Q750" s="114" t="n">
        <v>0</v>
      </c>
      <c r="R750" s="114" t="n">
        <v>889.84</v>
      </c>
      <c r="S750" s="114" t="n">
        <v>0</v>
      </c>
      <c r="T750" t="n">
        <v>8</v>
      </c>
    </row>
    <row r="751">
      <c r="A751" t="inlineStr">
        <is>
          <t>ttJTrans</t>
        </is>
      </c>
      <c r="B751" s="38" t="inlineStr">
        <is>
          <t>0-4005</t>
        </is>
      </c>
      <c r="C751" t="inlineStr">
        <is>
          <t>LA</t>
        </is>
      </c>
      <c r="E751" t="inlineStr">
        <is>
          <t>LA</t>
        </is>
      </c>
      <c r="G751" s="128" t="inlineStr"/>
      <c r="H751" s="127" t="n">
        <v>46111</v>
      </c>
      <c r="J751" s="38" t="inlineStr">
        <is>
          <t>0-4005</t>
        </is>
      </c>
      <c r="K751" t="inlineStr">
        <is>
          <t>PR P2COST 000288 (PR) Summary</t>
        </is>
      </c>
      <c r="L751" t="n">
        <v>0</v>
      </c>
      <c r="M751" t="n">
        <v>0</v>
      </c>
      <c r="Q751" s="114" t="n">
        <v>0</v>
      </c>
      <c r="R751" s="114" t="n">
        <v>11206.89</v>
      </c>
      <c r="S751" s="114" t="n">
        <v>0</v>
      </c>
      <c r="T751" t="n">
        <v>150.16</v>
      </c>
    </row>
    <row r="752">
      <c r="A752" t="inlineStr">
        <is>
          <t>ttJTrans</t>
        </is>
      </c>
      <c r="B752" s="38" t="inlineStr">
        <is>
          <t>0-4005</t>
        </is>
      </c>
      <c r="C752" t="inlineStr">
        <is>
          <t>LA</t>
        </is>
      </c>
      <c r="E752" t="inlineStr">
        <is>
          <t>LA</t>
        </is>
      </c>
      <c r="G752" s="128" t="inlineStr"/>
      <c r="H752" s="127" t="n">
        <v>46111</v>
      </c>
      <c r="J752" s="38" t="inlineStr">
        <is>
          <t>0-4005</t>
        </is>
      </c>
      <c r="K752" t="inlineStr">
        <is>
          <t>PR P2COST 000288 (PR) Summary</t>
        </is>
      </c>
      <c r="L752" t="n">
        <v>0</v>
      </c>
      <c r="M752" t="n">
        <v>0</v>
      </c>
      <c r="Q752" s="114" t="n">
        <v>0</v>
      </c>
      <c r="R752" s="114" t="n">
        <v>10045.89</v>
      </c>
      <c r="S752" s="114" t="n">
        <v>0</v>
      </c>
      <c r="T752" t="n">
        <v>126</v>
      </c>
    </row>
    <row r="753">
      <c r="A753" t="inlineStr">
        <is>
          <t>ttJTrans</t>
        </is>
      </c>
      <c r="B753" s="38" t="inlineStr">
        <is>
          <t>0-4005</t>
        </is>
      </c>
      <c r="C753" t="inlineStr">
        <is>
          <t>LA</t>
        </is>
      </c>
      <c r="E753" t="inlineStr">
        <is>
          <t>LA</t>
        </is>
      </c>
      <c r="G753" s="128" t="inlineStr"/>
      <c r="H753" s="127" t="n">
        <v>46111</v>
      </c>
      <c r="J753" s="38" t="inlineStr">
        <is>
          <t>0-4005</t>
        </is>
      </c>
      <c r="K753" t="inlineStr">
        <is>
          <t>PR P2COST 000288 (PR) Summary</t>
        </is>
      </c>
      <c r="L753" t="n">
        <v>0</v>
      </c>
      <c r="M753" t="n">
        <v>0</v>
      </c>
      <c r="Q753" s="114" t="n">
        <v>0</v>
      </c>
      <c r="R753" s="114" t="n">
        <v>11672.56</v>
      </c>
      <c r="S753" s="114" t="n">
        <v>0</v>
      </c>
      <c r="T753" t="n">
        <v>154.05</v>
      </c>
    </row>
    <row r="754">
      <c r="A754" t="inlineStr">
        <is>
          <t>ttJTrans</t>
        </is>
      </c>
      <c r="B754" s="38" t="inlineStr">
        <is>
          <t>0-4005</t>
        </is>
      </c>
      <c r="C754" t="inlineStr">
        <is>
          <t>LA</t>
        </is>
      </c>
      <c r="E754" t="inlineStr">
        <is>
          <t>LA</t>
        </is>
      </c>
      <c r="G754" s="128" t="inlineStr"/>
      <c r="H754" s="127" t="n">
        <v>46111</v>
      </c>
      <c r="J754" s="38" t="inlineStr">
        <is>
          <t>0-4005</t>
        </is>
      </c>
      <c r="K754" t="inlineStr">
        <is>
          <t>PR P2COST 000288 (PR) Summary</t>
        </is>
      </c>
      <c r="L754" t="n">
        <v>0</v>
      </c>
      <c r="M754" t="n">
        <v>0</v>
      </c>
      <c r="Q754" s="114" t="n">
        <v>0</v>
      </c>
      <c r="R754" s="114" t="n">
        <v>12190.22</v>
      </c>
      <c r="S754" s="114" t="n">
        <v>0</v>
      </c>
      <c r="T754" t="n">
        <v>156.04</v>
      </c>
    </row>
    <row r="755">
      <c r="A755" t="inlineStr">
        <is>
          <t>ttJTrans</t>
        </is>
      </c>
      <c r="B755" s="38" t="inlineStr">
        <is>
          <t>0-4005</t>
        </is>
      </c>
      <c r="C755" t="inlineStr">
        <is>
          <t>LA</t>
        </is>
      </c>
      <c r="E755" t="inlineStr">
        <is>
          <t>LA</t>
        </is>
      </c>
      <c r="G755" s="128" t="inlineStr"/>
      <c r="H755" s="127" t="n">
        <v>46111</v>
      </c>
      <c r="J755" s="38" t="inlineStr">
        <is>
          <t>0-4005</t>
        </is>
      </c>
      <c r="K755" t="inlineStr">
        <is>
          <t>PR P2COST 000288 (PR) Summary</t>
        </is>
      </c>
      <c r="L755" t="n">
        <v>0</v>
      </c>
      <c r="M755" t="n">
        <v>0</v>
      </c>
      <c r="Q755" s="114" t="n">
        <v>0</v>
      </c>
      <c r="R755" s="114" t="n">
        <v>10043.27</v>
      </c>
      <c r="S755" s="114" t="n">
        <v>0</v>
      </c>
      <c r="T755" t="n">
        <v>141</v>
      </c>
    </row>
    <row r="756">
      <c r="A756" t="inlineStr">
        <is>
          <t>ttJTrans</t>
        </is>
      </c>
      <c r="B756" s="38" t="inlineStr">
        <is>
          <t>0-4005</t>
        </is>
      </c>
      <c r="C756" t="inlineStr">
        <is>
          <t>LA</t>
        </is>
      </c>
      <c r="E756" t="inlineStr">
        <is>
          <t>LA</t>
        </is>
      </c>
      <c r="G756" s="128" t="inlineStr"/>
      <c r="H756" s="127" t="n">
        <v>46111</v>
      </c>
      <c r="J756" s="38" t="inlineStr">
        <is>
          <t>0-4005</t>
        </is>
      </c>
      <c r="K756" t="inlineStr">
        <is>
          <t>PR P2COST 000288 (PR) Summary</t>
        </is>
      </c>
      <c r="L756" t="n">
        <v>0</v>
      </c>
      <c r="M756" t="n">
        <v>0</v>
      </c>
      <c r="Q756" s="114" t="n">
        <v>0</v>
      </c>
      <c r="R756" s="114" t="n">
        <v>9814.809999999999</v>
      </c>
      <c r="S756" s="114" t="n">
        <v>0</v>
      </c>
      <c r="T756" t="n">
        <v>130.5</v>
      </c>
    </row>
    <row r="757">
      <c r="A757" t="inlineStr">
        <is>
          <t>ttJTrans</t>
        </is>
      </c>
      <c r="B757" s="38" t="inlineStr">
        <is>
          <t>0-4005</t>
        </is>
      </c>
      <c r="C757" t="inlineStr">
        <is>
          <t>LA</t>
        </is>
      </c>
      <c r="E757" t="inlineStr">
        <is>
          <t>LA</t>
        </is>
      </c>
      <c r="G757" s="128" t="inlineStr"/>
      <c r="H757" s="127" t="n">
        <v>46111</v>
      </c>
      <c r="J757" s="38" t="inlineStr">
        <is>
          <t>0-4005</t>
        </is>
      </c>
      <c r="K757" t="inlineStr">
        <is>
          <t>PR P2COST 000288 (PR) Summary</t>
        </is>
      </c>
      <c r="L757" t="n">
        <v>0</v>
      </c>
      <c r="M757" t="n">
        <v>0</v>
      </c>
      <c r="Q757" s="114" t="n">
        <v>0</v>
      </c>
      <c r="R757" s="114" t="n">
        <v>13786.75</v>
      </c>
      <c r="S757" s="114" t="n">
        <v>0</v>
      </c>
      <c r="T757" t="n">
        <v>168</v>
      </c>
    </row>
    <row r="758">
      <c r="A758" t="inlineStr">
        <is>
          <t>ttJTrans</t>
        </is>
      </c>
      <c r="B758" s="38" t="inlineStr">
        <is>
          <t>0-4005</t>
        </is>
      </c>
      <c r="C758" t="inlineStr">
        <is>
          <t>LA</t>
        </is>
      </c>
      <c r="E758" t="inlineStr">
        <is>
          <t>LA</t>
        </is>
      </c>
      <c r="G758" s="128" t="inlineStr"/>
      <c r="H758" s="127" t="n">
        <v>46111</v>
      </c>
      <c r="J758" s="38" t="inlineStr">
        <is>
          <t>0-4005</t>
        </is>
      </c>
      <c r="K758" t="inlineStr">
        <is>
          <t>PR P2COST 000288 (PR) Summary</t>
        </is>
      </c>
      <c r="L758" t="n">
        <v>0</v>
      </c>
      <c r="M758" t="n">
        <v>0</v>
      </c>
      <c r="Q758" s="114" t="n">
        <v>0</v>
      </c>
      <c r="R758" s="114" t="n">
        <v>10181.8</v>
      </c>
      <c r="S758" s="114" t="n">
        <v>0</v>
      </c>
      <c r="T758" t="n">
        <v>128.5</v>
      </c>
    </row>
    <row r="759">
      <c r="A759" t="inlineStr">
        <is>
          <t>ttJTrans</t>
        </is>
      </c>
      <c r="B759" s="38" t="inlineStr">
        <is>
          <t>0-4005</t>
        </is>
      </c>
      <c r="C759" t="inlineStr">
        <is>
          <t>LA</t>
        </is>
      </c>
      <c r="E759" t="inlineStr">
        <is>
          <t>LA</t>
        </is>
      </c>
      <c r="G759" s="128" t="inlineStr"/>
      <c r="H759" s="127" t="n">
        <v>46111</v>
      </c>
      <c r="J759" s="38" t="inlineStr">
        <is>
          <t>0-4005</t>
        </is>
      </c>
      <c r="K759" t="inlineStr">
        <is>
          <t>PR P2COST 000288 (PR) Summary</t>
        </is>
      </c>
      <c r="L759" t="n">
        <v>0</v>
      </c>
      <c r="M759" t="n">
        <v>0</v>
      </c>
      <c r="Q759" s="114" t="n">
        <v>0</v>
      </c>
      <c r="R759" s="114" t="n">
        <v>10434.09</v>
      </c>
      <c r="S759" s="114" t="n">
        <v>0</v>
      </c>
      <c r="T759" t="n">
        <v>127.5</v>
      </c>
    </row>
    <row r="760">
      <c r="A760" t="inlineStr">
        <is>
          <t>ttJTrans</t>
        </is>
      </c>
      <c r="B760" s="38" t="inlineStr">
        <is>
          <t>0-4005</t>
        </is>
      </c>
      <c r="C760" t="inlineStr">
        <is>
          <t>LA</t>
        </is>
      </c>
      <c r="E760" t="inlineStr">
        <is>
          <t>LA</t>
        </is>
      </c>
      <c r="G760" s="128" t="inlineStr"/>
      <c r="H760" s="127" t="n">
        <v>46111</v>
      </c>
      <c r="J760" s="38" t="inlineStr">
        <is>
          <t>0-4005</t>
        </is>
      </c>
      <c r="K760" t="inlineStr">
        <is>
          <t>PR P2COST 000288 (PR) Summary</t>
        </is>
      </c>
      <c r="L760" t="n">
        <v>0</v>
      </c>
      <c r="M760" t="n">
        <v>0</v>
      </c>
      <c r="Q760" s="114" t="n">
        <v>0</v>
      </c>
      <c r="R760" s="114" t="n">
        <v>11242.67</v>
      </c>
      <c r="S760" s="114" t="n">
        <v>0</v>
      </c>
      <c r="T760" t="n">
        <v>135</v>
      </c>
    </row>
    <row r="761">
      <c r="A761" t="inlineStr">
        <is>
          <t>ttJTrans</t>
        </is>
      </c>
      <c r="B761" s="38" t="inlineStr">
        <is>
          <t>0-4005</t>
        </is>
      </c>
      <c r="C761" t="inlineStr">
        <is>
          <t>LA</t>
        </is>
      </c>
      <c r="E761" t="inlineStr">
        <is>
          <t>LA</t>
        </is>
      </c>
      <c r="G761" s="128" t="inlineStr"/>
      <c r="H761" s="127" t="n">
        <v>46111</v>
      </c>
      <c r="J761" s="38" t="inlineStr">
        <is>
          <t>0-4005</t>
        </is>
      </c>
      <c r="K761" t="inlineStr">
        <is>
          <t>PR P2COST 000288 (PR) Summary</t>
        </is>
      </c>
      <c r="L761" t="n">
        <v>0</v>
      </c>
      <c r="M761" t="n">
        <v>0</v>
      </c>
      <c r="Q761" s="114" t="n">
        <v>0</v>
      </c>
      <c r="R761" s="114" t="n">
        <v>2433.25</v>
      </c>
      <c r="S761" s="114" t="n">
        <v>0</v>
      </c>
      <c r="T761" t="n">
        <v>46.5</v>
      </c>
    </row>
    <row r="762">
      <c r="A762" t="inlineStr">
        <is>
          <t>ttJTrans</t>
        </is>
      </c>
      <c r="B762" s="38" t="inlineStr">
        <is>
          <t>0-4005</t>
        </is>
      </c>
      <c r="C762" t="inlineStr">
        <is>
          <t>LA</t>
        </is>
      </c>
      <c r="E762" t="inlineStr">
        <is>
          <t>LA</t>
        </is>
      </c>
      <c r="G762" s="128" t="inlineStr"/>
      <c r="H762" s="127" t="n">
        <v>46111</v>
      </c>
      <c r="J762" s="38" t="inlineStr">
        <is>
          <t>0-4005</t>
        </is>
      </c>
      <c r="K762" t="inlineStr">
        <is>
          <t>PR P2COST 000288 (PR) Summary</t>
        </is>
      </c>
      <c r="L762" t="n">
        <v>0</v>
      </c>
      <c r="M762" t="n">
        <v>0</v>
      </c>
      <c r="Q762" s="114" t="n">
        <v>0</v>
      </c>
      <c r="R762" s="114" t="n">
        <v>3085.15</v>
      </c>
      <c r="S762" s="114" t="n">
        <v>0</v>
      </c>
      <c r="T762" t="n">
        <v>45</v>
      </c>
    </row>
    <row r="763">
      <c r="A763" t="inlineStr">
        <is>
          <t>ttJTrans</t>
        </is>
      </c>
      <c r="B763" s="38" t="inlineStr">
        <is>
          <t>0-4005</t>
        </is>
      </c>
      <c r="C763" t="inlineStr">
        <is>
          <t>LA</t>
        </is>
      </c>
      <c r="E763" t="inlineStr">
        <is>
          <t>LA</t>
        </is>
      </c>
      <c r="G763" s="128" t="inlineStr"/>
      <c r="H763" s="127" t="n">
        <v>46107</v>
      </c>
      <c r="J763" s="38" t="inlineStr">
        <is>
          <t>0-4005</t>
        </is>
      </c>
      <c r="K763" t="inlineStr">
        <is>
          <t>PR P0COST 000523 (PR) Summary</t>
        </is>
      </c>
      <c r="L763" t="n">
        <v>0</v>
      </c>
      <c r="M763" t="n">
        <v>0</v>
      </c>
      <c r="Q763" s="114" t="n">
        <v>0</v>
      </c>
      <c r="R763" s="114" t="n">
        <v>1772.58</v>
      </c>
      <c r="S763" s="114" t="n">
        <v>0</v>
      </c>
      <c r="T763" t="n">
        <v>28</v>
      </c>
    </row>
    <row r="764">
      <c r="A764" t="inlineStr">
        <is>
          <t>ttJTrans</t>
        </is>
      </c>
      <c r="B764" s="38" t="inlineStr">
        <is>
          <t>0-4005</t>
        </is>
      </c>
      <c r="C764" t="inlineStr">
        <is>
          <t>LA</t>
        </is>
      </c>
      <c r="E764" t="inlineStr">
        <is>
          <t>LA</t>
        </is>
      </c>
      <c r="G764" s="128" t="inlineStr"/>
      <c r="H764" s="127" t="n">
        <v>46107</v>
      </c>
      <c r="J764" s="38" t="inlineStr">
        <is>
          <t>0-4005</t>
        </is>
      </c>
      <c r="K764" t="inlineStr">
        <is>
          <t>PR P0COST 000523 (PR) Summary</t>
        </is>
      </c>
      <c r="L764" t="n">
        <v>0</v>
      </c>
      <c r="M764" t="n">
        <v>0</v>
      </c>
      <c r="Q764" s="114" t="n">
        <v>0</v>
      </c>
      <c r="R764" s="114" t="n">
        <v>1772.58</v>
      </c>
      <c r="S764" s="114" t="n">
        <v>0</v>
      </c>
      <c r="T764" t="n">
        <v>28</v>
      </c>
    </row>
    <row r="765">
      <c r="A765" t="inlineStr">
        <is>
          <t>ttJTrans</t>
        </is>
      </c>
      <c r="B765" s="38" t="inlineStr">
        <is>
          <t>0-4005</t>
        </is>
      </c>
      <c r="C765" t="inlineStr">
        <is>
          <t>LA</t>
        </is>
      </c>
      <c r="E765" t="inlineStr">
        <is>
          <t>LA</t>
        </is>
      </c>
      <c r="G765" s="128" t="inlineStr"/>
      <c r="H765" s="127" t="n">
        <v>46107</v>
      </c>
      <c r="J765" s="38" t="inlineStr">
        <is>
          <t>0-4005</t>
        </is>
      </c>
      <c r="K765" t="inlineStr">
        <is>
          <t>PR P0COST 000523 (PR) Summary</t>
        </is>
      </c>
      <c r="L765" t="n">
        <v>0</v>
      </c>
      <c r="M765" t="n">
        <v>0</v>
      </c>
      <c r="Q765" s="114" t="n">
        <v>0</v>
      </c>
      <c r="R765" s="114" t="n">
        <v>2202.09</v>
      </c>
      <c r="S765" s="114" t="n">
        <v>0</v>
      </c>
      <c r="T765" t="n">
        <v>38</v>
      </c>
    </row>
    <row r="766">
      <c r="A766" t="inlineStr">
        <is>
          <t>ttJTrans</t>
        </is>
      </c>
      <c r="B766" s="38" t="inlineStr">
        <is>
          <t>0-4005</t>
        </is>
      </c>
      <c r="C766" t="inlineStr">
        <is>
          <t>LA</t>
        </is>
      </c>
      <c r="E766" t="inlineStr">
        <is>
          <t>LA</t>
        </is>
      </c>
      <c r="G766" s="128" t="inlineStr"/>
      <c r="H766" s="127" t="n">
        <v>46107</v>
      </c>
      <c r="J766" s="38" t="inlineStr">
        <is>
          <t>0-4005</t>
        </is>
      </c>
      <c r="K766" t="inlineStr">
        <is>
          <t>PR P0COST 000523 (PR) Summary</t>
        </is>
      </c>
      <c r="L766" t="n">
        <v>0</v>
      </c>
      <c r="M766" t="n">
        <v>0</v>
      </c>
      <c r="Q766" s="114" t="n">
        <v>0</v>
      </c>
      <c r="R766" s="114" t="n">
        <v>2359.77</v>
      </c>
      <c r="S766" s="114" t="n">
        <v>0</v>
      </c>
      <c r="T766" t="n">
        <v>38</v>
      </c>
    </row>
    <row r="767">
      <c r="A767" t="inlineStr">
        <is>
          <t>ttJTrans</t>
        </is>
      </c>
      <c r="B767" s="38" t="inlineStr">
        <is>
          <t>0-4005</t>
        </is>
      </c>
      <c r="C767" t="inlineStr">
        <is>
          <t>LA</t>
        </is>
      </c>
      <c r="E767" t="inlineStr">
        <is>
          <t>LA</t>
        </is>
      </c>
      <c r="G767" s="128" t="inlineStr"/>
      <c r="H767" s="127" t="n">
        <v>46114</v>
      </c>
      <c r="J767" s="38" t="inlineStr">
        <is>
          <t>0-4005</t>
        </is>
      </c>
      <c r="K767" t="inlineStr">
        <is>
          <t>PR P0COST 000524 (PR) Summary</t>
        </is>
      </c>
      <c r="L767" t="n">
        <v>0</v>
      </c>
      <c r="M767" t="n">
        <v>0</v>
      </c>
      <c r="Q767" s="114" t="n">
        <v>0</v>
      </c>
      <c r="R767" s="114" t="n">
        <v>567.35</v>
      </c>
      <c r="S767" s="114" t="n">
        <v>0</v>
      </c>
      <c r="T767" t="n">
        <v>10</v>
      </c>
    </row>
    <row r="768">
      <c r="A768" t="inlineStr">
        <is>
          <t>ttJTrans</t>
        </is>
      </c>
      <c r="B768" s="38" t="inlineStr">
        <is>
          <t>0-4005</t>
        </is>
      </c>
      <c r="C768" t="inlineStr">
        <is>
          <t>LA</t>
        </is>
      </c>
      <c r="E768" t="inlineStr">
        <is>
          <t>LA</t>
        </is>
      </c>
      <c r="G768" s="128" t="inlineStr"/>
      <c r="H768" s="127" t="n">
        <v>46114</v>
      </c>
      <c r="J768" s="38" t="inlineStr">
        <is>
          <t>0-4005</t>
        </is>
      </c>
      <c r="K768" t="inlineStr">
        <is>
          <t>PR P0COST 000524 (PR) Summary</t>
        </is>
      </c>
      <c r="L768" t="n">
        <v>0</v>
      </c>
      <c r="M768" t="n">
        <v>0</v>
      </c>
      <c r="Q768" s="114" t="n">
        <v>0</v>
      </c>
      <c r="R768" s="114" t="n">
        <v>567.34</v>
      </c>
      <c r="S768" s="114" t="n">
        <v>0</v>
      </c>
      <c r="T768" t="n">
        <v>10</v>
      </c>
    </row>
    <row r="769">
      <c r="A769" t="inlineStr">
        <is>
          <t>ttJTrans</t>
        </is>
      </c>
      <c r="B769" s="38" t="inlineStr">
        <is>
          <t>0-4005</t>
        </is>
      </c>
      <c r="C769" t="inlineStr">
        <is>
          <t>LA</t>
        </is>
      </c>
      <c r="E769" t="inlineStr">
        <is>
          <t>LA</t>
        </is>
      </c>
      <c r="G769" s="128" t="inlineStr"/>
      <c r="H769" s="127" t="n">
        <v>46114</v>
      </c>
      <c r="J769" s="38" t="inlineStr">
        <is>
          <t>0-4005</t>
        </is>
      </c>
      <c r="K769" t="inlineStr">
        <is>
          <t>PR P0COST 000524 (PR) Summary</t>
        </is>
      </c>
      <c r="L769" t="n">
        <v>0</v>
      </c>
      <c r="M769" t="n">
        <v>0</v>
      </c>
      <c r="Q769" s="114" t="n">
        <v>0</v>
      </c>
      <c r="R769" s="114" t="n">
        <v>1947.69</v>
      </c>
      <c r="S769" s="114" t="n">
        <v>0</v>
      </c>
      <c r="T769" t="n">
        <v>28</v>
      </c>
    </row>
    <row r="770">
      <c r="A770" t="inlineStr">
        <is>
          <t>ttJTrans</t>
        </is>
      </c>
      <c r="B770" s="38" t="inlineStr">
        <is>
          <t>0-4005</t>
        </is>
      </c>
      <c r="C770" t="inlineStr">
        <is>
          <t>LA</t>
        </is>
      </c>
      <c r="E770" t="inlineStr">
        <is>
          <t>LA</t>
        </is>
      </c>
      <c r="G770" s="128" t="inlineStr"/>
      <c r="H770" s="127" t="n">
        <v>46114</v>
      </c>
      <c r="J770" s="38" t="inlineStr">
        <is>
          <t>0-4005</t>
        </is>
      </c>
      <c r="K770" t="inlineStr">
        <is>
          <t>PR P0COST 000524 (PR) Summary</t>
        </is>
      </c>
      <c r="L770" t="n">
        <v>0</v>
      </c>
      <c r="M770" t="n">
        <v>0</v>
      </c>
      <c r="Q770" s="114" t="n">
        <v>0</v>
      </c>
      <c r="R770" s="114" t="n">
        <v>1550.12</v>
      </c>
      <c r="S770" s="114" t="n">
        <v>0</v>
      </c>
      <c r="T770" t="n">
        <v>18</v>
      </c>
    </row>
    <row r="771">
      <c r="A771" t="inlineStr">
        <is>
          <t>ttJTrans</t>
        </is>
      </c>
      <c r="B771" s="38" t="inlineStr">
        <is>
          <t>0-4005</t>
        </is>
      </c>
      <c r="C771" t="inlineStr">
        <is>
          <t>LA</t>
        </is>
      </c>
      <c r="E771" t="inlineStr">
        <is>
          <t>LA</t>
        </is>
      </c>
      <c r="G771" s="128" t="inlineStr"/>
      <c r="H771" s="127" t="n">
        <v>46114</v>
      </c>
      <c r="J771" s="38" t="inlineStr">
        <is>
          <t>0-4005</t>
        </is>
      </c>
      <c r="K771" t="inlineStr">
        <is>
          <t>PR P0COST 000524 (PR) Summary</t>
        </is>
      </c>
      <c r="L771" t="n">
        <v>0</v>
      </c>
      <c r="M771" t="n">
        <v>0</v>
      </c>
      <c r="Q771" s="114" t="n">
        <v>0</v>
      </c>
      <c r="R771" s="114" t="n">
        <v>1550.12</v>
      </c>
      <c r="S771" s="114" t="n">
        <v>0</v>
      </c>
      <c r="T771" t="n">
        <v>18</v>
      </c>
    </row>
    <row r="772">
      <c r="A772" t="inlineStr">
        <is>
          <t>ttJTrans</t>
        </is>
      </c>
      <c r="B772" s="38" t="inlineStr">
        <is>
          <t>0-4005</t>
        </is>
      </c>
      <c r="C772" t="inlineStr">
        <is>
          <t>LA</t>
        </is>
      </c>
      <c r="E772" t="inlineStr">
        <is>
          <t>LA</t>
        </is>
      </c>
      <c r="G772" s="128" t="inlineStr"/>
      <c r="H772" s="127" t="n">
        <v>46114</v>
      </c>
      <c r="J772" s="38" t="inlineStr">
        <is>
          <t>0-4005</t>
        </is>
      </c>
      <c r="K772" t="inlineStr">
        <is>
          <t>PR P0COST 000524 (PR) Summary</t>
        </is>
      </c>
      <c r="L772" t="n">
        <v>0</v>
      </c>
      <c r="M772" t="n">
        <v>0</v>
      </c>
      <c r="Q772" s="114" t="n">
        <v>0</v>
      </c>
      <c r="R772" s="114" t="n">
        <v>1550.12</v>
      </c>
      <c r="S772" s="114" t="n">
        <v>0</v>
      </c>
      <c r="T772" t="n">
        <v>18</v>
      </c>
    </row>
    <row r="773">
      <c r="A773" t="inlineStr">
        <is>
          <t>ttJTrans</t>
        </is>
      </c>
      <c r="B773" s="38" t="inlineStr">
        <is>
          <t>0-4005</t>
        </is>
      </c>
      <c r="C773" t="inlineStr">
        <is>
          <t>LA</t>
        </is>
      </c>
      <c r="E773" t="inlineStr">
        <is>
          <t>LA</t>
        </is>
      </c>
      <c r="G773" s="128" t="inlineStr"/>
      <c r="H773" s="127" t="n">
        <v>46114</v>
      </c>
      <c r="J773" s="38" t="inlineStr">
        <is>
          <t>0-4005</t>
        </is>
      </c>
      <c r="K773" t="inlineStr">
        <is>
          <t>PR P0COST 000524 (PR) Summary</t>
        </is>
      </c>
      <c r="L773" t="n">
        <v>0</v>
      </c>
      <c r="M773" t="n">
        <v>0</v>
      </c>
      <c r="Q773" s="114" t="n">
        <v>0</v>
      </c>
      <c r="R773" s="114" t="n">
        <v>902.84</v>
      </c>
      <c r="S773" s="114" t="n">
        <v>0</v>
      </c>
      <c r="T773" t="n">
        <v>8</v>
      </c>
    </row>
    <row r="774">
      <c r="A774" t="inlineStr">
        <is>
          <t>ttJTrans</t>
        </is>
      </c>
      <c r="B774" s="38" t="inlineStr">
        <is>
          <t>0-4005</t>
        </is>
      </c>
      <c r="C774" t="inlineStr">
        <is>
          <t>LA</t>
        </is>
      </c>
      <c r="E774" t="inlineStr">
        <is>
          <t>LA</t>
        </is>
      </c>
      <c r="G774" s="128" t="inlineStr"/>
      <c r="H774" s="127" t="n">
        <v>46121</v>
      </c>
      <c r="J774" s="38" t="inlineStr">
        <is>
          <t>0-4005</t>
        </is>
      </c>
      <c r="K774" t="inlineStr">
        <is>
          <t>PR P0COST 000525 (PR) Summary</t>
        </is>
      </c>
      <c r="L774" t="n">
        <v>0</v>
      </c>
      <c r="M774" t="n">
        <v>0</v>
      </c>
      <c r="Q774" s="114" t="n">
        <v>0</v>
      </c>
      <c r="R774" s="114" t="n">
        <v>524.49</v>
      </c>
      <c r="S774" s="114" t="n">
        <v>0</v>
      </c>
      <c r="T774" t="n">
        <v>10</v>
      </c>
    </row>
    <row r="775">
      <c r="A775" t="inlineStr">
        <is>
          <t>ttJTrans</t>
        </is>
      </c>
      <c r="B775" s="38" t="inlineStr">
        <is>
          <t>0-4005</t>
        </is>
      </c>
      <c r="C775" t="inlineStr">
        <is>
          <t>LA</t>
        </is>
      </c>
      <c r="E775" t="inlineStr">
        <is>
          <t>LA</t>
        </is>
      </c>
      <c r="G775" s="128" t="inlineStr"/>
      <c r="H775" s="127" t="n">
        <v>46121</v>
      </c>
      <c r="J775" s="38" t="inlineStr">
        <is>
          <t>0-4005</t>
        </is>
      </c>
      <c r="K775" t="inlineStr">
        <is>
          <t>PR P0COST 000525 (PR) Summary</t>
        </is>
      </c>
      <c r="L775" t="n">
        <v>0</v>
      </c>
      <c r="M775" t="n">
        <v>0</v>
      </c>
      <c r="Q775" s="114" t="n">
        <v>0</v>
      </c>
      <c r="R775" s="114" t="n">
        <v>1408.31</v>
      </c>
      <c r="S775" s="114" t="n">
        <v>0</v>
      </c>
      <c r="T775" t="n">
        <v>20</v>
      </c>
    </row>
    <row r="776">
      <c r="A776" t="inlineStr">
        <is>
          <t>ttJTrans</t>
        </is>
      </c>
      <c r="B776" s="38" t="inlineStr">
        <is>
          <t>0-4005</t>
        </is>
      </c>
      <c r="C776" t="inlineStr">
        <is>
          <t>LA</t>
        </is>
      </c>
      <c r="E776" t="inlineStr">
        <is>
          <t>LA</t>
        </is>
      </c>
      <c r="G776" s="128" t="inlineStr"/>
      <c r="H776" s="127" t="n">
        <v>46121</v>
      </c>
      <c r="J776" s="38" t="inlineStr">
        <is>
          <t>0-4005</t>
        </is>
      </c>
      <c r="K776" t="inlineStr">
        <is>
          <t>PR P0COST 000525 (PR) Summary</t>
        </is>
      </c>
      <c r="L776" t="n">
        <v>0</v>
      </c>
      <c r="M776" t="n">
        <v>0</v>
      </c>
      <c r="Q776" s="114" t="n">
        <v>0</v>
      </c>
      <c r="R776" s="114" t="n">
        <v>1994.78</v>
      </c>
      <c r="S776" s="114" t="n">
        <v>0</v>
      </c>
      <c r="T776" t="n">
        <v>28</v>
      </c>
    </row>
    <row r="777">
      <c r="A777" t="inlineStr">
        <is>
          <t>ttJTrans</t>
        </is>
      </c>
      <c r="B777" s="38" t="inlineStr">
        <is>
          <t>0-4005</t>
        </is>
      </c>
      <c r="C777" t="inlineStr">
        <is>
          <t>LA</t>
        </is>
      </c>
      <c r="E777" t="inlineStr">
        <is>
          <t>LA</t>
        </is>
      </c>
      <c r="G777" s="128" t="inlineStr"/>
      <c r="H777" s="127" t="n">
        <v>46121</v>
      </c>
      <c r="J777" s="38" t="inlineStr">
        <is>
          <t>0-4005</t>
        </is>
      </c>
      <c r="K777" t="inlineStr">
        <is>
          <t>PR P0COST 000525 (PR) Summary</t>
        </is>
      </c>
      <c r="L777" t="n">
        <v>0</v>
      </c>
      <c r="M777" t="n">
        <v>0</v>
      </c>
      <c r="Q777" s="114" t="n">
        <v>0</v>
      </c>
      <c r="R777" s="114" t="n">
        <v>1625.76</v>
      </c>
      <c r="S777" s="114" t="n">
        <v>0</v>
      </c>
      <c r="T777" t="n">
        <v>18</v>
      </c>
    </row>
    <row r="778">
      <c r="A778" t="inlineStr">
        <is>
          <t>ttJTrans</t>
        </is>
      </c>
      <c r="B778" s="38" t="inlineStr">
        <is>
          <t>0-4005</t>
        </is>
      </c>
      <c r="C778" t="inlineStr">
        <is>
          <t>LA</t>
        </is>
      </c>
      <c r="E778" t="inlineStr">
        <is>
          <t>LA</t>
        </is>
      </c>
      <c r="G778" s="128" t="inlineStr"/>
      <c r="H778" s="127" t="n">
        <v>46121</v>
      </c>
      <c r="J778" s="38" t="inlineStr">
        <is>
          <t>0-4005</t>
        </is>
      </c>
      <c r="K778" t="inlineStr">
        <is>
          <t>PR P0COST 000525 (PR) Summary</t>
        </is>
      </c>
      <c r="L778" t="n">
        <v>0</v>
      </c>
      <c r="M778" t="n">
        <v>0</v>
      </c>
      <c r="Q778" s="114" t="n">
        <v>0</v>
      </c>
      <c r="R778" s="114" t="n">
        <v>1625.78</v>
      </c>
      <c r="S778" s="114" t="n">
        <v>0</v>
      </c>
      <c r="T778" t="n">
        <v>18</v>
      </c>
    </row>
    <row r="779">
      <c r="A779" t="inlineStr">
        <is>
          <t>ttJTrans</t>
        </is>
      </c>
      <c r="B779" s="38" t="inlineStr">
        <is>
          <t>0-4005</t>
        </is>
      </c>
      <c r="C779" t="inlineStr">
        <is>
          <t>LA</t>
        </is>
      </c>
      <c r="E779" t="inlineStr">
        <is>
          <t>LA</t>
        </is>
      </c>
      <c r="G779" s="128" t="inlineStr"/>
      <c r="H779" s="127" t="n">
        <v>46121</v>
      </c>
      <c r="J779" s="38" t="inlineStr">
        <is>
          <t>0-4005</t>
        </is>
      </c>
      <c r="K779" t="inlineStr">
        <is>
          <t>PR P0COST 000525 (PR) Summary</t>
        </is>
      </c>
      <c r="L779" t="n">
        <v>0</v>
      </c>
      <c r="M779" t="n">
        <v>0</v>
      </c>
      <c r="Q779" s="114" t="n">
        <v>0</v>
      </c>
      <c r="R779" s="114" t="n">
        <v>1625.78</v>
      </c>
      <c r="S779" s="114" t="n">
        <v>0</v>
      </c>
      <c r="T779" t="n">
        <v>18</v>
      </c>
    </row>
    <row r="780">
      <c r="A780" t="inlineStr">
        <is>
          <t>ttJTrans</t>
        </is>
      </c>
      <c r="B780" s="38" t="inlineStr">
        <is>
          <t>0-4005</t>
        </is>
      </c>
      <c r="C780" t="inlineStr">
        <is>
          <t>LA</t>
        </is>
      </c>
      <c r="E780" t="inlineStr">
        <is>
          <t>LA</t>
        </is>
      </c>
      <c r="G780" s="128" t="inlineStr"/>
      <c r="H780" s="127" t="n">
        <v>46121</v>
      </c>
      <c r="J780" s="38" t="inlineStr">
        <is>
          <t>0-4005</t>
        </is>
      </c>
      <c r="K780" t="inlineStr">
        <is>
          <t>PR P0COST 000525 (PR) Summary</t>
        </is>
      </c>
      <c r="L780" t="n">
        <v>0</v>
      </c>
      <c r="M780" t="n">
        <v>0</v>
      </c>
      <c r="Q780" s="114" t="n">
        <v>0</v>
      </c>
      <c r="R780" s="114" t="n">
        <v>1625.81</v>
      </c>
      <c r="S780" s="114" t="n">
        <v>0</v>
      </c>
      <c r="T780" t="n">
        <v>8</v>
      </c>
    </row>
    <row r="781">
      <c r="A781" t="inlineStr">
        <is>
          <t>ttJTrans</t>
        </is>
      </c>
      <c r="B781" s="38" t="inlineStr">
        <is>
          <t>0-4005</t>
        </is>
      </c>
      <c r="C781" t="inlineStr">
        <is>
          <t>LA</t>
        </is>
      </c>
      <c r="E781" t="inlineStr">
        <is>
          <t>LA</t>
        </is>
      </c>
      <c r="G781" s="128" t="inlineStr"/>
      <c r="H781" s="127" t="n">
        <v>46126</v>
      </c>
      <c r="J781" s="38" t="inlineStr">
        <is>
          <t>0-4005</t>
        </is>
      </c>
      <c r="K781" t="inlineStr">
        <is>
          <t>PR P2COST 000289 (PR) Summary</t>
        </is>
      </c>
      <c r="L781" t="n">
        <v>0</v>
      </c>
      <c r="M781" t="n">
        <v>0</v>
      </c>
      <c r="Q781" s="114" t="n">
        <v>0</v>
      </c>
      <c r="R781" s="114" t="n">
        <v>11132.37</v>
      </c>
      <c r="S781" s="114" t="n">
        <v>0</v>
      </c>
      <c r="T781" t="n">
        <v>136.5</v>
      </c>
    </row>
    <row r="782">
      <c r="A782" t="inlineStr">
        <is>
          <t>ttJTrans</t>
        </is>
      </c>
      <c r="B782" s="38" t="inlineStr">
        <is>
          <t>0-4005</t>
        </is>
      </c>
      <c r="C782" t="inlineStr">
        <is>
          <t>LA</t>
        </is>
      </c>
      <c r="E782" t="inlineStr">
        <is>
          <t>LA</t>
        </is>
      </c>
      <c r="G782" s="128" t="inlineStr"/>
      <c r="H782" s="127" t="n">
        <v>46126</v>
      </c>
      <c r="J782" s="38" t="inlineStr">
        <is>
          <t>0-4005</t>
        </is>
      </c>
      <c r="K782" t="inlineStr">
        <is>
          <t>PR P2COST 000289 (PR) Summary</t>
        </is>
      </c>
      <c r="L782" t="n">
        <v>0</v>
      </c>
      <c r="M782" t="n">
        <v>0</v>
      </c>
      <c r="Q782" s="114" t="n">
        <v>0</v>
      </c>
      <c r="R782" s="114" t="n">
        <v>10692.64</v>
      </c>
      <c r="S782" s="114" t="n">
        <v>0</v>
      </c>
      <c r="T782" t="n">
        <v>129.11</v>
      </c>
    </row>
    <row r="783">
      <c r="A783" t="inlineStr">
        <is>
          <t>ttJTrans</t>
        </is>
      </c>
      <c r="B783" s="38" t="inlineStr">
        <is>
          <t>0-4005</t>
        </is>
      </c>
      <c r="C783" t="inlineStr">
        <is>
          <t>LA</t>
        </is>
      </c>
      <c r="E783" t="inlineStr">
        <is>
          <t>LA</t>
        </is>
      </c>
      <c r="G783" s="128" t="inlineStr"/>
      <c r="H783" s="127" t="n">
        <v>46126</v>
      </c>
      <c r="J783" s="38" t="inlineStr">
        <is>
          <t>0-4005</t>
        </is>
      </c>
      <c r="K783" t="inlineStr">
        <is>
          <t>PR P2COST 000289 (PR) Summary</t>
        </is>
      </c>
      <c r="L783" t="n">
        <v>0</v>
      </c>
      <c r="M783" t="n">
        <v>0</v>
      </c>
      <c r="Q783" s="114" t="n">
        <v>0</v>
      </c>
      <c r="R783" s="114" t="n">
        <v>10807.98</v>
      </c>
      <c r="S783" s="114" t="n">
        <v>0</v>
      </c>
      <c r="T783" t="n">
        <v>129.03</v>
      </c>
    </row>
    <row r="784">
      <c r="A784" t="inlineStr">
        <is>
          <t>ttJTrans</t>
        </is>
      </c>
      <c r="B784" s="38" t="inlineStr">
        <is>
          <t>0-4005</t>
        </is>
      </c>
      <c r="C784" t="inlineStr">
        <is>
          <t>LA</t>
        </is>
      </c>
      <c r="E784" t="inlineStr">
        <is>
          <t>LA</t>
        </is>
      </c>
      <c r="G784" s="128" t="inlineStr"/>
      <c r="H784" s="127" t="n">
        <v>46126</v>
      </c>
      <c r="J784" s="38" t="inlineStr">
        <is>
          <t>0-4005</t>
        </is>
      </c>
      <c r="K784" t="inlineStr">
        <is>
          <t>PR P2COST 000289 (PR) Summary</t>
        </is>
      </c>
      <c r="L784" t="n">
        <v>0</v>
      </c>
      <c r="M784" t="n">
        <v>0</v>
      </c>
      <c r="Q784" s="114" t="n">
        <v>0</v>
      </c>
      <c r="R784" s="114" t="n">
        <v>11260.82</v>
      </c>
      <c r="S784" s="114" t="n">
        <v>0</v>
      </c>
      <c r="T784" t="n">
        <v>134.02</v>
      </c>
    </row>
    <row r="785">
      <c r="A785" t="inlineStr">
        <is>
          <t>ttJTrans</t>
        </is>
      </c>
      <c r="B785" s="38" t="inlineStr">
        <is>
          <t>0-4005</t>
        </is>
      </c>
      <c r="C785" t="inlineStr">
        <is>
          <t>LA</t>
        </is>
      </c>
      <c r="E785" t="inlineStr">
        <is>
          <t>LA</t>
        </is>
      </c>
      <c r="G785" s="128" t="inlineStr"/>
      <c r="H785" s="127" t="n">
        <v>46126</v>
      </c>
      <c r="J785" s="38" t="inlineStr">
        <is>
          <t>0-4005</t>
        </is>
      </c>
      <c r="K785" t="inlineStr">
        <is>
          <t>PR P2COST 000289 (PR) Summary</t>
        </is>
      </c>
      <c r="L785" t="n">
        <v>0</v>
      </c>
      <c r="M785" t="n">
        <v>0</v>
      </c>
      <c r="Q785" s="114" t="n">
        <v>0</v>
      </c>
      <c r="R785" s="114" t="n">
        <v>10735.75</v>
      </c>
      <c r="S785" s="114" t="n">
        <v>0</v>
      </c>
      <c r="T785" t="n">
        <v>131.56</v>
      </c>
    </row>
    <row r="786">
      <c r="A786" t="inlineStr">
        <is>
          <t>ttJTrans</t>
        </is>
      </c>
      <c r="B786" s="38" t="inlineStr">
        <is>
          <t>0-4005</t>
        </is>
      </c>
      <c r="C786" t="inlineStr">
        <is>
          <t>LA</t>
        </is>
      </c>
      <c r="E786" t="inlineStr">
        <is>
          <t>LA</t>
        </is>
      </c>
      <c r="G786" s="128" t="inlineStr"/>
      <c r="H786" s="127" t="n">
        <v>46126</v>
      </c>
      <c r="J786" s="38" t="inlineStr">
        <is>
          <t>0-4005</t>
        </is>
      </c>
      <c r="K786" t="inlineStr">
        <is>
          <t>PR P2COST 000289 (PR) Summary</t>
        </is>
      </c>
      <c r="L786" t="n">
        <v>0</v>
      </c>
      <c r="M786" t="n">
        <v>0</v>
      </c>
      <c r="Q786" s="114" t="n">
        <v>0</v>
      </c>
      <c r="R786" s="114" t="n">
        <v>2671.38</v>
      </c>
      <c r="S786" s="114" t="n">
        <v>0</v>
      </c>
      <c r="T786" t="n">
        <v>33</v>
      </c>
    </row>
    <row r="787">
      <c r="A787" t="inlineStr">
        <is>
          <t>ttJTrans</t>
        </is>
      </c>
      <c r="B787" s="38" t="inlineStr">
        <is>
          <t>0-4005</t>
        </is>
      </c>
      <c r="C787" t="inlineStr">
        <is>
          <t>LA</t>
        </is>
      </c>
      <c r="E787" t="inlineStr">
        <is>
          <t>LA</t>
        </is>
      </c>
      <c r="G787" s="128" t="inlineStr"/>
      <c r="H787" s="127" t="n">
        <v>46126</v>
      </c>
      <c r="J787" s="38" t="inlineStr">
        <is>
          <t>0-4005</t>
        </is>
      </c>
      <c r="K787" t="inlineStr">
        <is>
          <t>PR P2COST 000289 (PR) Summary</t>
        </is>
      </c>
      <c r="L787" t="n">
        <v>0</v>
      </c>
      <c r="M787" t="n">
        <v>0</v>
      </c>
      <c r="Q787" s="114" t="n">
        <v>0</v>
      </c>
      <c r="R787" s="114" t="n">
        <v>9624.52</v>
      </c>
      <c r="S787" s="114" t="n">
        <v>0</v>
      </c>
      <c r="T787" t="n">
        <v>113.25</v>
      </c>
    </row>
    <row r="788">
      <c r="A788" t="inlineStr">
        <is>
          <t>ttJTrans</t>
        </is>
      </c>
      <c r="B788" s="38" t="inlineStr">
        <is>
          <t>0-4005</t>
        </is>
      </c>
      <c r="C788" t="inlineStr">
        <is>
          <t>LA</t>
        </is>
      </c>
      <c r="E788" t="inlineStr">
        <is>
          <t>LA</t>
        </is>
      </c>
      <c r="G788" s="128" t="inlineStr"/>
      <c r="H788" s="127" t="n">
        <v>46126</v>
      </c>
      <c r="J788" s="38" t="inlineStr">
        <is>
          <t>0-4005</t>
        </is>
      </c>
      <c r="K788" t="inlineStr">
        <is>
          <t>PR P2COST 000289 (PR) Summary</t>
        </is>
      </c>
      <c r="L788" t="n">
        <v>0</v>
      </c>
      <c r="M788" t="n">
        <v>0</v>
      </c>
      <c r="Q788" s="114" t="n">
        <v>0</v>
      </c>
      <c r="R788" s="114" t="n">
        <v>10612.35</v>
      </c>
      <c r="S788" s="114" t="n">
        <v>0</v>
      </c>
      <c r="T788" t="n">
        <v>125.49</v>
      </c>
    </row>
    <row r="789">
      <c r="A789" t="inlineStr">
        <is>
          <t>ttJTrans</t>
        </is>
      </c>
      <c r="B789" s="38" t="inlineStr">
        <is>
          <t>0-4005</t>
        </is>
      </c>
      <c r="C789" t="inlineStr">
        <is>
          <t>LA</t>
        </is>
      </c>
      <c r="E789" t="inlineStr">
        <is>
          <t>LA</t>
        </is>
      </c>
      <c r="G789" s="128" t="inlineStr"/>
      <c r="H789" s="127" t="n">
        <v>46126</v>
      </c>
      <c r="J789" s="38" t="inlineStr">
        <is>
          <t>0-4005</t>
        </is>
      </c>
      <c r="K789" t="inlineStr">
        <is>
          <t>PR P2COST 000289 (PR) Summary</t>
        </is>
      </c>
      <c r="L789" t="n">
        <v>0</v>
      </c>
      <c r="M789" t="n">
        <v>0</v>
      </c>
      <c r="Q789" s="114" t="n">
        <v>0</v>
      </c>
      <c r="R789" s="114" t="n">
        <v>11087.85</v>
      </c>
      <c r="S789" s="114" t="n">
        <v>0</v>
      </c>
      <c r="T789" t="n">
        <v>127.22</v>
      </c>
    </row>
    <row r="790">
      <c r="A790" t="inlineStr">
        <is>
          <t>ttJTrans</t>
        </is>
      </c>
      <c r="B790" s="38" t="inlineStr">
        <is>
          <t>0-4005</t>
        </is>
      </c>
      <c r="C790" t="inlineStr">
        <is>
          <t>LA</t>
        </is>
      </c>
      <c r="E790" t="inlineStr">
        <is>
          <t>LA</t>
        </is>
      </c>
      <c r="G790" s="128" t="inlineStr"/>
      <c r="H790" s="127" t="n">
        <v>46126</v>
      </c>
      <c r="J790" s="38" t="inlineStr">
        <is>
          <t>0-4005</t>
        </is>
      </c>
      <c r="K790" t="inlineStr">
        <is>
          <t>PR P2COST 000289 (PR) Summary</t>
        </is>
      </c>
      <c r="L790" t="n">
        <v>0</v>
      </c>
      <c r="M790" t="n">
        <v>0</v>
      </c>
      <c r="Q790" s="114" t="n">
        <v>0</v>
      </c>
      <c r="R790" s="114" t="n">
        <v>9891.52</v>
      </c>
      <c r="S790" s="114" t="n">
        <v>0</v>
      </c>
      <c r="T790" t="n">
        <v>121.47</v>
      </c>
    </row>
    <row r="791">
      <c r="A791" t="inlineStr">
        <is>
          <t>ttJTrans</t>
        </is>
      </c>
      <c r="B791" s="38" t="inlineStr">
        <is>
          <t>0-4005</t>
        </is>
      </c>
      <c r="C791" t="inlineStr">
        <is>
          <t>LA</t>
        </is>
      </c>
      <c r="E791" t="inlineStr">
        <is>
          <t>LA</t>
        </is>
      </c>
      <c r="G791" s="128" t="inlineStr"/>
      <c r="H791" s="127" t="n">
        <v>46126</v>
      </c>
      <c r="J791" s="38" t="inlineStr">
        <is>
          <t>0-4005</t>
        </is>
      </c>
      <c r="K791" t="inlineStr">
        <is>
          <t>PR P2COST 000289 (PR) Summary</t>
        </is>
      </c>
      <c r="L791" t="n">
        <v>0</v>
      </c>
      <c r="M791" t="n">
        <v>0</v>
      </c>
      <c r="Q791" s="114" t="n">
        <v>0</v>
      </c>
      <c r="R791" s="114" t="n">
        <v>2356</v>
      </c>
      <c r="S791" s="114" t="n">
        <v>0</v>
      </c>
      <c r="T791" t="n">
        <v>32</v>
      </c>
    </row>
    <row r="792">
      <c r="A792" t="inlineStr">
        <is>
          <t>ttJTrans</t>
        </is>
      </c>
      <c r="B792" s="38" t="inlineStr">
        <is>
          <t>0-4005</t>
        </is>
      </c>
      <c r="C792" t="inlineStr">
        <is>
          <t>LA</t>
        </is>
      </c>
      <c r="E792" t="inlineStr">
        <is>
          <t>LA</t>
        </is>
      </c>
      <c r="G792" s="128" t="inlineStr"/>
      <c r="H792" s="127" t="n">
        <v>46126</v>
      </c>
      <c r="J792" s="38" t="inlineStr">
        <is>
          <t>0-4005</t>
        </is>
      </c>
      <c r="K792" t="inlineStr">
        <is>
          <t>PR P2COST 000289 (PR) Summary</t>
        </is>
      </c>
      <c r="L792" t="n">
        <v>0</v>
      </c>
      <c r="M792" t="n">
        <v>0</v>
      </c>
      <c r="Q792" s="114" t="n">
        <v>0</v>
      </c>
      <c r="R792" s="114" t="n">
        <v>1223.39</v>
      </c>
      <c r="S792" s="114" t="n">
        <v>0</v>
      </c>
      <c r="T792" t="n">
        <v>14</v>
      </c>
    </row>
    <row r="793">
      <c r="A793" t="inlineStr">
        <is>
          <t>ttJTrans</t>
        </is>
      </c>
      <c r="B793" s="38" t="inlineStr">
        <is>
          <t>0-4005</t>
        </is>
      </c>
      <c r="C793" t="inlineStr">
        <is>
          <t>LA</t>
        </is>
      </c>
      <c r="E793" t="inlineStr">
        <is>
          <t>LA</t>
        </is>
      </c>
      <c r="G793" s="128" t="inlineStr"/>
      <c r="H793" s="127" t="n">
        <v>46128</v>
      </c>
      <c r="J793" s="38" t="inlineStr">
        <is>
          <t>0-4005</t>
        </is>
      </c>
      <c r="K793" t="inlineStr">
        <is>
          <t>PR P0COST 000526 (PR) Summary</t>
        </is>
      </c>
      <c r="L793" t="n">
        <v>0</v>
      </c>
      <c r="M793" t="n">
        <v>0</v>
      </c>
      <c r="Q793" s="114" t="n">
        <v>0</v>
      </c>
      <c r="R793" s="114" t="n">
        <v>567.35</v>
      </c>
      <c r="S793" s="114" t="n">
        <v>0</v>
      </c>
      <c r="T793" t="n">
        <v>10</v>
      </c>
    </row>
    <row r="794">
      <c r="A794" t="inlineStr">
        <is>
          <t>ttJTrans</t>
        </is>
      </c>
      <c r="B794" s="38" t="inlineStr">
        <is>
          <t>0-4005</t>
        </is>
      </c>
      <c r="C794" t="inlineStr">
        <is>
          <t>LA</t>
        </is>
      </c>
      <c r="E794" t="inlineStr">
        <is>
          <t>LA</t>
        </is>
      </c>
      <c r="G794" s="128" t="inlineStr"/>
      <c r="H794" s="127" t="n">
        <v>46128</v>
      </c>
      <c r="J794" s="38" t="inlineStr">
        <is>
          <t>0-4005</t>
        </is>
      </c>
      <c r="K794" t="inlineStr">
        <is>
          <t>PR P0COST 000526 (PR) Summary</t>
        </is>
      </c>
      <c r="L794" t="n">
        <v>0</v>
      </c>
      <c r="M794" t="n">
        <v>0</v>
      </c>
      <c r="Q794" s="114" t="n">
        <v>0</v>
      </c>
      <c r="R794" s="114" t="n">
        <v>567.34</v>
      </c>
      <c r="S794" s="114" t="n">
        <v>0</v>
      </c>
      <c r="T794" t="n">
        <v>10</v>
      </c>
    </row>
    <row r="795">
      <c r="A795" t="inlineStr">
        <is>
          <t>ttJTrans</t>
        </is>
      </c>
      <c r="B795" s="38" t="inlineStr">
        <is>
          <t>0-4005</t>
        </is>
      </c>
      <c r="C795" t="inlineStr">
        <is>
          <t>LA</t>
        </is>
      </c>
      <c r="E795" t="inlineStr">
        <is>
          <t>LA</t>
        </is>
      </c>
      <c r="G795" s="128" t="inlineStr"/>
      <c r="H795" s="127" t="n">
        <v>46128</v>
      </c>
      <c r="J795" s="38" t="inlineStr">
        <is>
          <t>0-4005</t>
        </is>
      </c>
      <c r="K795" t="inlineStr">
        <is>
          <t>PR P0COST 000526 (PR) Summary</t>
        </is>
      </c>
      <c r="L795" t="n">
        <v>0</v>
      </c>
      <c r="M795" t="n">
        <v>0</v>
      </c>
      <c r="Q795" s="114" t="n">
        <v>0</v>
      </c>
      <c r="R795" s="114" t="n">
        <v>2227.09</v>
      </c>
      <c r="S795" s="114" t="n">
        <v>0</v>
      </c>
      <c r="T795" t="n">
        <v>38</v>
      </c>
    </row>
    <row r="796">
      <c r="A796" t="inlineStr">
        <is>
          <t>ttJTrans</t>
        </is>
      </c>
      <c r="B796" s="38" t="inlineStr">
        <is>
          <t>0-4005</t>
        </is>
      </c>
      <c r="C796" t="inlineStr">
        <is>
          <t>LA</t>
        </is>
      </c>
      <c r="E796" t="inlineStr">
        <is>
          <t>LA</t>
        </is>
      </c>
      <c r="G796" s="128" t="inlineStr"/>
      <c r="H796" s="127" t="n">
        <v>46128</v>
      </c>
      <c r="J796" s="38" t="inlineStr">
        <is>
          <t>0-4005</t>
        </is>
      </c>
      <c r="K796" t="inlineStr">
        <is>
          <t>PR P0COST 000526 (PR) Summary</t>
        </is>
      </c>
      <c r="L796" t="n">
        <v>0</v>
      </c>
      <c r="M796" t="n">
        <v>0</v>
      </c>
      <c r="Q796" s="114" t="n">
        <v>0</v>
      </c>
      <c r="R796" s="114" t="n">
        <v>1532.99</v>
      </c>
      <c r="S796" s="114" t="n">
        <v>0</v>
      </c>
      <c r="T796" t="n">
        <v>18</v>
      </c>
    </row>
    <row r="797">
      <c r="A797" t="inlineStr">
        <is>
          <t>ttJTrans</t>
        </is>
      </c>
      <c r="B797" s="38" t="inlineStr">
        <is>
          <t>0-4005</t>
        </is>
      </c>
      <c r="C797" t="inlineStr">
        <is>
          <t>LA</t>
        </is>
      </c>
      <c r="E797" t="inlineStr">
        <is>
          <t>LA</t>
        </is>
      </c>
      <c r="G797" s="128" t="inlineStr"/>
      <c r="H797" s="127" t="n">
        <v>46128</v>
      </c>
      <c r="J797" s="38" t="inlineStr">
        <is>
          <t>0-4005</t>
        </is>
      </c>
      <c r="K797" t="inlineStr">
        <is>
          <t>PR P0COST 000526 (PR) Summary</t>
        </is>
      </c>
      <c r="L797" t="n">
        <v>0</v>
      </c>
      <c r="M797" t="n">
        <v>0</v>
      </c>
      <c r="Q797" s="114" t="n">
        <v>0</v>
      </c>
      <c r="R797" s="114" t="n">
        <v>1533</v>
      </c>
      <c r="S797" s="114" t="n">
        <v>0</v>
      </c>
      <c r="T797" t="n">
        <v>18</v>
      </c>
    </row>
    <row r="798">
      <c r="A798" t="inlineStr">
        <is>
          <t>ttJTrans</t>
        </is>
      </c>
      <c r="B798" s="38" t="inlineStr">
        <is>
          <t>0-4005</t>
        </is>
      </c>
      <c r="C798" t="inlineStr">
        <is>
          <t>LA</t>
        </is>
      </c>
      <c r="E798" t="inlineStr">
        <is>
          <t>LA</t>
        </is>
      </c>
      <c r="G798" s="128" t="inlineStr"/>
      <c r="H798" s="127" t="n">
        <v>46128</v>
      </c>
      <c r="J798" s="38" t="inlineStr">
        <is>
          <t>0-4005</t>
        </is>
      </c>
      <c r="K798" t="inlineStr">
        <is>
          <t>PR P0COST 000526 (PR) Summary</t>
        </is>
      </c>
      <c r="L798" t="n">
        <v>0</v>
      </c>
      <c r="M798" t="n">
        <v>0</v>
      </c>
      <c r="Q798" s="114" t="n">
        <v>0</v>
      </c>
      <c r="R798" s="114" t="n">
        <v>889.8099999999999</v>
      </c>
      <c r="S798" s="114" t="n">
        <v>0</v>
      </c>
      <c r="T798" t="n">
        <v>8</v>
      </c>
    </row>
    <row r="799">
      <c r="A799" t="inlineStr">
        <is>
          <t>ttJTrans</t>
        </is>
      </c>
      <c r="B799" s="38" t="inlineStr">
        <is>
          <t>0-4005</t>
        </is>
      </c>
      <c r="C799" t="inlineStr">
        <is>
          <t>LA</t>
        </is>
      </c>
      <c r="E799" t="inlineStr">
        <is>
          <t>LA</t>
        </is>
      </c>
      <c r="G799" s="128" t="inlineStr"/>
      <c r="H799" s="127" t="n">
        <v>46128</v>
      </c>
      <c r="J799" s="38" t="inlineStr">
        <is>
          <t>0-4005</t>
        </is>
      </c>
      <c r="K799" t="inlineStr">
        <is>
          <t>PR P0COST 000526 (PR) Summary</t>
        </is>
      </c>
      <c r="L799" t="n">
        <v>0</v>
      </c>
      <c r="M799" t="n">
        <v>0</v>
      </c>
      <c r="Q799" s="114" t="n">
        <v>0</v>
      </c>
      <c r="R799" s="114" t="n">
        <v>1829.53</v>
      </c>
      <c r="S799" s="114" t="n">
        <v>0</v>
      </c>
      <c r="T799" t="n">
        <v>18</v>
      </c>
    </row>
    <row r="800">
      <c r="A800" t="inlineStr">
        <is>
          <t>ttJTrans</t>
        </is>
      </c>
      <c r="B800" s="38" t="inlineStr">
        <is>
          <t>0-4005</t>
        </is>
      </c>
      <c r="C800" t="inlineStr">
        <is>
          <t>LA</t>
        </is>
      </c>
      <c r="E800" t="inlineStr">
        <is>
          <t>LA</t>
        </is>
      </c>
      <c r="G800" s="128" t="inlineStr"/>
      <c r="H800" s="127" t="n">
        <v>46149</v>
      </c>
      <c r="J800" s="38" t="inlineStr">
        <is>
          <t>0-4005</t>
        </is>
      </c>
      <c r="K800" t="inlineStr">
        <is>
          <t>PR P2COST 000291 (PR) Summary</t>
        </is>
      </c>
      <c r="L800" t="n">
        <v>0</v>
      </c>
      <c r="M800" t="n">
        <v>0</v>
      </c>
      <c r="Q800" s="114" t="n">
        <v>0</v>
      </c>
      <c r="R800" s="114" t="n">
        <v>1960</v>
      </c>
      <c r="S800" s="114" t="n">
        <v>0</v>
      </c>
      <c r="T800" t="n">
        <v>0</v>
      </c>
    </row>
    <row r="801">
      <c r="A801" t="inlineStr">
        <is>
          <t>ttJTrans</t>
        </is>
      </c>
      <c r="B801" s="38" t="inlineStr">
        <is>
          <t>0-4005</t>
        </is>
      </c>
      <c r="C801" t="inlineStr">
        <is>
          <t>LA</t>
        </is>
      </c>
      <c r="E801" t="inlineStr">
        <is>
          <t>LA</t>
        </is>
      </c>
      <c r="G801" s="128" t="inlineStr"/>
      <c r="H801" s="127" t="n">
        <v>46135</v>
      </c>
      <c r="J801" s="38" t="inlineStr">
        <is>
          <t>0-4005</t>
        </is>
      </c>
      <c r="K801" t="inlineStr">
        <is>
          <t>PR P0COST 000527 (PR) Summary</t>
        </is>
      </c>
      <c r="L801" t="n">
        <v>0</v>
      </c>
      <c r="M801" t="n">
        <v>0</v>
      </c>
      <c r="Q801" s="114" t="n">
        <v>0</v>
      </c>
      <c r="R801" s="114" t="n">
        <v>567.35</v>
      </c>
      <c r="S801" s="114" t="n">
        <v>0</v>
      </c>
      <c r="T801" t="n">
        <v>10</v>
      </c>
    </row>
    <row r="802">
      <c r="A802" t="inlineStr">
        <is>
          <t>ttJTrans</t>
        </is>
      </c>
      <c r="B802" s="38" t="inlineStr">
        <is>
          <t>0-4005</t>
        </is>
      </c>
      <c r="C802" t="inlineStr">
        <is>
          <t>LA</t>
        </is>
      </c>
      <c r="E802" t="inlineStr">
        <is>
          <t>LA</t>
        </is>
      </c>
      <c r="G802" s="128" t="inlineStr"/>
      <c r="H802" s="127" t="n">
        <v>46135</v>
      </c>
      <c r="J802" s="38" t="inlineStr">
        <is>
          <t>0-4005</t>
        </is>
      </c>
      <c r="K802" t="inlineStr">
        <is>
          <t>PR P0COST 000527 (PR) Summary</t>
        </is>
      </c>
      <c r="L802" t="n">
        <v>0</v>
      </c>
      <c r="M802" t="n">
        <v>0</v>
      </c>
      <c r="Q802" s="114" t="n">
        <v>0</v>
      </c>
      <c r="R802" s="114" t="n">
        <v>567.34</v>
      </c>
      <c r="S802" s="114" t="n">
        <v>0</v>
      </c>
      <c r="T802" t="n">
        <v>10</v>
      </c>
    </row>
    <row r="803">
      <c r="A803" t="inlineStr">
        <is>
          <t>ttJTrans</t>
        </is>
      </c>
      <c r="B803" s="38" t="inlineStr">
        <is>
          <t>0-4005</t>
        </is>
      </c>
      <c r="C803" t="inlineStr">
        <is>
          <t>LA</t>
        </is>
      </c>
      <c r="E803" t="inlineStr">
        <is>
          <t>LA</t>
        </is>
      </c>
      <c r="G803" s="128" t="inlineStr"/>
      <c r="H803" s="127" t="n">
        <v>46135</v>
      </c>
      <c r="J803" s="38" t="inlineStr">
        <is>
          <t>0-4005</t>
        </is>
      </c>
      <c r="K803" t="inlineStr">
        <is>
          <t>PR P0COST 000527 (PR) Summary</t>
        </is>
      </c>
      <c r="L803" t="n">
        <v>0</v>
      </c>
      <c r="M803" t="n">
        <v>0</v>
      </c>
      <c r="Q803" s="114" t="n">
        <v>0</v>
      </c>
      <c r="R803" s="114" t="n">
        <v>2091.34</v>
      </c>
      <c r="S803" s="114" t="n">
        <v>0</v>
      </c>
      <c r="T803" t="n">
        <v>28</v>
      </c>
    </row>
    <row r="804">
      <c r="A804" t="inlineStr">
        <is>
          <t>ttJTrans</t>
        </is>
      </c>
      <c r="B804" s="38" t="inlineStr">
        <is>
          <t>0-4005</t>
        </is>
      </c>
      <c r="C804" t="inlineStr">
        <is>
          <t>LA</t>
        </is>
      </c>
      <c r="E804" t="inlineStr">
        <is>
          <t>LA</t>
        </is>
      </c>
      <c r="G804" s="128" t="inlineStr"/>
      <c r="H804" s="127" t="n">
        <v>46135</v>
      </c>
      <c r="J804" s="38" t="inlineStr">
        <is>
          <t>0-4005</t>
        </is>
      </c>
      <c r="K804" t="inlineStr">
        <is>
          <t>PR P0COST 000527 (PR) Summary</t>
        </is>
      </c>
      <c r="L804" t="n">
        <v>0</v>
      </c>
      <c r="M804" t="n">
        <v>0</v>
      </c>
      <c r="Q804" s="114" t="n">
        <v>0</v>
      </c>
      <c r="R804" s="114" t="n">
        <v>1693.79</v>
      </c>
      <c r="S804" s="114" t="n">
        <v>0</v>
      </c>
      <c r="T804" t="n">
        <v>18</v>
      </c>
    </row>
    <row r="805">
      <c r="A805" t="inlineStr">
        <is>
          <t>ttJTrans</t>
        </is>
      </c>
      <c r="B805" s="38" t="inlineStr">
        <is>
          <t>0-4005</t>
        </is>
      </c>
      <c r="C805" t="inlineStr">
        <is>
          <t>LA</t>
        </is>
      </c>
      <c r="E805" t="inlineStr">
        <is>
          <t>LA</t>
        </is>
      </c>
      <c r="G805" s="128" t="inlineStr"/>
      <c r="H805" s="127" t="n">
        <v>46135</v>
      </c>
      <c r="J805" s="38" t="inlineStr">
        <is>
          <t>0-4005</t>
        </is>
      </c>
      <c r="K805" t="inlineStr">
        <is>
          <t>PR P0COST 000527 (PR) Summary</t>
        </is>
      </c>
      <c r="L805" t="n">
        <v>0</v>
      </c>
      <c r="M805" t="n">
        <v>0</v>
      </c>
      <c r="Q805" s="114" t="n">
        <v>0</v>
      </c>
      <c r="R805" s="114" t="n">
        <v>1693.79</v>
      </c>
      <c r="S805" s="114" t="n">
        <v>0</v>
      </c>
      <c r="T805" t="n">
        <v>18</v>
      </c>
    </row>
    <row r="806">
      <c r="A806" t="inlineStr">
        <is>
          <t>ttJTrans</t>
        </is>
      </c>
      <c r="B806" s="38" t="inlineStr">
        <is>
          <t>0-4005</t>
        </is>
      </c>
      <c r="C806" t="inlineStr">
        <is>
          <t>LA</t>
        </is>
      </c>
      <c r="E806" t="inlineStr">
        <is>
          <t>LA</t>
        </is>
      </c>
      <c r="G806" s="128" t="inlineStr"/>
      <c r="H806" s="127" t="n">
        <v>46135</v>
      </c>
      <c r="J806" s="38" t="inlineStr">
        <is>
          <t>0-4005</t>
        </is>
      </c>
      <c r="K806" t="inlineStr">
        <is>
          <t>PR P0COST 000527 (PR) Summary</t>
        </is>
      </c>
      <c r="L806" t="n">
        <v>0</v>
      </c>
      <c r="M806" t="n">
        <v>0</v>
      </c>
      <c r="Q806" s="114" t="n">
        <v>0</v>
      </c>
      <c r="R806" s="114" t="n">
        <v>1693.8</v>
      </c>
      <c r="S806" s="114" t="n">
        <v>0</v>
      </c>
      <c r="T806" t="n">
        <v>18</v>
      </c>
    </row>
    <row r="807">
      <c r="A807" t="inlineStr">
        <is>
          <t>ttJTrans</t>
        </is>
      </c>
      <c r="B807" s="38" t="inlineStr">
        <is>
          <t>0-4005</t>
        </is>
      </c>
      <c r="C807" t="inlineStr">
        <is>
          <t>LA</t>
        </is>
      </c>
      <c r="E807" t="inlineStr">
        <is>
          <t>LA</t>
        </is>
      </c>
      <c r="G807" s="128" t="inlineStr"/>
      <c r="H807" s="127" t="n">
        <v>46135</v>
      </c>
      <c r="J807" s="38" t="inlineStr">
        <is>
          <t>0-4005</t>
        </is>
      </c>
      <c r="K807" t="inlineStr">
        <is>
          <t>PR P0COST 000527 (PR) Summary</t>
        </is>
      </c>
      <c r="L807" t="n">
        <v>0</v>
      </c>
      <c r="M807" t="n">
        <v>0</v>
      </c>
      <c r="Q807" s="114" t="n">
        <v>0</v>
      </c>
      <c r="R807" s="114" t="n">
        <v>889.84</v>
      </c>
      <c r="S807" s="114" t="n">
        <v>0</v>
      </c>
      <c r="T807" t="n">
        <v>8</v>
      </c>
    </row>
    <row r="808">
      <c r="A808" t="inlineStr">
        <is>
          <t>ttJTrans</t>
        </is>
      </c>
      <c r="B808" s="38" t="inlineStr">
        <is>
          <t>0-4005</t>
        </is>
      </c>
      <c r="C808" t="inlineStr">
        <is>
          <t>LA</t>
        </is>
      </c>
      <c r="E808" t="inlineStr">
        <is>
          <t>LA</t>
        </is>
      </c>
      <c r="G808" s="128" t="inlineStr"/>
      <c r="H808" s="127" t="n">
        <v>46139</v>
      </c>
      <c r="J808" s="38" t="inlineStr">
        <is>
          <t>0-4005</t>
        </is>
      </c>
      <c r="K808" t="inlineStr">
        <is>
          <t>PR P2COST 000290 (PR) Summary</t>
        </is>
      </c>
      <c r="L808" t="n">
        <v>0</v>
      </c>
      <c r="M808" t="n">
        <v>0</v>
      </c>
      <c r="Q808" s="114" t="n">
        <v>0</v>
      </c>
      <c r="R808" s="114" t="n">
        <v>12216.65</v>
      </c>
      <c r="S808" s="114" t="n">
        <v>0</v>
      </c>
      <c r="T808" t="n">
        <v>154</v>
      </c>
    </row>
    <row r="809">
      <c r="A809" t="inlineStr">
        <is>
          <t>ttJTrans</t>
        </is>
      </c>
      <c r="B809" s="38" t="inlineStr">
        <is>
          <t>0-4005</t>
        </is>
      </c>
      <c r="C809" t="inlineStr">
        <is>
          <t>LA</t>
        </is>
      </c>
      <c r="E809" t="inlineStr">
        <is>
          <t>LA</t>
        </is>
      </c>
      <c r="G809" s="128" t="inlineStr"/>
      <c r="H809" s="127" t="n">
        <v>46139</v>
      </c>
      <c r="J809" s="38" t="inlineStr">
        <is>
          <t>0-4005</t>
        </is>
      </c>
      <c r="K809" t="inlineStr">
        <is>
          <t>PR P2COST 000290 (PR) Summary</t>
        </is>
      </c>
      <c r="L809" t="n">
        <v>0</v>
      </c>
      <c r="M809" t="n">
        <v>0</v>
      </c>
      <c r="Q809" s="114" t="n">
        <v>0</v>
      </c>
      <c r="R809" s="114" t="n">
        <v>9744.51</v>
      </c>
      <c r="S809" s="114" t="n">
        <v>0</v>
      </c>
      <c r="T809" t="n">
        <v>121.5</v>
      </c>
    </row>
    <row r="810">
      <c r="A810" t="inlineStr">
        <is>
          <t>ttJTrans</t>
        </is>
      </c>
      <c r="B810" s="38" t="inlineStr">
        <is>
          <t>0-4005</t>
        </is>
      </c>
      <c r="C810" t="inlineStr">
        <is>
          <t>LA</t>
        </is>
      </c>
      <c r="E810" t="inlineStr">
        <is>
          <t>LA</t>
        </is>
      </c>
      <c r="G810" s="128" t="inlineStr"/>
      <c r="H810" s="127" t="n">
        <v>46139</v>
      </c>
      <c r="J810" s="38" t="inlineStr">
        <is>
          <t>0-4005</t>
        </is>
      </c>
      <c r="K810" t="inlineStr">
        <is>
          <t>PR P2COST 000290 (PR) Summary</t>
        </is>
      </c>
      <c r="L810" t="n">
        <v>0</v>
      </c>
      <c r="M810" t="n">
        <v>0</v>
      </c>
      <c r="Q810" s="114" t="n">
        <v>0</v>
      </c>
      <c r="R810" s="114" t="n">
        <v>7867.8</v>
      </c>
      <c r="S810" s="114" t="n">
        <v>0</v>
      </c>
      <c r="T810" t="n">
        <v>101.5</v>
      </c>
    </row>
    <row r="811">
      <c r="A811" t="inlineStr">
        <is>
          <t>ttJTrans</t>
        </is>
      </c>
      <c r="B811" s="38" t="inlineStr">
        <is>
          <t>0-4005</t>
        </is>
      </c>
      <c r="C811" t="inlineStr">
        <is>
          <t>LA</t>
        </is>
      </c>
      <c r="E811" t="inlineStr">
        <is>
          <t>LA</t>
        </is>
      </c>
      <c r="G811" s="128" t="inlineStr"/>
      <c r="H811" s="127" t="n">
        <v>46139</v>
      </c>
      <c r="J811" s="38" t="inlineStr">
        <is>
          <t>0-4005</t>
        </is>
      </c>
      <c r="K811" t="inlineStr">
        <is>
          <t>PR P2COST 000290 (PR) Summary</t>
        </is>
      </c>
      <c r="L811" t="n">
        <v>0</v>
      </c>
      <c r="M811" t="n">
        <v>0</v>
      </c>
      <c r="Q811" s="114" t="n">
        <v>0</v>
      </c>
      <c r="R811" s="114" t="n">
        <v>1483.04</v>
      </c>
      <c r="S811" s="114" t="n">
        <v>0</v>
      </c>
      <c r="T811" t="n">
        <v>20</v>
      </c>
    </row>
    <row r="812">
      <c r="A812" t="inlineStr">
        <is>
          <t>ttJTrans</t>
        </is>
      </c>
      <c r="B812" s="38" t="inlineStr">
        <is>
          <t>0-4005</t>
        </is>
      </c>
      <c r="C812" t="inlineStr">
        <is>
          <t>LA</t>
        </is>
      </c>
      <c r="E812" t="inlineStr">
        <is>
          <t>LA</t>
        </is>
      </c>
      <c r="G812" s="128" t="inlineStr"/>
      <c r="H812" s="127" t="n">
        <v>46139</v>
      </c>
      <c r="J812" s="38" t="inlineStr">
        <is>
          <t>0-4005</t>
        </is>
      </c>
      <c r="K812" t="inlineStr">
        <is>
          <t>PR P2COST 000290 (PR) Summary</t>
        </is>
      </c>
      <c r="L812" t="n">
        <v>0</v>
      </c>
      <c r="M812" t="n">
        <v>0</v>
      </c>
      <c r="Q812" s="114" t="n">
        <v>0</v>
      </c>
      <c r="R812" s="114" t="n">
        <v>12848.76</v>
      </c>
      <c r="S812" s="114" t="n">
        <v>0</v>
      </c>
      <c r="T812" t="n">
        <v>164</v>
      </c>
    </row>
    <row r="813">
      <c r="A813" t="inlineStr">
        <is>
          <t>ttJTrans</t>
        </is>
      </c>
      <c r="B813" s="38" t="inlineStr">
        <is>
          <t>0-4005</t>
        </is>
      </c>
      <c r="C813" t="inlineStr">
        <is>
          <t>LA</t>
        </is>
      </c>
      <c r="E813" t="inlineStr">
        <is>
          <t>LA</t>
        </is>
      </c>
      <c r="G813" s="128" t="inlineStr"/>
      <c r="H813" s="127" t="n">
        <v>46139</v>
      </c>
      <c r="J813" s="38" t="inlineStr">
        <is>
          <t>0-4005</t>
        </is>
      </c>
      <c r="K813" t="inlineStr">
        <is>
          <t>PR P2COST 000290 (PR) Summary</t>
        </is>
      </c>
      <c r="L813" t="n">
        <v>0</v>
      </c>
      <c r="M813" t="n">
        <v>0</v>
      </c>
      <c r="Q813" s="114" t="n">
        <v>0</v>
      </c>
      <c r="R813" s="114" t="n">
        <v>15817.78</v>
      </c>
      <c r="S813" s="114" t="n">
        <v>0</v>
      </c>
      <c r="T813" t="n">
        <v>198.07</v>
      </c>
    </row>
    <row r="814">
      <c r="A814" t="inlineStr">
        <is>
          <t>ttJTrans</t>
        </is>
      </c>
      <c r="B814" s="38" t="inlineStr">
        <is>
          <t>0-4005</t>
        </is>
      </c>
      <c r="C814" t="inlineStr">
        <is>
          <t>LA</t>
        </is>
      </c>
      <c r="E814" t="inlineStr">
        <is>
          <t>LA</t>
        </is>
      </c>
      <c r="G814" s="128" t="inlineStr"/>
      <c r="H814" s="127" t="n">
        <v>46139</v>
      </c>
      <c r="J814" s="38" t="inlineStr">
        <is>
          <t>0-4005</t>
        </is>
      </c>
      <c r="K814" t="inlineStr">
        <is>
          <t>PR P2COST 000290 (PR) Summary</t>
        </is>
      </c>
      <c r="L814" t="n">
        <v>0</v>
      </c>
      <c r="M814" t="n">
        <v>0</v>
      </c>
      <c r="Q814" s="114" t="n">
        <v>0</v>
      </c>
      <c r="R814" s="114" t="n">
        <v>13721.68</v>
      </c>
      <c r="S814" s="114" t="n">
        <v>0</v>
      </c>
      <c r="T814" t="n">
        <v>173</v>
      </c>
    </row>
    <row r="815">
      <c r="A815" t="inlineStr">
        <is>
          <t>ttJTrans</t>
        </is>
      </c>
      <c r="B815" s="38" t="inlineStr">
        <is>
          <t>0-4005</t>
        </is>
      </c>
      <c r="C815" t="inlineStr">
        <is>
          <t>LA</t>
        </is>
      </c>
      <c r="E815" t="inlineStr">
        <is>
          <t>LA</t>
        </is>
      </c>
      <c r="G815" s="128" t="inlineStr"/>
      <c r="H815" s="127" t="n">
        <v>46139</v>
      </c>
      <c r="J815" s="38" t="inlineStr">
        <is>
          <t>0-4005</t>
        </is>
      </c>
      <c r="K815" t="inlineStr">
        <is>
          <t>PR P2COST 000290 (PR) Summary</t>
        </is>
      </c>
      <c r="L815" t="n">
        <v>0</v>
      </c>
      <c r="M815" t="n">
        <v>0</v>
      </c>
      <c r="Q815" s="114" t="n">
        <v>0</v>
      </c>
      <c r="R815" s="114" t="n">
        <v>11199.78</v>
      </c>
      <c r="S815" s="114" t="n">
        <v>0</v>
      </c>
      <c r="T815" t="n">
        <v>147</v>
      </c>
    </row>
    <row r="816">
      <c r="A816" t="inlineStr">
        <is>
          <t>ttJTrans</t>
        </is>
      </c>
      <c r="B816" s="38" t="inlineStr">
        <is>
          <t>0-4005</t>
        </is>
      </c>
      <c r="C816" t="inlineStr">
        <is>
          <t>LA</t>
        </is>
      </c>
      <c r="E816" t="inlineStr">
        <is>
          <t>LA</t>
        </is>
      </c>
      <c r="G816" s="128" t="inlineStr"/>
      <c r="H816" s="127" t="n">
        <v>46139</v>
      </c>
      <c r="J816" s="38" t="inlineStr">
        <is>
          <t>0-4005</t>
        </is>
      </c>
      <c r="K816" t="inlineStr">
        <is>
          <t>PR P2COST 000290 (PR) Summary</t>
        </is>
      </c>
      <c r="L816" t="n">
        <v>0</v>
      </c>
      <c r="M816" t="n">
        <v>0</v>
      </c>
      <c r="Q816" s="114" t="n">
        <v>0</v>
      </c>
      <c r="R816" s="114" t="n">
        <v>2845.54</v>
      </c>
      <c r="S816" s="114" t="n">
        <v>0</v>
      </c>
      <c r="T816" t="n">
        <v>37</v>
      </c>
    </row>
    <row r="817">
      <c r="A817" t="inlineStr">
        <is>
          <t>ttJTrans</t>
        </is>
      </c>
      <c r="B817" s="38" t="inlineStr">
        <is>
          <t>0-4005</t>
        </is>
      </c>
      <c r="C817" t="inlineStr">
        <is>
          <t>LA</t>
        </is>
      </c>
      <c r="E817" t="inlineStr">
        <is>
          <t>LA</t>
        </is>
      </c>
      <c r="G817" s="128" t="inlineStr"/>
      <c r="H817" s="127" t="n">
        <v>46139</v>
      </c>
      <c r="J817" s="38" t="inlineStr">
        <is>
          <t>0-4005</t>
        </is>
      </c>
      <c r="K817" t="inlineStr">
        <is>
          <t>PR P2COST 000290 (PR) Summary</t>
        </is>
      </c>
      <c r="L817" t="n">
        <v>0</v>
      </c>
      <c r="M817" t="n">
        <v>0</v>
      </c>
      <c r="Q817" s="114" t="n">
        <v>0</v>
      </c>
      <c r="R817" s="114" t="n">
        <v>11721.96</v>
      </c>
      <c r="S817" s="114" t="n">
        <v>0</v>
      </c>
      <c r="T817" t="n">
        <v>141.5</v>
      </c>
    </row>
    <row r="818">
      <c r="A818" t="inlineStr">
        <is>
          <t>ttJTrans</t>
        </is>
      </c>
      <c r="B818" s="38" t="inlineStr">
        <is>
          <t>0-4005</t>
        </is>
      </c>
      <c r="C818" t="inlineStr">
        <is>
          <t>LA</t>
        </is>
      </c>
      <c r="E818" t="inlineStr">
        <is>
          <t>LA</t>
        </is>
      </c>
      <c r="G818" s="128" t="inlineStr"/>
      <c r="H818" s="127" t="n">
        <v>46139</v>
      </c>
      <c r="J818" s="38" t="inlineStr">
        <is>
          <t>0-4005</t>
        </is>
      </c>
      <c r="K818" t="inlineStr">
        <is>
          <t>PR P2COST 000290 (PR) Summary</t>
        </is>
      </c>
      <c r="L818" t="n">
        <v>0</v>
      </c>
      <c r="M818" t="n">
        <v>0</v>
      </c>
      <c r="Q818" s="114" t="n">
        <v>0</v>
      </c>
      <c r="R818" s="114" t="n">
        <v>12390.3</v>
      </c>
      <c r="S818" s="114" t="n">
        <v>0</v>
      </c>
      <c r="T818" t="n">
        <v>146.5</v>
      </c>
    </row>
    <row r="819">
      <c r="A819" t="inlineStr">
        <is>
          <t>ttJTrans</t>
        </is>
      </c>
      <c r="B819" s="38" t="inlineStr">
        <is>
          <t>0-4005</t>
        </is>
      </c>
      <c r="C819" t="inlineStr">
        <is>
          <t>LA</t>
        </is>
      </c>
      <c r="E819" t="inlineStr">
        <is>
          <t>LA</t>
        </is>
      </c>
      <c r="G819" s="128" t="inlineStr"/>
      <c r="H819" s="127" t="n">
        <v>46139</v>
      </c>
      <c r="J819" s="38" t="inlineStr">
        <is>
          <t>0-4005</t>
        </is>
      </c>
      <c r="K819" t="inlineStr">
        <is>
          <t>PR P2COST 000290 (PR) Summary</t>
        </is>
      </c>
      <c r="L819" t="n">
        <v>0</v>
      </c>
      <c r="M819" t="n">
        <v>0</v>
      </c>
      <c r="Q819" s="114" t="n">
        <v>0</v>
      </c>
      <c r="R819" s="114" t="n">
        <v>14547.78</v>
      </c>
      <c r="S819" s="114" t="n">
        <v>0</v>
      </c>
      <c r="T819" t="n">
        <v>171.71</v>
      </c>
    </row>
    <row r="820">
      <c r="A820" t="inlineStr">
        <is>
          <t>ttJTrans</t>
        </is>
      </c>
      <c r="B820" s="38" t="inlineStr">
        <is>
          <t>0-4005</t>
        </is>
      </c>
      <c r="C820" t="inlineStr">
        <is>
          <t>LA</t>
        </is>
      </c>
      <c r="E820" t="inlineStr">
        <is>
          <t>LA</t>
        </is>
      </c>
      <c r="G820" s="128" t="inlineStr"/>
      <c r="H820" s="127" t="n">
        <v>46139</v>
      </c>
      <c r="J820" s="38" t="inlineStr">
        <is>
          <t>0-4005</t>
        </is>
      </c>
      <c r="K820" t="inlineStr">
        <is>
          <t>PR P2COST 000290 (PR) Summary</t>
        </is>
      </c>
      <c r="L820" t="n">
        <v>0</v>
      </c>
      <c r="M820" t="n">
        <v>0</v>
      </c>
      <c r="Q820" s="114" t="n">
        <v>0</v>
      </c>
      <c r="R820" s="114" t="n">
        <v>389.75</v>
      </c>
      <c r="S820" s="114" t="n">
        <v>0</v>
      </c>
      <c r="T820" t="n">
        <v>0</v>
      </c>
    </row>
    <row r="821">
      <c r="A821" t="inlineStr">
        <is>
          <t>ttJTrans</t>
        </is>
      </c>
      <c r="B821" s="38" t="inlineStr">
        <is>
          <t>0-4005</t>
        </is>
      </c>
      <c r="C821" t="inlineStr">
        <is>
          <t>LA</t>
        </is>
      </c>
      <c r="E821" t="inlineStr">
        <is>
          <t>LA</t>
        </is>
      </c>
      <c r="G821" s="128" t="inlineStr"/>
      <c r="H821" s="127" t="n">
        <v>46142</v>
      </c>
      <c r="J821" s="38" t="inlineStr">
        <is>
          <t>0-4005</t>
        </is>
      </c>
      <c r="K821" t="inlineStr">
        <is>
          <t>PR P0COST 000528 (PR) Summary</t>
        </is>
      </c>
      <c r="L821" t="n">
        <v>0</v>
      </c>
      <c r="M821" t="n">
        <v>0</v>
      </c>
      <c r="Q821" s="114" t="n">
        <v>0</v>
      </c>
      <c r="R821" s="114" t="n">
        <v>2907.32</v>
      </c>
      <c r="S821" s="114" t="n">
        <v>0</v>
      </c>
      <c r="T821" t="n">
        <v>46</v>
      </c>
    </row>
    <row r="822">
      <c r="A822" t="inlineStr">
        <is>
          <t>ttJTrans</t>
        </is>
      </c>
      <c r="B822" s="38" t="inlineStr">
        <is>
          <t>0-4005</t>
        </is>
      </c>
      <c r="C822" t="inlineStr">
        <is>
          <t>LA</t>
        </is>
      </c>
      <c r="E822" t="inlineStr">
        <is>
          <t>LA</t>
        </is>
      </c>
      <c r="G822" s="128" t="inlineStr"/>
      <c r="H822" s="127" t="n">
        <v>46142</v>
      </c>
      <c r="J822" s="38" t="inlineStr">
        <is>
          <t>0-4005</t>
        </is>
      </c>
      <c r="K822" t="inlineStr">
        <is>
          <t>PR P0COST 000528 (PR) Summary</t>
        </is>
      </c>
      <c r="L822" t="n">
        <v>0</v>
      </c>
      <c r="M822" t="n">
        <v>0</v>
      </c>
      <c r="Q822" s="114" t="n">
        <v>0</v>
      </c>
      <c r="R822" s="114" t="n">
        <v>2907.32</v>
      </c>
      <c r="S822" s="114" t="n">
        <v>0</v>
      </c>
      <c r="T822" t="n">
        <v>46</v>
      </c>
    </row>
    <row r="823">
      <c r="A823" t="inlineStr">
        <is>
          <t>ttJTrans</t>
        </is>
      </c>
      <c r="B823" s="38" t="inlineStr">
        <is>
          <t>0-4005</t>
        </is>
      </c>
      <c r="C823" t="inlineStr">
        <is>
          <t>LA</t>
        </is>
      </c>
      <c r="E823" t="inlineStr">
        <is>
          <t>LA</t>
        </is>
      </c>
      <c r="G823" s="128" t="inlineStr"/>
      <c r="H823" s="127" t="n">
        <v>46142</v>
      </c>
      <c r="J823" s="38" t="inlineStr">
        <is>
          <t>0-4005</t>
        </is>
      </c>
      <c r="K823" t="inlineStr">
        <is>
          <t>PR P0COST 000528 (PR) Summary</t>
        </is>
      </c>
      <c r="L823" t="n">
        <v>0</v>
      </c>
      <c r="M823" t="n">
        <v>0</v>
      </c>
      <c r="Q823" s="114" t="n">
        <v>0</v>
      </c>
      <c r="R823" s="114" t="n">
        <v>2907.32</v>
      </c>
      <c r="S823" s="114" t="n">
        <v>0</v>
      </c>
      <c r="T823" t="n">
        <v>46</v>
      </c>
    </row>
    <row r="824">
      <c r="A824" t="inlineStr">
        <is>
          <t>ttJTrans</t>
        </is>
      </c>
      <c r="B824" s="38" t="inlineStr">
        <is>
          <t>0-4005</t>
        </is>
      </c>
      <c r="C824" t="inlineStr">
        <is>
          <t>LA</t>
        </is>
      </c>
      <c r="E824" t="inlineStr">
        <is>
          <t>LA</t>
        </is>
      </c>
      <c r="G824" s="128" t="inlineStr"/>
      <c r="H824" s="127" t="n">
        <v>46142</v>
      </c>
      <c r="J824" s="38" t="inlineStr">
        <is>
          <t>0-4005</t>
        </is>
      </c>
      <c r="K824" t="inlineStr">
        <is>
          <t>PR P0COST 000528 (PR) Summary</t>
        </is>
      </c>
      <c r="L824" t="n">
        <v>0</v>
      </c>
      <c r="M824" t="n">
        <v>0</v>
      </c>
      <c r="Q824" s="114" t="n">
        <v>0</v>
      </c>
      <c r="R824" s="114" t="n">
        <v>1257.63</v>
      </c>
      <c r="S824" s="114" t="n">
        <v>0</v>
      </c>
      <c r="T824" t="n">
        <v>15</v>
      </c>
    </row>
    <row r="825">
      <c r="A825" t="inlineStr">
        <is>
          <t>ttJTrans</t>
        </is>
      </c>
      <c r="B825" s="38" t="inlineStr">
        <is>
          <t>0-4005</t>
        </is>
      </c>
      <c r="C825" t="inlineStr">
        <is>
          <t>LA</t>
        </is>
      </c>
      <c r="E825" t="inlineStr">
        <is>
          <t>LA</t>
        </is>
      </c>
      <c r="G825" s="128" t="inlineStr"/>
      <c r="H825" s="127" t="n">
        <v>46142</v>
      </c>
      <c r="J825" s="38" t="inlineStr">
        <is>
          <t>0-4005</t>
        </is>
      </c>
      <c r="K825" t="inlineStr">
        <is>
          <t>PR P0COST 000528 (PR) Summary</t>
        </is>
      </c>
      <c r="L825" t="n">
        <v>0</v>
      </c>
      <c r="M825" t="n">
        <v>0</v>
      </c>
      <c r="Q825" s="114" t="n">
        <v>0</v>
      </c>
      <c r="R825" s="114" t="n">
        <v>2520.67</v>
      </c>
      <c r="S825" s="114" t="n">
        <v>0</v>
      </c>
      <c r="T825" t="n">
        <v>36</v>
      </c>
    </row>
    <row r="826">
      <c r="A826" t="inlineStr">
        <is>
          <t>ttJTrans</t>
        </is>
      </c>
      <c r="B826" s="38" t="inlineStr">
        <is>
          <t>0-4005</t>
        </is>
      </c>
      <c r="C826" t="inlineStr">
        <is>
          <t>LA</t>
        </is>
      </c>
      <c r="E826" t="inlineStr">
        <is>
          <t>LA</t>
        </is>
      </c>
      <c r="G826" s="128" t="inlineStr"/>
      <c r="H826" s="127" t="n">
        <v>46142</v>
      </c>
      <c r="J826" s="38" t="inlineStr">
        <is>
          <t>0-4005</t>
        </is>
      </c>
      <c r="K826" t="inlineStr">
        <is>
          <t>PR P0COST 000528 (PR) Summary</t>
        </is>
      </c>
      <c r="L826" t="n">
        <v>0</v>
      </c>
      <c r="M826" t="n">
        <v>0</v>
      </c>
      <c r="Q826" s="114" t="n">
        <v>0</v>
      </c>
      <c r="R826" s="114" t="n">
        <v>2029.99</v>
      </c>
      <c r="S826" s="114" t="n">
        <v>0</v>
      </c>
      <c r="T826" t="n">
        <v>16</v>
      </c>
    </row>
    <row r="827">
      <c r="A827" t="inlineStr">
        <is>
          <t>ttJTrans</t>
        </is>
      </c>
      <c r="B827" s="38" t="inlineStr">
        <is>
          <t>0-4005</t>
        </is>
      </c>
      <c r="C827" t="inlineStr">
        <is>
          <t>LA</t>
        </is>
      </c>
      <c r="E827" t="inlineStr">
        <is>
          <t>LA</t>
        </is>
      </c>
      <c r="G827" s="128" t="inlineStr"/>
      <c r="H827" s="127" t="n">
        <v>46150</v>
      </c>
      <c r="J827" s="38" t="inlineStr">
        <is>
          <t>0-4005</t>
        </is>
      </c>
      <c r="K827" t="inlineStr">
        <is>
          <t>COST CODE TRANSFER 25-4005</t>
        </is>
      </c>
      <c r="L827" t="n">
        <v>0</v>
      </c>
      <c r="M827" t="n">
        <v>0</v>
      </c>
      <c r="Q827" s="114" t="n">
        <v>0</v>
      </c>
      <c r="R827" s="114" t="n">
        <v>647.3</v>
      </c>
      <c r="S827" s="114" t="n">
        <v>0</v>
      </c>
      <c r="T827" t="n">
        <v>10</v>
      </c>
    </row>
    <row r="828">
      <c r="A828" t="inlineStr">
        <is>
          <t>ttJTrans</t>
        </is>
      </c>
      <c r="B828" s="38" t="inlineStr">
        <is>
          <t>0-4005</t>
        </is>
      </c>
      <c r="C828" t="inlineStr">
        <is>
          <t>LA</t>
        </is>
      </c>
      <c r="E828" t="inlineStr">
        <is>
          <t>LA</t>
        </is>
      </c>
      <c r="G828" s="128" t="inlineStr"/>
      <c r="H828" s="127" t="n">
        <v>46150</v>
      </c>
      <c r="J828" s="38" t="inlineStr">
        <is>
          <t>0-4005</t>
        </is>
      </c>
      <c r="K828" t="inlineStr">
        <is>
          <t>COST CODE TRANSFER 25-4005</t>
        </is>
      </c>
      <c r="L828" t="n">
        <v>0</v>
      </c>
      <c r="M828" t="n">
        <v>0</v>
      </c>
      <c r="Q828" s="114" t="n">
        <v>0</v>
      </c>
      <c r="R828" s="114" t="n">
        <v>889.84</v>
      </c>
      <c r="S828" s="114" t="n">
        <v>0</v>
      </c>
      <c r="T828" t="n">
        <v>8</v>
      </c>
    </row>
    <row r="829">
      <c r="A829" t="inlineStr">
        <is>
          <t>ttJTrans</t>
        </is>
      </c>
      <c r="B829" s="38" t="inlineStr">
        <is>
          <t>0-4005</t>
        </is>
      </c>
      <c r="C829" t="inlineStr">
        <is>
          <t>LA</t>
        </is>
      </c>
      <c r="E829" t="inlineStr">
        <is>
          <t>LA</t>
        </is>
      </c>
      <c r="G829" s="128" t="inlineStr"/>
      <c r="H829" s="127" t="n">
        <v>46150</v>
      </c>
      <c r="J829" s="38" t="inlineStr">
        <is>
          <t>0-4005</t>
        </is>
      </c>
      <c r="K829" t="inlineStr">
        <is>
          <t>COST CODE TRANSFER 25-4005</t>
        </is>
      </c>
      <c r="L829" t="n">
        <v>0</v>
      </c>
      <c r="M829" t="n">
        <v>0</v>
      </c>
      <c r="Q829" s="114" t="n">
        <v>0</v>
      </c>
      <c r="R829" s="114" t="n">
        <v>13092.02</v>
      </c>
      <c r="S829" s="114" t="n">
        <v>0</v>
      </c>
      <c r="T829" t="n">
        <v>128</v>
      </c>
    </row>
    <row r="830">
      <c r="A830" t="inlineStr">
        <is>
          <t>ttJTrans</t>
        </is>
      </c>
      <c r="B830" s="38" t="inlineStr">
        <is>
          <t>0-4005</t>
        </is>
      </c>
      <c r="C830" t="inlineStr">
        <is>
          <t>LA</t>
        </is>
      </c>
      <c r="E830" t="inlineStr">
        <is>
          <t>LA</t>
        </is>
      </c>
      <c r="G830" s="128" t="inlineStr"/>
      <c r="H830" s="127" t="n">
        <v>46150</v>
      </c>
      <c r="J830" s="38" t="inlineStr">
        <is>
          <t>0-4005</t>
        </is>
      </c>
      <c r="K830" t="inlineStr">
        <is>
          <t>COST CODE TRANSFER 25-4005</t>
        </is>
      </c>
      <c r="L830" t="n">
        <v>0</v>
      </c>
      <c r="M830" t="n">
        <v>0</v>
      </c>
      <c r="Q830" s="114" t="n">
        <v>0</v>
      </c>
      <c r="R830" s="114" t="n">
        <v>3928.43</v>
      </c>
      <c r="S830" s="114" t="n">
        <v>0</v>
      </c>
      <c r="T830" t="n">
        <v>40</v>
      </c>
    </row>
    <row r="831">
      <c r="A831" t="inlineStr">
        <is>
          <t>ttJTrans</t>
        </is>
      </c>
      <c r="B831" s="38" t="inlineStr">
        <is>
          <t>0-4005</t>
        </is>
      </c>
      <c r="C831" t="inlineStr">
        <is>
          <t>LA</t>
        </is>
      </c>
      <c r="E831" t="inlineStr">
        <is>
          <t>LA</t>
        </is>
      </c>
      <c r="G831" s="128" t="inlineStr"/>
      <c r="H831" s="127" t="n">
        <v>46150</v>
      </c>
      <c r="J831" s="38" t="inlineStr">
        <is>
          <t>0-4005</t>
        </is>
      </c>
      <c r="K831" t="inlineStr">
        <is>
          <t>COST CODE TRANSFER 25-4005</t>
        </is>
      </c>
      <c r="L831" t="n">
        <v>0</v>
      </c>
      <c r="M831" t="n">
        <v>0</v>
      </c>
      <c r="Q831" s="114" t="n">
        <v>0</v>
      </c>
      <c r="R831" s="114" t="n">
        <v>1460.45</v>
      </c>
      <c r="S831" s="114" t="n">
        <v>0</v>
      </c>
      <c r="T831" t="n">
        <v>20</v>
      </c>
    </row>
    <row r="832">
      <c r="A832" t="inlineStr">
        <is>
          <t>ttJTrans</t>
        </is>
      </c>
      <c r="B832" s="38" t="inlineStr">
        <is>
          <t>0-4005</t>
        </is>
      </c>
      <c r="C832" t="inlineStr">
        <is>
          <t>LA</t>
        </is>
      </c>
      <c r="E832" t="inlineStr">
        <is>
          <t>LA</t>
        </is>
      </c>
      <c r="G832" s="128" t="inlineStr"/>
      <c r="H832" s="127" t="n">
        <v>46150</v>
      </c>
      <c r="J832" s="38" t="inlineStr">
        <is>
          <t>0-4005</t>
        </is>
      </c>
      <c r="K832" t="inlineStr">
        <is>
          <t>COST CODE TRANSFER 25-4005</t>
        </is>
      </c>
      <c r="L832" t="n">
        <v>0</v>
      </c>
      <c r="M832" t="n">
        <v>0</v>
      </c>
      <c r="Q832" s="114" t="n">
        <v>0</v>
      </c>
      <c r="R832" s="114" t="n">
        <v>2184.8</v>
      </c>
      <c r="S832" s="114" t="n">
        <v>0</v>
      </c>
      <c r="T832" t="n">
        <v>20</v>
      </c>
    </row>
    <row r="833">
      <c r="A833" t="inlineStr">
        <is>
          <t>ttJTrans</t>
        </is>
      </c>
      <c r="B833" s="38" t="inlineStr">
        <is>
          <t>0-4005</t>
        </is>
      </c>
      <c r="C833" t="inlineStr">
        <is>
          <t>LA</t>
        </is>
      </c>
      <c r="E833" t="inlineStr">
        <is>
          <t>LA</t>
        </is>
      </c>
      <c r="G833" s="128" t="inlineStr"/>
      <c r="H833" s="127" t="n">
        <v>46150</v>
      </c>
      <c r="J833" s="38" t="inlineStr">
        <is>
          <t>0-4005</t>
        </is>
      </c>
      <c r="K833" t="inlineStr">
        <is>
          <t>COST CODE TRANSFER 25-4005</t>
        </is>
      </c>
      <c r="L833" t="n">
        <v>0</v>
      </c>
      <c r="M833" t="n">
        <v>0</v>
      </c>
      <c r="Q833" s="114" t="n">
        <v>0</v>
      </c>
      <c r="R833" s="114" t="n">
        <v>2935.8</v>
      </c>
      <c r="S833" s="114" t="n">
        <v>0</v>
      </c>
      <c r="T833" t="n">
        <v>30</v>
      </c>
    </row>
    <row r="834">
      <c r="A834" t="inlineStr">
        <is>
          <t>ttJTrans</t>
        </is>
      </c>
      <c r="B834" s="38" t="inlineStr">
        <is>
          <t>0-4005</t>
        </is>
      </c>
      <c r="C834" t="inlineStr">
        <is>
          <t>LA</t>
        </is>
      </c>
      <c r="E834" t="inlineStr">
        <is>
          <t>LA</t>
        </is>
      </c>
      <c r="G834" s="128" t="inlineStr"/>
      <c r="H834" s="127" t="n">
        <v>46150</v>
      </c>
      <c r="J834" s="38" t="inlineStr">
        <is>
          <t>0-4005</t>
        </is>
      </c>
      <c r="K834" t="inlineStr">
        <is>
          <t>COST CODE TRANSFER 25-4005</t>
        </is>
      </c>
      <c r="L834" t="n">
        <v>0</v>
      </c>
      <c r="M834" t="n">
        <v>0</v>
      </c>
      <c r="Q834" s="114" t="n">
        <v>0</v>
      </c>
      <c r="R834" s="114" t="n">
        <v>3291.21</v>
      </c>
      <c r="S834" s="114" t="n">
        <v>0</v>
      </c>
      <c r="T834" t="n">
        <v>50</v>
      </c>
    </row>
    <row r="835">
      <c r="A835" t="inlineStr">
        <is>
          <t>ttJTrans</t>
        </is>
      </c>
      <c r="B835" s="38" t="inlineStr">
        <is>
          <t>0-4005</t>
        </is>
      </c>
      <c r="C835" t="inlineStr">
        <is>
          <t>LA</t>
        </is>
      </c>
      <c r="E835" t="inlineStr">
        <is>
          <t>LA</t>
        </is>
      </c>
      <c r="G835" s="128" t="inlineStr"/>
      <c r="H835" s="127" t="n">
        <v>46150</v>
      </c>
      <c r="J835" s="38" t="inlineStr">
        <is>
          <t>0-4005</t>
        </is>
      </c>
      <c r="K835" t="inlineStr">
        <is>
          <t>COST CODE TRANSFER 25-4005</t>
        </is>
      </c>
      <c r="L835" t="n">
        <v>0</v>
      </c>
      <c r="M835" t="n">
        <v>0</v>
      </c>
      <c r="Q835" s="114" t="n">
        <v>0</v>
      </c>
      <c r="R835" s="114" t="n">
        <v>780.3099999999999</v>
      </c>
      <c r="S835" s="114" t="n">
        <v>0</v>
      </c>
      <c r="T835" t="n">
        <v>20</v>
      </c>
    </row>
    <row r="836">
      <c r="A836" t="inlineStr">
        <is>
          <t>ttJTrans</t>
        </is>
      </c>
      <c r="B836" s="38" t="inlineStr">
        <is>
          <t>0-4005</t>
        </is>
      </c>
      <c r="C836" t="inlineStr">
        <is>
          <t>LA</t>
        </is>
      </c>
      <c r="E836" t="inlineStr">
        <is>
          <t>LA</t>
        </is>
      </c>
      <c r="G836" s="128" t="inlineStr"/>
      <c r="H836" s="127" t="n">
        <v>46150</v>
      </c>
      <c r="J836" s="38" t="inlineStr">
        <is>
          <t>0-4005</t>
        </is>
      </c>
      <c r="K836" t="inlineStr">
        <is>
          <t>COST CODE TRANSFER 25-4005</t>
        </is>
      </c>
      <c r="L836" t="n">
        <v>0</v>
      </c>
      <c r="M836" t="n">
        <v>0</v>
      </c>
      <c r="Q836" s="114" t="n">
        <v>0</v>
      </c>
      <c r="R836" s="114" t="n">
        <v>2287.4</v>
      </c>
      <c r="S836" s="114" t="n">
        <v>0</v>
      </c>
      <c r="T836" t="n">
        <v>40</v>
      </c>
    </row>
    <row r="837">
      <c r="A837" t="inlineStr">
        <is>
          <t>ttJTrans</t>
        </is>
      </c>
      <c r="B837" s="38" t="inlineStr">
        <is>
          <t>0-4005</t>
        </is>
      </c>
      <c r="C837" t="inlineStr">
        <is>
          <t>LA</t>
        </is>
      </c>
      <c r="E837" t="inlineStr">
        <is>
          <t>LA</t>
        </is>
      </c>
      <c r="G837" s="128" t="inlineStr"/>
      <c r="H837" s="127" t="n">
        <v>46149</v>
      </c>
      <c r="J837" s="38" t="inlineStr">
        <is>
          <t>0-4005</t>
        </is>
      </c>
      <c r="K837" t="inlineStr">
        <is>
          <t>PR P0COST 000529 (PR) Summary</t>
        </is>
      </c>
      <c r="L837" t="n">
        <v>0</v>
      </c>
      <c r="M837" t="n">
        <v>0</v>
      </c>
      <c r="Q837" s="114" t="n">
        <v>0</v>
      </c>
      <c r="R837" s="114" t="n">
        <v>1661.09</v>
      </c>
      <c r="S837" s="114" t="n">
        <v>0</v>
      </c>
      <c r="T837" t="n">
        <v>20</v>
      </c>
    </row>
    <row r="838">
      <c r="A838" t="inlineStr">
        <is>
          <t>ttJTrans</t>
        </is>
      </c>
      <c r="B838" s="38" t="inlineStr">
        <is>
          <t>0-4005</t>
        </is>
      </c>
      <c r="C838" t="inlineStr">
        <is>
          <t>LA</t>
        </is>
      </c>
      <c r="E838" t="inlineStr">
        <is>
          <t>LA</t>
        </is>
      </c>
      <c r="G838" s="128" t="inlineStr"/>
      <c r="H838" s="127" t="n">
        <v>46149</v>
      </c>
      <c r="J838" s="38" t="inlineStr">
        <is>
          <t>0-4005</t>
        </is>
      </c>
      <c r="K838" t="inlineStr">
        <is>
          <t>PR P0COST 000529 (PR) Summary</t>
        </is>
      </c>
      <c r="L838" t="n">
        <v>0</v>
      </c>
      <c r="M838" t="n">
        <v>0</v>
      </c>
      <c r="Q838" s="114" t="n">
        <v>0</v>
      </c>
      <c r="R838" s="114" t="n">
        <v>1996.78</v>
      </c>
      <c r="S838" s="114" t="n">
        <v>0</v>
      </c>
      <c r="T838" t="n">
        <v>24</v>
      </c>
    </row>
    <row r="839">
      <c r="A839" t="inlineStr">
        <is>
          <t>ttJTrans</t>
        </is>
      </c>
      <c r="B839" s="38" t="inlineStr">
        <is>
          <t>0-4005</t>
        </is>
      </c>
      <c r="C839" t="inlineStr">
        <is>
          <t>LA</t>
        </is>
      </c>
      <c r="E839" t="inlineStr">
        <is>
          <t>LA</t>
        </is>
      </c>
      <c r="G839" s="128" t="inlineStr"/>
      <c r="H839" s="127" t="n">
        <v>46149</v>
      </c>
      <c r="J839" s="38" t="inlineStr">
        <is>
          <t>0-4005</t>
        </is>
      </c>
      <c r="K839" t="inlineStr">
        <is>
          <t>PR P0COST 000529 (PR) Summary</t>
        </is>
      </c>
      <c r="L839" t="n">
        <v>0</v>
      </c>
      <c r="M839" t="n">
        <v>0</v>
      </c>
      <c r="Q839" s="114" t="n">
        <v>0</v>
      </c>
      <c r="R839" s="114" t="n">
        <v>3691.3</v>
      </c>
      <c r="S839" s="114" t="n">
        <v>0</v>
      </c>
      <c r="T839" t="n">
        <v>56</v>
      </c>
    </row>
    <row r="840">
      <c r="A840" t="inlineStr">
        <is>
          <t>ttJTrans</t>
        </is>
      </c>
      <c r="B840" s="38" t="inlineStr">
        <is>
          <t>0-4005</t>
        </is>
      </c>
      <c r="C840" t="inlineStr">
        <is>
          <t>LA</t>
        </is>
      </c>
      <c r="E840" t="inlineStr">
        <is>
          <t>LA</t>
        </is>
      </c>
      <c r="G840" s="128" t="inlineStr"/>
      <c r="H840" s="127" t="n">
        <v>46149</v>
      </c>
      <c r="J840" s="38" t="inlineStr">
        <is>
          <t>0-4005</t>
        </is>
      </c>
      <c r="K840" t="inlineStr">
        <is>
          <t>PR P0COST 000529 (PR) Summary</t>
        </is>
      </c>
      <c r="L840" t="n">
        <v>0</v>
      </c>
      <c r="M840" t="n">
        <v>0</v>
      </c>
      <c r="Q840" s="114" t="n">
        <v>0</v>
      </c>
      <c r="R840" s="114" t="n">
        <v>3100.85</v>
      </c>
      <c r="S840" s="114" t="n">
        <v>0</v>
      </c>
      <c r="T840" t="n">
        <v>46</v>
      </c>
    </row>
    <row r="841">
      <c r="A841" t="inlineStr">
        <is>
          <t>ttJTrans</t>
        </is>
      </c>
      <c r="B841" s="38" t="inlineStr">
        <is>
          <t>0-4005</t>
        </is>
      </c>
      <c r="C841" t="inlineStr">
        <is>
          <t>LA</t>
        </is>
      </c>
      <c r="E841" t="inlineStr">
        <is>
          <t>LA</t>
        </is>
      </c>
      <c r="G841" s="128" t="inlineStr"/>
      <c r="H841" s="127" t="n">
        <v>46149</v>
      </c>
      <c r="J841" s="38" t="inlineStr">
        <is>
          <t>0-4005</t>
        </is>
      </c>
      <c r="K841" t="inlineStr">
        <is>
          <t>PR P0COST 000529 (PR) Summary</t>
        </is>
      </c>
      <c r="L841" t="n">
        <v>0</v>
      </c>
      <c r="M841" t="n">
        <v>0</v>
      </c>
      <c r="Q841" s="114" t="n">
        <v>0</v>
      </c>
      <c r="R841" s="114" t="n">
        <v>3100.85</v>
      </c>
      <c r="S841" s="114" t="n">
        <v>0</v>
      </c>
      <c r="T841" t="n">
        <v>46</v>
      </c>
    </row>
    <row r="842">
      <c r="A842" t="inlineStr">
        <is>
          <t>ttJTrans</t>
        </is>
      </c>
      <c r="B842" s="38" t="inlineStr">
        <is>
          <t>0-4005</t>
        </is>
      </c>
      <c r="C842" t="inlineStr">
        <is>
          <t>LA</t>
        </is>
      </c>
      <c r="E842" t="inlineStr">
        <is>
          <t>LA</t>
        </is>
      </c>
      <c r="G842" s="128" t="inlineStr"/>
      <c r="H842" s="127" t="n">
        <v>46149</v>
      </c>
      <c r="J842" s="38" t="inlineStr">
        <is>
          <t>0-4005</t>
        </is>
      </c>
      <c r="K842" t="inlineStr">
        <is>
          <t>PR P0COST 000529 (PR) Summary</t>
        </is>
      </c>
      <c r="L842" t="n">
        <v>0</v>
      </c>
      <c r="M842" t="n">
        <v>0</v>
      </c>
      <c r="Q842" s="114" t="n">
        <v>0</v>
      </c>
      <c r="R842" s="114" t="n">
        <v>3099.04</v>
      </c>
      <c r="S842" s="114" t="n">
        <v>0</v>
      </c>
      <c r="T842" t="n">
        <v>46</v>
      </c>
    </row>
    <row r="843">
      <c r="A843" t="inlineStr">
        <is>
          <t>ttJTrans</t>
        </is>
      </c>
      <c r="B843" s="38" t="inlineStr">
        <is>
          <t>0-4005</t>
        </is>
      </c>
      <c r="C843" t="inlineStr">
        <is>
          <t>LA</t>
        </is>
      </c>
      <c r="E843" t="inlineStr">
        <is>
          <t>LA</t>
        </is>
      </c>
      <c r="G843" s="128" t="inlineStr"/>
      <c r="H843" s="127" t="n">
        <v>46149</v>
      </c>
      <c r="J843" s="38" t="inlineStr">
        <is>
          <t>0-4005</t>
        </is>
      </c>
      <c r="K843" t="inlineStr">
        <is>
          <t>PR P0COST 000529 (PR) Summary</t>
        </is>
      </c>
      <c r="L843" t="n">
        <v>0</v>
      </c>
      <c r="M843" t="n">
        <v>0</v>
      </c>
      <c r="Q843" s="114" t="n">
        <v>0</v>
      </c>
      <c r="R843" s="114" t="n">
        <v>537.67</v>
      </c>
      <c r="S843" s="114" t="n">
        <v>0</v>
      </c>
      <c r="T843" t="n">
        <v>0</v>
      </c>
    </row>
    <row r="844">
      <c r="A844" t="inlineStr">
        <is>
          <t>ttJTrans</t>
        </is>
      </c>
      <c r="B844" s="38" t="inlineStr">
        <is>
          <t>0-4005</t>
        </is>
      </c>
      <c r="C844" t="inlineStr">
        <is>
          <t>LA</t>
        </is>
      </c>
      <c r="E844" t="inlineStr">
        <is>
          <t>LA</t>
        </is>
      </c>
      <c r="G844" s="128" t="inlineStr"/>
      <c r="H844" s="127" t="n">
        <v>46149</v>
      </c>
      <c r="J844" s="38" t="inlineStr">
        <is>
          <t>0-4005</t>
        </is>
      </c>
      <c r="K844" t="inlineStr">
        <is>
          <t>PR P0COST 000529 (PR) Summary</t>
        </is>
      </c>
      <c r="L844" t="n">
        <v>0</v>
      </c>
      <c r="M844" t="n">
        <v>0</v>
      </c>
      <c r="Q844" s="114" t="n">
        <v>0</v>
      </c>
      <c r="R844" s="114" t="n">
        <v>2472</v>
      </c>
      <c r="S844" s="114" t="n">
        <v>0</v>
      </c>
      <c r="T844" t="n">
        <v>26</v>
      </c>
    </row>
    <row r="845">
      <c r="A845" t="inlineStr">
        <is>
          <t>ttJTrans</t>
        </is>
      </c>
      <c r="B845" s="38" t="inlineStr">
        <is>
          <t>0-4005</t>
        </is>
      </c>
      <c r="C845" t="inlineStr">
        <is>
          <t>LA</t>
        </is>
      </c>
      <c r="E845" t="inlineStr">
        <is>
          <t>LA</t>
        </is>
      </c>
      <c r="G845" s="128" t="inlineStr"/>
      <c r="H845" s="127" t="n">
        <v>46154</v>
      </c>
      <c r="J845" s="38" t="inlineStr">
        <is>
          <t>0-4005</t>
        </is>
      </c>
      <c r="K845" t="inlineStr">
        <is>
          <t>PR P2COST 000292 (PR) Summary</t>
        </is>
      </c>
      <c r="L845" t="n">
        <v>0</v>
      </c>
      <c r="M845" t="n">
        <v>0</v>
      </c>
      <c r="Q845" s="114" t="n">
        <v>0</v>
      </c>
      <c r="R845" s="114" t="n">
        <v>12295.32</v>
      </c>
      <c r="S845" s="114" t="n">
        <v>0</v>
      </c>
      <c r="T845" t="n">
        <v>142</v>
      </c>
    </row>
    <row r="846">
      <c r="A846" t="inlineStr">
        <is>
          <t>ttJTrans</t>
        </is>
      </c>
      <c r="B846" s="38" t="inlineStr">
        <is>
          <t>0-4005</t>
        </is>
      </c>
      <c r="C846" t="inlineStr">
        <is>
          <t>LA</t>
        </is>
      </c>
      <c r="E846" t="inlineStr">
        <is>
          <t>LA</t>
        </is>
      </c>
      <c r="G846" s="128" t="inlineStr"/>
      <c r="H846" s="127" t="n">
        <v>46154</v>
      </c>
      <c r="J846" s="38" t="inlineStr">
        <is>
          <t>0-4005</t>
        </is>
      </c>
      <c r="K846" t="inlineStr">
        <is>
          <t>PR P2COST 000292 (PR) Summary</t>
        </is>
      </c>
      <c r="L846" t="n">
        <v>0</v>
      </c>
      <c r="M846" t="n">
        <v>0</v>
      </c>
      <c r="Q846" s="114" t="n">
        <v>0</v>
      </c>
      <c r="R846" s="114" t="n">
        <v>14780.19</v>
      </c>
      <c r="S846" s="114" t="n">
        <v>0</v>
      </c>
      <c r="T846" t="n">
        <v>186.5</v>
      </c>
    </row>
    <row r="847">
      <c r="A847" t="inlineStr">
        <is>
          <t>ttJTrans</t>
        </is>
      </c>
      <c r="B847" s="38" t="inlineStr">
        <is>
          <t>0-4005</t>
        </is>
      </c>
      <c r="C847" t="inlineStr">
        <is>
          <t>LA</t>
        </is>
      </c>
      <c r="E847" t="inlineStr">
        <is>
          <t>LA</t>
        </is>
      </c>
      <c r="G847" s="128" t="inlineStr"/>
      <c r="H847" s="127" t="n">
        <v>46154</v>
      </c>
      <c r="J847" s="38" t="inlineStr">
        <is>
          <t>0-4005</t>
        </is>
      </c>
      <c r="K847" t="inlineStr">
        <is>
          <t>PR P2COST 000292 (PR) Summary</t>
        </is>
      </c>
      <c r="L847" t="n">
        <v>0</v>
      </c>
      <c r="M847" t="n">
        <v>0</v>
      </c>
      <c r="Q847" s="114" t="n">
        <v>0</v>
      </c>
      <c r="R847" s="114" t="n">
        <v>14017.36</v>
      </c>
      <c r="S847" s="114" t="n">
        <v>0</v>
      </c>
      <c r="T847" t="n">
        <v>181</v>
      </c>
    </row>
    <row r="848">
      <c r="A848" t="inlineStr">
        <is>
          <t>ttJTrans</t>
        </is>
      </c>
      <c r="B848" s="38" t="inlineStr">
        <is>
          <t>0-4005</t>
        </is>
      </c>
      <c r="C848" t="inlineStr">
        <is>
          <t>LA</t>
        </is>
      </c>
      <c r="E848" t="inlineStr">
        <is>
          <t>LA</t>
        </is>
      </c>
      <c r="G848" s="128" t="inlineStr"/>
      <c r="H848" s="127" t="n">
        <v>46154</v>
      </c>
      <c r="J848" s="38" t="inlineStr">
        <is>
          <t>0-4005</t>
        </is>
      </c>
      <c r="K848" t="inlineStr">
        <is>
          <t>PR P2COST 000292 (PR) Summary</t>
        </is>
      </c>
      <c r="L848" t="n">
        <v>0</v>
      </c>
      <c r="M848" t="n">
        <v>0</v>
      </c>
      <c r="Q848" s="114" t="n">
        <v>0</v>
      </c>
      <c r="R848" s="114" t="n">
        <v>14451.45</v>
      </c>
      <c r="S848" s="114" t="n">
        <v>0</v>
      </c>
      <c r="T848" t="n">
        <v>185.5</v>
      </c>
    </row>
    <row r="849">
      <c r="A849" t="inlineStr">
        <is>
          <t>ttJTrans</t>
        </is>
      </c>
      <c r="B849" s="38" t="inlineStr">
        <is>
          <t>0-4005</t>
        </is>
      </c>
      <c r="C849" t="inlineStr">
        <is>
          <t>LA</t>
        </is>
      </c>
      <c r="E849" t="inlineStr">
        <is>
          <t>LA</t>
        </is>
      </c>
      <c r="G849" s="128" t="inlineStr"/>
      <c r="H849" s="127" t="n">
        <v>46154</v>
      </c>
      <c r="J849" s="38" t="inlineStr">
        <is>
          <t>0-4005</t>
        </is>
      </c>
      <c r="K849" t="inlineStr">
        <is>
          <t>PR P2COST 000292 (PR) Summary</t>
        </is>
      </c>
      <c r="L849" t="n">
        <v>0</v>
      </c>
      <c r="M849" t="n">
        <v>0</v>
      </c>
      <c r="Q849" s="114" t="n">
        <v>0</v>
      </c>
      <c r="R849" s="114" t="n">
        <v>2057.1</v>
      </c>
      <c r="S849" s="114" t="n">
        <v>0</v>
      </c>
      <c r="T849" t="n">
        <v>27</v>
      </c>
    </row>
    <row r="850">
      <c r="A850" t="inlineStr">
        <is>
          <t>ttJTrans</t>
        </is>
      </c>
      <c r="B850" s="38" t="inlineStr">
        <is>
          <t>0-4005</t>
        </is>
      </c>
      <c r="C850" t="inlineStr">
        <is>
          <t>LA</t>
        </is>
      </c>
      <c r="E850" t="inlineStr">
        <is>
          <t>LA</t>
        </is>
      </c>
      <c r="G850" s="128" t="inlineStr"/>
      <c r="H850" s="127" t="n">
        <v>46154</v>
      </c>
      <c r="J850" s="38" t="inlineStr">
        <is>
          <t>0-4005</t>
        </is>
      </c>
      <c r="K850" t="inlineStr">
        <is>
          <t>PR P2COST 000292 (PR) Summary</t>
        </is>
      </c>
      <c r="L850" t="n">
        <v>0</v>
      </c>
      <c r="M850" t="n">
        <v>0</v>
      </c>
      <c r="Q850" s="114" t="n">
        <v>0</v>
      </c>
      <c r="R850" s="114" t="n">
        <v>8948.969999999999</v>
      </c>
      <c r="S850" s="114" t="n">
        <v>0</v>
      </c>
      <c r="T850" t="n">
        <v>109</v>
      </c>
    </row>
    <row r="851">
      <c r="A851" t="inlineStr">
        <is>
          <t>ttJTrans</t>
        </is>
      </c>
      <c r="B851" s="38" t="inlineStr">
        <is>
          <t>0-4005</t>
        </is>
      </c>
      <c r="C851" t="inlineStr">
        <is>
          <t>LA</t>
        </is>
      </c>
      <c r="E851" t="inlineStr">
        <is>
          <t>LA</t>
        </is>
      </c>
      <c r="G851" s="128" t="inlineStr"/>
      <c r="H851" s="127" t="n">
        <v>46154</v>
      </c>
      <c r="J851" s="38" t="inlineStr">
        <is>
          <t>0-4005</t>
        </is>
      </c>
      <c r="K851" t="inlineStr">
        <is>
          <t>PR P2COST 000292 (PR) Summary</t>
        </is>
      </c>
      <c r="L851" t="n">
        <v>0</v>
      </c>
      <c r="M851" t="n">
        <v>0</v>
      </c>
      <c r="Q851" s="114" t="n">
        <v>0</v>
      </c>
      <c r="R851" s="114" t="n">
        <v>11479.65</v>
      </c>
      <c r="S851" s="114" t="n">
        <v>0</v>
      </c>
      <c r="T851" t="n">
        <v>141.76</v>
      </c>
    </row>
    <row r="852">
      <c r="A852" t="inlineStr">
        <is>
          <t>ttJTrans</t>
        </is>
      </c>
      <c r="B852" s="38" t="inlineStr">
        <is>
          <t>0-4005</t>
        </is>
      </c>
      <c r="C852" t="inlineStr">
        <is>
          <t>LA</t>
        </is>
      </c>
      <c r="E852" t="inlineStr">
        <is>
          <t>LA</t>
        </is>
      </c>
      <c r="G852" s="128" t="inlineStr"/>
      <c r="H852" s="127" t="n">
        <v>46154</v>
      </c>
      <c r="J852" s="38" t="inlineStr">
        <is>
          <t>0-4005</t>
        </is>
      </c>
      <c r="K852" t="inlineStr">
        <is>
          <t>PR P2COST 000292 (PR) Summary</t>
        </is>
      </c>
      <c r="L852" t="n">
        <v>0</v>
      </c>
      <c r="M852" t="n">
        <v>0</v>
      </c>
      <c r="Q852" s="114" t="n">
        <v>0</v>
      </c>
      <c r="R852" s="114" t="n">
        <v>9619.77</v>
      </c>
      <c r="S852" s="114" t="n">
        <v>0</v>
      </c>
      <c r="T852" t="n">
        <v>120.5</v>
      </c>
    </row>
    <row r="853">
      <c r="A853" t="inlineStr">
        <is>
          <t>ttJTrans</t>
        </is>
      </c>
      <c r="B853" s="38" t="inlineStr">
        <is>
          <t>0-4005</t>
        </is>
      </c>
      <c r="C853" t="inlineStr">
        <is>
          <t>LA</t>
        </is>
      </c>
      <c r="E853" t="inlineStr">
        <is>
          <t>LA</t>
        </is>
      </c>
      <c r="G853" s="128" t="inlineStr"/>
      <c r="H853" s="127" t="n">
        <v>46154</v>
      </c>
      <c r="J853" s="38" t="inlineStr">
        <is>
          <t>0-4005</t>
        </is>
      </c>
      <c r="K853" t="inlineStr">
        <is>
          <t>PR P2COST 000292 (PR) Summary</t>
        </is>
      </c>
      <c r="L853" t="n">
        <v>0</v>
      </c>
      <c r="M853" t="n">
        <v>0</v>
      </c>
      <c r="Q853" s="114" t="n">
        <v>0</v>
      </c>
      <c r="R853" s="114" t="n">
        <v>9598.190000000001</v>
      </c>
      <c r="S853" s="114" t="n">
        <v>0</v>
      </c>
      <c r="T853" t="n">
        <v>121</v>
      </c>
    </row>
    <row r="854">
      <c r="A854" t="inlineStr">
        <is>
          <t>ttJTrans</t>
        </is>
      </c>
      <c r="B854" s="38" t="inlineStr">
        <is>
          <t>0-4005</t>
        </is>
      </c>
      <c r="C854" t="inlineStr">
        <is>
          <t>LA</t>
        </is>
      </c>
      <c r="E854" t="inlineStr">
        <is>
          <t>LA</t>
        </is>
      </c>
      <c r="G854" s="128" t="inlineStr"/>
      <c r="H854" s="127" t="n">
        <v>46154</v>
      </c>
      <c r="J854" s="38" t="inlineStr">
        <is>
          <t>0-4005</t>
        </is>
      </c>
      <c r="K854" t="inlineStr">
        <is>
          <t>PR P2COST 000292 (PR) Summary</t>
        </is>
      </c>
      <c r="L854" t="n">
        <v>0</v>
      </c>
      <c r="M854" t="n">
        <v>0</v>
      </c>
      <c r="Q854" s="114" t="n">
        <v>0</v>
      </c>
      <c r="R854" s="114" t="n">
        <v>981.22</v>
      </c>
      <c r="S854" s="114" t="n">
        <v>0</v>
      </c>
      <c r="T854" t="n">
        <v>13</v>
      </c>
    </row>
    <row r="855">
      <c r="A855" t="inlineStr">
        <is>
          <t>ttJTrans</t>
        </is>
      </c>
      <c r="B855" s="38" t="inlineStr">
        <is>
          <t>0-4005</t>
        </is>
      </c>
      <c r="C855" t="inlineStr">
        <is>
          <t>LA</t>
        </is>
      </c>
      <c r="E855" t="inlineStr">
        <is>
          <t>LA</t>
        </is>
      </c>
      <c r="G855" s="128" t="inlineStr"/>
      <c r="H855" s="127" t="n">
        <v>46154</v>
      </c>
      <c r="J855" s="38" t="inlineStr">
        <is>
          <t>0-4005</t>
        </is>
      </c>
      <c r="K855" t="inlineStr">
        <is>
          <t>PR P2COST 000292 (PR) Summary</t>
        </is>
      </c>
      <c r="L855" t="n">
        <v>0</v>
      </c>
      <c r="M855" t="n">
        <v>0</v>
      </c>
      <c r="Q855" s="114" t="n">
        <v>0</v>
      </c>
      <c r="R855" s="114" t="n">
        <v>758.02</v>
      </c>
      <c r="S855" s="114" t="n">
        <v>0</v>
      </c>
      <c r="T855" t="n">
        <v>10</v>
      </c>
    </row>
    <row r="856">
      <c r="A856" t="inlineStr">
        <is>
          <t>ttJTrans</t>
        </is>
      </c>
      <c r="B856" s="38" t="inlineStr">
        <is>
          <t>0-4005</t>
        </is>
      </c>
      <c r="C856" t="inlineStr">
        <is>
          <t>LA</t>
        </is>
      </c>
      <c r="E856" t="inlineStr">
        <is>
          <t>LA</t>
        </is>
      </c>
      <c r="G856" s="128" t="inlineStr"/>
      <c r="H856" s="127" t="n">
        <v>46154</v>
      </c>
      <c r="J856" s="38" t="inlineStr">
        <is>
          <t>0-4005</t>
        </is>
      </c>
      <c r="K856" t="inlineStr">
        <is>
          <t>PR P2COST 000292 (PR) Summary</t>
        </is>
      </c>
      <c r="L856" t="n">
        <v>0</v>
      </c>
      <c r="M856" t="n">
        <v>0</v>
      </c>
      <c r="Q856" s="114" t="n">
        <v>0</v>
      </c>
      <c r="R856" s="114" t="n">
        <v>9509.77</v>
      </c>
      <c r="S856" s="114" t="n">
        <v>0</v>
      </c>
      <c r="T856" t="n">
        <v>117.5</v>
      </c>
    </row>
    <row r="857">
      <c r="A857" t="inlineStr">
        <is>
          <t>ttJTrans</t>
        </is>
      </c>
      <c r="B857" s="38" t="inlineStr">
        <is>
          <t>0-4005</t>
        </is>
      </c>
      <c r="C857" t="inlineStr">
        <is>
          <t>LA</t>
        </is>
      </c>
      <c r="E857" t="inlineStr">
        <is>
          <t>LA</t>
        </is>
      </c>
      <c r="G857" s="128" t="inlineStr"/>
      <c r="H857" s="127" t="n">
        <v>46154</v>
      </c>
      <c r="J857" s="38" t="inlineStr">
        <is>
          <t>0-4005</t>
        </is>
      </c>
      <c r="K857" t="inlineStr">
        <is>
          <t>PR P2COST 000292 (PR) Summary</t>
        </is>
      </c>
      <c r="L857" t="n">
        <v>0</v>
      </c>
      <c r="M857" t="n">
        <v>0</v>
      </c>
      <c r="Q857" s="114" t="n">
        <v>0</v>
      </c>
      <c r="R857" s="114" t="n">
        <v>11195.87</v>
      </c>
      <c r="S857" s="114" t="n">
        <v>0</v>
      </c>
      <c r="T857" t="n">
        <v>141.33</v>
      </c>
    </row>
    <row r="858">
      <c r="A858" t="inlineStr">
        <is>
          <t>ttJTrans</t>
        </is>
      </c>
      <c r="B858" s="38" t="inlineStr">
        <is>
          <t>0-4005</t>
        </is>
      </c>
      <c r="C858" t="inlineStr">
        <is>
          <t>LA</t>
        </is>
      </c>
      <c r="E858" t="inlineStr">
        <is>
          <t>LA</t>
        </is>
      </c>
      <c r="G858" s="128" t="inlineStr"/>
      <c r="H858" s="127" t="n">
        <v>46156</v>
      </c>
      <c r="J858" s="38" t="inlineStr">
        <is>
          <t>0-4005</t>
        </is>
      </c>
      <c r="K858" t="inlineStr">
        <is>
          <t>PR P0COST 000530 (PR) Summary</t>
        </is>
      </c>
      <c r="L858" t="n">
        <v>0</v>
      </c>
      <c r="M858" t="n">
        <v>0</v>
      </c>
      <c r="Q858" s="114" t="n">
        <v>0</v>
      </c>
      <c r="R858" s="114" t="n">
        <v>1618.18</v>
      </c>
      <c r="S858" s="114" t="n">
        <v>0</v>
      </c>
      <c r="T858" t="n">
        <v>20</v>
      </c>
    </row>
    <row r="859">
      <c r="A859" t="inlineStr">
        <is>
          <t>ttJTrans</t>
        </is>
      </c>
      <c r="B859" s="38" t="inlineStr">
        <is>
          <t>0-4005</t>
        </is>
      </c>
      <c r="C859" t="inlineStr">
        <is>
          <t>LA</t>
        </is>
      </c>
      <c r="E859" t="inlineStr">
        <is>
          <t>LA</t>
        </is>
      </c>
      <c r="G859" s="128" t="inlineStr"/>
      <c r="H859" s="127" t="n">
        <v>46156</v>
      </c>
      <c r="J859" s="38" t="inlineStr">
        <is>
          <t>0-4005</t>
        </is>
      </c>
      <c r="K859" t="inlineStr">
        <is>
          <t>PR P0COST 000530 (PR) Summary</t>
        </is>
      </c>
      <c r="L859" t="n">
        <v>0</v>
      </c>
      <c r="M859" t="n">
        <v>0</v>
      </c>
      <c r="Q859" s="114" t="n">
        <v>0</v>
      </c>
      <c r="R859" s="114" t="n">
        <v>2265.74</v>
      </c>
      <c r="S859" s="114" t="n">
        <v>0</v>
      </c>
      <c r="T859" t="n">
        <v>28</v>
      </c>
    </row>
    <row r="860">
      <c r="A860" t="inlineStr">
        <is>
          <t>ttJTrans</t>
        </is>
      </c>
      <c r="B860" s="38" t="inlineStr">
        <is>
          <t>0-4005</t>
        </is>
      </c>
      <c r="C860" t="inlineStr">
        <is>
          <t>LA</t>
        </is>
      </c>
      <c r="E860" t="inlineStr">
        <is>
          <t>LA</t>
        </is>
      </c>
      <c r="G860" s="128" t="inlineStr"/>
      <c r="H860" s="127" t="n">
        <v>46156</v>
      </c>
      <c r="J860" s="38" t="inlineStr">
        <is>
          <t>0-4005</t>
        </is>
      </c>
      <c r="K860" t="inlineStr">
        <is>
          <t>PR P0COST 000530 (PR) Summary</t>
        </is>
      </c>
      <c r="L860" t="n">
        <v>0</v>
      </c>
      <c r="M860" t="n">
        <v>0</v>
      </c>
      <c r="Q860" s="114" t="n">
        <v>0</v>
      </c>
      <c r="R860" s="114" t="n">
        <v>2885.32</v>
      </c>
      <c r="S860" s="114" t="n">
        <v>0</v>
      </c>
      <c r="T860" t="n">
        <v>46</v>
      </c>
    </row>
    <row r="861">
      <c r="A861" t="inlineStr">
        <is>
          <t>ttJTrans</t>
        </is>
      </c>
      <c r="B861" s="38" t="inlineStr">
        <is>
          <t>0-4005</t>
        </is>
      </c>
      <c r="C861" t="inlineStr">
        <is>
          <t>LA</t>
        </is>
      </c>
      <c r="E861" t="inlineStr">
        <is>
          <t>LA</t>
        </is>
      </c>
      <c r="G861" s="128" t="inlineStr"/>
      <c r="H861" s="127" t="n">
        <v>46156</v>
      </c>
      <c r="J861" s="38" t="inlineStr">
        <is>
          <t>0-4005</t>
        </is>
      </c>
      <c r="K861" t="inlineStr">
        <is>
          <t>PR P0COST 000530 (PR) Summary</t>
        </is>
      </c>
      <c r="L861" t="n">
        <v>0</v>
      </c>
      <c r="M861" t="n">
        <v>0</v>
      </c>
      <c r="Q861" s="114" t="n">
        <v>0</v>
      </c>
      <c r="R861" s="114" t="n">
        <v>2323.02</v>
      </c>
      <c r="S861" s="114" t="n">
        <v>0</v>
      </c>
      <c r="T861" t="n">
        <v>36</v>
      </c>
    </row>
    <row r="862">
      <c r="A862" t="inlineStr">
        <is>
          <t>ttJTrans</t>
        </is>
      </c>
      <c r="B862" s="38" t="inlineStr">
        <is>
          <t>0-4005</t>
        </is>
      </c>
      <c r="C862" t="inlineStr">
        <is>
          <t>LA</t>
        </is>
      </c>
      <c r="E862" t="inlineStr">
        <is>
          <t>LA</t>
        </is>
      </c>
      <c r="G862" s="128" t="inlineStr"/>
      <c r="H862" s="127" t="n">
        <v>46156</v>
      </c>
      <c r="J862" s="38" t="inlineStr">
        <is>
          <t>0-4005</t>
        </is>
      </c>
      <c r="K862" t="inlineStr">
        <is>
          <t>PR P0COST 000530 (PR) Summary</t>
        </is>
      </c>
      <c r="L862" t="n">
        <v>0</v>
      </c>
      <c r="M862" t="n">
        <v>0</v>
      </c>
      <c r="Q862" s="114" t="n">
        <v>0</v>
      </c>
      <c r="R862" s="114" t="n">
        <v>2323.02</v>
      </c>
      <c r="S862" s="114" t="n">
        <v>0</v>
      </c>
      <c r="T862" t="n">
        <v>36</v>
      </c>
    </row>
    <row r="863">
      <c r="A863" t="inlineStr">
        <is>
          <t>ttJTrans</t>
        </is>
      </c>
      <c r="B863" s="38" t="inlineStr">
        <is>
          <t>0-4005</t>
        </is>
      </c>
      <c r="C863" t="inlineStr">
        <is>
          <t>LA</t>
        </is>
      </c>
      <c r="E863" t="inlineStr">
        <is>
          <t>LA</t>
        </is>
      </c>
      <c r="G863" s="128" t="inlineStr"/>
      <c r="H863" s="127" t="n">
        <v>46156</v>
      </c>
      <c r="J863" s="38" t="inlineStr">
        <is>
          <t>0-4005</t>
        </is>
      </c>
      <c r="K863" t="inlineStr">
        <is>
          <t>PR P0COST 000530 (PR) Summary</t>
        </is>
      </c>
      <c r="L863" t="n">
        <v>0</v>
      </c>
      <c r="M863" t="n">
        <v>0</v>
      </c>
      <c r="Q863" s="114" t="n">
        <v>0</v>
      </c>
      <c r="R863" s="114" t="n">
        <v>1717.32</v>
      </c>
      <c r="S863" s="114" t="n">
        <v>0</v>
      </c>
      <c r="T863" t="n">
        <v>26</v>
      </c>
    </row>
    <row r="864">
      <c r="A864" t="inlineStr">
        <is>
          <t>ttJTrans</t>
        </is>
      </c>
      <c r="B864" s="38" t="inlineStr">
        <is>
          <t>0-4005</t>
        </is>
      </c>
      <c r="C864" t="inlineStr">
        <is>
          <t>LA</t>
        </is>
      </c>
      <c r="E864" t="inlineStr">
        <is>
          <t>LA</t>
        </is>
      </c>
      <c r="G864" s="128" t="inlineStr"/>
      <c r="H864" s="127" t="n">
        <v>46156</v>
      </c>
      <c r="J864" s="38" t="inlineStr">
        <is>
          <t>0-4005</t>
        </is>
      </c>
      <c r="K864" t="inlineStr">
        <is>
          <t>PR P0COST 000530 (PR) Summary</t>
        </is>
      </c>
      <c r="L864" t="n">
        <v>0</v>
      </c>
      <c r="M864" t="n">
        <v>0</v>
      </c>
      <c r="Q864" s="114" t="n">
        <v>0</v>
      </c>
      <c r="R864" s="114" t="n">
        <v>1717.35</v>
      </c>
      <c r="S864" s="114" t="n">
        <v>0</v>
      </c>
      <c r="T864" t="n">
        <v>16</v>
      </c>
    </row>
    <row r="865">
      <c r="A865" t="inlineStr">
        <is>
          <t>ttJTrans</t>
        </is>
      </c>
      <c r="B865" s="38" t="inlineStr">
        <is>
          <t>0-4005</t>
        </is>
      </c>
      <c r="C865" t="inlineStr">
        <is>
          <t>LA</t>
        </is>
      </c>
      <c r="E865" t="inlineStr">
        <is>
          <t>LA</t>
        </is>
      </c>
      <c r="G865" s="128" t="inlineStr"/>
      <c r="H865" s="127" t="n">
        <v>46156</v>
      </c>
      <c r="J865" s="38" t="inlineStr">
        <is>
          <t>0-4005</t>
        </is>
      </c>
      <c r="K865" t="inlineStr">
        <is>
          <t>PR P0COST 000530 (PR) Summary</t>
        </is>
      </c>
      <c r="L865" t="n">
        <v>0</v>
      </c>
      <c r="M865" t="n">
        <v>0</v>
      </c>
      <c r="Q865" s="114" t="n">
        <v>0</v>
      </c>
      <c r="R865" s="114" t="n">
        <v>1281.63</v>
      </c>
      <c r="S865" s="114" t="n">
        <v>0</v>
      </c>
      <c r="T865" t="n">
        <v>0</v>
      </c>
    </row>
    <row r="866">
      <c r="A866" t="inlineStr">
        <is>
          <t>ttJTrans</t>
        </is>
      </c>
      <c r="B866" s="38" t="inlineStr">
        <is>
          <t>0-4005</t>
        </is>
      </c>
      <c r="C866" t="inlineStr">
        <is>
          <t>LA</t>
        </is>
      </c>
      <c r="E866" t="inlineStr">
        <is>
          <t>LA</t>
        </is>
      </c>
      <c r="G866" s="128" t="inlineStr"/>
      <c r="H866" s="127" t="n">
        <v>46163</v>
      </c>
      <c r="J866" s="38" t="inlineStr">
        <is>
          <t>0-4005</t>
        </is>
      </c>
      <c r="K866" t="inlineStr">
        <is>
          <t>PR P0COST 000531 (PR) Summary</t>
        </is>
      </c>
      <c r="L866" t="n">
        <v>0</v>
      </c>
      <c r="M866" t="n">
        <v>0</v>
      </c>
      <c r="Q866" s="114" t="n">
        <v>0</v>
      </c>
      <c r="R866" s="114" t="n">
        <v>4908.84</v>
      </c>
      <c r="S866" s="114" t="n">
        <v>0</v>
      </c>
      <c r="T866" t="n">
        <v>70</v>
      </c>
    </row>
    <row r="867">
      <c r="A867" t="inlineStr">
        <is>
          <t>ttJTrans</t>
        </is>
      </c>
      <c r="B867" s="38" t="inlineStr">
        <is>
          <t>0-4005</t>
        </is>
      </c>
      <c r="C867" t="inlineStr">
        <is>
          <t>LA</t>
        </is>
      </c>
      <c r="E867" t="inlineStr">
        <is>
          <t>LA</t>
        </is>
      </c>
      <c r="G867" s="128" t="inlineStr"/>
      <c r="H867" s="127" t="n">
        <v>46163</v>
      </c>
      <c r="J867" s="38" t="inlineStr">
        <is>
          <t>0-4005</t>
        </is>
      </c>
      <c r="K867" t="inlineStr">
        <is>
          <t>PR P0COST 000531 (PR) Summary</t>
        </is>
      </c>
      <c r="L867" t="n">
        <v>0</v>
      </c>
      <c r="M867" t="n">
        <v>0</v>
      </c>
      <c r="Q867" s="114" t="n">
        <v>0</v>
      </c>
      <c r="R867" s="114" t="n">
        <v>5625.37</v>
      </c>
      <c r="S867" s="114" t="n">
        <v>0</v>
      </c>
      <c r="T867" t="n">
        <v>80</v>
      </c>
    </row>
    <row r="868">
      <c r="A868" t="inlineStr">
        <is>
          <t>ttJTrans</t>
        </is>
      </c>
      <c r="B868" s="38" t="inlineStr">
        <is>
          <t>0-4005</t>
        </is>
      </c>
      <c r="C868" t="inlineStr">
        <is>
          <t>LA</t>
        </is>
      </c>
      <c r="E868" t="inlineStr">
        <is>
          <t>LA</t>
        </is>
      </c>
      <c r="G868" s="128" t="inlineStr"/>
      <c r="H868" s="127" t="n">
        <v>46163</v>
      </c>
      <c r="J868" s="38" t="inlineStr">
        <is>
          <t>0-4005</t>
        </is>
      </c>
      <c r="K868" t="inlineStr">
        <is>
          <t>PR P0COST 000531 (PR) Summary</t>
        </is>
      </c>
      <c r="L868" t="n">
        <v>0</v>
      </c>
      <c r="M868" t="n">
        <v>0</v>
      </c>
      <c r="Q868" s="114" t="n">
        <v>0</v>
      </c>
      <c r="R868" s="114" t="n">
        <v>4120.3</v>
      </c>
      <c r="S868" s="114" t="n">
        <v>0</v>
      </c>
      <c r="T868" t="n">
        <v>60</v>
      </c>
    </row>
    <row r="869">
      <c r="A869" t="inlineStr">
        <is>
          <t>ttJTrans</t>
        </is>
      </c>
      <c r="B869" s="38" t="inlineStr">
        <is>
          <t>0-4005</t>
        </is>
      </c>
      <c r="C869" t="inlineStr">
        <is>
          <t>LA</t>
        </is>
      </c>
      <c r="E869" t="inlineStr">
        <is>
          <t>LA</t>
        </is>
      </c>
      <c r="G869" s="128" t="inlineStr"/>
      <c r="H869" s="127" t="n">
        <v>46163</v>
      </c>
      <c r="J869" s="38" t="inlineStr">
        <is>
          <t>0-4005</t>
        </is>
      </c>
      <c r="K869" t="inlineStr">
        <is>
          <t>PR P0COST 000531 (PR) Summary</t>
        </is>
      </c>
      <c r="L869" t="n">
        <v>0</v>
      </c>
      <c r="M869" t="n">
        <v>0</v>
      </c>
      <c r="Q869" s="114" t="n">
        <v>0</v>
      </c>
      <c r="R869" s="114" t="n">
        <v>4699.86</v>
      </c>
      <c r="S869" s="114" t="n">
        <v>0</v>
      </c>
      <c r="T869" t="n">
        <v>68</v>
      </c>
    </row>
    <row r="870">
      <c r="A870" t="inlineStr">
        <is>
          <t>ttJTrans</t>
        </is>
      </c>
      <c r="B870" s="38" t="inlineStr">
        <is>
          <t>0-4005</t>
        </is>
      </c>
      <c r="C870" t="inlineStr">
        <is>
          <t>LA</t>
        </is>
      </c>
      <c r="E870" t="inlineStr">
        <is>
          <t>LA</t>
        </is>
      </c>
      <c r="G870" s="128" t="inlineStr"/>
      <c r="H870" s="127" t="n">
        <v>46163</v>
      </c>
      <c r="J870" s="38" t="inlineStr">
        <is>
          <t>0-4005</t>
        </is>
      </c>
      <c r="K870" t="inlineStr">
        <is>
          <t>PR P0COST 000531 (PR) Summary</t>
        </is>
      </c>
      <c r="L870" t="n">
        <v>0</v>
      </c>
      <c r="M870" t="n">
        <v>0</v>
      </c>
      <c r="Q870" s="114" t="n">
        <v>0</v>
      </c>
      <c r="R870" s="114" t="n">
        <v>2813.49</v>
      </c>
      <c r="S870" s="114" t="n">
        <v>0</v>
      </c>
      <c r="T870" t="n">
        <v>18</v>
      </c>
    </row>
    <row r="871">
      <c r="A871" t="inlineStr">
        <is>
          <t>ttJTrans</t>
        </is>
      </c>
      <c r="B871" s="38" t="inlineStr">
        <is>
          <t>0-4005</t>
        </is>
      </c>
      <c r="C871" t="inlineStr">
        <is>
          <t>LA</t>
        </is>
      </c>
      <c r="E871" t="inlineStr">
        <is>
          <t>LA</t>
        </is>
      </c>
      <c r="G871" s="128" t="inlineStr"/>
      <c r="H871" s="127" t="n">
        <v>46163</v>
      </c>
      <c r="J871" s="38" t="inlineStr">
        <is>
          <t>0-4005</t>
        </is>
      </c>
      <c r="K871" t="inlineStr">
        <is>
          <t>PR P0COST 000531 (PR) Summary</t>
        </is>
      </c>
      <c r="L871" t="n">
        <v>0</v>
      </c>
      <c r="M871" t="n">
        <v>0</v>
      </c>
      <c r="Q871" s="114" t="n">
        <v>0</v>
      </c>
      <c r="R871" s="114" t="n">
        <v>647.55</v>
      </c>
      <c r="S871" s="114" t="n">
        <v>0</v>
      </c>
      <c r="T871" t="n">
        <v>8</v>
      </c>
    </row>
    <row r="872">
      <c r="A872" t="inlineStr">
        <is>
          <t>ttJTrans</t>
        </is>
      </c>
      <c r="B872" s="38" t="inlineStr">
        <is>
          <t>0-4005</t>
        </is>
      </c>
      <c r="C872" t="inlineStr">
        <is>
          <t>OC</t>
        </is>
      </c>
      <c r="E872" t="inlineStr">
        <is>
          <t>OC</t>
        </is>
      </c>
      <c r="G872" s="128" t="inlineStr"/>
      <c r="H872" s="127" t="n">
        <v>45963</v>
      </c>
      <c r="J872" s="38" t="inlineStr">
        <is>
          <t>0-4005</t>
        </is>
      </c>
      <c r="K872" t="inlineStr">
        <is>
          <t>TRAVELER G BIGLER 11/16/25</t>
        </is>
      </c>
      <c r="L872" t="n">
        <v>0</v>
      </c>
      <c r="M872" t="n">
        <v>0</v>
      </c>
      <c r="O872" t="inlineStr">
        <is>
          <t>20542</t>
        </is>
      </c>
      <c r="P872" t="inlineStr">
        <is>
          <t>CORPORATE TRAVELER</t>
        </is>
      </c>
      <c r="Q872" s="114" t="n">
        <v>0</v>
      </c>
      <c r="R872" s="114" t="n">
        <v>609.99</v>
      </c>
      <c r="S872" s="114" t="n">
        <v>0</v>
      </c>
      <c r="T872" t="n">
        <v>0</v>
      </c>
    </row>
    <row r="873">
      <c r="A873" t="inlineStr">
        <is>
          <t>ttJTrans</t>
        </is>
      </c>
      <c r="B873" s="38" t="inlineStr">
        <is>
          <t>0-4005</t>
        </is>
      </c>
      <c r="C873" t="inlineStr">
        <is>
          <t>OC</t>
        </is>
      </c>
      <c r="E873" t="inlineStr">
        <is>
          <t>OC</t>
        </is>
      </c>
      <c r="G873" s="128" t="inlineStr"/>
      <c r="H873" s="127" t="n">
        <v>45983</v>
      </c>
      <c r="J873" s="38" t="inlineStr">
        <is>
          <t>0-4005</t>
        </is>
      </c>
      <c r="K873" t="inlineStr">
        <is>
          <t>TRAVEL E ROJAS 11/15/25</t>
        </is>
      </c>
      <c r="L873" t="n">
        <v>0</v>
      </c>
      <c r="M873" t="n">
        <v>0</v>
      </c>
      <c r="O873" t="inlineStr">
        <is>
          <t>20542</t>
        </is>
      </c>
      <c r="P873" t="inlineStr">
        <is>
          <t>CORPORATE TRAVELER</t>
        </is>
      </c>
      <c r="Q873" s="114" t="n">
        <v>0</v>
      </c>
      <c r="R873" s="114" t="n">
        <v>20.1</v>
      </c>
      <c r="S873" s="114" t="n">
        <v>0</v>
      </c>
      <c r="T873" t="n">
        <v>0</v>
      </c>
    </row>
    <row r="874">
      <c r="A874" t="inlineStr">
        <is>
          <t>ttJTrans</t>
        </is>
      </c>
      <c r="B874" s="38" t="inlineStr">
        <is>
          <t>0-4005</t>
        </is>
      </c>
      <c r="C874" t="inlineStr">
        <is>
          <t>OC</t>
        </is>
      </c>
      <c r="E874" t="inlineStr">
        <is>
          <t>OC</t>
        </is>
      </c>
      <c r="G874" s="128" t="inlineStr"/>
      <c r="H874" s="127" t="n">
        <v>45983</v>
      </c>
      <c r="J874" s="38" t="inlineStr">
        <is>
          <t>0-4005</t>
        </is>
      </c>
      <c r="K874" t="inlineStr">
        <is>
          <t>TRAVEL J TODD 11/13/25</t>
        </is>
      </c>
      <c r="L874" t="n">
        <v>0</v>
      </c>
      <c r="M874" t="n">
        <v>0</v>
      </c>
      <c r="O874" t="inlineStr">
        <is>
          <t>20542</t>
        </is>
      </c>
      <c r="P874" t="inlineStr">
        <is>
          <t>CORPORATE TRAVELER</t>
        </is>
      </c>
      <c r="Q874" s="114" t="n">
        <v>0</v>
      </c>
      <c r="R874" s="114" t="n">
        <v>20.1</v>
      </c>
      <c r="S874" s="114" t="n">
        <v>0</v>
      </c>
      <c r="T874" t="n">
        <v>0</v>
      </c>
    </row>
    <row r="875">
      <c r="A875" t="inlineStr">
        <is>
          <t>ttJTrans</t>
        </is>
      </c>
      <c r="B875" s="38" t="inlineStr">
        <is>
          <t>0-4005</t>
        </is>
      </c>
      <c r="C875" t="inlineStr">
        <is>
          <t>OC</t>
        </is>
      </c>
      <c r="E875" t="inlineStr">
        <is>
          <t>OC</t>
        </is>
      </c>
      <c r="G875" s="128" t="inlineStr"/>
      <c r="H875" s="127" t="n">
        <v>45983</v>
      </c>
      <c r="J875" s="38" t="inlineStr">
        <is>
          <t>0-4005</t>
        </is>
      </c>
      <c r="K875" t="inlineStr">
        <is>
          <t>TRAVEL J RION 11/14/25</t>
        </is>
      </c>
      <c r="L875" t="n">
        <v>0</v>
      </c>
      <c r="M875" t="n">
        <v>0</v>
      </c>
      <c r="O875" t="inlineStr">
        <is>
          <t>20542</t>
        </is>
      </c>
      <c r="P875" t="inlineStr">
        <is>
          <t>CORPORATE TRAVELER</t>
        </is>
      </c>
      <c r="Q875" s="114" t="n">
        <v>0</v>
      </c>
      <c r="R875" s="114" t="n">
        <v>20.1</v>
      </c>
      <c r="S875" s="114" t="n">
        <v>0</v>
      </c>
      <c r="T875" t="n">
        <v>0</v>
      </c>
    </row>
    <row r="876">
      <c r="A876" t="inlineStr">
        <is>
          <t>ttJTrans</t>
        </is>
      </c>
      <c r="B876" s="38" t="inlineStr">
        <is>
          <t>0-4005</t>
        </is>
      </c>
      <c r="C876" t="inlineStr">
        <is>
          <t>OC</t>
        </is>
      </c>
      <c r="E876" t="inlineStr">
        <is>
          <t>OC</t>
        </is>
      </c>
      <c r="G876" s="128" t="inlineStr"/>
      <c r="H876" s="127" t="n">
        <v>45983</v>
      </c>
      <c r="J876" s="38" t="inlineStr">
        <is>
          <t>0-4005</t>
        </is>
      </c>
      <c r="K876" t="inlineStr">
        <is>
          <t>TRAVEL K BELTRAN11/13/25</t>
        </is>
      </c>
      <c r="L876" t="n">
        <v>0</v>
      </c>
      <c r="M876" t="n">
        <v>0</v>
      </c>
      <c r="O876" t="inlineStr">
        <is>
          <t>20542</t>
        </is>
      </c>
      <c r="P876" t="inlineStr">
        <is>
          <t>CORPORATE TRAVELER</t>
        </is>
      </c>
      <c r="Q876" s="114" t="n">
        <v>0</v>
      </c>
      <c r="R876" s="114" t="n">
        <v>20.1</v>
      </c>
      <c r="S876" s="114" t="n">
        <v>0</v>
      </c>
      <c r="T876" t="n">
        <v>0</v>
      </c>
    </row>
    <row r="877">
      <c r="A877" t="inlineStr">
        <is>
          <t>ttJTrans</t>
        </is>
      </c>
      <c r="B877" s="38" t="inlineStr">
        <is>
          <t>0-4005</t>
        </is>
      </c>
      <c r="C877" t="inlineStr">
        <is>
          <t>OC</t>
        </is>
      </c>
      <c r="E877" t="inlineStr">
        <is>
          <t>OC</t>
        </is>
      </c>
      <c r="G877" s="128" t="inlineStr"/>
      <c r="H877" s="127" t="n">
        <v>45983</v>
      </c>
      <c r="J877" s="38" t="inlineStr">
        <is>
          <t>0-4005</t>
        </is>
      </c>
      <c r="K877" t="inlineStr">
        <is>
          <t>TRAVEL E ROJAS 11/13/25</t>
        </is>
      </c>
      <c r="L877" t="n">
        <v>0</v>
      </c>
      <c r="M877" t="n">
        <v>0</v>
      </c>
      <c r="O877" t="inlineStr">
        <is>
          <t>20542</t>
        </is>
      </c>
      <c r="P877" t="inlineStr">
        <is>
          <t>CORPORATE TRAVELER</t>
        </is>
      </c>
      <c r="Q877" s="114" t="n">
        <v>0</v>
      </c>
      <c r="R877" s="114" t="n">
        <v>20.1</v>
      </c>
      <c r="S877" s="114" t="n">
        <v>0</v>
      </c>
      <c r="T877" t="n">
        <v>0</v>
      </c>
    </row>
    <row r="878">
      <c r="A878" t="inlineStr">
        <is>
          <t>ttJTrans</t>
        </is>
      </c>
      <c r="B878" s="38" t="inlineStr">
        <is>
          <t>0-4005</t>
        </is>
      </c>
      <c r="C878" t="inlineStr">
        <is>
          <t>OC</t>
        </is>
      </c>
      <c r="E878" t="inlineStr">
        <is>
          <t>OC</t>
        </is>
      </c>
      <c r="G878" s="128" t="inlineStr"/>
      <c r="H878" s="127" t="n">
        <v>45983</v>
      </c>
      <c r="J878" s="38" t="inlineStr">
        <is>
          <t>0-4005</t>
        </is>
      </c>
      <c r="K878" t="inlineStr">
        <is>
          <t>TRAVEL J FLEMING 11/16/25</t>
        </is>
      </c>
      <c r="L878" t="n">
        <v>0</v>
      </c>
      <c r="M878" t="n">
        <v>0</v>
      </c>
      <c r="O878" t="inlineStr">
        <is>
          <t>20542</t>
        </is>
      </c>
      <c r="P878" t="inlineStr">
        <is>
          <t>CORPORATE TRAVELER</t>
        </is>
      </c>
      <c r="Q878" s="114" t="n">
        <v>0</v>
      </c>
      <c r="R878" s="114" t="n">
        <v>20.1</v>
      </c>
      <c r="S878" s="114" t="n">
        <v>0</v>
      </c>
      <c r="T878" t="n">
        <v>0</v>
      </c>
    </row>
    <row r="879">
      <c r="A879" t="inlineStr">
        <is>
          <t>ttJTrans</t>
        </is>
      </c>
      <c r="B879" s="38" t="inlineStr">
        <is>
          <t>0-4005</t>
        </is>
      </c>
      <c r="C879" t="inlineStr">
        <is>
          <t>OC</t>
        </is>
      </c>
      <c r="E879" t="inlineStr">
        <is>
          <t>OC</t>
        </is>
      </c>
      <c r="G879" s="128" t="inlineStr"/>
      <c r="H879" s="127" t="n">
        <v>45983</v>
      </c>
      <c r="J879" s="38" t="inlineStr">
        <is>
          <t>0-4005</t>
        </is>
      </c>
      <c r="K879" t="inlineStr">
        <is>
          <t>TRAVEL J ROJAS 11/13/25</t>
        </is>
      </c>
      <c r="L879" t="n">
        <v>0</v>
      </c>
      <c r="M879" t="n">
        <v>0</v>
      </c>
      <c r="O879" t="inlineStr">
        <is>
          <t>20542</t>
        </is>
      </c>
      <c r="P879" t="inlineStr">
        <is>
          <t>CORPORATE TRAVELER</t>
        </is>
      </c>
      <c r="Q879" s="114" t="n">
        <v>0</v>
      </c>
      <c r="R879" s="114" t="n">
        <v>20.1</v>
      </c>
      <c r="S879" s="114" t="n">
        <v>0</v>
      </c>
      <c r="T879" t="n">
        <v>0</v>
      </c>
    </row>
    <row r="880">
      <c r="A880" t="inlineStr">
        <is>
          <t>ttJTrans</t>
        </is>
      </c>
      <c r="B880" s="38" t="inlineStr">
        <is>
          <t>0-4005</t>
        </is>
      </c>
      <c r="C880" t="inlineStr">
        <is>
          <t>OC</t>
        </is>
      </c>
      <c r="E880" t="inlineStr">
        <is>
          <t>OC</t>
        </is>
      </c>
      <c r="G880" s="128" t="inlineStr"/>
      <c r="H880" s="127" t="n">
        <v>45995</v>
      </c>
      <c r="J880" s="38" t="inlineStr">
        <is>
          <t>0-4005</t>
        </is>
      </c>
      <c r="K880" t="inlineStr">
        <is>
          <t>TRAVEL E ROJAS 11/15/25</t>
        </is>
      </c>
      <c r="L880" t="n">
        <v>0</v>
      </c>
      <c r="M880" t="n">
        <v>0</v>
      </c>
      <c r="O880" t="inlineStr">
        <is>
          <t>20542</t>
        </is>
      </c>
      <c r="P880" t="inlineStr">
        <is>
          <t>CORPORATE TRAVELER</t>
        </is>
      </c>
      <c r="Q880" s="114" t="n">
        <v>0</v>
      </c>
      <c r="R880" s="114" t="n">
        <v>428.59</v>
      </c>
      <c r="S880" s="114" t="n">
        <v>0</v>
      </c>
      <c r="T880" t="n">
        <v>0</v>
      </c>
    </row>
    <row r="881">
      <c r="A881" t="inlineStr">
        <is>
          <t>ttJTrans</t>
        </is>
      </c>
      <c r="B881" s="38" t="inlineStr">
        <is>
          <t>0-4005</t>
        </is>
      </c>
      <c r="C881" t="inlineStr">
        <is>
          <t>OC</t>
        </is>
      </c>
      <c r="E881" t="inlineStr">
        <is>
          <t>OC</t>
        </is>
      </c>
      <c r="G881" s="128" t="inlineStr"/>
      <c r="H881" s="127" t="n">
        <v>45995</v>
      </c>
      <c r="J881" s="38" t="inlineStr">
        <is>
          <t>0-4005</t>
        </is>
      </c>
      <c r="K881" t="inlineStr">
        <is>
          <t>TRAVEL J RION 11/14/25</t>
        </is>
      </c>
      <c r="L881" t="n">
        <v>0</v>
      </c>
      <c r="M881" t="n">
        <v>0</v>
      </c>
      <c r="O881" t="inlineStr">
        <is>
          <t>20542</t>
        </is>
      </c>
      <c r="P881" t="inlineStr">
        <is>
          <t>CORPORATE TRAVELER</t>
        </is>
      </c>
      <c r="Q881" s="114" t="n">
        <v>0</v>
      </c>
      <c r="R881" s="114" t="n">
        <v>774.14</v>
      </c>
      <c r="S881" s="114" t="n">
        <v>0</v>
      </c>
      <c r="T881" t="n">
        <v>0</v>
      </c>
    </row>
    <row r="882">
      <c r="A882" t="inlineStr">
        <is>
          <t>ttJTrans</t>
        </is>
      </c>
      <c r="B882" s="38" t="inlineStr">
        <is>
          <t>0-4005</t>
        </is>
      </c>
      <c r="C882" t="inlineStr">
        <is>
          <t>OC</t>
        </is>
      </c>
      <c r="E882" t="inlineStr">
        <is>
          <t>OC</t>
        </is>
      </c>
      <c r="G882" s="128" t="inlineStr"/>
      <c r="H882" s="127" t="n">
        <v>45995</v>
      </c>
      <c r="J882" s="38" t="inlineStr">
        <is>
          <t>0-4005</t>
        </is>
      </c>
      <c r="K882" t="inlineStr">
        <is>
          <t>TRAVEL J TODD 11/14/25</t>
        </is>
      </c>
      <c r="L882" t="n">
        <v>0</v>
      </c>
      <c r="M882" t="n">
        <v>0</v>
      </c>
      <c r="O882" t="inlineStr">
        <is>
          <t>20542</t>
        </is>
      </c>
      <c r="P882" t="inlineStr">
        <is>
          <t>CORPORATE TRAVELER</t>
        </is>
      </c>
      <c r="Q882" s="114" t="n">
        <v>0</v>
      </c>
      <c r="R882" s="114" t="n">
        <v>40.2</v>
      </c>
      <c r="S882" s="114" t="n">
        <v>0</v>
      </c>
      <c r="T882" t="n">
        <v>0</v>
      </c>
    </row>
    <row r="883">
      <c r="A883" t="inlineStr">
        <is>
          <t>ttJTrans</t>
        </is>
      </c>
      <c r="B883" s="38" t="inlineStr">
        <is>
          <t>0-4005</t>
        </is>
      </c>
      <c r="C883" t="inlineStr">
        <is>
          <t>OC</t>
        </is>
      </c>
      <c r="E883" t="inlineStr">
        <is>
          <t>OC</t>
        </is>
      </c>
      <c r="G883" s="128" t="inlineStr"/>
      <c r="H883" s="127" t="n">
        <v>45995</v>
      </c>
      <c r="J883" s="38" t="inlineStr">
        <is>
          <t>0-4005</t>
        </is>
      </c>
      <c r="K883" t="inlineStr">
        <is>
          <t>TRAVEL K BELTRAM 11/15/25</t>
        </is>
      </c>
      <c r="L883" t="n">
        <v>0</v>
      </c>
      <c r="M883" t="n">
        <v>0</v>
      </c>
      <c r="O883" t="inlineStr">
        <is>
          <t>20542</t>
        </is>
      </c>
      <c r="P883" t="inlineStr">
        <is>
          <t>CORPORATE TRAVELER</t>
        </is>
      </c>
      <c r="Q883" s="114" t="n">
        <v>0</v>
      </c>
      <c r="R883" s="114" t="n">
        <v>20.1</v>
      </c>
      <c r="S883" s="114" t="n">
        <v>0</v>
      </c>
      <c r="T883" t="n">
        <v>0</v>
      </c>
    </row>
    <row r="884">
      <c r="A884" t="inlineStr">
        <is>
          <t>ttJTrans</t>
        </is>
      </c>
      <c r="B884" s="38" t="inlineStr">
        <is>
          <t>0-4005</t>
        </is>
      </c>
      <c r="C884" t="inlineStr">
        <is>
          <t>OC</t>
        </is>
      </c>
      <c r="E884" t="inlineStr">
        <is>
          <t>OC</t>
        </is>
      </c>
      <c r="G884" s="128" t="inlineStr"/>
      <c r="H884" s="127" t="n">
        <v>45992</v>
      </c>
      <c r="J884" s="38" t="inlineStr">
        <is>
          <t>0-4005</t>
        </is>
      </c>
      <c r="K884" t="inlineStr">
        <is>
          <t>TRAVEL G BIGLER 11/16/25</t>
        </is>
      </c>
      <c r="L884" t="n">
        <v>0</v>
      </c>
      <c r="M884" t="n">
        <v>0</v>
      </c>
      <c r="O884" t="inlineStr">
        <is>
          <t>20542</t>
        </is>
      </c>
      <c r="P884" t="inlineStr">
        <is>
          <t>CORPORATE TRAVELER</t>
        </is>
      </c>
      <c r="Q884" s="114" t="n">
        <v>0</v>
      </c>
      <c r="R884" s="114" t="n">
        <v>660.95</v>
      </c>
      <c r="S884" s="114" t="n">
        <v>0</v>
      </c>
      <c r="T884" t="n">
        <v>0</v>
      </c>
    </row>
    <row r="885">
      <c r="A885" t="inlineStr">
        <is>
          <t>ttJTrans</t>
        </is>
      </c>
      <c r="B885" s="38" t="inlineStr">
        <is>
          <t>0-4005</t>
        </is>
      </c>
      <c r="C885" t="inlineStr">
        <is>
          <t>OC</t>
        </is>
      </c>
      <c r="E885" t="inlineStr">
        <is>
          <t>OC</t>
        </is>
      </c>
      <c r="G885" s="128" t="inlineStr"/>
      <c r="H885" s="127" t="n">
        <v>45992</v>
      </c>
      <c r="J885" s="38" t="inlineStr">
        <is>
          <t>0-4005</t>
        </is>
      </c>
      <c r="K885" t="inlineStr">
        <is>
          <t>TRAVEL K BELTRAN 11/13/25</t>
        </is>
      </c>
      <c r="L885" t="n">
        <v>0</v>
      </c>
      <c r="M885" t="n">
        <v>0</v>
      </c>
      <c r="O885" t="inlineStr">
        <is>
          <t>20542</t>
        </is>
      </c>
      <c r="P885" t="inlineStr">
        <is>
          <t>CORPORATE TRAVELER</t>
        </is>
      </c>
      <c r="Q885" s="114" t="n">
        <v>0</v>
      </c>
      <c r="R885" s="114" t="n">
        <v>279.95</v>
      </c>
      <c r="S885" s="114" t="n">
        <v>0</v>
      </c>
      <c r="T885" t="n">
        <v>0</v>
      </c>
    </row>
    <row r="886">
      <c r="A886" t="inlineStr">
        <is>
          <t>ttJTrans</t>
        </is>
      </c>
      <c r="B886" s="38" t="inlineStr">
        <is>
          <t>0-4005</t>
        </is>
      </c>
      <c r="C886" t="inlineStr">
        <is>
          <t>OC</t>
        </is>
      </c>
      <c r="E886" t="inlineStr">
        <is>
          <t>OC</t>
        </is>
      </c>
      <c r="G886" s="128" t="inlineStr"/>
      <c r="H886" s="127" t="n">
        <v>45992</v>
      </c>
      <c r="J886" s="38" t="inlineStr">
        <is>
          <t>0-4005</t>
        </is>
      </c>
      <c r="K886" t="inlineStr">
        <is>
          <t>TRAVEL E ROJAS 11/13/25</t>
        </is>
      </c>
      <c r="L886" t="n">
        <v>0</v>
      </c>
      <c r="M886" t="n">
        <v>0</v>
      </c>
      <c r="O886" t="inlineStr">
        <is>
          <t>20542</t>
        </is>
      </c>
      <c r="P886" t="inlineStr">
        <is>
          <t>CORPORATE TRAVELER</t>
        </is>
      </c>
      <c r="Q886" s="114" t="n">
        <v>0</v>
      </c>
      <c r="R886" s="114" t="n">
        <v>317.98</v>
      </c>
      <c r="S886" s="114" t="n">
        <v>0</v>
      </c>
      <c r="T886" t="n">
        <v>0</v>
      </c>
    </row>
    <row r="887">
      <c r="A887" t="inlineStr">
        <is>
          <t>ttJTrans</t>
        </is>
      </c>
      <c r="B887" s="38" t="inlineStr">
        <is>
          <t>0-4005</t>
        </is>
      </c>
      <c r="C887" t="inlineStr">
        <is>
          <t>OC</t>
        </is>
      </c>
      <c r="E887" t="inlineStr">
        <is>
          <t>OC</t>
        </is>
      </c>
      <c r="G887" s="128" t="inlineStr"/>
      <c r="H887" s="127" t="n">
        <v>45992</v>
      </c>
      <c r="J887" s="38" t="inlineStr">
        <is>
          <t>0-4005</t>
        </is>
      </c>
      <c r="K887" t="inlineStr">
        <is>
          <t>TRAVEL J TODD 11/13/25</t>
        </is>
      </c>
      <c r="L887" t="n">
        <v>0</v>
      </c>
      <c r="M887" t="n">
        <v>0</v>
      </c>
      <c r="O887" t="inlineStr">
        <is>
          <t>20542</t>
        </is>
      </c>
      <c r="P887" t="inlineStr">
        <is>
          <t>CORPORATE TRAVELER</t>
        </is>
      </c>
      <c r="Q887" s="114" t="n">
        <v>0</v>
      </c>
      <c r="R887" s="114" t="n">
        <v>159.73</v>
      </c>
      <c r="S887" s="114" t="n">
        <v>0</v>
      </c>
      <c r="T887" t="n">
        <v>0</v>
      </c>
    </row>
    <row r="888">
      <c r="A888" t="inlineStr">
        <is>
          <t>ttJTrans</t>
        </is>
      </c>
      <c r="B888" s="38" t="inlineStr">
        <is>
          <t>0-4005</t>
        </is>
      </c>
      <c r="C888" t="inlineStr">
        <is>
          <t>OC</t>
        </is>
      </c>
      <c r="E888" t="inlineStr">
        <is>
          <t>OC</t>
        </is>
      </c>
      <c r="G888" s="128" t="inlineStr"/>
      <c r="H888" s="127" t="n">
        <v>45992</v>
      </c>
      <c r="J888" s="38" t="inlineStr">
        <is>
          <t>0-4005</t>
        </is>
      </c>
      <c r="K888" t="inlineStr">
        <is>
          <t>TRAVEL J ROJAS 11/13/25</t>
        </is>
      </c>
      <c r="L888" t="n">
        <v>0</v>
      </c>
      <c r="M888" t="n">
        <v>0</v>
      </c>
      <c r="O888" t="inlineStr">
        <is>
          <t>20542</t>
        </is>
      </c>
      <c r="P888" t="inlineStr">
        <is>
          <t>CORPORATE TRAVELER</t>
        </is>
      </c>
      <c r="Q888" s="114" t="n">
        <v>0</v>
      </c>
      <c r="R888" s="114" t="n">
        <v>319.47</v>
      </c>
      <c r="S888" s="114" t="n">
        <v>0</v>
      </c>
      <c r="T888" t="n">
        <v>0</v>
      </c>
    </row>
    <row r="889">
      <c r="A889" t="inlineStr">
        <is>
          <t>ttJTrans</t>
        </is>
      </c>
      <c r="B889" s="38" t="inlineStr">
        <is>
          <t>0-4005</t>
        </is>
      </c>
      <c r="C889" t="inlineStr">
        <is>
          <t>OC</t>
        </is>
      </c>
      <c r="E889" t="inlineStr">
        <is>
          <t>OC</t>
        </is>
      </c>
      <c r="G889" s="128" t="inlineStr"/>
      <c r="H889" s="127" t="n">
        <v>46000</v>
      </c>
      <c r="J889" s="38" t="inlineStr">
        <is>
          <t>0-4005</t>
        </is>
      </c>
      <c r="K889" t="inlineStr">
        <is>
          <t>TRAVEL J TODD 11/14/25</t>
        </is>
      </c>
      <c r="L889" t="n">
        <v>0</v>
      </c>
      <c r="M889" t="n">
        <v>0</v>
      </c>
      <c r="O889" t="inlineStr">
        <is>
          <t>20542</t>
        </is>
      </c>
      <c r="P889" t="inlineStr">
        <is>
          <t>CORPORATE TRAVELER</t>
        </is>
      </c>
      <c r="Q889" s="114" t="n">
        <v>0</v>
      </c>
      <c r="R889" s="114" t="n">
        <v>147.63</v>
      </c>
      <c r="S889" s="114" t="n">
        <v>0</v>
      </c>
      <c r="T889" t="n">
        <v>0</v>
      </c>
    </row>
    <row r="890">
      <c r="A890" t="inlineStr">
        <is>
          <t>ttJTrans</t>
        </is>
      </c>
      <c r="B890" s="38" t="inlineStr">
        <is>
          <t>0-4005</t>
        </is>
      </c>
      <c r="C890" t="inlineStr">
        <is>
          <t>OC</t>
        </is>
      </c>
      <c r="E890" t="inlineStr">
        <is>
          <t>OC</t>
        </is>
      </c>
      <c r="G890" s="128" t="inlineStr"/>
      <c r="H890" s="127" t="n">
        <v>46000</v>
      </c>
      <c r="J890" s="38" t="inlineStr">
        <is>
          <t>0-4005</t>
        </is>
      </c>
      <c r="K890" t="inlineStr">
        <is>
          <t>TRAVEL J ROJAS 11/15/25</t>
        </is>
      </c>
      <c r="L890" t="n">
        <v>0</v>
      </c>
      <c r="M890" t="n">
        <v>0</v>
      </c>
      <c r="O890" t="inlineStr">
        <is>
          <t>20542</t>
        </is>
      </c>
      <c r="P890" t="inlineStr">
        <is>
          <t>CORPORATE TRAVELER</t>
        </is>
      </c>
      <c r="Q890" s="114" t="n">
        <v>0</v>
      </c>
      <c r="R890" s="114" t="n">
        <v>20.1</v>
      </c>
      <c r="S890" s="114" t="n">
        <v>0</v>
      </c>
      <c r="T890" t="n">
        <v>0</v>
      </c>
    </row>
    <row r="891">
      <c r="A891" t="inlineStr">
        <is>
          <t>ttJTrans</t>
        </is>
      </c>
      <c r="B891" s="38" t="inlineStr">
        <is>
          <t>0-4005</t>
        </is>
      </c>
      <c r="C891" t="inlineStr">
        <is>
          <t>OC</t>
        </is>
      </c>
      <c r="E891" t="inlineStr">
        <is>
          <t>OC</t>
        </is>
      </c>
      <c r="G891" s="128" t="inlineStr"/>
      <c r="H891" s="127" t="n">
        <v>46000</v>
      </c>
      <c r="J891" s="38" t="inlineStr">
        <is>
          <t>0-4005</t>
        </is>
      </c>
      <c r="K891" t="inlineStr">
        <is>
          <t>TRAVEL J FLEMMING 11/16/25</t>
        </is>
      </c>
      <c r="L891" t="n">
        <v>0</v>
      </c>
      <c r="M891" t="n">
        <v>0</v>
      </c>
      <c r="O891" t="inlineStr">
        <is>
          <t>20542</t>
        </is>
      </c>
      <c r="P891" t="inlineStr">
        <is>
          <t>CORPORATE TRAVELER</t>
        </is>
      </c>
      <c r="Q891" s="114" t="n">
        <v>0</v>
      </c>
      <c r="R891" s="114" t="n">
        <v>1360.51</v>
      </c>
      <c r="S891" s="114" t="n">
        <v>0</v>
      </c>
      <c r="T891" t="n">
        <v>0</v>
      </c>
    </row>
    <row r="892">
      <c r="A892" t="inlineStr">
        <is>
          <t>ttJTrans</t>
        </is>
      </c>
      <c r="B892" s="38" t="inlineStr">
        <is>
          <t>0-4005</t>
        </is>
      </c>
      <c r="C892" t="inlineStr">
        <is>
          <t>OC</t>
        </is>
      </c>
      <c r="E892" t="inlineStr">
        <is>
          <t>OC</t>
        </is>
      </c>
      <c r="G892" s="128" t="inlineStr"/>
      <c r="H892" s="127" t="n">
        <v>46042</v>
      </c>
      <c r="J892" s="38" t="inlineStr">
        <is>
          <t>0-4005</t>
        </is>
      </c>
      <c r="K892" t="inlineStr">
        <is>
          <t>WEEKLY SHIPPING INVOICE</t>
        </is>
      </c>
      <c r="L892" t="n">
        <v>0</v>
      </c>
      <c r="M892" t="n">
        <v>0</v>
      </c>
      <c r="O892" t="inlineStr">
        <is>
          <t>12681</t>
        </is>
      </c>
      <c r="P892" t="inlineStr">
        <is>
          <t>FEDERAL EXPRESS CORPORATION</t>
        </is>
      </c>
      <c r="Q892" s="114" t="n">
        <v>0</v>
      </c>
      <c r="R892" s="114" t="n">
        <v>40.06</v>
      </c>
      <c r="S892" s="114" t="n">
        <v>0</v>
      </c>
      <c r="T892" t="n">
        <v>0</v>
      </c>
    </row>
    <row r="893">
      <c r="A893" t="inlineStr">
        <is>
          <t>ttJTrans</t>
        </is>
      </c>
      <c r="B893" s="38" t="inlineStr">
        <is>
          <t>0-4005</t>
        </is>
      </c>
      <c r="C893" t="inlineStr">
        <is>
          <t>OC</t>
        </is>
      </c>
      <c r="E893" t="inlineStr">
        <is>
          <t>OC</t>
        </is>
      </c>
      <c r="G893" s="128" t="inlineStr"/>
      <c r="H893" s="127" t="n">
        <v>46045</v>
      </c>
      <c r="J893" s="38" t="inlineStr">
        <is>
          <t>0-4005</t>
        </is>
      </c>
      <c r="K893" t="inlineStr">
        <is>
          <t>COMDATA 12/29/25 (SP) STARLINK INTERNET 12/21/25</t>
        </is>
      </c>
      <c r="L893" t="n">
        <v>0</v>
      </c>
      <c r="M893" t="n">
        <v>0</v>
      </c>
      <c r="O893" t="inlineStr">
        <is>
          <t>2230</t>
        </is>
      </c>
      <c r="Q893" s="114" t="n">
        <v>0</v>
      </c>
      <c r="R893" s="114" t="n">
        <v>165</v>
      </c>
      <c r="S893" s="114" t="n">
        <v>0</v>
      </c>
      <c r="T893" t="n">
        <v>0</v>
      </c>
    </row>
    <row r="894">
      <c r="A894" t="inlineStr">
        <is>
          <t>ttJTrans</t>
        </is>
      </c>
      <c r="B894" s="38" t="inlineStr">
        <is>
          <t>0-4005</t>
        </is>
      </c>
      <c r="C894" t="inlineStr">
        <is>
          <t>OC</t>
        </is>
      </c>
      <c r="E894" t="inlineStr">
        <is>
          <t>OC</t>
        </is>
      </c>
      <c r="G894" s="128" t="inlineStr"/>
      <c r="H894" s="127" t="n">
        <v>46051</v>
      </c>
      <c r="J894" s="38" t="inlineStr">
        <is>
          <t>0-4005</t>
        </is>
      </c>
      <c r="K894" t="inlineStr">
        <is>
          <t>WEEKLY SHIPPING INVOICE</t>
        </is>
      </c>
      <c r="L894" t="n">
        <v>0</v>
      </c>
      <c r="M894" t="n">
        <v>0</v>
      </c>
      <c r="O894" t="inlineStr">
        <is>
          <t>12681</t>
        </is>
      </c>
      <c r="P894" t="inlineStr">
        <is>
          <t>FEDERAL EXPRESS CORPORATION</t>
        </is>
      </c>
      <c r="Q894" s="114" t="n">
        <v>0</v>
      </c>
      <c r="R894" s="114" t="n">
        <v>22.5</v>
      </c>
      <c r="S894" s="114" t="n">
        <v>0</v>
      </c>
      <c r="T894" t="n">
        <v>0</v>
      </c>
    </row>
    <row r="895">
      <c r="A895" t="inlineStr">
        <is>
          <t>ttJTrans</t>
        </is>
      </c>
      <c r="B895" s="38" t="inlineStr">
        <is>
          <t>0-4005</t>
        </is>
      </c>
      <c r="C895" t="inlineStr">
        <is>
          <t>OC</t>
        </is>
      </c>
      <c r="E895" t="inlineStr">
        <is>
          <t>OC</t>
        </is>
      </c>
      <c r="G895" s="128" t="inlineStr"/>
      <c r="H895" s="127" t="n">
        <v>46062</v>
      </c>
      <c r="J895" s="38" t="inlineStr">
        <is>
          <t>0-4005</t>
        </is>
      </c>
      <c r="K895" t="inlineStr">
        <is>
          <t>DISA 2935584 FROM PREPAID</t>
        </is>
      </c>
      <c r="L895" t="n">
        <v>0</v>
      </c>
      <c r="M895" t="n">
        <v>0</v>
      </c>
      <c r="Q895" s="114" t="n">
        <v>0</v>
      </c>
      <c r="R895" s="114" t="n">
        <v>83.5</v>
      </c>
      <c r="S895" s="114" t="n">
        <v>0</v>
      </c>
      <c r="T895" t="n">
        <v>0</v>
      </c>
    </row>
    <row r="896">
      <c r="A896" t="inlineStr">
        <is>
          <t>ttJTrans</t>
        </is>
      </c>
      <c r="B896" s="38" t="inlineStr">
        <is>
          <t>0-4005</t>
        </is>
      </c>
      <c r="C896" t="inlineStr">
        <is>
          <t>OC</t>
        </is>
      </c>
      <c r="E896" t="inlineStr">
        <is>
          <t>OC</t>
        </is>
      </c>
      <c r="G896" s="128" t="inlineStr"/>
      <c r="H896" s="127" t="n">
        <v>46071</v>
      </c>
      <c r="J896" s="38" t="inlineStr">
        <is>
          <t>0-4005</t>
        </is>
      </c>
      <c r="K896" t="inlineStr">
        <is>
          <t>WEEKLY SHIPPING INVOICE</t>
        </is>
      </c>
      <c r="L896" t="n">
        <v>0</v>
      </c>
      <c r="M896" t="n">
        <v>0</v>
      </c>
      <c r="O896" t="inlineStr">
        <is>
          <t>12681</t>
        </is>
      </c>
      <c r="P896" t="inlineStr">
        <is>
          <t>FEDERAL EXPRESS CORPORATION</t>
        </is>
      </c>
      <c r="Q896" s="114" t="n">
        <v>0</v>
      </c>
      <c r="R896" s="114" t="n">
        <v>672.47</v>
      </c>
      <c r="S896" s="114" t="n">
        <v>0</v>
      </c>
      <c r="T896" t="n">
        <v>0</v>
      </c>
    </row>
    <row r="897">
      <c r="A897" t="inlineStr">
        <is>
          <t>ttJTrans</t>
        </is>
      </c>
      <c r="B897" s="38" t="inlineStr">
        <is>
          <t>0-4005</t>
        </is>
      </c>
      <c r="C897" t="inlineStr">
        <is>
          <t>OC</t>
        </is>
      </c>
      <c r="E897" t="inlineStr">
        <is>
          <t>OC</t>
        </is>
      </c>
      <c r="G897" s="128" t="inlineStr"/>
      <c r="H897" s="127" t="n">
        <v>46093</v>
      </c>
      <c r="J897" s="38" t="inlineStr">
        <is>
          <t>0-4005</t>
        </is>
      </c>
      <c r="K897" t="inlineStr">
        <is>
          <t>TRAVEL G BIGLER 3/15/26</t>
        </is>
      </c>
      <c r="L897" t="n">
        <v>0</v>
      </c>
      <c r="M897" t="n">
        <v>0</v>
      </c>
      <c r="O897" t="inlineStr">
        <is>
          <t>20542</t>
        </is>
      </c>
      <c r="P897" t="inlineStr">
        <is>
          <t>CORPORATE TRAVELER</t>
        </is>
      </c>
      <c r="Q897" s="114" t="n">
        <v>0</v>
      </c>
      <c r="R897" s="114" t="n">
        <v>850.99</v>
      </c>
      <c r="S897" s="114" t="n">
        <v>0</v>
      </c>
      <c r="T897" t="n">
        <v>0</v>
      </c>
    </row>
    <row r="898">
      <c r="A898" t="inlineStr">
        <is>
          <t>ttJTrans</t>
        </is>
      </c>
      <c r="B898" s="38" t="inlineStr">
        <is>
          <t>0-4005</t>
        </is>
      </c>
      <c r="C898" t="inlineStr">
        <is>
          <t>OC</t>
        </is>
      </c>
      <c r="E898" t="inlineStr">
        <is>
          <t>OC</t>
        </is>
      </c>
      <c r="G898" s="128" t="inlineStr"/>
      <c r="H898" s="127" t="n">
        <v>46093</v>
      </c>
      <c r="J898" s="38" t="inlineStr">
        <is>
          <t>0-4005</t>
        </is>
      </c>
      <c r="K898" t="inlineStr">
        <is>
          <t>TRAVEL J STEELMAN 3/10/26</t>
        </is>
      </c>
      <c r="L898" t="n">
        <v>0</v>
      </c>
      <c r="M898" t="n">
        <v>0</v>
      </c>
      <c r="O898" t="inlineStr">
        <is>
          <t>20542</t>
        </is>
      </c>
      <c r="P898" t="inlineStr">
        <is>
          <t>CORPORATE TRAVELER</t>
        </is>
      </c>
      <c r="Q898" s="114" t="n">
        <v>0</v>
      </c>
      <c r="R898" s="114" t="n">
        <v>1006.42</v>
      </c>
      <c r="S898" s="114" t="n">
        <v>0</v>
      </c>
      <c r="T898" t="n">
        <v>0</v>
      </c>
    </row>
    <row r="899">
      <c r="A899" t="inlineStr">
        <is>
          <t>ttJTrans</t>
        </is>
      </c>
      <c r="B899" s="38" t="inlineStr">
        <is>
          <t>0-4005</t>
        </is>
      </c>
      <c r="C899" t="inlineStr">
        <is>
          <t>OC</t>
        </is>
      </c>
      <c r="E899" t="inlineStr">
        <is>
          <t>OC</t>
        </is>
      </c>
      <c r="G899" s="128" t="inlineStr"/>
      <c r="H899" s="127" t="n">
        <v>46093</v>
      </c>
      <c r="J899" s="38" t="inlineStr">
        <is>
          <t>0-4005</t>
        </is>
      </c>
      <c r="K899" t="inlineStr">
        <is>
          <t>TRAVEL J BARTLES 3/9/26</t>
        </is>
      </c>
      <c r="L899" t="n">
        <v>0</v>
      </c>
      <c r="M899" t="n">
        <v>0</v>
      </c>
      <c r="O899" t="inlineStr">
        <is>
          <t>20542</t>
        </is>
      </c>
      <c r="P899" t="inlineStr">
        <is>
          <t>CORPORATE TRAVELER</t>
        </is>
      </c>
      <c r="Q899" s="114" t="n">
        <v>0</v>
      </c>
      <c r="R899" s="114" t="n">
        <v>1033.05</v>
      </c>
      <c r="S899" s="114" t="n">
        <v>0</v>
      </c>
      <c r="T899" t="n">
        <v>0</v>
      </c>
    </row>
    <row r="900">
      <c r="A900" t="inlineStr">
        <is>
          <t>ttJTrans</t>
        </is>
      </c>
      <c r="B900" s="38" t="inlineStr">
        <is>
          <t>0-4005</t>
        </is>
      </c>
      <c r="C900" t="inlineStr">
        <is>
          <t>OC</t>
        </is>
      </c>
      <c r="E900" t="inlineStr">
        <is>
          <t>OC</t>
        </is>
      </c>
      <c r="G900" s="128" t="inlineStr"/>
      <c r="H900" s="127" t="n">
        <v>46093</v>
      </c>
      <c r="J900" s="38" t="inlineStr">
        <is>
          <t>0-4005</t>
        </is>
      </c>
      <c r="K900" t="inlineStr">
        <is>
          <t>TRAVEL J RION 3/9/26</t>
        </is>
      </c>
      <c r="L900" t="n">
        <v>0</v>
      </c>
      <c r="M900" t="n">
        <v>0</v>
      </c>
      <c r="O900" t="inlineStr">
        <is>
          <t>20542</t>
        </is>
      </c>
      <c r="P900" t="inlineStr">
        <is>
          <t>CORPORATE TRAVELER</t>
        </is>
      </c>
      <c r="Q900" s="114" t="n">
        <v>0</v>
      </c>
      <c r="R900" s="114" t="n">
        <v>20.1</v>
      </c>
      <c r="S900" s="114" t="n">
        <v>0</v>
      </c>
      <c r="T900" t="n">
        <v>0</v>
      </c>
    </row>
    <row r="901">
      <c r="A901" t="inlineStr">
        <is>
          <t>ttJTrans</t>
        </is>
      </c>
      <c r="B901" s="38" t="inlineStr">
        <is>
          <t>0-4005</t>
        </is>
      </c>
      <c r="C901" t="inlineStr">
        <is>
          <t>OC</t>
        </is>
      </c>
      <c r="E901" t="inlineStr">
        <is>
          <t>OC</t>
        </is>
      </c>
      <c r="G901" s="128" t="inlineStr"/>
      <c r="H901" s="127" t="n">
        <v>46093</v>
      </c>
      <c r="J901" s="38" t="inlineStr">
        <is>
          <t>0-4005</t>
        </is>
      </c>
      <c r="K901" t="inlineStr">
        <is>
          <t>TRAVEL L COOLEY 2/26/26</t>
        </is>
      </c>
      <c r="L901" t="n">
        <v>0</v>
      </c>
      <c r="M901" t="n">
        <v>0</v>
      </c>
      <c r="O901" t="inlineStr">
        <is>
          <t>20542</t>
        </is>
      </c>
      <c r="P901" t="inlineStr">
        <is>
          <t>CORPORATE TRAVELER</t>
        </is>
      </c>
      <c r="Q901" s="114" t="n">
        <v>0</v>
      </c>
      <c r="R901" s="114" t="n">
        <v>156.72</v>
      </c>
      <c r="S901" s="114" t="n">
        <v>0</v>
      </c>
      <c r="T901" t="n">
        <v>0</v>
      </c>
    </row>
    <row r="902">
      <c r="A902" t="inlineStr">
        <is>
          <t>ttJTrans</t>
        </is>
      </c>
      <c r="B902" s="38" t="inlineStr">
        <is>
          <t>0-4005</t>
        </is>
      </c>
      <c r="C902" t="inlineStr">
        <is>
          <t>OC</t>
        </is>
      </c>
      <c r="E902" t="inlineStr">
        <is>
          <t>OC</t>
        </is>
      </c>
      <c r="G902" s="128" t="inlineStr"/>
      <c r="H902" s="127" t="n">
        <v>46093</v>
      </c>
      <c r="J902" s="38" t="inlineStr">
        <is>
          <t>0-4005</t>
        </is>
      </c>
      <c r="K902" t="inlineStr">
        <is>
          <t>TRAVEL J STEELMAN 2/26/26</t>
        </is>
      </c>
      <c r="L902" t="n">
        <v>0</v>
      </c>
      <c r="M902" t="n">
        <v>0</v>
      </c>
      <c r="O902" t="inlineStr">
        <is>
          <t>20542</t>
        </is>
      </c>
      <c r="P902" t="inlineStr">
        <is>
          <t>CORPORATE TRAVELER</t>
        </is>
      </c>
      <c r="Q902" s="114" t="n">
        <v>0</v>
      </c>
      <c r="R902" s="114" t="n">
        <v>141.98</v>
      </c>
      <c r="S902" s="114" t="n">
        <v>0</v>
      </c>
      <c r="T902" t="n">
        <v>0</v>
      </c>
    </row>
    <row r="903">
      <c r="A903" t="inlineStr">
        <is>
          <t>ttJTrans</t>
        </is>
      </c>
      <c r="B903" s="38" t="inlineStr">
        <is>
          <t>0-4005</t>
        </is>
      </c>
      <c r="C903" t="inlineStr">
        <is>
          <t>OC</t>
        </is>
      </c>
      <c r="E903" t="inlineStr">
        <is>
          <t>OC</t>
        </is>
      </c>
      <c r="G903" s="128" t="inlineStr"/>
      <c r="H903" s="127" t="n">
        <v>46093</v>
      </c>
      <c r="J903" s="38" t="inlineStr">
        <is>
          <t>0-4005</t>
        </is>
      </c>
      <c r="K903" t="inlineStr">
        <is>
          <t>TRAVEL L BIVENS 3/9/26</t>
        </is>
      </c>
      <c r="L903" t="n">
        <v>0</v>
      </c>
      <c r="M903" t="n">
        <v>0</v>
      </c>
      <c r="O903" t="inlineStr">
        <is>
          <t>20542</t>
        </is>
      </c>
      <c r="P903" t="inlineStr">
        <is>
          <t>CORPORATE TRAVELER</t>
        </is>
      </c>
      <c r="Q903" s="114" t="n">
        <v>0</v>
      </c>
      <c r="R903" s="114" t="n">
        <v>333.01</v>
      </c>
      <c r="S903" s="114" t="n">
        <v>0</v>
      </c>
      <c r="T903" t="n">
        <v>0</v>
      </c>
    </row>
    <row r="904">
      <c r="A904" t="inlineStr">
        <is>
          <t>ttJTrans</t>
        </is>
      </c>
      <c r="B904" s="38" t="inlineStr">
        <is>
          <t>0-4005</t>
        </is>
      </c>
      <c r="C904" t="inlineStr">
        <is>
          <t>OC</t>
        </is>
      </c>
      <c r="E904" t="inlineStr">
        <is>
          <t>OC</t>
        </is>
      </c>
      <c r="G904" s="128" t="inlineStr"/>
      <c r="H904" s="127" t="n">
        <v>46093</v>
      </c>
      <c r="J904" s="38" t="inlineStr">
        <is>
          <t>0-4005</t>
        </is>
      </c>
      <c r="K904" t="inlineStr">
        <is>
          <t>TRAVEL J RION 2/26/26</t>
        </is>
      </c>
      <c r="L904" t="n">
        <v>0</v>
      </c>
      <c r="M904" t="n">
        <v>0</v>
      </c>
      <c r="O904" t="inlineStr">
        <is>
          <t>20542</t>
        </is>
      </c>
      <c r="P904" t="inlineStr">
        <is>
          <t>CORPORATE TRAVELER</t>
        </is>
      </c>
      <c r="Q904" s="114" t="n">
        <v>0</v>
      </c>
      <c r="R904" s="114" t="n">
        <v>144.82</v>
      </c>
      <c r="S904" s="114" t="n">
        <v>0</v>
      </c>
      <c r="T904" t="n">
        <v>0</v>
      </c>
    </row>
    <row r="905">
      <c r="A905" t="inlineStr">
        <is>
          <t>ttJTrans</t>
        </is>
      </c>
      <c r="B905" s="38" t="inlineStr">
        <is>
          <t>0-4005</t>
        </is>
      </c>
      <c r="C905" t="inlineStr">
        <is>
          <t>OC</t>
        </is>
      </c>
      <c r="E905" t="inlineStr">
        <is>
          <t>OC</t>
        </is>
      </c>
      <c r="G905" s="128" t="inlineStr"/>
      <c r="H905" s="127" t="n">
        <v>46086</v>
      </c>
      <c r="J905" s="38" t="inlineStr">
        <is>
          <t>0-4005</t>
        </is>
      </c>
      <c r="K905" t="inlineStr">
        <is>
          <t>WEEKLY SHIPPING INVOICE</t>
        </is>
      </c>
      <c r="L905" t="n">
        <v>0</v>
      </c>
      <c r="M905" t="n">
        <v>0</v>
      </c>
      <c r="O905" t="inlineStr">
        <is>
          <t>12681</t>
        </is>
      </c>
      <c r="P905" t="inlineStr">
        <is>
          <t>FEDERAL EXPRESS CORPORATION</t>
        </is>
      </c>
      <c r="Q905" s="114" t="n">
        <v>0</v>
      </c>
      <c r="R905" s="114" t="n">
        <v>333.46</v>
      </c>
      <c r="S905" s="114" t="n">
        <v>0</v>
      </c>
      <c r="T905" t="n">
        <v>0</v>
      </c>
    </row>
    <row r="906">
      <c r="A906" t="inlineStr">
        <is>
          <t>ttJTrans</t>
        </is>
      </c>
      <c r="B906" s="38" t="inlineStr">
        <is>
          <t>0-4005</t>
        </is>
      </c>
      <c r="C906" t="inlineStr">
        <is>
          <t>OC</t>
        </is>
      </c>
      <c r="E906" t="inlineStr">
        <is>
          <t>OC</t>
        </is>
      </c>
      <c r="G906" s="128" t="inlineStr"/>
      <c r="H906" s="127" t="n">
        <v>46113</v>
      </c>
      <c r="J906" s="38" t="inlineStr">
        <is>
          <t>0-4005</t>
        </is>
      </c>
      <c r="K906" t="inlineStr">
        <is>
          <t>COMDATA 3/16/26 (LB) IAH WHATABURGER 3/06/26</t>
        </is>
      </c>
      <c r="L906" t="n">
        <v>0</v>
      </c>
      <c r="M906" t="n">
        <v>0</v>
      </c>
      <c r="O906" t="inlineStr">
        <is>
          <t>2265</t>
        </is>
      </c>
      <c r="Q906" s="114" t="n">
        <v>0</v>
      </c>
      <c r="R906" s="114" t="n">
        <v>11.32</v>
      </c>
      <c r="S906" s="114" t="n">
        <v>0</v>
      </c>
      <c r="T906" t="n">
        <v>0</v>
      </c>
    </row>
    <row r="907">
      <c r="A907" t="inlineStr">
        <is>
          <t>ttJTrans</t>
        </is>
      </c>
      <c r="B907" s="38" t="inlineStr">
        <is>
          <t>0-4005</t>
        </is>
      </c>
      <c r="C907" t="inlineStr">
        <is>
          <t>OC</t>
        </is>
      </c>
      <c r="E907" t="inlineStr">
        <is>
          <t>OC</t>
        </is>
      </c>
      <c r="G907" s="128" t="inlineStr"/>
      <c r="H907" s="127" t="n">
        <v>46113</v>
      </c>
      <c r="J907" s="38" t="inlineStr">
        <is>
          <t>0-4005</t>
        </is>
      </c>
      <c r="K907" t="inlineStr">
        <is>
          <t>COMDATA 3/16/26 (EU) CVS/PHARMACY #06738 3/10/26</t>
        </is>
      </c>
      <c r="L907" t="n">
        <v>0</v>
      </c>
      <c r="M907" t="n">
        <v>0</v>
      </c>
      <c r="O907" t="inlineStr">
        <is>
          <t>2265</t>
        </is>
      </c>
      <c r="Q907" s="114" t="n">
        <v>0</v>
      </c>
      <c r="R907" s="114" t="n">
        <v>17.89</v>
      </c>
      <c r="S907" s="114" t="n">
        <v>0</v>
      </c>
      <c r="T907" t="n">
        <v>0</v>
      </c>
    </row>
    <row r="908">
      <c r="A908" t="inlineStr">
        <is>
          <t>ttJTrans</t>
        </is>
      </c>
      <c r="B908" s="38" t="inlineStr">
        <is>
          <t>0-4005</t>
        </is>
      </c>
      <c r="C908" t="inlineStr">
        <is>
          <t>OC</t>
        </is>
      </c>
      <c r="E908" t="inlineStr">
        <is>
          <t>OC</t>
        </is>
      </c>
      <c r="G908" s="128" t="inlineStr"/>
      <c r="H908" s="127" t="n">
        <v>46113</v>
      </c>
      <c r="J908" s="38" t="inlineStr">
        <is>
          <t>0-4005</t>
        </is>
      </c>
      <c r="K908" t="inlineStr">
        <is>
          <t>COMDATA 3/16/26 (EU) MILAM DONUT SHOP 3/11/26</t>
        </is>
      </c>
      <c r="L908" t="n">
        <v>0</v>
      </c>
      <c r="M908" t="n">
        <v>0</v>
      </c>
      <c r="O908" t="inlineStr">
        <is>
          <t>2265</t>
        </is>
      </c>
      <c r="Q908" s="114" t="n">
        <v>0</v>
      </c>
      <c r="R908" s="114" t="n">
        <v>32</v>
      </c>
      <c r="S908" s="114" t="n">
        <v>0</v>
      </c>
      <c r="T908" t="n">
        <v>0</v>
      </c>
    </row>
    <row r="909">
      <c r="A909" t="inlineStr">
        <is>
          <t>ttJTrans</t>
        </is>
      </c>
      <c r="B909" s="38" t="inlineStr">
        <is>
          <t>0-4005</t>
        </is>
      </c>
      <c r="C909" t="inlineStr">
        <is>
          <t>OC</t>
        </is>
      </c>
      <c r="E909" t="inlineStr">
        <is>
          <t>OC</t>
        </is>
      </c>
      <c r="G909" s="128" t="inlineStr"/>
      <c r="H909" s="127" t="n">
        <v>46113</v>
      </c>
      <c r="J909" s="38" t="inlineStr">
        <is>
          <t>0-4005</t>
        </is>
      </c>
      <c r="K909" t="inlineStr">
        <is>
          <t>COMDATA 3/16/26 (EU) HINZES BARBQUE 3/11/26</t>
        </is>
      </c>
      <c r="L909" t="n">
        <v>0</v>
      </c>
      <c r="M909" t="n">
        <v>0</v>
      </c>
      <c r="O909" t="inlineStr">
        <is>
          <t>2265</t>
        </is>
      </c>
      <c r="Q909" s="114" t="n">
        <v>0</v>
      </c>
      <c r="R909" s="114" t="n">
        <v>235.99</v>
      </c>
      <c r="S909" s="114" t="n">
        <v>0</v>
      </c>
      <c r="T909" t="n">
        <v>0</v>
      </c>
    </row>
    <row r="910">
      <c r="A910" t="inlineStr">
        <is>
          <t>ttJTrans</t>
        </is>
      </c>
      <c r="B910" s="38" t="inlineStr">
        <is>
          <t>0-4005</t>
        </is>
      </c>
      <c r="C910" t="inlineStr">
        <is>
          <t>OC</t>
        </is>
      </c>
      <c r="E910" t="inlineStr">
        <is>
          <t>OC</t>
        </is>
      </c>
      <c r="G910" s="128" t="inlineStr"/>
      <c r="H910" s="127" t="n">
        <v>46113</v>
      </c>
      <c r="J910" s="38" t="inlineStr">
        <is>
          <t>0-4005</t>
        </is>
      </c>
      <c r="K910" t="inlineStr">
        <is>
          <t>COMDATA 3/16/26 (EU) PIZZA HUT 061673 3/12/26</t>
        </is>
      </c>
      <c r="L910" t="n">
        <v>0</v>
      </c>
      <c r="M910" t="n">
        <v>0</v>
      </c>
      <c r="O910" t="inlineStr">
        <is>
          <t>2265</t>
        </is>
      </c>
      <c r="Q910" s="114" t="n">
        <v>0</v>
      </c>
      <c r="R910" s="114" t="n">
        <v>83.58</v>
      </c>
      <c r="S910" s="114" t="n">
        <v>0</v>
      </c>
      <c r="T910" t="n">
        <v>0</v>
      </c>
    </row>
    <row r="911">
      <c r="A911" t="inlineStr">
        <is>
          <t>ttJTrans</t>
        </is>
      </c>
      <c r="B911" s="38" t="inlineStr">
        <is>
          <t>0-4005</t>
        </is>
      </c>
      <c r="C911" t="inlineStr">
        <is>
          <t>OC</t>
        </is>
      </c>
      <c r="E911" t="inlineStr">
        <is>
          <t>OC</t>
        </is>
      </c>
      <c r="G911" s="128" t="inlineStr"/>
      <c r="H911" s="127" t="n">
        <v>46113</v>
      </c>
      <c r="J911" s="38" t="inlineStr">
        <is>
          <t>0-4005</t>
        </is>
      </c>
      <c r="K911" t="inlineStr">
        <is>
          <t>COMDATA 3/16/26 (EU) MILAM DONUT SHOP 3/12/26</t>
        </is>
      </c>
      <c r="L911" t="n">
        <v>0</v>
      </c>
      <c r="M911" t="n">
        <v>0</v>
      </c>
      <c r="O911" t="inlineStr">
        <is>
          <t>2265</t>
        </is>
      </c>
      <c r="Q911" s="114" t="n">
        <v>0</v>
      </c>
      <c r="R911" s="114" t="n">
        <v>12.53</v>
      </c>
      <c r="S911" s="114" t="n">
        <v>0</v>
      </c>
      <c r="T911" t="n">
        <v>0</v>
      </c>
    </row>
    <row r="912">
      <c r="A912" t="inlineStr">
        <is>
          <t>ttJTrans</t>
        </is>
      </c>
      <c r="B912" s="38" t="inlineStr">
        <is>
          <t>0-4005</t>
        </is>
      </c>
      <c r="C912" t="inlineStr">
        <is>
          <t>OC</t>
        </is>
      </c>
      <c r="E912" t="inlineStr">
        <is>
          <t>OC</t>
        </is>
      </c>
      <c r="G912" s="128" t="inlineStr"/>
      <c r="H912" s="127" t="n">
        <v>46113</v>
      </c>
      <c r="J912" s="38" t="inlineStr">
        <is>
          <t>0-4005</t>
        </is>
      </c>
      <c r="K912" t="inlineStr">
        <is>
          <t>COMDATA 3/16/26 (LB) MEMPHISSHELBYAIRPORT 3/13/26</t>
        </is>
      </c>
      <c r="L912" t="n">
        <v>0</v>
      </c>
      <c r="M912" t="n">
        <v>0</v>
      </c>
      <c r="O912" t="inlineStr">
        <is>
          <t>2265</t>
        </is>
      </c>
      <c r="Q912" s="114" t="n">
        <v>0</v>
      </c>
      <c r="R912" s="114" t="n">
        <v>45</v>
      </c>
      <c r="S912" s="114" t="n">
        <v>0</v>
      </c>
      <c r="T912" t="n">
        <v>0</v>
      </c>
    </row>
    <row r="913">
      <c r="A913" t="inlineStr">
        <is>
          <t>ttJTrans</t>
        </is>
      </c>
      <c r="B913" s="38" t="inlineStr">
        <is>
          <t>0-4005</t>
        </is>
      </c>
      <c r="C913" t="inlineStr">
        <is>
          <t>OC</t>
        </is>
      </c>
      <c r="E913" t="inlineStr">
        <is>
          <t>OC</t>
        </is>
      </c>
      <c r="G913" s="128" t="inlineStr"/>
      <c r="H913" s="127" t="n">
        <v>46113</v>
      </c>
      <c r="J913" s="38" t="inlineStr">
        <is>
          <t>0-4005</t>
        </is>
      </c>
      <c r="K913" t="inlineStr">
        <is>
          <t>COMDATA 3/16/26 (DQ) HAMPTON INN 3/12/26</t>
        </is>
      </c>
      <c r="L913" t="n">
        <v>0</v>
      </c>
      <c r="M913" t="n">
        <v>0</v>
      </c>
      <c r="O913" t="inlineStr">
        <is>
          <t>2265</t>
        </is>
      </c>
      <c r="Q913" s="114" t="n">
        <v>0</v>
      </c>
      <c r="R913" s="114" t="n">
        <v>492.34</v>
      </c>
      <c r="S913" s="114" t="n">
        <v>0</v>
      </c>
      <c r="T913" t="n">
        <v>0</v>
      </c>
    </row>
    <row r="914">
      <c r="A914" t="inlineStr">
        <is>
          <t>ttJTrans</t>
        </is>
      </c>
      <c r="B914" s="38" t="inlineStr">
        <is>
          <t>0-4005</t>
        </is>
      </c>
      <c r="C914" t="inlineStr">
        <is>
          <t>OC</t>
        </is>
      </c>
      <c r="E914" t="inlineStr">
        <is>
          <t>OC</t>
        </is>
      </c>
      <c r="G914" s="128" t="inlineStr"/>
      <c r="H914" s="127" t="n">
        <v>46113</v>
      </c>
      <c r="J914" s="38" t="inlineStr">
        <is>
          <t>0-4005</t>
        </is>
      </c>
      <c r="K914" t="inlineStr">
        <is>
          <t>COMDATA 3/16/26 (JRION) O'REILLY 417 3/09/26</t>
        </is>
      </c>
      <c r="L914" t="n">
        <v>0</v>
      </c>
      <c r="M914" t="n">
        <v>0</v>
      </c>
      <c r="O914" t="inlineStr">
        <is>
          <t>2265</t>
        </is>
      </c>
      <c r="Q914" s="114" t="n">
        <v>0</v>
      </c>
      <c r="R914" s="114" t="n">
        <v>19.47</v>
      </c>
      <c r="S914" s="114" t="n">
        <v>0</v>
      </c>
      <c r="T914" t="n">
        <v>0</v>
      </c>
    </row>
    <row r="915">
      <c r="A915" t="inlineStr">
        <is>
          <t>ttJTrans</t>
        </is>
      </c>
      <c r="B915" s="38" t="inlineStr">
        <is>
          <t>0-4005</t>
        </is>
      </c>
      <c r="C915" t="inlineStr">
        <is>
          <t>OC</t>
        </is>
      </c>
      <c r="E915" t="inlineStr">
        <is>
          <t>OC</t>
        </is>
      </c>
      <c r="G915" s="128" t="inlineStr"/>
      <c r="H915" s="127" t="n">
        <v>46113</v>
      </c>
      <c r="J915" s="38" t="inlineStr">
        <is>
          <t>0-4005</t>
        </is>
      </c>
      <c r="K915" t="inlineStr">
        <is>
          <t>COMDATA 3/16/26 (JRION) 02855 - SPRINGFIELD BR 3/12/26</t>
        </is>
      </c>
      <c r="L915" t="n">
        <v>0</v>
      </c>
      <c r="M915" t="n">
        <v>0</v>
      </c>
      <c r="O915" t="inlineStr">
        <is>
          <t>2265</t>
        </is>
      </c>
      <c r="Q915" s="114" t="n">
        <v>0</v>
      </c>
      <c r="R915" s="114" t="n">
        <v>70</v>
      </c>
      <c r="S915" s="114" t="n">
        <v>0</v>
      </c>
      <c r="T915" t="n">
        <v>0</v>
      </c>
    </row>
    <row r="916">
      <c r="A916" t="inlineStr">
        <is>
          <t>ttJTrans</t>
        </is>
      </c>
      <c r="B916" s="38" t="inlineStr">
        <is>
          <t>0-4005</t>
        </is>
      </c>
      <c r="C916" t="inlineStr">
        <is>
          <t>OC</t>
        </is>
      </c>
      <c r="E916" t="inlineStr">
        <is>
          <t>OC</t>
        </is>
      </c>
      <c r="G916" s="128" t="inlineStr"/>
      <c r="H916" s="127" t="n">
        <v>46113</v>
      </c>
      <c r="J916" s="38" t="inlineStr">
        <is>
          <t>0-4005</t>
        </is>
      </c>
      <c r="K916" t="inlineStr">
        <is>
          <t>COMDATA 3/16/26 (EU) 9ER'S GRILL @ WHARTON 3/10/26</t>
        </is>
      </c>
      <c r="L916" t="n">
        <v>0</v>
      </c>
      <c r="M916" t="n">
        <v>0</v>
      </c>
      <c r="O916" t="inlineStr">
        <is>
          <t>2265</t>
        </is>
      </c>
      <c r="Q916" s="114" t="n">
        <v>0</v>
      </c>
      <c r="R916" s="114" t="n">
        <v>239.82</v>
      </c>
      <c r="S916" s="114" t="n">
        <v>0</v>
      </c>
      <c r="T916" t="n">
        <v>0</v>
      </c>
    </row>
    <row r="917">
      <c r="A917" t="inlineStr">
        <is>
          <t>ttJTrans</t>
        </is>
      </c>
      <c r="B917" s="38" t="inlineStr">
        <is>
          <t>0-4005</t>
        </is>
      </c>
      <c r="C917" t="inlineStr">
        <is>
          <t>OC</t>
        </is>
      </c>
      <c r="E917" t="inlineStr">
        <is>
          <t>OC</t>
        </is>
      </c>
      <c r="G917" s="128" t="inlineStr"/>
      <c r="H917" s="127" t="n">
        <v>46113</v>
      </c>
      <c r="J917" s="38" t="inlineStr">
        <is>
          <t>0-4005</t>
        </is>
      </c>
      <c r="K917" t="inlineStr">
        <is>
          <t>COMDATA 3/16/26 (LB) UNITED 3/08/26</t>
        </is>
      </c>
      <c r="L917" t="n">
        <v>0</v>
      </c>
      <c r="M917" t="n">
        <v>0</v>
      </c>
      <c r="O917" t="inlineStr">
        <is>
          <t>2265</t>
        </is>
      </c>
      <c r="Q917" s="114" t="n">
        <v>0</v>
      </c>
      <c r="R917" s="114" t="n">
        <v>40</v>
      </c>
      <c r="S917" s="114" t="n">
        <v>0</v>
      </c>
      <c r="T917" t="n">
        <v>0</v>
      </c>
    </row>
    <row r="918">
      <c r="A918" t="inlineStr">
        <is>
          <t>ttJTrans</t>
        </is>
      </c>
      <c r="B918" s="38" t="inlineStr">
        <is>
          <t>0-4005</t>
        </is>
      </c>
      <c r="C918" t="inlineStr">
        <is>
          <t>OC</t>
        </is>
      </c>
      <c r="E918" t="inlineStr">
        <is>
          <t>OC</t>
        </is>
      </c>
      <c r="G918" s="128" t="inlineStr"/>
      <c r="H918" s="127" t="n">
        <v>46113</v>
      </c>
      <c r="J918" s="38" t="inlineStr">
        <is>
          <t>0-4005</t>
        </is>
      </c>
      <c r="K918" t="inlineStr">
        <is>
          <t>COMDATA 3/16/26 (LB) LA CASONA MEXICAN REST 3/09/26</t>
        </is>
      </c>
      <c r="L918" t="n">
        <v>0</v>
      </c>
      <c r="M918" t="n">
        <v>0</v>
      </c>
      <c r="O918" t="inlineStr">
        <is>
          <t>2265</t>
        </is>
      </c>
      <c r="Q918" s="114" t="n">
        <v>0</v>
      </c>
      <c r="R918" s="114" t="n">
        <v>86.03</v>
      </c>
      <c r="S918" s="114" t="n">
        <v>0</v>
      </c>
      <c r="T918" t="n">
        <v>0</v>
      </c>
    </row>
    <row r="919">
      <c r="A919" t="inlineStr">
        <is>
          <t>ttJTrans</t>
        </is>
      </c>
      <c r="B919" s="38" t="inlineStr">
        <is>
          <t>0-4005</t>
        </is>
      </c>
      <c r="C919" t="inlineStr">
        <is>
          <t>OC</t>
        </is>
      </c>
      <c r="E919" t="inlineStr">
        <is>
          <t>OC</t>
        </is>
      </c>
      <c r="G919" s="128" t="inlineStr"/>
      <c r="H919" s="127" t="n">
        <v>46113</v>
      </c>
      <c r="J919" s="38" t="inlineStr">
        <is>
          <t>0-4005</t>
        </is>
      </c>
      <c r="K919" t="inlineStr">
        <is>
          <t>COMDATA 3/16/26 (LB) 9ER'S GRILL @ WHARTON 3/11/26</t>
        </is>
      </c>
      <c r="L919" t="n">
        <v>0</v>
      </c>
      <c r="M919" t="n">
        <v>0</v>
      </c>
      <c r="O919" t="inlineStr">
        <is>
          <t>2265</t>
        </is>
      </c>
      <c r="Q919" s="114" t="n">
        <v>0</v>
      </c>
      <c r="R919" s="114" t="n">
        <v>63.41</v>
      </c>
      <c r="S919" s="114" t="n">
        <v>0</v>
      </c>
      <c r="T919" t="n">
        <v>0</v>
      </c>
    </row>
    <row r="920">
      <c r="A920" t="inlineStr">
        <is>
          <t>ttJTrans</t>
        </is>
      </c>
      <c r="B920" s="38" t="inlineStr">
        <is>
          <t>0-4005</t>
        </is>
      </c>
      <c r="C920" t="inlineStr">
        <is>
          <t>OC</t>
        </is>
      </c>
      <c r="E920" t="inlineStr">
        <is>
          <t>OC</t>
        </is>
      </c>
      <c r="G920" s="128" t="inlineStr"/>
      <c r="H920" s="127" t="n">
        <v>46113</v>
      </c>
      <c r="J920" s="38" t="inlineStr">
        <is>
          <t>0-4005</t>
        </is>
      </c>
      <c r="K920" t="inlineStr">
        <is>
          <t>COMDATA 3/16/26 (LB) SALTGRASS ROCKWALL 3/12/26</t>
        </is>
      </c>
      <c r="L920" t="n">
        <v>0</v>
      </c>
      <c r="M920" t="n">
        <v>0</v>
      </c>
      <c r="O920" t="inlineStr">
        <is>
          <t>2265</t>
        </is>
      </c>
      <c r="Q920" s="114" t="n">
        <v>0</v>
      </c>
      <c r="R920" s="114" t="n">
        <v>222.87</v>
      </c>
      <c r="S920" s="114" t="n">
        <v>0</v>
      </c>
      <c r="T920" t="n">
        <v>0</v>
      </c>
    </row>
    <row r="921">
      <c r="A921" t="inlineStr">
        <is>
          <t>ttJTrans</t>
        </is>
      </c>
      <c r="B921" s="38" t="inlineStr">
        <is>
          <t>0-4005</t>
        </is>
      </c>
      <c r="C921" t="inlineStr">
        <is>
          <t>OC</t>
        </is>
      </c>
      <c r="E921" t="inlineStr">
        <is>
          <t>OC</t>
        </is>
      </c>
      <c r="G921" s="128" t="inlineStr"/>
      <c r="H921" s="127" t="n">
        <v>46113</v>
      </c>
      <c r="J921" s="38" t="inlineStr">
        <is>
          <t>0-4005</t>
        </is>
      </c>
      <c r="K921" t="inlineStr">
        <is>
          <t>COMDATA 3/16/26 (LB) KYOTO JAPANESE STEAKHO 3/12/26</t>
        </is>
      </c>
      <c r="L921" t="n">
        <v>0</v>
      </c>
      <c r="M921" t="n">
        <v>0</v>
      </c>
      <c r="O921" t="inlineStr">
        <is>
          <t>2265</t>
        </is>
      </c>
      <c r="Q921" s="114" t="n">
        <v>0</v>
      </c>
      <c r="R921" s="114" t="n">
        <v>212.67</v>
      </c>
      <c r="S921" s="114" t="n">
        <v>0</v>
      </c>
      <c r="T921" t="n">
        <v>0</v>
      </c>
    </row>
    <row r="922">
      <c r="A922" t="inlineStr">
        <is>
          <t>ttJTrans</t>
        </is>
      </c>
      <c r="B922" s="38" t="inlineStr">
        <is>
          <t>0-4005</t>
        </is>
      </c>
      <c r="C922" t="inlineStr">
        <is>
          <t>OC</t>
        </is>
      </c>
      <c r="E922" t="inlineStr">
        <is>
          <t>OC</t>
        </is>
      </c>
      <c r="G922" s="128" t="inlineStr"/>
      <c r="H922" s="127" t="n">
        <v>46113</v>
      </c>
      <c r="J922" s="38" t="inlineStr">
        <is>
          <t>0-4005</t>
        </is>
      </c>
      <c r="K922" t="inlineStr">
        <is>
          <t>COMDATA 3/16/26 (JB) RDUAA PUBLIC PARKING 3/12/26</t>
        </is>
      </c>
      <c r="L922" t="n">
        <v>0</v>
      </c>
      <c r="M922" t="n">
        <v>0</v>
      </c>
      <c r="O922" t="inlineStr">
        <is>
          <t>2265</t>
        </is>
      </c>
      <c r="Q922" s="114" t="n">
        <v>0</v>
      </c>
      <c r="R922" s="114" t="n">
        <v>78.75</v>
      </c>
      <c r="S922" s="114" t="n">
        <v>0</v>
      </c>
      <c r="T922" t="n">
        <v>0</v>
      </c>
    </row>
    <row r="923">
      <c r="A923" t="inlineStr">
        <is>
          <t>ttJTrans</t>
        </is>
      </c>
      <c r="B923" s="38" t="inlineStr">
        <is>
          <t>0-4005</t>
        </is>
      </c>
      <c r="C923" t="inlineStr">
        <is>
          <t>OC</t>
        </is>
      </c>
      <c r="E923" t="inlineStr">
        <is>
          <t>OC</t>
        </is>
      </c>
      <c r="G923" s="128" t="inlineStr"/>
      <c r="H923" s="127" t="n">
        <v>46104</v>
      </c>
      <c r="J923" s="38" t="inlineStr">
        <is>
          <t>0-4005</t>
        </is>
      </c>
      <c r="K923" t="inlineStr">
        <is>
          <t>JOHN STEELMAN EXPENSE REPORT</t>
        </is>
      </c>
      <c r="L923" t="n">
        <v>0</v>
      </c>
      <c r="M923" t="n">
        <v>0</v>
      </c>
      <c r="O923" t="inlineStr">
        <is>
          <t>21331</t>
        </is>
      </c>
      <c r="P923" t="inlineStr">
        <is>
          <t>STEELMAN, JOHN D</t>
        </is>
      </c>
      <c r="Q923" s="114" t="n">
        <v>0</v>
      </c>
      <c r="R923" s="114" t="n">
        <v>522.98</v>
      </c>
      <c r="S923" s="114" t="n">
        <v>0</v>
      </c>
      <c r="T923" t="n">
        <v>0</v>
      </c>
    </row>
    <row r="924">
      <c r="A924" t="inlineStr">
        <is>
          <t>ttJTrans</t>
        </is>
      </c>
      <c r="B924" s="38" t="inlineStr">
        <is>
          <t>0-4005</t>
        </is>
      </c>
      <c r="C924" t="inlineStr">
        <is>
          <t>OC</t>
        </is>
      </c>
      <c r="E924" t="inlineStr">
        <is>
          <t>OC</t>
        </is>
      </c>
      <c r="G924" s="128" t="inlineStr"/>
      <c r="H924" s="127" t="n">
        <v>46112</v>
      </c>
      <c r="J924" s="38" t="inlineStr">
        <is>
          <t>0-4005</t>
        </is>
      </c>
      <c r="K924" t="inlineStr">
        <is>
          <t>COMDATA 3/09/26 (DQ) HAMPTON INN 2/27/26</t>
        </is>
      </c>
      <c r="L924" t="n">
        <v>0</v>
      </c>
      <c r="M924" t="n">
        <v>0</v>
      </c>
      <c r="O924" t="inlineStr">
        <is>
          <t>2264</t>
        </is>
      </c>
      <c r="Q924" s="114" t="n">
        <v>0</v>
      </c>
      <c r="R924" s="114" t="n">
        <v>298.28</v>
      </c>
      <c r="S924" s="114" t="n">
        <v>0</v>
      </c>
      <c r="T924" t="n">
        <v>0</v>
      </c>
    </row>
    <row r="925">
      <c r="A925" t="inlineStr">
        <is>
          <t>ttJTrans</t>
        </is>
      </c>
      <c r="B925" s="38" t="inlineStr">
        <is>
          <t>0-4005</t>
        </is>
      </c>
      <c r="C925" t="inlineStr">
        <is>
          <t>OC</t>
        </is>
      </c>
      <c r="E925" t="inlineStr">
        <is>
          <t>OC</t>
        </is>
      </c>
      <c r="G925" s="128" t="inlineStr"/>
      <c r="H925" s="127" t="n">
        <v>46112</v>
      </c>
      <c r="J925" s="38" t="inlineStr">
        <is>
          <t>0-4005</t>
        </is>
      </c>
      <c r="K925" t="inlineStr">
        <is>
          <t>COMDATA 3/09/26 (AS) HAMPTON INN 2/27/26</t>
        </is>
      </c>
      <c r="L925" t="n">
        <v>0</v>
      </c>
      <c r="M925" t="n">
        <v>0</v>
      </c>
      <c r="O925" t="inlineStr">
        <is>
          <t>2264</t>
        </is>
      </c>
      <c r="Q925" s="114" t="n">
        <v>0</v>
      </c>
      <c r="R925" s="114" t="n">
        <v>146.58</v>
      </c>
      <c r="S925" s="114" t="n">
        <v>0</v>
      </c>
      <c r="T925" t="n">
        <v>0</v>
      </c>
    </row>
    <row r="926">
      <c r="A926" t="inlineStr">
        <is>
          <t>ttJTrans</t>
        </is>
      </c>
      <c r="B926" s="38" t="inlineStr">
        <is>
          <t>0-4005</t>
        </is>
      </c>
      <c r="C926" t="inlineStr">
        <is>
          <t>OC</t>
        </is>
      </c>
      <c r="E926" t="inlineStr">
        <is>
          <t>OC</t>
        </is>
      </c>
      <c r="G926" s="128" t="inlineStr"/>
      <c r="H926" s="127" t="n">
        <v>46112</v>
      </c>
      <c r="J926" s="38" t="inlineStr">
        <is>
          <t>0-4005</t>
        </is>
      </c>
      <c r="K926" t="inlineStr">
        <is>
          <t>TRAVEL J STEELMAN 3/10/26</t>
        </is>
      </c>
      <c r="L926" t="n">
        <v>0</v>
      </c>
      <c r="M926" t="n">
        <v>0</v>
      </c>
      <c r="O926" t="inlineStr">
        <is>
          <t>20542</t>
        </is>
      </c>
      <c r="P926" t="inlineStr">
        <is>
          <t>CORPORATE TRAVELER</t>
        </is>
      </c>
      <c r="Q926" s="114" t="n">
        <v>0</v>
      </c>
      <c r="R926" s="114" t="n">
        <v>205.32</v>
      </c>
      <c r="S926" s="114" t="n">
        <v>0</v>
      </c>
      <c r="T926" t="n">
        <v>0</v>
      </c>
    </row>
    <row r="927">
      <c r="A927" t="inlineStr">
        <is>
          <t>ttJTrans</t>
        </is>
      </c>
      <c r="B927" s="38" t="inlineStr">
        <is>
          <t>0-4005</t>
        </is>
      </c>
      <c r="C927" t="inlineStr">
        <is>
          <t>OC</t>
        </is>
      </c>
      <c r="E927" t="inlineStr">
        <is>
          <t>OC</t>
        </is>
      </c>
      <c r="G927" s="128" t="inlineStr"/>
      <c r="H927" s="127" t="n">
        <v>46113</v>
      </c>
      <c r="J927" s="38" t="inlineStr">
        <is>
          <t>0-4005</t>
        </is>
      </c>
      <c r="K927" t="inlineStr">
        <is>
          <t>JOHN STEELMAN EXPENSE REPORT</t>
        </is>
      </c>
      <c r="L927" t="n">
        <v>0</v>
      </c>
      <c r="M927" t="n">
        <v>0</v>
      </c>
      <c r="O927" t="inlineStr">
        <is>
          <t>21331</t>
        </is>
      </c>
      <c r="P927" t="inlineStr">
        <is>
          <t>STEELMAN, JOHN D</t>
        </is>
      </c>
      <c r="Q927" s="114" t="n">
        <v>0</v>
      </c>
      <c r="R927" s="114" t="n">
        <v>298.57</v>
      </c>
      <c r="S927" s="114" t="n">
        <v>0</v>
      </c>
      <c r="T927" t="n">
        <v>0</v>
      </c>
    </row>
    <row r="928">
      <c r="A928" t="inlineStr">
        <is>
          <t>ttJTrans</t>
        </is>
      </c>
      <c r="B928" s="38" t="inlineStr">
        <is>
          <t>0-4005</t>
        </is>
      </c>
      <c r="C928" t="inlineStr">
        <is>
          <t>OC</t>
        </is>
      </c>
      <c r="E928" t="inlineStr">
        <is>
          <t>OC</t>
        </is>
      </c>
      <c r="G928" s="128" t="inlineStr"/>
      <c r="H928" s="127" t="n">
        <v>46113</v>
      </c>
      <c r="J928" s="38" t="inlineStr">
        <is>
          <t>0-4005</t>
        </is>
      </c>
      <c r="K928" t="inlineStr">
        <is>
          <t>NICK SALINAS EXPENSE REPORT</t>
        </is>
      </c>
      <c r="L928" t="n">
        <v>0</v>
      </c>
      <c r="M928" t="n">
        <v>0</v>
      </c>
      <c r="O928" t="inlineStr">
        <is>
          <t>13193</t>
        </is>
      </c>
      <c r="P928" t="inlineStr">
        <is>
          <t>SALINAS, NICHOLAS A</t>
        </is>
      </c>
      <c r="Q928" s="114" t="n">
        <v>0</v>
      </c>
      <c r="R928" s="114" t="n">
        <v>408</v>
      </c>
      <c r="S928" s="114" t="n">
        <v>0</v>
      </c>
      <c r="T928" t="n">
        <v>0</v>
      </c>
    </row>
    <row r="929">
      <c r="A929" t="inlineStr">
        <is>
          <t>ttJTrans</t>
        </is>
      </c>
      <c r="B929" s="38" t="inlineStr">
        <is>
          <t>0-4005</t>
        </is>
      </c>
      <c r="C929" t="inlineStr">
        <is>
          <t>OC</t>
        </is>
      </c>
      <c r="E929" t="inlineStr">
        <is>
          <t>OC</t>
        </is>
      </c>
      <c r="G929" s="128" t="inlineStr"/>
      <c r="H929" s="127" t="n">
        <v>46113</v>
      </c>
      <c r="J929" s="38" t="inlineStr">
        <is>
          <t>0-4005</t>
        </is>
      </c>
      <c r="K929" t="inlineStr">
        <is>
          <t>CAR RENTAL J STEELMAN 3/10/26</t>
        </is>
      </c>
      <c r="L929" t="n">
        <v>0</v>
      </c>
      <c r="M929" t="n">
        <v>0</v>
      </c>
      <c r="O929" t="inlineStr">
        <is>
          <t>18873</t>
        </is>
      </c>
      <c r="P929" t="inlineStr">
        <is>
          <t>EAN SERVICES, LLC</t>
        </is>
      </c>
      <c r="Q929" s="114" t="n">
        <v>0</v>
      </c>
      <c r="R929" s="114" t="n">
        <v>173.12</v>
      </c>
      <c r="S929" s="114" t="n">
        <v>0</v>
      </c>
      <c r="T929" t="n">
        <v>0</v>
      </c>
    </row>
    <row r="930">
      <c r="A930" t="inlineStr">
        <is>
          <t>ttJTrans</t>
        </is>
      </c>
      <c r="B930" s="38" t="inlineStr">
        <is>
          <t>0-4005</t>
        </is>
      </c>
      <c r="C930" t="inlineStr">
        <is>
          <t>OC</t>
        </is>
      </c>
      <c r="E930" t="inlineStr">
        <is>
          <t>OC</t>
        </is>
      </c>
      <c r="G930" s="128" t="inlineStr"/>
      <c r="H930" s="127" t="n">
        <v>46142</v>
      </c>
      <c r="J930" s="38" t="inlineStr">
        <is>
          <t>0-4005</t>
        </is>
      </c>
      <c r="K930" t="inlineStr">
        <is>
          <t>1258 FM 442 ANNUAL EXTINGUISHER INSPECTION</t>
        </is>
      </c>
      <c r="L930" t="n">
        <v>0</v>
      </c>
      <c r="M930" t="n">
        <v>0</v>
      </c>
      <c r="O930" t="inlineStr">
        <is>
          <t>21395</t>
        </is>
      </c>
      <c r="P930" t="inlineStr">
        <is>
          <t>ALLIED FIRE PROTECTION, LLC</t>
        </is>
      </c>
      <c r="Q930" s="114" t="n">
        <v>0</v>
      </c>
      <c r="R930" s="114" t="n">
        <v>350</v>
      </c>
      <c r="S930" s="114" t="n">
        <v>0</v>
      </c>
      <c r="T930" t="n">
        <v>0</v>
      </c>
    </row>
    <row r="931">
      <c r="A931" t="inlineStr">
        <is>
          <t>ttJTrans</t>
        </is>
      </c>
      <c r="B931" s="38" t="inlineStr">
        <is>
          <t>0-4005</t>
        </is>
      </c>
      <c r="C931" t="inlineStr">
        <is>
          <t>OC</t>
        </is>
      </c>
      <c r="E931" t="inlineStr">
        <is>
          <t>OC</t>
        </is>
      </c>
      <c r="G931" s="128" t="inlineStr"/>
      <c r="H931" s="127" t="n">
        <v>46140</v>
      </c>
      <c r="J931" s="38" t="inlineStr">
        <is>
          <t>0-4005</t>
        </is>
      </c>
      <c r="K931" t="inlineStr">
        <is>
          <t>COMDATA 4/20/26 (EU) SQ *ABC SAFETY SOLUTIO 4/17/26</t>
        </is>
      </c>
      <c r="L931" t="n">
        <v>0</v>
      </c>
      <c r="M931" t="n">
        <v>0</v>
      </c>
      <c r="O931" t="inlineStr">
        <is>
          <t>2294</t>
        </is>
      </c>
      <c r="Q931" s="114" t="n">
        <v>0</v>
      </c>
      <c r="R931" s="114" t="n">
        <v>525</v>
      </c>
      <c r="S931" s="114" t="n">
        <v>0</v>
      </c>
      <c r="T931" t="n">
        <v>0</v>
      </c>
    </row>
    <row r="932">
      <c r="A932" t="inlineStr">
        <is>
          <t>ttJTrans</t>
        </is>
      </c>
      <c r="B932" s="38" t="inlineStr">
        <is>
          <t>0-4005</t>
        </is>
      </c>
      <c r="C932" t="inlineStr">
        <is>
          <t>OC</t>
        </is>
      </c>
      <c r="E932" t="inlineStr">
        <is>
          <t>OC</t>
        </is>
      </c>
      <c r="G932" s="128" t="inlineStr"/>
      <c r="H932" s="127" t="n">
        <v>46140</v>
      </c>
      <c r="J932" s="38" t="inlineStr">
        <is>
          <t>0-4005</t>
        </is>
      </c>
      <c r="K932" t="inlineStr">
        <is>
          <t>COMDATA 4/13/26 (EU) MILAM DONUT SHOP 4/06/26</t>
        </is>
      </c>
      <c r="L932" t="n">
        <v>0</v>
      </c>
      <c r="M932" t="n">
        <v>0</v>
      </c>
      <c r="O932" t="inlineStr">
        <is>
          <t>2293</t>
        </is>
      </c>
      <c r="Q932" s="114" t="n">
        <v>0</v>
      </c>
      <c r="R932" s="114" t="n">
        <v>12.53</v>
      </c>
      <c r="S932" s="114" t="n">
        <v>0</v>
      </c>
      <c r="T932" t="n">
        <v>0</v>
      </c>
    </row>
    <row r="933">
      <c r="A933" t="inlineStr">
        <is>
          <t>ttJTrans</t>
        </is>
      </c>
      <c r="B933" s="38" t="inlineStr">
        <is>
          <t>0-4005</t>
        </is>
      </c>
      <c r="C933" t="inlineStr">
        <is>
          <t>OC</t>
        </is>
      </c>
      <c r="E933" t="inlineStr">
        <is>
          <t>OC</t>
        </is>
      </c>
      <c r="G933" s="128" t="inlineStr"/>
      <c r="H933" s="127" t="n">
        <v>46140</v>
      </c>
      <c r="J933" s="38" t="inlineStr">
        <is>
          <t>0-4005</t>
        </is>
      </c>
      <c r="K933" t="inlineStr">
        <is>
          <t>COMDATA 4/13/26 (EU) DOLLAR-GENERAL #3445 4/06/26</t>
        </is>
      </c>
      <c r="L933" t="n">
        <v>0</v>
      </c>
      <c r="M933" t="n">
        <v>0</v>
      </c>
      <c r="O933" t="inlineStr">
        <is>
          <t>2293</t>
        </is>
      </c>
      <c r="Q933" s="114" t="n">
        <v>0</v>
      </c>
      <c r="R933" s="114" t="n">
        <v>22.3</v>
      </c>
      <c r="S933" s="114" t="n">
        <v>0</v>
      </c>
      <c r="T933" t="n">
        <v>0</v>
      </c>
    </row>
    <row r="934">
      <c r="A934" t="inlineStr">
        <is>
          <t>ttJTrans</t>
        </is>
      </c>
      <c r="B934" s="38" t="inlineStr">
        <is>
          <t>0-4005</t>
        </is>
      </c>
      <c r="C934" t="inlineStr">
        <is>
          <t>OC</t>
        </is>
      </c>
      <c r="E934" t="inlineStr">
        <is>
          <t>OC</t>
        </is>
      </c>
      <c r="G934" s="128" t="inlineStr"/>
      <c r="H934" s="127" t="n">
        <v>46140</v>
      </c>
      <c r="J934" s="38" t="inlineStr">
        <is>
          <t>0-4005</t>
        </is>
      </c>
      <c r="K934" t="inlineStr">
        <is>
          <t>COMDATA 4/13/26 (EU) MILAM DONUT SHOP 4/07/26</t>
        </is>
      </c>
      <c r="L934" t="n">
        <v>0</v>
      </c>
      <c r="M934" t="n">
        <v>0</v>
      </c>
      <c r="O934" t="inlineStr">
        <is>
          <t>2293</t>
        </is>
      </c>
      <c r="Q934" s="114" t="n">
        <v>0</v>
      </c>
      <c r="R934" s="114" t="n">
        <v>16.5</v>
      </c>
      <c r="S934" s="114" t="n">
        <v>0</v>
      </c>
      <c r="T934" t="n">
        <v>0</v>
      </c>
    </row>
    <row r="935">
      <c r="A935" t="inlineStr">
        <is>
          <t>ttJTrans</t>
        </is>
      </c>
      <c r="B935" s="38" t="inlineStr">
        <is>
          <t>0-4005</t>
        </is>
      </c>
      <c r="C935" t="inlineStr">
        <is>
          <t>OC</t>
        </is>
      </c>
      <c r="E935" t="inlineStr">
        <is>
          <t>OC</t>
        </is>
      </c>
      <c r="G935" s="128" t="inlineStr"/>
      <c r="H935" s="127" t="n">
        <v>46140</v>
      </c>
      <c r="J935" s="38" t="inlineStr">
        <is>
          <t>0-4005</t>
        </is>
      </c>
      <c r="K935" t="inlineStr">
        <is>
          <t>COMDATA 4/13/26 (EU) HINZE COUNTRY KITCHEN 4/07/26</t>
        </is>
      </c>
      <c r="L935" t="n">
        <v>0</v>
      </c>
      <c r="M935" t="n">
        <v>0</v>
      </c>
      <c r="O935" t="inlineStr">
        <is>
          <t>2293</t>
        </is>
      </c>
      <c r="Q935" s="114" t="n">
        <v>0</v>
      </c>
      <c r="R935" s="114" t="n">
        <v>129.35</v>
      </c>
      <c r="S935" s="114" t="n">
        <v>0</v>
      </c>
      <c r="T935" t="n">
        <v>0</v>
      </c>
    </row>
    <row r="936">
      <c r="A936" t="inlineStr">
        <is>
          <t>ttJTrans</t>
        </is>
      </c>
      <c r="B936" s="38" t="inlineStr">
        <is>
          <t>0-4005</t>
        </is>
      </c>
      <c r="C936" t="inlineStr">
        <is>
          <t>OC</t>
        </is>
      </c>
      <c r="E936" t="inlineStr">
        <is>
          <t>OC</t>
        </is>
      </c>
      <c r="G936" s="128" t="inlineStr"/>
      <c r="H936" s="127" t="n">
        <v>46119</v>
      </c>
      <c r="J936" s="38" t="inlineStr">
        <is>
          <t>0-4005</t>
        </is>
      </c>
      <c r="K936" t="inlineStr">
        <is>
          <t>WEEKLY SHIPPING INVOICE</t>
        </is>
      </c>
      <c r="L936" t="n">
        <v>0</v>
      </c>
      <c r="M936" t="n">
        <v>0</v>
      </c>
      <c r="O936" t="inlineStr">
        <is>
          <t>12681</t>
        </is>
      </c>
      <c r="P936" t="inlineStr">
        <is>
          <t>FEDERAL EXPRESS CORPORATION</t>
        </is>
      </c>
      <c r="Q936" s="114" t="n">
        <v>0</v>
      </c>
      <c r="R936" s="114" t="n">
        <v>71.66</v>
      </c>
      <c r="S936" s="114" t="n">
        <v>0</v>
      </c>
      <c r="T936" t="n">
        <v>0</v>
      </c>
    </row>
    <row r="937">
      <c r="A937" t="inlineStr">
        <is>
          <t>ttJTrans</t>
        </is>
      </c>
      <c r="B937" s="38" t="inlineStr">
        <is>
          <t>0-4005</t>
        </is>
      </c>
      <c r="C937" t="inlineStr">
        <is>
          <t>OC</t>
        </is>
      </c>
      <c r="E937" t="inlineStr">
        <is>
          <t>OC</t>
        </is>
      </c>
      <c r="G937" s="128" t="inlineStr"/>
      <c r="H937" s="127" t="n">
        <v>46132</v>
      </c>
      <c r="J937" s="38" t="inlineStr">
        <is>
          <t>0-4005</t>
        </is>
      </c>
      <c r="K937" t="inlineStr">
        <is>
          <t>NECS INVOICE 108206</t>
        </is>
      </c>
      <c r="L937" t="n">
        <v>0</v>
      </c>
      <c r="M937" t="n">
        <v>0</v>
      </c>
      <c r="Q937" s="114" t="n">
        <v>0</v>
      </c>
      <c r="R937" s="114" t="n">
        <v>23.25</v>
      </c>
      <c r="S937" s="114" t="n">
        <v>0</v>
      </c>
      <c r="T937" t="n">
        <v>0</v>
      </c>
    </row>
    <row r="938">
      <c r="A938" t="inlineStr">
        <is>
          <t>ttJTrans</t>
        </is>
      </c>
      <c r="B938" s="38" t="inlineStr">
        <is>
          <t>0-4005</t>
        </is>
      </c>
      <c r="C938" t="inlineStr">
        <is>
          <t>OC</t>
        </is>
      </c>
      <c r="E938" t="inlineStr">
        <is>
          <t>OC</t>
        </is>
      </c>
      <c r="G938" s="128" t="inlineStr"/>
      <c r="H938" s="127" t="n">
        <v>46125</v>
      </c>
      <c r="J938" s="38" t="inlineStr">
        <is>
          <t>0-4005</t>
        </is>
      </c>
      <c r="K938" t="inlineStr">
        <is>
          <t>WEEKLY SHIPPING INVOICE</t>
        </is>
      </c>
      <c r="L938" t="n">
        <v>0</v>
      </c>
      <c r="M938" t="n">
        <v>0</v>
      </c>
      <c r="O938" t="inlineStr">
        <is>
          <t>12681</t>
        </is>
      </c>
      <c r="P938" t="inlineStr">
        <is>
          <t>FEDERAL EXPRESS CORPORATION</t>
        </is>
      </c>
      <c r="Q938" s="114" t="n">
        <v>0</v>
      </c>
      <c r="R938" s="114" t="n">
        <v>31.54</v>
      </c>
      <c r="S938" s="114" t="n">
        <v>0</v>
      </c>
      <c r="T938" t="n">
        <v>0</v>
      </c>
    </row>
    <row r="939">
      <c r="A939" t="inlineStr">
        <is>
          <t>ttJTrans</t>
        </is>
      </c>
      <c r="B939" s="38" t="inlineStr">
        <is>
          <t>0-4005</t>
        </is>
      </c>
      <c r="C939" t="inlineStr">
        <is>
          <t>OC</t>
        </is>
      </c>
      <c r="E939" t="inlineStr">
        <is>
          <t>OC</t>
        </is>
      </c>
      <c r="G939" s="128" t="inlineStr"/>
      <c r="H939" s="127" t="n">
        <v>46126</v>
      </c>
      <c r="J939" s="38" t="inlineStr">
        <is>
          <t>0-4005</t>
        </is>
      </c>
      <c r="K939" t="inlineStr">
        <is>
          <t>AT&amp;T INVOICE 820105662X04032026</t>
        </is>
      </c>
      <c r="L939" t="n">
        <v>0</v>
      </c>
      <c r="M939" t="n">
        <v>0</v>
      </c>
      <c r="Q939" s="114" t="n">
        <v>0</v>
      </c>
      <c r="R939" s="114" t="n">
        <v>18.99</v>
      </c>
      <c r="S939" s="114" t="n">
        <v>0</v>
      </c>
      <c r="T939" t="n">
        <v>0</v>
      </c>
    </row>
    <row r="940">
      <c r="A940" t="inlineStr">
        <is>
          <t>ttJTrans</t>
        </is>
      </c>
      <c r="B940" s="38" t="inlineStr">
        <is>
          <t>0-4005</t>
        </is>
      </c>
      <c r="C940" t="inlineStr">
        <is>
          <t>OC</t>
        </is>
      </c>
      <c r="E940" t="inlineStr">
        <is>
          <t>OC</t>
        </is>
      </c>
      <c r="G940" s="128" t="inlineStr"/>
      <c r="H940" s="127" t="n">
        <v>46133</v>
      </c>
      <c r="J940" s="38" t="inlineStr">
        <is>
          <t>0-4005</t>
        </is>
      </c>
      <c r="K940" t="inlineStr">
        <is>
          <t>COMDATA 4/06/26 (EU) MILAM DONUT SHOP 4/01/26</t>
        </is>
      </c>
      <c r="L940" t="n">
        <v>0</v>
      </c>
      <c r="M940" t="n">
        <v>0</v>
      </c>
      <c r="O940" t="inlineStr">
        <is>
          <t>2285</t>
        </is>
      </c>
      <c r="Q940" s="114" t="n">
        <v>0</v>
      </c>
      <c r="R940" s="114" t="n">
        <v>16.42</v>
      </c>
      <c r="S940" s="114" t="n">
        <v>0</v>
      </c>
      <c r="T940" t="n">
        <v>0</v>
      </c>
    </row>
    <row r="941">
      <c r="A941" t="inlineStr">
        <is>
          <t>ttJTrans</t>
        </is>
      </c>
      <c r="B941" s="38" t="inlineStr">
        <is>
          <t>0-4005</t>
        </is>
      </c>
      <c r="C941" t="inlineStr">
        <is>
          <t>OC</t>
        </is>
      </c>
      <c r="E941" t="inlineStr">
        <is>
          <t>OC</t>
        </is>
      </c>
      <c r="G941" s="128" t="inlineStr"/>
      <c r="H941" s="127" t="n">
        <v>46133</v>
      </c>
      <c r="J941" s="38" t="inlineStr">
        <is>
          <t>0-4005</t>
        </is>
      </c>
      <c r="K941" t="inlineStr">
        <is>
          <t>COMDATA 4/06/26 (EU) FAMILY DOLLAR 4/01/26</t>
        </is>
      </c>
      <c r="L941" t="n">
        <v>0</v>
      </c>
      <c r="M941" t="n">
        <v>0</v>
      </c>
      <c r="O941" t="inlineStr">
        <is>
          <t>2285</t>
        </is>
      </c>
      <c r="Q941" s="114" t="n">
        <v>0</v>
      </c>
      <c r="R941" s="114" t="n">
        <v>22.84</v>
      </c>
      <c r="S941" s="114" t="n">
        <v>0</v>
      </c>
      <c r="T941" t="n">
        <v>0</v>
      </c>
    </row>
    <row r="942">
      <c r="A942" t="inlineStr">
        <is>
          <t>ttJTrans</t>
        </is>
      </c>
      <c r="B942" s="38" t="inlineStr">
        <is>
          <t>0-4005</t>
        </is>
      </c>
      <c r="C942" t="inlineStr">
        <is>
          <t>OC</t>
        </is>
      </c>
      <c r="E942" t="inlineStr">
        <is>
          <t>OC</t>
        </is>
      </c>
      <c r="G942" s="128" t="inlineStr"/>
      <c r="H942" s="127" t="n">
        <v>46133</v>
      </c>
      <c r="J942" s="38" t="inlineStr">
        <is>
          <t>0-4005</t>
        </is>
      </c>
      <c r="K942" t="inlineStr">
        <is>
          <t>COMDATA 4/06/26 (EU) MILAM DONUT SHOP 4/02/26</t>
        </is>
      </c>
      <c r="L942" t="n">
        <v>0</v>
      </c>
      <c r="M942" t="n">
        <v>0</v>
      </c>
      <c r="O942" t="inlineStr">
        <is>
          <t>2285</t>
        </is>
      </c>
      <c r="Q942" s="114" t="n">
        <v>0</v>
      </c>
      <c r="R942" s="114" t="n">
        <v>12.53</v>
      </c>
      <c r="S942" s="114" t="n">
        <v>0</v>
      </c>
      <c r="T942" t="n">
        <v>0</v>
      </c>
    </row>
    <row r="943">
      <c r="A943" t="inlineStr">
        <is>
          <t>ttJTrans</t>
        </is>
      </c>
      <c r="B943" s="38" t="inlineStr">
        <is>
          <t>0-4005</t>
        </is>
      </c>
      <c r="C943" t="inlineStr">
        <is>
          <t>OC</t>
        </is>
      </c>
      <c r="E943" t="inlineStr">
        <is>
          <t>OC</t>
        </is>
      </c>
      <c r="G943" s="128" t="inlineStr"/>
      <c r="H943" s="127" t="n">
        <v>46133</v>
      </c>
      <c r="J943" s="38" t="inlineStr">
        <is>
          <t>0-4005</t>
        </is>
      </c>
      <c r="K943" t="inlineStr">
        <is>
          <t>COMDATA 4/06/26 (EU) SORELLA'S 4/02/26</t>
        </is>
      </c>
      <c r="L943" t="n">
        <v>0</v>
      </c>
      <c r="M943" t="n">
        <v>0</v>
      </c>
      <c r="O943" t="inlineStr">
        <is>
          <t>2285</t>
        </is>
      </c>
      <c r="Q943" s="114" t="n">
        <v>0</v>
      </c>
      <c r="R943" s="114" t="n">
        <v>95.52</v>
      </c>
      <c r="S943" s="114" t="n">
        <v>0</v>
      </c>
      <c r="T943" t="n">
        <v>0</v>
      </c>
    </row>
    <row r="944">
      <c r="A944" t="inlineStr">
        <is>
          <t>ttJTrans</t>
        </is>
      </c>
      <c r="B944" s="38" t="inlineStr">
        <is>
          <t>0-4005</t>
        </is>
      </c>
      <c r="C944" t="inlineStr">
        <is>
          <t>OC</t>
        </is>
      </c>
      <c r="E944" t="inlineStr">
        <is>
          <t>OC</t>
        </is>
      </c>
      <c r="G944" s="128" t="inlineStr"/>
      <c r="H944" s="127" t="n">
        <v>46133</v>
      </c>
      <c r="J944" s="38" t="inlineStr">
        <is>
          <t>0-4005</t>
        </is>
      </c>
      <c r="K944" t="inlineStr">
        <is>
          <t>COMDATA 4/06/26 (LB) MEMPHISSHELBYAIRPORT 4/01/26</t>
        </is>
      </c>
      <c r="L944" t="n">
        <v>0</v>
      </c>
      <c r="M944" t="n">
        <v>0</v>
      </c>
      <c r="O944" t="inlineStr">
        <is>
          <t>2285</t>
        </is>
      </c>
      <c r="Q944" s="114" t="n">
        <v>0</v>
      </c>
      <c r="R944" s="114" t="n">
        <v>48</v>
      </c>
      <c r="S944" s="114" t="n">
        <v>0</v>
      </c>
      <c r="T944" t="n">
        <v>0</v>
      </c>
    </row>
    <row r="945">
      <c r="A945" t="inlineStr">
        <is>
          <t>ttJTrans</t>
        </is>
      </c>
      <c r="B945" s="38" t="inlineStr">
        <is>
          <t>0-4005</t>
        </is>
      </c>
      <c r="C945" t="inlineStr">
        <is>
          <t>OC</t>
        </is>
      </c>
      <c r="E945" t="inlineStr">
        <is>
          <t>OC</t>
        </is>
      </c>
      <c r="G945" s="128" t="inlineStr"/>
      <c r="H945" s="127" t="n">
        <v>46133</v>
      </c>
      <c r="J945" s="38" t="inlineStr">
        <is>
          <t>0-4005</t>
        </is>
      </c>
      <c r="K945" t="inlineStr">
        <is>
          <t>COMDATA 4/06/26 (DQ) HAMPTON INN 4/01/26</t>
        </is>
      </c>
      <c r="L945" t="n">
        <v>0</v>
      </c>
      <c r="M945" t="n">
        <v>0</v>
      </c>
      <c r="O945" t="inlineStr">
        <is>
          <t>2285</t>
        </is>
      </c>
      <c r="Q945" s="114" t="n">
        <v>0</v>
      </c>
      <c r="R945" s="114" t="n">
        <v>137.16</v>
      </c>
      <c r="S945" s="114" t="n">
        <v>0</v>
      </c>
      <c r="T945" t="n">
        <v>0</v>
      </c>
    </row>
    <row r="946">
      <c r="A946" t="inlineStr">
        <is>
          <t>ttJTrans</t>
        </is>
      </c>
      <c r="B946" s="38" t="inlineStr">
        <is>
          <t>0-4005</t>
        </is>
      </c>
      <c r="C946" t="inlineStr">
        <is>
          <t>OC</t>
        </is>
      </c>
      <c r="E946" t="inlineStr">
        <is>
          <t>OC</t>
        </is>
      </c>
      <c r="G946" s="128" t="inlineStr"/>
      <c r="H946" s="127" t="n">
        <v>46133</v>
      </c>
      <c r="J946" s="38" t="inlineStr">
        <is>
          <t>0-4005</t>
        </is>
      </c>
      <c r="K946" t="inlineStr">
        <is>
          <t>COMDATA 4/06/26 (JRION) 02855 - SPRINGFIELD BR 4/02/26</t>
        </is>
      </c>
      <c r="L946" t="n">
        <v>0</v>
      </c>
      <c r="M946" t="n">
        <v>0</v>
      </c>
      <c r="O946" t="inlineStr">
        <is>
          <t>2285</t>
        </is>
      </c>
      <c r="Q946" s="114" t="n">
        <v>0</v>
      </c>
      <c r="R946" s="114" t="n">
        <v>42</v>
      </c>
      <c r="S946" s="114" t="n">
        <v>0</v>
      </c>
      <c r="T946" t="n">
        <v>0</v>
      </c>
    </row>
    <row r="947">
      <c r="A947" t="inlineStr">
        <is>
          <t>ttJTrans</t>
        </is>
      </c>
      <c r="B947" s="38" t="inlineStr">
        <is>
          <t>0-4005</t>
        </is>
      </c>
      <c r="C947" t="inlineStr">
        <is>
          <t>OC</t>
        </is>
      </c>
      <c r="E947" t="inlineStr">
        <is>
          <t>OC</t>
        </is>
      </c>
      <c r="G947" s="128" t="inlineStr"/>
      <c r="H947" s="127" t="n">
        <v>46133</v>
      </c>
      <c r="J947" s="38" t="inlineStr">
        <is>
          <t>0-4005</t>
        </is>
      </c>
      <c r="K947" t="inlineStr">
        <is>
          <t>COMDATA 4/06/26 (EU) TX WHARTON UTILITY 3/30/26</t>
        </is>
      </c>
      <c r="L947" t="n">
        <v>0</v>
      </c>
      <c r="M947" t="n">
        <v>0</v>
      </c>
      <c r="O947" t="inlineStr">
        <is>
          <t>2285</t>
        </is>
      </c>
      <c r="Q947" s="114" t="n">
        <v>0</v>
      </c>
      <c r="R947" s="114" t="n">
        <v>810</v>
      </c>
      <c r="S947" s="114" t="n">
        <v>0</v>
      </c>
      <c r="T947" t="n">
        <v>0</v>
      </c>
    </row>
    <row r="948">
      <c r="A948" t="inlineStr">
        <is>
          <t>ttJTrans</t>
        </is>
      </c>
      <c r="B948" s="38" t="inlineStr">
        <is>
          <t>0-4005</t>
        </is>
      </c>
      <c r="C948" t="inlineStr">
        <is>
          <t>OC</t>
        </is>
      </c>
      <c r="E948" t="inlineStr">
        <is>
          <t>OC</t>
        </is>
      </c>
      <c r="G948" s="128" t="inlineStr"/>
      <c r="H948" s="127" t="n">
        <v>46133</v>
      </c>
      <c r="J948" s="38" t="inlineStr">
        <is>
          <t>0-4005</t>
        </is>
      </c>
      <c r="K948" t="inlineStr">
        <is>
          <t>COMDATA 4/06/26 (EU) 9ER'S GRILL @ WHARTON 4/01/26</t>
        </is>
      </c>
      <c r="L948" t="n">
        <v>0</v>
      </c>
      <c r="M948" t="n">
        <v>0</v>
      </c>
      <c r="O948" t="inlineStr">
        <is>
          <t>2285</t>
        </is>
      </c>
      <c r="Q948" s="114" t="n">
        <v>0</v>
      </c>
      <c r="R948" s="114" t="n">
        <v>246.25</v>
      </c>
      <c r="S948" s="114" t="n">
        <v>0</v>
      </c>
      <c r="T948" t="n">
        <v>0</v>
      </c>
    </row>
    <row r="949">
      <c r="A949" t="inlineStr">
        <is>
          <t>ttJTrans</t>
        </is>
      </c>
      <c r="B949" s="38" t="inlineStr">
        <is>
          <t>0-4005</t>
        </is>
      </c>
      <c r="C949" t="inlineStr">
        <is>
          <t>OC</t>
        </is>
      </c>
      <c r="E949" t="inlineStr">
        <is>
          <t>OC</t>
        </is>
      </c>
      <c r="G949" s="128" t="inlineStr"/>
      <c r="H949" s="127" t="n">
        <v>46133</v>
      </c>
      <c r="J949" s="38" t="inlineStr">
        <is>
          <t>0-4005</t>
        </is>
      </c>
      <c r="K949" t="inlineStr">
        <is>
          <t>COMDATA 4/06/26 (LB) UBER   *TRIP 3/30/26</t>
        </is>
      </c>
      <c r="L949" t="n">
        <v>0</v>
      </c>
      <c r="M949" t="n">
        <v>0</v>
      </c>
      <c r="O949" t="inlineStr">
        <is>
          <t>2285</t>
        </is>
      </c>
      <c r="Q949" s="114" t="n">
        <v>0</v>
      </c>
      <c r="R949" s="114" t="n">
        <v>3.1</v>
      </c>
      <c r="S949" s="114" t="n">
        <v>0</v>
      </c>
      <c r="T949" t="n">
        <v>0</v>
      </c>
    </row>
    <row r="950">
      <c r="A950" t="inlineStr">
        <is>
          <t>ttJTrans</t>
        </is>
      </c>
      <c r="B950" s="38" t="inlineStr">
        <is>
          <t>0-4005</t>
        </is>
      </c>
      <c r="C950" t="inlineStr">
        <is>
          <t>OC</t>
        </is>
      </c>
      <c r="E950" t="inlineStr">
        <is>
          <t>OC</t>
        </is>
      </c>
      <c r="G950" s="128" t="inlineStr"/>
      <c r="H950" s="127" t="n">
        <v>46133</v>
      </c>
      <c r="J950" s="38" t="inlineStr">
        <is>
          <t>0-4005</t>
        </is>
      </c>
      <c r="K950" t="inlineStr">
        <is>
          <t>COMDATA 4/06/26 (LB) OJOS LOCOS SPORTS 6001 3/30/26</t>
        </is>
      </c>
      <c r="L950" t="n">
        <v>0</v>
      </c>
      <c r="M950" t="n">
        <v>0</v>
      </c>
      <c r="O950" t="inlineStr">
        <is>
          <t>2285</t>
        </is>
      </c>
      <c r="Q950" s="114" t="n">
        <v>0</v>
      </c>
      <c r="R950" s="114" t="n">
        <v>63.57</v>
      </c>
      <c r="S950" s="114" t="n">
        <v>0</v>
      </c>
      <c r="T950" t="n">
        <v>0</v>
      </c>
    </row>
    <row r="951">
      <c r="A951" t="inlineStr">
        <is>
          <t>ttJTrans</t>
        </is>
      </c>
      <c r="B951" s="38" t="inlineStr">
        <is>
          <t>0-4005</t>
        </is>
      </c>
      <c r="C951" t="inlineStr">
        <is>
          <t>OC</t>
        </is>
      </c>
      <c r="E951" t="inlineStr">
        <is>
          <t>OC</t>
        </is>
      </c>
      <c r="G951" s="128" t="inlineStr"/>
      <c r="H951" s="127" t="n">
        <v>46133</v>
      </c>
      <c r="J951" s="38" t="inlineStr">
        <is>
          <t>0-4005</t>
        </is>
      </c>
      <c r="K951" t="inlineStr">
        <is>
          <t>COMDATA 4/06/26 (LB) IAH CN BAM BAM 3/30/26</t>
        </is>
      </c>
      <c r="L951" t="n">
        <v>0</v>
      </c>
      <c r="M951" t="n">
        <v>0</v>
      </c>
      <c r="O951" t="inlineStr">
        <is>
          <t>2285</t>
        </is>
      </c>
      <c r="Q951" s="114" t="n">
        <v>0</v>
      </c>
      <c r="R951" s="114" t="n">
        <v>64.94</v>
      </c>
      <c r="S951" s="114" t="n">
        <v>0</v>
      </c>
      <c r="T951" t="n">
        <v>0</v>
      </c>
    </row>
    <row r="952">
      <c r="A952" t="inlineStr">
        <is>
          <t>ttJTrans</t>
        </is>
      </c>
      <c r="B952" s="38" t="inlineStr">
        <is>
          <t>0-4005</t>
        </is>
      </c>
      <c r="C952" t="inlineStr">
        <is>
          <t>OC</t>
        </is>
      </c>
      <c r="E952" t="inlineStr">
        <is>
          <t>OC</t>
        </is>
      </c>
      <c r="G952" s="128" t="inlineStr"/>
      <c r="H952" s="127" t="n">
        <v>46133</v>
      </c>
      <c r="J952" s="38" t="inlineStr">
        <is>
          <t>0-4005</t>
        </is>
      </c>
      <c r="K952" t="inlineStr">
        <is>
          <t>COMDATA 4/06/26 (LB) UBER   *TRIP 3/31/26</t>
        </is>
      </c>
      <c r="L952" t="n">
        <v>0</v>
      </c>
      <c r="M952" t="n">
        <v>0</v>
      </c>
      <c r="O952" t="inlineStr">
        <is>
          <t>2285</t>
        </is>
      </c>
      <c r="Q952" s="114" t="n">
        <v>0</v>
      </c>
      <c r="R952" s="114" t="n">
        <v>5.99</v>
      </c>
      <c r="S952" s="114" t="n">
        <v>0</v>
      </c>
      <c r="T952" t="n">
        <v>0</v>
      </c>
    </row>
    <row r="953">
      <c r="A953" t="inlineStr">
        <is>
          <t>ttJTrans</t>
        </is>
      </c>
      <c r="B953" s="38" t="inlineStr">
        <is>
          <t>0-4005</t>
        </is>
      </c>
      <c r="C953" t="inlineStr">
        <is>
          <t>OC</t>
        </is>
      </c>
      <c r="E953" t="inlineStr">
        <is>
          <t>OC</t>
        </is>
      </c>
      <c r="G953" s="128" t="inlineStr"/>
      <c r="H953" s="127" t="n">
        <v>46133</v>
      </c>
      <c r="J953" s="38" t="inlineStr">
        <is>
          <t>0-4005</t>
        </is>
      </c>
      <c r="K953" t="inlineStr">
        <is>
          <t>COMDATA 4/06/26 (LB) UBER   *TRIP 3/31/26</t>
        </is>
      </c>
      <c r="L953" t="n">
        <v>0</v>
      </c>
      <c r="M953" t="n">
        <v>0</v>
      </c>
      <c r="O953" t="inlineStr">
        <is>
          <t>2285</t>
        </is>
      </c>
      <c r="Q953" s="114" t="n">
        <v>0</v>
      </c>
      <c r="R953" s="114" t="n">
        <v>29.95</v>
      </c>
      <c r="S953" s="114" t="n">
        <v>0</v>
      </c>
      <c r="T953" t="n">
        <v>0</v>
      </c>
    </row>
    <row r="954">
      <c r="A954" t="inlineStr">
        <is>
          <t>ttJTrans</t>
        </is>
      </c>
      <c r="B954" s="38" t="inlineStr">
        <is>
          <t>0-4005</t>
        </is>
      </c>
      <c r="C954" t="inlineStr">
        <is>
          <t>OC</t>
        </is>
      </c>
      <c r="E954" t="inlineStr">
        <is>
          <t>OC</t>
        </is>
      </c>
      <c r="G954" s="128" t="inlineStr"/>
      <c r="H954" s="127" t="n">
        <v>46133</v>
      </c>
      <c r="J954" s="38" t="inlineStr">
        <is>
          <t>0-4005</t>
        </is>
      </c>
      <c r="K954" t="inlineStr">
        <is>
          <t>COMDATA 4/06/26 (LB) UBER   *TRIP 3/30/26</t>
        </is>
      </c>
      <c r="L954" t="n">
        <v>0</v>
      </c>
      <c r="M954" t="n">
        <v>0</v>
      </c>
      <c r="O954" t="inlineStr">
        <is>
          <t>2285</t>
        </is>
      </c>
      <c r="Q954" s="114" t="n">
        <v>0</v>
      </c>
      <c r="R954" s="114" t="n">
        <v>29.4</v>
      </c>
      <c r="S954" s="114" t="n">
        <v>0</v>
      </c>
      <c r="T954" t="n">
        <v>0</v>
      </c>
    </row>
    <row r="955">
      <c r="A955" t="inlineStr">
        <is>
          <t>ttJTrans</t>
        </is>
      </c>
      <c r="B955" s="38" t="inlineStr">
        <is>
          <t>0-4005</t>
        </is>
      </c>
      <c r="C955" t="inlineStr">
        <is>
          <t>OC</t>
        </is>
      </c>
      <c r="E955" t="inlineStr">
        <is>
          <t>OC</t>
        </is>
      </c>
      <c r="G955" s="128" t="inlineStr"/>
      <c r="H955" s="127" t="n">
        <v>46126</v>
      </c>
      <c r="J955" s="38" t="inlineStr">
        <is>
          <t>0-4005</t>
        </is>
      </c>
      <c r="K955" t="inlineStr">
        <is>
          <t>COMDATA 3/23/26 (AS) MACHS RESTAURANT 3/20/26</t>
        </is>
      </c>
      <c r="L955" t="n">
        <v>0</v>
      </c>
      <c r="M955" t="n">
        <v>0</v>
      </c>
      <c r="O955" t="inlineStr">
        <is>
          <t>2282</t>
        </is>
      </c>
      <c r="Q955" s="114" t="n">
        <v>0</v>
      </c>
      <c r="R955" s="114" t="n">
        <v>95.79000000000001</v>
      </c>
      <c r="S955" s="114" t="n">
        <v>0</v>
      </c>
      <c r="T955" t="n">
        <v>0</v>
      </c>
    </row>
    <row r="956">
      <c r="A956" t="inlineStr">
        <is>
          <t>ttJTrans</t>
        </is>
      </c>
      <c r="B956" s="38" t="inlineStr">
        <is>
          <t>0-4005</t>
        </is>
      </c>
      <c r="C956" t="inlineStr">
        <is>
          <t>OC</t>
        </is>
      </c>
      <c r="E956" t="inlineStr">
        <is>
          <t>OC</t>
        </is>
      </c>
      <c r="G956" s="128" t="inlineStr"/>
      <c r="H956" s="127" t="n">
        <v>46127</v>
      </c>
      <c r="J956" s="38" t="inlineStr">
        <is>
          <t>0-4005</t>
        </is>
      </c>
      <c r="K956" t="inlineStr">
        <is>
          <t>DISA INV 2971779</t>
        </is>
      </c>
      <c r="L956" t="n">
        <v>0</v>
      </c>
      <c r="M956" t="n">
        <v>0</v>
      </c>
      <c r="Q956" s="114" t="n">
        <v>0</v>
      </c>
      <c r="R956" s="114" t="n">
        <v>141.75</v>
      </c>
      <c r="S956" s="114" t="n">
        <v>0</v>
      </c>
      <c r="T956" t="n">
        <v>0</v>
      </c>
    </row>
    <row r="957">
      <c r="A957" t="inlineStr">
        <is>
          <t>ttJTrans</t>
        </is>
      </c>
      <c r="B957" s="38" t="inlineStr">
        <is>
          <t>0-4005</t>
        </is>
      </c>
      <c r="C957" t="inlineStr">
        <is>
          <t>OC</t>
        </is>
      </c>
      <c r="E957" t="inlineStr">
        <is>
          <t>OC</t>
        </is>
      </c>
      <c r="G957" s="128" t="inlineStr"/>
      <c r="H957" s="127" t="n">
        <v>46126</v>
      </c>
      <c r="J957" s="38" t="inlineStr">
        <is>
          <t>0-4005</t>
        </is>
      </c>
      <c r="K957" t="inlineStr">
        <is>
          <t>COMDATA 3/23/26 (JB) RDUAA PUBLIC PARKING 3/16/26</t>
        </is>
      </c>
      <c r="L957" t="n">
        <v>0</v>
      </c>
      <c r="M957" t="n">
        <v>0</v>
      </c>
      <c r="O957" t="inlineStr">
        <is>
          <t>2282</t>
        </is>
      </c>
      <c r="Q957" s="114" t="n">
        <v>0</v>
      </c>
      <c r="R957" s="114" t="n">
        <v>15.75</v>
      </c>
      <c r="S957" s="114" t="n">
        <v>0</v>
      </c>
      <c r="T957" t="n">
        <v>0</v>
      </c>
    </row>
    <row r="958">
      <c r="A958" t="inlineStr">
        <is>
          <t>ttJTrans</t>
        </is>
      </c>
      <c r="B958" s="38" t="inlineStr">
        <is>
          <t>0-4005</t>
        </is>
      </c>
      <c r="C958" t="inlineStr">
        <is>
          <t>OC</t>
        </is>
      </c>
      <c r="E958" t="inlineStr">
        <is>
          <t>OC</t>
        </is>
      </c>
      <c r="G958" s="128" t="inlineStr"/>
      <c r="H958" s="127" t="n">
        <v>46126</v>
      </c>
      <c r="J958" s="38" t="inlineStr">
        <is>
          <t>0-4005</t>
        </is>
      </c>
      <c r="K958" t="inlineStr">
        <is>
          <t>COMDATA 3/23/26 (EU) RBT PIZZA HUT 061673 3/16/26</t>
        </is>
      </c>
      <c r="L958" t="n">
        <v>0</v>
      </c>
      <c r="M958" t="n">
        <v>0</v>
      </c>
      <c r="O958" t="inlineStr">
        <is>
          <t>2282</t>
        </is>
      </c>
      <c r="Q958" s="114" t="n">
        <v>0</v>
      </c>
      <c r="R958" s="114" t="n">
        <v>-3.34</v>
      </c>
      <c r="S958" s="114" t="n">
        <v>0</v>
      </c>
      <c r="T958" t="n">
        <v>0</v>
      </c>
    </row>
    <row r="959">
      <c r="A959" t="inlineStr">
        <is>
          <t>ttJTrans</t>
        </is>
      </c>
      <c r="B959" s="38" t="inlineStr">
        <is>
          <t>0-4005</t>
        </is>
      </c>
      <c r="C959" t="inlineStr">
        <is>
          <t>OC</t>
        </is>
      </c>
      <c r="E959" t="inlineStr">
        <is>
          <t>OC</t>
        </is>
      </c>
      <c r="G959" s="128" t="inlineStr"/>
      <c r="H959" s="127" t="n">
        <v>46127</v>
      </c>
      <c r="J959" s="38" t="inlineStr">
        <is>
          <t>0-4005</t>
        </is>
      </c>
      <c r="K959" t="inlineStr">
        <is>
          <t>DISA INVOICE 2981632</t>
        </is>
      </c>
      <c r="L959" t="n">
        <v>0</v>
      </c>
      <c r="M959" t="n">
        <v>0</v>
      </c>
      <c r="Q959" s="114" t="n">
        <v>0</v>
      </c>
      <c r="R959" s="114" t="n">
        <v>47.25</v>
      </c>
      <c r="S959" s="114" t="n">
        <v>0</v>
      </c>
      <c r="T959" t="n">
        <v>0</v>
      </c>
    </row>
    <row r="960">
      <c r="A960" t="inlineStr">
        <is>
          <t>ttJTrans</t>
        </is>
      </c>
      <c r="B960" s="38" t="inlineStr">
        <is>
          <t>0-4005</t>
        </is>
      </c>
      <c r="C960" t="inlineStr">
        <is>
          <t>OC</t>
        </is>
      </c>
      <c r="E960" t="inlineStr">
        <is>
          <t>OC</t>
        </is>
      </c>
      <c r="G960" s="128" t="inlineStr"/>
      <c r="H960" s="127" t="n">
        <v>46126</v>
      </c>
      <c r="J960" s="38" t="inlineStr">
        <is>
          <t>0-4005</t>
        </is>
      </c>
      <c r="K960" t="inlineStr">
        <is>
          <t>NECS INVOICE 107046</t>
        </is>
      </c>
      <c r="L960" t="n">
        <v>0</v>
      </c>
      <c r="M960" t="n">
        <v>0</v>
      </c>
      <c r="Q960" s="114" t="n">
        <v>0</v>
      </c>
      <c r="R960" s="114" t="n">
        <v>24.25</v>
      </c>
      <c r="S960" s="114" t="n">
        <v>0</v>
      </c>
      <c r="T960" t="n">
        <v>0</v>
      </c>
    </row>
    <row r="961">
      <c r="A961" t="inlineStr">
        <is>
          <t>ttJTrans</t>
        </is>
      </c>
      <c r="B961" s="38" t="inlineStr">
        <is>
          <t>0-4005</t>
        </is>
      </c>
      <c r="C961" t="inlineStr">
        <is>
          <t>OC</t>
        </is>
      </c>
      <c r="E961" t="inlineStr">
        <is>
          <t>OC</t>
        </is>
      </c>
      <c r="G961" s="128" t="inlineStr"/>
      <c r="H961" s="127" t="n">
        <v>46128</v>
      </c>
      <c r="J961" s="38" t="inlineStr">
        <is>
          <t>0-4005</t>
        </is>
      </c>
      <c r="K961" t="inlineStr">
        <is>
          <t>DISA INVOICE 2989971</t>
        </is>
      </c>
      <c r="L961" t="n">
        <v>0</v>
      </c>
      <c r="M961" t="n">
        <v>0</v>
      </c>
      <c r="Q961" s="114" t="n">
        <v>0</v>
      </c>
      <c r="R961" s="114" t="n">
        <v>94.5</v>
      </c>
      <c r="S961" s="114" t="n">
        <v>0</v>
      </c>
      <c r="T961" t="n">
        <v>0</v>
      </c>
    </row>
    <row r="962">
      <c r="A962" t="inlineStr">
        <is>
          <t>ttJTrans</t>
        </is>
      </c>
      <c r="B962" s="38" t="inlineStr">
        <is>
          <t>0-4005</t>
        </is>
      </c>
      <c r="C962" t="inlineStr">
        <is>
          <t>OC</t>
        </is>
      </c>
      <c r="E962" t="inlineStr">
        <is>
          <t>OC</t>
        </is>
      </c>
      <c r="G962" s="128" t="inlineStr"/>
      <c r="H962" s="127" t="n">
        <v>46132</v>
      </c>
      <c r="J962" s="38" t="inlineStr">
        <is>
          <t>0-4005</t>
        </is>
      </c>
      <c r="K962" t="inlineStr">
        <is>
          <t>WEEKLY SHIPPING INVOICE</t>
        </is>
      </c>
      <c r="L962" t="n">
        <v>0</v>
      </c>
      <c r="M962" t="n">
        <v>0</v>
      </c>
      <c r="O962" t="inlineStr">
        <is>
          <t>12681</t>
        </is>
      </c>
      <c r="P962" t="inlineStr">
        <is>
          <t>FEDERAL EXPRESS CORPORATION</t>
        </is>
      </c>
      <c r="Q962" s="114" t="n">
        <v>0</v>
      </c>
      <c r="R962" s="114" t="n">
        <v>170.13</v>
      </c>
      <c r="S962" s="114" t="n">
        <v>0</v>
      </c>
      <c r="T962" t="n">
        <v>0</v>
      </c>
    </row>
    <row r="963">
      <c r="A963" t="inlineStr">
        <is>
          <t>ttJTrans</t>
        </is>
      </c>
      <c r="B963" s="38" t="inlineStr">
        <is>
          <t>0-4005</t>
        </is>
      </c>
      <c r="C963" t="inlineStr">
        <is>
          <t>OC</t>
        </is>
      </c>
      <c r="E963" t="inlineStr">
        <is>
          <t>OC</t>
        </is>
      </c>
      <c r="G963" s="128" t="inlineStr"/>
      <c r="H963" s="127" t="n">
        <v>46132</v>
      </c>
      <c r="J963" s="38" t="inlineStr">
        <is>
          <t>0-4005</t>
        </is>
      </c>
      <c r="K963" t="inlineStr">
        <is>
          <t>WEEKLY SHIPPING INVOICE</t>
        </is>
      </c>
      <c r="L963" t="n">
        <v>0</v>
      </c>
      <c r="M963" t="n">
        <v>0</v>
      </c>
      <c r="O963" t="inlineStr">
        <is>
          <t>12681</t>
        </is>
      </c>
      <c r="P963" t="inlineStr">
        <is>
          <t>FEDERAL EXPRESS CORPORATION</t>
        </is>
      </c>
      <c r="Q963" s="114" t="n">
        <v>0</v>
      </c>
      <c r="R963" s="114" t="n">
        <v>32.94</v>
      </c>
      <c r="S963" s="114" t="n">
        <v>0</v>
      </c>
      <c r="T963" t="n">
        <v>0</v>
      </c>
    </row>
    <row r="964">
      <c r="A964" t="inlineStr">
        <is>
          <t>ttJTrans</t>
        </is>
      </c>
      <c r="B964" s="38" t="inlineStr">
        <is>
          <t>0-4005</t>
        </is>
      </c>
      <c r="C964" t="inlineStr">
        <is>
          <t>OC</t>
        </is>
      </c>
      <c r="E964" t="inlineStr">
        <is>
          <t>OC</t>
        </is>
      </c>
      <c r="G964" s="128" t="inlineStr"/>
      <c r="H964" s="127" t="n">
        <v>46133</v>
      </c>
      <c r="J964" s="38" t="inlineStr">
        <is>
          <t>0-4005</t>
        </is>
      </c>
      <c r="K964" t="inlineStr">
        <is>
          <t>MVR STATE FEES/ DQ NEW DRIVER / ONBOARDING/ SERVICE FEES</t>
        </is>
      </c>
      <c r="L964" t="n">
        <v>0</v>
      </c>
      <c r="M964" t="n">
        <v>0</v>
      </c>
      <c r="O964" t="inlineStr">
        <is>
          <t>20710</t>
        </is>
      </c>
      <c r="P964" t="inlineStr">
        <is>
          <t>NATIONAL ENERGY CONTROL SERVICES, INC.</t>
        </is>
      </c>
      <c r="Q964" s="114" t="n">
        <v>0</v>
      </c>
      <c r="R964" s="114" t="n">
        <v>103.25</v>
      </c>
      <c r="S964" s="114" t="n">
        <v>0</v>
      </c>
      <c r="T964" t="n">
        <v>0</v>
      </c>
    </row>
    <row r="965">
      <c r="A965" t="inlineStr">
        <is>
          <t>ttJTrans</t>
        </is>
      </c>
      <c r="B965" s="38" t="inlineStr">
        <is>
          <t>0-4005</t>
        </is>
      </c>
      <c r="C965" t="inlineStr">
        <is>
          <t>OC</t>
        </is>
      </c>
      <c r="E965" t="inlineStr">
        <is>
          <t>OC</t>
        </is>
      </c>
      <c r="G965" s="128" t="inlineStr"/>
      <c r="H965" s="127" t="n">
        <v>46134</v>
      </c>
      <c r="J965" s="38" t="inlineStr">
        <is>
          <t>0-4005</t>
        </is>
      </c>
      <c r="K965" t="inlineStr">
        <is>
          <t>DRUG SCREEN</t>
        </is>
      </c>
      <c r="L965" t="n">
        <v>0</v>
      </c>
      <c r="M965" t="n">
        <v>0</v>
      </c>
      <c r="O965" t="inlineStr">
        <is>
          <t>10630</t>
        </is>
      </c>
      <c r="P965" t="inlineStr">
        <is>
          <t>DISA GLOBAL SOLUTIONS INC</t>
        </is>
      </c>
      <c r="Q965" s="114" t="n">
        <v>0</v>
      </c>
      <c r="R965" s="114" t="n">
        <v>519.75</v>
      </c>
      <c r="S965" s="114" t="n">
        <v>0</v>
      </c>
      <c r="T965" t="n">
        <v>0</v>
      </c>
    </row>
    <row r="966">
      <c r="A966" t="inlineStr">
        <is>
          <t>ttJTrans</t>
        </is>
      </c>
      <c r="B966" s="38" t="inlineStr">
        <is>
          <t>0-4005</t>
        </is>
      </c>
      <c r="C966" t="inlineStr">
        <is>
          <t>OC</t>
        </is>
      </c>
      <c r="E966" t="inlineStr">
        <is>
          <t>OC</t>
        </is>
      </c>
      <c r="G966" s="128" t="inlineStr"/>
      <c r="H966" s="127" t="n">
        <v>46139</v>
      </c>
      <c r="J966" s="38" t="inlineStr">
        <is>
          <t>0-4005</t>
        </is>
      </c>
      <c r="K966" t="inlineStr">
        <is>
          <t>WEEKLY SHIPPING INVOICE</t>
        </is>
      </c>
      <c r="L966" t="n">
        <v>0</v>
      </c>
      <c r="M966" t="n">
        <v>0</v>
      </c>
      <c r="O966" t="inlineStr">
        <is>
          <t>12681</t>
        </is>
      </c>
      <c r="P966" t="inlineStr">
        <is>
          <t>FEDERAL EXPRESS CORPORATION</t>
        </is>
      </c>
      <c r="Q966" s="114" t="n">
        <v>0</v>
      </c>
      <c r="R966" s="114" t="n">
        <v>152.72</v>
      </c>
      <c r="S966" s="114" t="n">
        <v>0</v>
      </c>
      <c r="T966" t="n">
        <v>0</v>
      </c>
    </row>
    <row r="967">
      <c r="A967" t="inlineStr">
        <is>
          <t>ttJTrans</t>
        </is>
      </c>
      <c r="B967" s="38" t="inlineStr">
        <is>
          <t>0-4005</t>
        </is>
      </c>
      <c r="C967" t="inlineStr">
        <is>
          <t>OC</t>
        </is>
      </c>
      <c r="E967" t="inlineStr">
        <is>
          <t>OC</t>
        </is>
      </c>
      <c r="G967" s="128" t="inlineStr"/>
      <c r="H967" s="127" t="n">
        <v>46140</v>
      </c>
      <c r="J967" s="38" t="inlineStr">
        <is>
          <t>0-4005</t>
        </is>
      </c>
      <c r="K967" t="inlineStr">
        <is>
          <t>COMDATA 4/13/26 (EU) RBT PIZZA HUT 061673 4/09/26</t>
        </is>
      </c>
      <c r="L967" t="n">
        <v>0</v>
      </c>
      <c r="M967" t="n">
        <v>0</v>
      </c>
      <c r="O967" t="inlineStr">
        <is>
          <t>2293</t>
        </is>
      </c>
      <c r="Q967" s="114" t="n">
        <v>0</v>
      </c>
      <c r="R967" s="114" t="n">
        <v>-4.45</v>
      </c>
      <c r="S967" s="114" t="n">
        <v>0</v>
      </c>
      <c r="T967" t="n">
        <v>0</v>
      </c>
    </row>
    <row r="968">
      <c r="A968" t="inlineStr">
        <is>
          <t>ttJTrans</t>
        </is>
      </c>
      <c r="B968" s="38" t="inlineStr">
        <is>
          <t>0-4005</t>
        </is>
      </c>
      <c r="C968" t="inlineStr">
        <is>
          <t>OC</t>
        </is>
      </c>
      <c r="E968" t="inlineStr">
        <is>
          <t>OC</t>
        </is>
      </c>
      <c r="G968" s="128" t="inlineStr"/>
      <c r="H968" s="127" t="n">
        <v>46140</v>
      </c>
      <c r="J968" s="38" t="inlineStr">
        <is>
          <t>0-4005</t>
        </is>
      </c>
      <c r="K968" t="inlineStr">
        <is>
          <t>COMDATA 4/13/26 (EU) MILAM DONUT SHOP 4/09/26</t>
        </is>
      </c>
      <c r="L968" t="n">
        <v>0</v>
      </c>
      <c r="M968" t="n">
        <v>0</v>
      </c>
      <c r="O968" t="inlineStr">
        <is>
          <t>2293</t>
        </is>
      </c>
      <c r="Q968" s="114" t="n">
        <v>0</v>
      </c>
      <c r="R968" s="114" t="n">
        <v>12.53</v>
      </c>
      <c r="S968" s="114" t="n">
        <v>0</v>
      </c>
      <c r="T968" t="n">
        <v>0</v>
      </c>
    </row>
    <row r="969">
      <c r="A969" t="inlineStr">
        <is>
          <t>ttJTrans</t>
        </is>
      </c>
      <c r="B969" s="38" t="inlineStr">
        <is>
          <t>0-4005</t>
        </is>
      </c>
      <c r="C969" t="inlineStr">
        <is>
          <t>OC</t>
        </is>
      </c>
      <c r="E969" t="inlineStr">
        <is>
          <t>OC</t>
        </is>
      </c>
      <c r="G969" s="128" t="inlineStr"/>
      <c r="H969" s="127" t="n">
        <v>46140</v>
      </c>
      <c r="J969" s="38" t="inlineStr">
        <is>
          <t>0-4005</t>
        </is>
      </c>
      <c r="K969" t="inlineStr">
        <is>
          <t>COMDATA 4/13/26 (EU) DD *DOORDASH THEMELTDO 4/09/26</t>
        </is>
      </c>
      <c r="L969" t="n">
        <v>0</v>
      </c>
      <c r="M969" t="n">
        <v>0</v>
      </c>
      <c r="O969" t="inlineStr">
        <is>
          <t>2293</t>
        </is>
      </c>
      <c r="Q969" s="114" t="n">
        <v>0</v>
      </c>
      <c r="R969" s="114" t="n">
        <v>186.74</v>
      </c>
      <c r="S969" s="114" t="n">
        <v>0</v>
      </c>
      <c r="T969" t="n">
        <v>0</v>
      </c>
    </row>
    <row r="970">
      <c r="A970" t="inlineStr">
        <is>
          <t>ttJTrans</t>
        </is>
      </c>
      <c r="B970" s="38" t="inlineStr">
        <is>
          <t>0-4005</t>
        </is>
      </c>
      <c r="C970" t="inlineStr">
        <is>
          <t>OC</t>
        </is>
      </c>
      <c r="E970" t="inlineStr">
        <is>
          <t>OC</t>
        </is>
      </c>
      <c r="G970" s="128" t="inlineStr"/>
      <c r="H970" s="127" t="n">
        <v>46140</v>
      </c>
      <c r="J970" s="38" t="inlineStr">
        <is>
          <t>0-4005</t>
        </is>
      </c>
      <c r="K970" t="inlineStr">
        <is>
          <t>COMDATA 4/13/26 (EU) HINZE COUNTRY KITCHEN 4/07/26</t>
        </is>
      </c>
      <c r="L970" t="n">
        <v>0</v>
      </c>
      <c r="M970" t="n">
        <v>0</v>
      </c>
      <c r="O970" t="inlineStr">
        <is>
          <t>2293</t>
        </is>
      </c>
      <c r="Q970" s="114" t="n">
        <v>0</v>
      </c>
      <c r="R970" s="114" t="n">
        <v>14.51</v>
      </c>
      <c r="S970" s="114" t="n">
        <v>0</v>
      </c>
      <c r="T970" t="n">
        <v>0</v>
      </c>
    </row>
    <row r="971">
      <c r="A971" t="inlineStr">
        <is>
          <t>ttJTrans</t>
        </is>
      </c>
      <c r="B971" s="38" t="inlineStr">
        <is>
          <t>0-4005</t>
        </is>
      </c>
      <c r="C971" t="inlineStr">
        <is>
          <t>OC</t>
        </is>
      </c>
      <c r="E971" t="inlineStr">
        <is>
          <t>OC</t>
        </is>
      </c>
      <c r="G971" s="128" t="inlineStr"/>
      <c r="H971" s="127" t="n">
        <v>46140</v>
      </c>
      <c r="J971" s="38" t="inlineStr">
        <is>
          <t>0-4005</t>
        </is>
      </c>
      <c r="K971" t="inlineStr">
        <is>
          <t>COMDATA 4/13/26 (EU) DOLLAR-GENERAL #3445 4/07/26</t>
        </is>
      </c>
      <c r="L971" t="n">
        <v>0</v>
      </c>
      <c r="M971" t="n">
        <v>0</v>
      </c>
      <c r="O971" t="inlineStr">
        <is>
          <t>2293</t>
        </is>
      </c>
      <c r="Q971" s="114" t="n">
        <v>0</v>
      </c>
      <c r="R971" s="114" t="n">
        <v>9.74</v>
      </c>
      <c r="S971" s="114" t="n">
        <v>0</v>
      </c>
      <c r="T971" t="n">
        <v>0</v>
      </c>
    </row>
    <row r="972">
      <c r="A972" t="inlineStr">
        <is>
          <t>ttJTrans</t>
        </is>
      </c>
      <c r="B972" s="38" t="inlineStr">
        <is>
          <t>0-4005</t>
        </is>
      </c>
      <c r="C972" t="inlineStr">
        <is>
          <t>OC</t>
        </is>
      </c>
      <c r="E972" t="inlineStr">
        <is>
          <t>OC</t>
        </is>
      </c>
      <c r="G972" s="128" t="inlineStr"/>
      <c r="H972" s="127" t="n">
        <v>46140</v>
      </c>
      <c r="J972" s="38" t="inlineStr">
        <is>
          <t>0-4005</t>
        </is>
      </c>
      <c r="K972" t="inlineStr">
        <is>
          <t>COMDATA 4/13/26 (EU) MILAM DONUT SHOP 4/08/26</t>
        </is>
      </c>
      <c r="L972" t="n">
        <v>0</v>
      </c>
      <c r="M972" t="n">
        <v>0</v>
      </c>
      <c r="O972" t="inlineStr">
        <is>
          <t>2293</t>
        </is>
      </c>
      <c r="Q972" s="114" t="n">
        <v>0</v>
      </c>
      <c r="R972" s="114" t="n">
        <v>11.39</v>
      </c>
      <c r="S972" s="114" t="n">
        <v>0</v>
      </c>
      <c r="T972" t="n">
        <v>0</v>
      </c>
    </row>
    <row r="973">
      <c r="A973" t="inlineStr">
        <is>
          <t>ttJTrans</t>
        </is>
      </c>
      <c r="B973" s="38" t="inlineStr">
        <is>
          <t>0-4005</t>
        </is>
      </c>
      <c r="C973" t="inlineStr">
        <is>
          <t>OC</t>
        </is>
      </c>
      <c r="E973" t="inlineStr">
        <is>
          <t>OC</t>
        </is>
      </c>
      <c r="G973" s="128" t="inlineStr"/>
      <c r="H973" s="127" t="n">
        <v>46140</v>
      </c>
      <c r="J973" s="38" t="inlineStr">
        <is>
          <t>0-4005</t>
        </is>
      </c>
      <c r="K973" t="inlineStr">
        <is>
          <t>COMDATA 4/13/26 (EU) FAMILY DOLLAR 4/08/26</t>
        </is>
      </c>
      <c r="L973" t="n">
        <v>0</v>
      </c>
      <c r="M973" t="n">
        <v>0</v>
      </c>
      <c r="O973" t="inlineStr">
        <is>
          <t>2293</t>
        </is>
      </c>
      <c r="Q973" s="114" t="n">
        <v>0</v>
      </c>
      <c r="R973" s="114" t="n">
        <v>20.03</v>
      </c>
      <c r="S973" s="114" t="n">
        <v>0</v>
      </c>
      <c r="T973" t="n">
        <v>0</v>
      </c>
    </row>
    <row r="974">
      <c r="A974" t="inlineStr">
        <is>
          <t>ttJTrans</t>
        </is>
      </c>
      <c r="B974" s="38" t="inlineStr">
        <is>
          <t>0-4005</t>
        </is>
      </c>
      <c r="C974" t="inlineStr">
        <is>
          <t>OC</t>
        </is>
      </c>
      <c r="E974" t="inlineStr">
        <is>
          <t>OC</t>
        </is>
      </c>
      <c r="G974" s="128" t="inlineStr"/>
      <c r="H974" s="127" t="n">
        <v>46140</v>
      </c>
      <c r="J974" s="38" t="inlineStr">
        <is>
          <t>0-4005</t>
        </is>
      </c>
      <c r="K974" t="inlineStr">
        <is>
          <t>COMDATA 4/13/26 (EU) SORELLA'S 4/08/26</t>
        </is>
      </c>
      <c r="L974" t="n">
        <v>0</v>
      </c>
      <c r="M974" t="n">
        <v>0</v>
      </c>
      <c r="O974" t="inlineStr">
        <is>
          <t>2293</t>
        </is>
      </c>
      <c r="Q974" s="114" t="n">
        <v>0</v>
      </c>
      <c r="R974" s="114" t="n">
        <v>232.17</v>
      </c>
      <c r="S974" s="114" t="n">
        <v>0</v>
      </c>
      <c r="T974" t="n">
        <v>0</v>
      </c>
    </row>
    <row r="975">
      <c r="A975" t="inlineStr">
        <is>
          <t>ttJTrans</t>
        </is>
      </c>
      <c r="B975" s="38" t="inlineStr">
        <is>
          <t>0-4005</t>
        </is>
      </c>
      <c r="C975" t="inlineStr">
        <is>
          <t>OC</t>
        </is>
      </c>
      <c r="E975" t="inlineStr">
        <is>
          <t>OC</t>
        </is>
      </c>
      <c r="G975" s="128" t="inlineStr"/>
      <c r="H975" s="127" t="n">
        <v>46140</v>
      </c>
      <c r="J975" s="38" t="inlineStr">
        <is>
          <t>0-4005</t>
        </is>
      </c>
      <c r="K975" t="inlineStr">
        <is>
          <t>COMDATA 4/13/26 (LB) LA CASONA MEXICAN REST 4/07/26</t>
        </is>
      </c>
      <c r="L975" t="n">
        <v>0</v>
      </c>
      <c r="M975" t="n">
        <v>0</v>
      </c>
      <c r="O975" t="inlineStr">
        <is>
          <t>2293</t>
        </is>
      </c>
      <c r="Q975" s="114" t="n">
        <v>0</v>
      </c>
      <c r="R975" s="114" t="n">
        <v>100</v>
      </c>
      <c r="S975" s="114" t="n">
        <v>0</v>
      </c>
      <c r="T975" t="n">
        <v>0</v>
      </c>
    </row>
    <row r="976">
      <c r="A976" t="inlineStr">
        <is>
          <t>ttJTrans</t>
        </is>
      </c>
      <c r="B976" s="38" t="inlineStr">
        <is>
          <t>0-4005</t>
        </is>
      </c>
      <c r="C976" t="inlineStr">
        <is>
          <t>OC</t>
        </is>
      </c>
      <c r="E976" t="inlineStr">
        <is>
          <t>OC</t>
        </is>
      </c>
      <c r="G976" s="128" t="inlineStr"/>
      <c r="H976" s="127" t="n">
        <v>46140</v>
      </c>
      <c r="J976" s="38" t="inlineStr">
        <is>
          <t>0-4005</t>
        </is>
      </c>
      <c r="K976" t="inlineStr">
        <is>
          <t>COMDATA 4/13/26 (EU) PIZZA HUT 061673 4/06/26</t>
        </is>
      </c>
      <c r="L976" t="n">
        <v>0</v>
      </c>
      <c r="M976" t="n">
        <v>0</v>
      </c>
      <c r="O976" t="inlineStr">
        <is>
          <t>2293</t>
        </is>
      </c>
      <c r="Q976" s="114" t="n">
        <v>0</v>
      </c>
      <c r="R976" s="114" t="n">
        <v>111.27</v>
      </c>
      <c r="S976" s="114" t="n">
        <v>0</v>
      </c>
      <c r="T976" t="n">
        <v>0</v>
      </c>
    </row>
    <row r="977">
      <c r="A977" t="inlineStr">
        <is>
          <t>ttJTrans</t>
        </is>
      </c>
      <c r="B977" s="38" t="inlineStr">
        <is>
          <t>0-4005</t>
        </is>
      </c>
      <c r="C977" t="inlineStr">
        <is>
          <t>OC</t>
        </is>
      </c>
      <c r="E977" t="inlineStr">
        <is>
          <t>OC</t>
        </is>
      </c>
      <c r="G977" s="128" t="inlineStr"/>
      <c r="H977" s="127" t="n">
        <v>46140</v>
      </c>
      <c r="J977" s="38" t="inlineStr">
        <is>
          <t>0-4005</t>
        </is>
      </c>
      <c r="K977" t="inlineStr">
        <is>
          <t>COMDATA 4/20/26 (DQ) HAMPTON INN 4/16/26</t>
        </is>
      </c>
      <c r="L977" t="n">
        <v>0</v>
      </c>
      <c r="M977" t="n">
        <v>0</v>
      </c>
      <c r="O977" t="inlineStr">
        <is>
          <t>2294</t>
        </is>
      </c>
      <c r="Q977" s="114" t="n">
        <v>0</v>
      </c>
      <c r="R977" s="114" t="n">
        <v>140.21</v>
      </c>
      <c r="S977" s="114" t="n">
        <v>0</v>
      </c>
      <c r="T977" t="n">
        <v>0</v>
      </c>
    </row>
    <row r="978">
      <c r="A978" t="inlineStr">
        <is>
          <t>ttJTrans</t>
        </is>
      </c>
      <c r="B978" s="38" t="inlineStr">
        <is>
          <t>0-4005</t>
        </is>
      </c>
      <c r="C978" t="inlineStr">
        <is>
          <t>OC</t>
        </is>
      </c>
      <c r="E978" t="inlineStr">
        <is>
          <t>OC</t>
        </is>
      </c>
      <c r="G978" s="128" t="inlineStr"/>
      <c r="H978" s="127" t="n">
        <v>46140</v>
      </c>
      <c r="J978" s="38" t="inlineStr">
        <is>
          <t>0-4005</t>
        </is>
      </c>
      <c r="K978" t="inlineStr">
        <is>
          <t>COMDATA 4/20/26 (PR) HCTRA EZ TAG ONLINE 4/14/26</t>
        </is>
      </c>
      <c r="L978" t="n">
        <v>0</v>
      </c>
      <c r="M978" t="n">
        <v>0</v>
      </c>
      <c r="O978" t="inlineStr">
        <is>
          <t>2294</t>
        </is>
      </c>
      <c r="Q978" s="114" t="n">
        <v>0</v>
      </c>
      <c r="R978" s="114" t="n">
        <v>11.38</v>
      </c>
      <c r="S978" s="114" t="n">
        <v>0</v>
      </c>
      <c r="T978" t="n">
        <v>0</v>
      </c>
    </row>
    <row r="979">
      <c r="A979" t="inlineStr">
        <is>
          <t>ttJTrans</t>
        </is>
      </c>
      <c r="B979" s="38" t="inlineStr">
        <is>
          <t>0-4005</t>
        </is>
      </c>
      <c r="C979" t="inlineStr">
        <is>
          <t>OC</t>
        </is>
      </c>
      <c r="E979" t="inlineStr">
        <is>
          <t>OC</t>
        </is>
      </c>
      <c r="G979" s="128" t="inlineStr"/>
      <c r="H979" s="127" t="n">
        <v>46146</v>
      </c>
      <c r="J979" s="38" t="inlineStr">
        <is>
          <t>0-4005</t>
        </is>
      </c>
      <c r="K979" t="inlineStr">
        <is>
          <t>WEEKLY SHIPPING INVOICE</t>
        </is>
      </c>
      <c r="L979" t="n">
        <v>0</v>
      </c>
      <c r="M979" t="n">
        <v>0</v>
      </c>
      <c r="O979" t="inlineStr">
        <is>
          <t>12681</t>
        </is>
      </c>
      <c r="P979" t="inlineStr">
        <is>
          <t>FEDERAL EXPRESS CORPORATION</t>
        </is>
      </c>
      <c r="Q979" s="114" t="n">
        <v>0</v>
      </c>
      <c r="R979" s="114" t="n">
        <v>37.42</v>
      </c>
      <c r="S979" s="114" t="n">
        <v>0</v>
      </c>
      <c r="T979" t="n">
        <v>0</v>
      </c>
    </row>
    <row r="980">
      <c r="A980" t="inlineStr">
        <is>
          <t>ttJTrans</t>
        </is>
      </c>
      <c r="B980" s="38" t="inlineStr">
        <is>
          <t>0-4005</t>
        </is>
      </c>
      <c r="C980" t="inlineStr">
        <is>
          <t>OC</t>
        </is>
      </c>
      <c r="E980" t="inlineStr">
        <is>
          <t>OC</t>
        </is>
      </c>
      <c r="G980" s="128" t="inlineStr"/>
      <c r="H980" s="127" t="n">
        <v>46156</v>
      </c>
      <c r="J980" s="38" t="inlineStr">
        <is>
          <t>0-4005</t>
        </is>
      </c>
      <c r="K980" t="inlineStr">
        <is>
          <t>HOUSTON FIRE ALARM LABOR - REGULAR</t>
        </is>
      </c>
      <c r="L980" t="n">
        <v>0</v>
      </c>
      <c r="M980" t="n">
        <v>0</v>
      </c>
      <c r="O980" t="inlineStr">
        <is>
          <t>21395</t>
        </is>
      </c>
      <c r="P980" t="inlineStr">
        <is>
          <t>ALLIED FIRE PROTECTION, LLC</t>
        </is>
      </c>
      <c r="Q980" s="114" t="n">
        <v>0</v>
      </c>
      <c r="R980" s="114" t="n">
        <v>671.15</v>
      </c>
      <c r="S980" s="114" t="n">
        <v>0</v>
      </c>
      <c r="T980" t="n">
        <v>0</v>
      </c>
    </row>
    <row r="981">
      <c r="A981" t="inlineStr">
        <is>
          <t>ttJTrans</t>
        </is>
      </c>
      <c r="B981" s="38" t="inlineStr">
        <is>
          <t>0-4005</t>
        </is>
      </c>
      <c r="C981" t="inlineStr">
        <is>
          <t>OC</t>
        </is>
      </c>
      <c r="E981" t="inlineStr">
        <is>
          <t>OC</t>
        </is>
      </c>
      <c r="G981" s="128" t="inlineStr"/>
      <c r="H981" s="127" t="n">
        <v>46153</v>
      </c>
      <c r="J981" s="38" t="inlineStr">
        <is>
          <t>0-4005</t>
        </is>
      </c>
      <c r="K981" t="inlineStr">
        <is>
          <t>WEEKLY SHIPPING INVOICE</t>
        </is>
      </c>
      <c r="L981" t="n">
        <v>0</v>
      </c>
      <c r="M981" t="n">
        <v>0</v>
      </c>
      <c r="O981" t="inlineStr">
        <is>
          <t>12681</t>
        </is>
      </c>
      <c r="P981" t="inlineStr">
        <is>
          <t>FEDERAL EXPRESS CORPORATION</t>
        </is>
      </c>
      <c r="Q981" s="114" t="n">
        <v>0</v>
      </c>
      <c r="R981" s="114" t="n">
        <v>177.17</v>
      </c>
      <c r="S981" s="114" t="n">
        <v>0</v>
      </c>
      <c r="T981" t="n">
        <v>0</v>
      </c>
    </row>
    <row r="982">
      <c r="A982" t="inlineStr">
        <is>
          <t>ttJTrans</t>
        </is>
      </c>
      <c r="B982" s="38" t="inlineStr">
        <is>
          <t>0-4005</t>
        </is>
      </c>
      <c r="C982" t="inlineStr">
        <is>
          <t>OC</t>
        </is>
      </c>
      <c r="E982" t="inlineStr">
        <is>
          <t>OC</t>
        </is>
      </c>
      <c r="G982" s="128" t="inlineStr"/>
      <c r="H982" s="127" t="n">
        <v>46160</v>
      </c>
      <c r="J982" s="38" t="inlineStr">
        <is>
          <t>0-4005</t>
        </is>
      </c>
      <c r="K982" t="inlineStr">
        <is>
          <t>WEEKLY SHIPPING INVOICE</t>
        </is>
      </c>
      <c r="L982" t="n">
        <v>0</v>
      </c>
      <c r="M982" t="n">
        <v>0</v>
      </c>
      <c r="O982" t="inlineStr">
        <is>
          <t>12681</t>
        </is>
      </c>
      <c r="P982" t="inlineStr">
        <is>
          <t>FEDERAL EXPRESS CORPORATION</t>
        </is>
      </c>
      <c r="Q982" s="114" t="n">
        <v>0</v>
      </c>
      <c r="R982" s="114" t="n">
        <v>108.14</v>
      </c>
      <c r="S982" s="114" t="n">
        <v>0</v>
      </c>
      <c r="T982" t="n">
        <v>0</v>
      </c>
    </row>
    <row r="983">
      <c r="A983" t="inlineStr">
        <is>
          <t>ttJTrans</t>
        </is>
      </c>
      <c r="B983" s="38" t="inlineStr">
        <is>
          <t>0-4005</t>
        </is>
      </c>
      <c r="C983" t="inlineStr">
        <is>
          <t>OC</t>
        </is>
      </c>
      <c r="E983" t="inlineStr">
        <is>
          <t>OC</t>
        </is>
      </c>
      <c r="G983" s="128" t="inlineStr"/>
      <c r="H983" s="127" t="n">
        <v>46160</v>
      </c>
      <c r="J983" s="38" t="inlineStr">
        <is>
          <t>0-4005</t>
        </is>
      </c>
      <c r="K983" t="inlineStr">
        <is>
          <t>WEEKLY SHIPPING INVOICE</t>
        </is>
      </c>
      <c r="L983" t="n">
        <v>0</v>
      </c>
      <c r="M983" t="n">
        <v>0</v>
      </c>
      <c r="O983" t="inlineStr">
        <is>
          <t>12681</t>
        </is>
      </c>
      <c r="P983" t="inlineStr">
        <is>
          <t>FEDERAL EXPRESS CORPORATION</t>
        </is>
      </c>
      <c r="Q983" s="114" t="n">
        <v>0</v>
      </c>
      <c r="R983" s="114" t="n">
        <v>69.94</v>
      </c>
      <c r="S983" s="114" t="n">
        <v>0</v>
      </c>
      <c r="T983" t="n">
        <v>0</v>
      </c>
    </row>
    <row r="984">
      <c r="A984" t="inlineStr">
        <is>
          <t>ttJTrans</t>
        </is>
      </c>
      <c r="B984" s="38" t="inlineStr">
        <is>
          <t>0-4005-01</t>
        </is>
      </c>
      <c r="C984" t="inlineStr">
        <is>
          <t>LA</t>
        </is>
      </c>
      <c r="E984" t="inlineStr">
        <is>
          <t>LA</t>
        </is>
      </c>
      <c r="G984" s="128" t="inlineStr"/>
      <c r="H984" s="127" t="n">
        <v>46154</v>
      </c>
      <c r="J984" s="38" t="inlineStr">
        <is>
          <t>0-4005-01</t>
        </is>
      </c>
      <c r="K984" t="inlineStr">
        <is>
          <t>PR P2COST 000292 (PR) Summary</t>
        </is>
      </c>
      <c r="L984" t="n">
        <v>0</v>
      </c>
      <c r="M984" t="n">
        <v>0</v>
      </c>
      <c r="Q984" s="114" t="n">
        <v>0</v>
      </c>
      <c r="R984" s="114" t="n">
        <v>255.37</v>
      </c>
      <c r="S984" s="114" t="n">
        <v>0</v>
      </c>
      <c r="T984" t="n">
        <v>2</v>
      </c>
    </row>
    <row r="985">
      <c r="A985" t="inlineStr">
        <is>
          <t>ttJTrans</t>
        </is>
      </c>
      <c r="B985" s="38" t="inlineStr">
        <is>
          <t>0-4005-01</t>
        </is>
      </c>
      <c r="C985" t="inlineStr">
        <is>
          <t>LA</t>
        </is>
      </c>
      <c r="E985" t="inlineStr">
        <is>
          <t>LA</t>
        </is>
      </c>
      <c r="G985" s="128" t="inlineStr"/>
      <c r="H985" s="127" t="n">
        <v>46154</v>
      </c>
      <c r="J985" s="38" t="inlineStr">
        <is>
          <t>0-4005-01</t>
        </is>
      </c>
      <c r="K985" t="inlineStr">
        <is>
          <t>PR P2COST 000292 (PR) Summary</t>
        </is>
      </c>
      <c r="L985" t="n">
        <v>0</v>
      </c>
      <c r="M985" t="n">
        <v>0</v>
      </c>
      <c r="Q985" s="114" t="n">
        <v>0</v>
      </c>
      <c r="R985" s="114" t="n">
        <v>255.37</v>
      </c>
      <c r="S985" s="114" t="n">
        <v>0</v>
      </c>
      <c r="T985" t="n">
        <v>2</v>
      </c>
    </row>
    <row r="986">
      <c r="A986" t="inlineStr">
        <is>
          <t>ttJTrans</t>
        </is>
      </c>
      <c r="B986" s="38" t="inlineStr">
        <is>
          <t>0-4006</t>
        </is>
      </c>
      <c r="C986" t="inlineStr">
        <is>
          <t>EQ</t>
        </is>
      </c>
      <c r="E986" t="inlineStr">
        <is>
          <t>EQ</t>
        </is>
      </c>
      <c r="G986" s="128" t="inlineStr"/>
      <c r="H986" s="127" t="n">
        <v>46096</v>
      </c>
      <c r="J986" s="38" t="inlineStr">
        <is>
          <t>0-4006</t>
        </is>
      </c>
      <c r="K986" t="inlineStr">
        <is>
          <t>TR419 LONESTAR 6.5X16' ENCLOSED CARGO TRAILER LONESTAR 6.5X16' ENCLOSED CARGO TRAILER</t>
        </is>
      </c>
      <c r="L986" t="n">
        <v>0</v>
      </c>
      <c r="M986" t="n">
        <v>0</v>
      </c>
      <c r="O986" t="inlineStr">
        <is>
          <t>TR419</t>
        </is>
      </c>
      <c r="Q986" s="114" t="n">
        <v>0</v>
      </c>
      <c r="R986" s="114" t="n">
        <v>65</v>
      </c>
      <c r="S986" s="114" t="n">
        <v>0</v>
      </c>
      <c r="T986" t="n">
        <v>0</v>
      </c>
    </row>
    <row r="987">
      <c r="A987" t="inlineStr">
        <is>
          <t>ttJTrans</t>
        </is>
      </c>
      <c r="B987" s="38" t="inlineStr">
        <is>
          <t>0-4006</t>
        </is>
      </c>
      <c r="C987" t="inlineStr">
        <is>
          <t>EQ</t>
        </is>
      </c>
      <c r="E987" t="inlineStr">
        <is>
          <t>EQ</t>
        </is>
      </c>
      <c r="G987" s="128" t="inlineStr"/>
      <c r="H987" s="127" t="n">
        <v>46096</v>
      </c>
      <c r="J987" s="38" t="inlineStr">
        <is>
          <t>0-4006</t>
        </is>
      </c>
      <c r="K987" t="inlineStr">
        <is>
          <t>TR419 LONESTAR 6.5X16' ENCLOSED CARGO TRAILER LONESTAR 6.5X16' ENCLOSED CARGO TRAILER</t>
        </is>
      </c>
      <c r="L987" t="n">
        <v>0</v>
      </c>
      <c r="M987" t="n">
        <v>0</v>
      </c>
      <c r="O987" t="inlineStr">
        <is>
          <t>TR419</t>
        </is>
      </c>
      <c r="Q987" s="114" t="n">
        <v>0</v>
      </c>
      <c r="R987" s="114" t="n">
        <v>65</v>
      </c>
      <c r="S987" s="114" t="n">
        <v>0</v>
      </c>
      <c r="T987" t="n">
        <v>0</v>
      </c>
    </row>
    <row r="988">
      <c r="A988" t="inlineStr">
        <is>
          <t>ttJTrans</t>
        </is>
      </c>
      <c r="B988" s="38" t="inlineStr">
        <is>
          <t>0-4006</t>
        </is>
      </c>
      <c r="C988" t="inlineStr">
        <is>
          <t>EQ</t>
        </is>
      </c>
      <c r="E988" t="inlineStr">
        <is>
          <t>EQ</t>
        </is>
      </c>
      <c r="G988" s="128" t="inlineStr"/>
      <c r="H988" s="127" t="n">
        <v>46096</v>
      </c>
      <c r="J988" s="38" t="inlineStr">
        <is>
          <t>0-4006</t>
        </is>
      </c>
      <c r="K988" t="inlineStr">
        <is>
          <t>TR419 LONESTAR 6.5X16' ENCLOSED CARGO TRAILER LONESTAR 6.5X16' ENCLOSED CARGO TRAILER</t>
        </is>
      </c>
      <c r="L988" t="n">
        <v>0</v>
      </c>
      <c r="M988" t="n">
        <v>0</v>
      </c>
      <c r="O988" t="inlineStr">
        <is>
          <t>TR419</t>
        </is>
      </c>
      <c r="Q988" s="114" t="n">
        <v>0</v>
      </c>
      <c r="R988" s="114" t="n">
        <v>65</v>
      </c>
      <c r="S988" s="114" t="n">
        <v>0</v>
      </c>
      <c r="T988" t="n">
        <v>0</v>
      </c>
    </row>
    <row r="989">
      <c r="A989" t="inlineStr">
        <is>
          <t>ttJTrans</t>
        </is>
      </c>
      <c r="B989" s="38" t="inlineStr">
        <is>
          <t>0-4006</t>
        </is>
      </c>
      <c r="C989" t="inlineStr">
        <is>
          <t>EQ</t>
        </is>
      </c>
      <c r="E989" t="inlineStr">
        <is>
          <t>EQ</t>
        </is>
      </c>
      <c r="G989" s="128" t="inlineStr"/>
      <c r="H989" s="127" t="n">
        <v>46096</v>
      </c>
      <c r="J989" s="38" t="inlineStr">
        <is>
          <t>0-4006</t>
        </is>
      </c>
      <c r="K989" t="inlineStr">
        <is>
          <t>TR419 LONESTAR 6.5X16' ENCLOSED CARGO TRAILER LONESTAR 6.5X16' ENCLOSED CARGO TRAILER</t>
        </is>
      </c>
      <c r="L989" t="n">
        <v>0</v>
      </c>
      <c r="M989" t="n">
        <v>0</v>
      </c>
      <c r="O989" t="inlineStr">
        <is>
          <t>TR419</t>
        </is>
      </c>
      <c r="Q989" s="114" t="n">
        <v>0</v>
      </c>
      <c r="R989" s="114" t="n">
        <v>65</v>
      </c>
      <c r="S989" s="114" t="n">
        <v>0</v>
      </c>
      <c r="T989" t="n">
        <v>0</v>
      </c>
    </row>
    <row r="990">
      <c r="A990" t="inlineStr">
        <is>
          <t>ttJTrans</t>
        </is>
      </c>
      <c r="B990" s="38" t="inlineStr">
        <is>
          <t>0-4006</t>
        </is>
      </c>
      <c r="C990" t="inlineStr">
        <is>
          <t>EQ</t>
        </is>
      </c>
      <c r="E990" t="inlineStr">
        <is>
          <t>EQ</t>
        </is>
      </c>
      <c r="G990" s="128" t="inlineStr"/>
      <c r="H990" s="127" t="n">
        <v>46103</v>
      </c>
      <c r="J990" s="38" t="inlineStr">
        <is>
          <t>0-4006</t>
        </is>
      </c>
      <c r="K990" t="inlineStr">
        <is>
          <t>TR419 LONESTAR 6.5X16' ENCLOSED CARGO TRAILER LONESTAR 6.5X16' ENCLOSED CARGO TRAILER</t>
        </is>
      </c>
      <c r="L990" t="n">
        <v>0</v>
      </c>
      <c r="M990" t="n">
        <v>0</v>
      </c>
      <c r="O990" t="inlineStr">
        <is>
          <t>TR419</t>
        </is>
      </c>
      <c r="Q990" s="114" t="n">
        <v>0</v>
      </c>
      <c r="R990" s="114" t="n">
        <v>65</v>
      </c>
      <c r="S990" s="114" t="n">
        <v>0</v>
      </c>
      <c r="T990" t="n">
        <v>0</v>
      </c>
    </row>
    <row r="991">
      <c r="A991" t="inlineStr">
        <is>
          <t>ttJTrans</t>
        </is>
      </c>
      <c r="B991" s="38" t="inlineStr">
        <is>
          <t>0-4006</t>
        </is>
      </c>
      <c r="C991" t="inlineStr">
        <is>
          <t>EQ</t>
        </is>
      </c>
      <c r="E991" t="inlineStr">
        <is>
          <t>EQ</t>
        </is>
      </c>
      <c r="G991" s="128" t="inlineStr"/>
      <c r="H991" s="127" t="n">
        <v>46103</v>
      </c>
      <c r="J991" s="38" t="inlineStr">
        <is>
          <t>0-4006</t>
        </is>
      </c>
      <c r="K991" t="inlineStr">
        <is>
          <t>TR419 LONESTAR 6.5X16' ENCLOSED CARGO TRAILER LONESTAR 6.5X16' ENCLOSED CARGO TRAILER</t>
        </is>
      </c>
      <c r="L991" t="n">
        <v>0</v>
      </c>
      <c r="M991" t="n">
        <v>0</v>
      </c>
      <c r="O991" t="inlineStr">
        <is>
          <t>TR419</t>
        </is>
      </c>
      <c r="Q991" s="114" t="n">
        <v>0</v>
      </c>
      <c r="R991" s="114" t="n">
        <v>65</v>
      </c>
      <c r="S991" s="114" t="n">
        <v>0</v>
      </c>
      <c r="T991" t="n">
        <v>0</v>
      </c>
    </row>
    <row r="992">
      <c r="A992" t="inlineStr">
        <is>
          <t>ttJTrans</t>
        </is>
      </c>
      <c r="B992" s="38" t="inlineStr">
        <is>
          <t>0-4006</t>
        </is>
      </c>
      <c r="C992" t="inlineStr">
        <is>
          <t>EQ</t>
        </is>
      </c>
      <c r="E992" t="inlineStr">
        <is>
          <t>EQ</t>
        </is>
      </c>
      <c r="G992" s="128" t="inlineStr"/>
      <c r="H992" s="127" t="n">
        <v>46103</v>
      </c>
      <c r="J992" s="38" t="inlineStr">
        <is>
          <t>0-4006</t>
        </is>
      </c>
      <c r="K992" t="inlineStr">
        <is>
          <t>TR419 LONESTAR 6.5X16' ENCLOSED CARGO TRAILER LONESTAR 6.5X16' ENCLOSED CARGO TRAILER</t>
        </is>
      </c>
      <c r="L992" t="n">
        <v>0</v>
      </c>
      <c r="M992" t="n">
        <v>0</v>
      </c>
      <c r="O992" t="inlineStr">
        <is>
          <t>TR419</t>
        </is>
      </c>
      <c r="Q992" s="114" t="n">
        <v>0</v>
      </c>
      <c r="R992" s="114" t="n">
        <v>65</v>
      </c>
      <c r="S992" s="114" t="n">
        <v>0</v>
      </c>
      <c r="T992" t="n">
        <v>0</v>
      </c>
    </row>
    <row r="993">
      <c r="A993" t="inlineStr">
        <is>
          <t>ttJTrans</t>
        </is>
      </c>
      <c r="B993" s="38" t="inlineStr">
        <is>
          <t>0-4006</t>
        </is>
      </c>
      <c r="C993" t="inlineStr">
        <is>
          <t>EQ</t>
        </is>
      </c>
      <c r="E993" t="inlineStr">
        <is>
          <t>EQ</t>
        </is>
      </c>
      <c r="G993" s="128" t="inlineStr"/>
      <c r="H993" s="127" t="n">
        <v>46103</v>
      </c>
      <c r="J993" s="38" t="inlineStr">
        <is>
          <t>0-4006</t>
        </is>
      </c>
      <c r="K993" t="inlineStr">
        <is>
          <t>TR419 LONESTAR 6.5X16' ENCLOSED CARGO TRAILER LONESTAR 6.5X16' ENCLOSED CARGO TRAILER</t>
        </is>
      </c>
      <c r="L993" t="n">
        <v>0</v>
      </c>
      <c r="M993" t="n">
        <v>0</v>
      </c>
      <c r="O993" t="inlineStr">
        <is>
          <t>TR419</t>
        </is>
      </c>
      <c r="Q993" s="114" t="n">
        <v>0</v>
      </c>
      <c r="R993" s="114" t="n">
        <v>65</v>
      </c>
      <c r="S993" s="114" t="n">
        <v>0</v>
      </c>
      <c r="T993" t="n">
        <v>0</v>
      </c>
    </row>
    <row r="994">
      <c r="A994" t="inlineStr">
        <is>
          <t>ttJTrans</t>
        </is>
      </c>
      <c r="B994" s="38" t="inlineStr">
        <is>
          <t>0-4006</t>
        </is>
      </c>
      <c r="C994" t="inlineStr">
        <is>
          <t>EQ</t>
        </is>
      </c>
      <c r="E994" t="inlineStr">
        <is>
          <t>EQ</t>
        </is>
      </c>
      <c r="G994" s="128" t="inlineStr"/>
      <c r="H994" s="127" t="n">
        <v>46103</v>
      </c>
      <c r="J994" s="38" t="inlineStr">
        <is>
          <t>0-4006</t>
        </is>
      </c>
      <c r="K994" t="inlineStr">
        <is>
          <t>TR419 LONESTAR 6.5X16' ENCLOSED CARGO TRAILER LONESTAR 6.5X16' ENCLOSED CARGO TRAILER</t>
        </is>
      </c>
      <c r="L994" t="n">
        <v>0</v>
      </c>
      <c r="M994" t="n">
        <v>0</v>
      </c>
      <c r="O994" t="inlineStr">
        <is>
          <t>TR419</t>
        </is>
      </c>
      <c r="Q994" s="114" t="n">
        <v>0</v>
      </c>
      <c r="R994" s="114" t="n">
        <v>65</v>
      </c>
      <c r="S994" s="114" t="n">
        <v>0</v>
      </c>
      <c r="T994" t="n">
        <v>0</v>
      </c>
    </row>
    <row r="995">
      <c r="A995" t="inlineStr">
        <is>
          <t>ttJTrans</t>
        </is>
      </c>
      <c r="B995" s="38" t="inlineStr">
        <is>
          <t>0-4006</t>
        </is>
      </c>
      <c r="C995" t="inlineStr">
        <is>
          <t>EQ</t>
        </is>
      </c>
      <c r="E995" t="inlineStr">
        <is>
          <t>EQ</t>
        </is>
      </c>
      <c r="G995" s="128" t="inlineStr"/>
      <c r="H995" s="127" t="n">
        <v>46103</v>
      </c>
      <c r="J995" s="38" t="inlineStr">
        <is>
          <t>0-4006</t>
        </is>
      </c>
      <c r="K995" t="inlineStr">
        <is>
          <t>TR419 LONESTAR 6.5X16' ENCLOSED CARGO TRAILER LONESTAR 6.5X16' ENCLOSED CARGO TRAILER</t>
        </is>
      </c>
      <c r="L995" t="n">
        <v>0</v>
      </c>
      <c r="M995" t="n">
        <v>0</v>
      </c>
      <c r="O995" t="inlineStr">
        <is>
          <t>TR419</t>
        </is>
      </c>
      <c r="Q995" s="114" t="n">
        <v>0</v>
      </c>
      <c r="R995" s="114" t="n">
        <v>65</v>
      </c>
      <c r="S995" s="114" t="n">
        <v>0</v>
      </c>
      <c r="T995" t="n">
        <v>0</v>
      </c>
    </row>
    <row r="996">
      <c r="A996" t="inlineStr">
        <is>
          <t>ttJTrans</t>
        </is>
      </c>
      <c r="B996" s="38" t="inlineStr">
        <is>
          <t>0-4006</t>
        </is>
      </c>
      <c r="C996" t="inlineStr">
        <is>
          <t>EQ</t>
        </is>
      </c>
      <c r="E996" t="inlineStr">
        <is>
          <t>EQ</t>
        </is>
      </c>
      <c r="G996" s="128" t="inlineStr"/>
      <c r="H996" s="127" t="n">
        <v>46110</v>
      </c>
      <c r="J996" s="38" t="inlineStr">
        <is>
          <t>0-4006</t>
        </is>
      </c>
      <c r="K996" t="inlineStr">
        <is>
          <t>TR419 LONESTAR 6.5X16' ENCLOSED CARGO TRAILER LONESTAR 6.5X16' ENCLOSED CARGO TRAILER</t>
        </is>
      </c>
      <c r="L996" t="n">
        <v>0</v>
      </c>
      <c r="M996" t="n">
        <v>0</v>
      </c>
      <c r="O996" t="inlineStr">
        <is>
          <t>TR419</t>
        </is>
      </c>
      <c r="Q996" s="114" t="n">
        <v>0</v>
      </c>
      <c r="R996" s="114" t="n">
        <v>65</v>
      </c>
      <c r="S996" s="114" t="n">
        <v>0</v>
      </c>
      <c r="T996" t="n">
        <v>0</v>
      </c>
    </row>
    <row r="997">
      <c r="A997" t="inlineStr">
        <is>
          <t>ttJTrans</t>
        </is>
      </c>
      <c r="B997" s="38" t="inlineStr">
        <is>
          <t>0-4006</t>
        </is>
      </c>
      <c r="C997" t="inlineStr">
        <is>
          <t>EQ</t>
        </is>
      </c>
      <c r="E997" t="inlineStr">
        <is>
          <t>EQ</t>
        </is>
      </c>
      <c r="G997" s="42" t="inlineStr"/>
      <c r="H997" s="127" t="n">
        <v>46110</v>
      </c>
      <c r="J997" s="38" t="inlineStr">
        <is>
          <t>0-4006</t>
        </is>
      </c>
      <c r="K997" t="inlineStr">
        <is>
          <t>TR419 LONESTAR 6.5X16' ENCLOSED CARGO TRAILER LONESTAR 6.5X16' ENCLOSED CARGO TRAILER</t>
        </is>
      </c>
      <c r="L997" t="n">
        <v>0</v>
      </c>
      <c r="M997" t="n">
        <v>0</v>
      </c>
      <c r="O997" t="inlineStr">
        <is>
          <t>TR419</t>
        </is>
      </c>
      <c r="Q997" s="114" t="n">
        <v>0</v>
      </c>
      <c r="R997" s="114" t="n">
        <v>65</v>
      </c>
      <c r="S997" s="114" t="n">
        <v>0</v>
      </c>
      <c r="T997" t="n">
        <v>0</v>
      </c>
    </row>
    <row r="998">
      <c r="A998" t="inlineStr">
        <is>
          <t>ttJTrans</t>
        </is>
      </c>
      <c r="B998" s="38" t="inlineStr">
        <is>
          <t>0-4006</t>
        </is>
      </c>
      <c r="C998" t="inlineStr">
        <is>
          <t>EQ</t>
        </is>
      </c>
      <c r="E998" t="inlineStr">
        <is>
          <t>EQ</t>
        </is>
      </c>
      <c r="G998" s="42" t="inlineStr"/>
      <c r="H998" s="127" t="n">
        <v>46110</v>
      </c>
      <c r="J998" s="38" t="inlineStr">
        <is>
          <t>0-4006</t>
        </is>
      </c>
      <c r="K998" t="inlineStr">
        <is>
          <t>TR419 LONESTAR 6.5X16' ENCLOSED CARGO TRAILER LONESTAR 6.5X16' ENCLOSED CARGO TRAILER</t>
        </is>
      </c>
      <c r="L998" t="n">
        <v>0</v>
      </c>
      <c r="M998" t="n">
        <v>0</v>
      </c>
      <c r="O998" t="inlineStr">
        <is>
          <t>TR419</t>
        </is>
      </c>
      <c r="Q998" s="114" t="n">
        <v>0</v>
      </c>
      <c r="R998" s="114" t="n">
        <v>65</v>
      </c>
      <c r="S998" s="114" t="n">
        <v>0</v>
      </c>
      <c r="T998" t="n">
        <v>0</v>
      </c>
    </row>
    <row r="999">
      <c r="A999" t="inlineStr">
        <is>
          <t>ttJTrans</t>
        </is>
      </c>
      <c r="B999" s="38" t="inlineStr">
        <is>
          <t>0-4006</t>
        </is>
      </c>
      <c r="C999" t="inlineStr">
        <is>
          <t>EQ</t>
        </is>
      </c>
      <c r="E999" t="inlineStr">
        <is>
          <t>EQ</t>
        </is>
      </c>
      <c r="G999" s="42" t="inlineStr"/>
      <c r="H999" s="127" t="n">
        <v>46110</v>
      </c>
      <c r="J999" s="38" t="inlineStr">
        <is>
          <t>0-4006</t>
        </is>
      </c>
      <c r="K999" t="inlineStr">
        <is>
          <t>TR419 LONESTAR 6.5X16' ENCLOSED CARGO TRAILER LONESTAR 6.5X16' ENCLOSED CARGO TRAILER</t>
        </is>
      </c>
      <c r="L999" t="n">
        <v>0</v>
      </c>
      <c r="M999" t="n">
        <v>0</v>
      </c>
      <c r="O999" t="inlineStr">
        <is>
          <t>TR419</t>
        </is>
      </c>
      <c r="Q999" s="114" t="n">
        <v>0</v>
      </c>
      <c r="R999" s="114" t="n">
        <v>65</v>
      </c>
      <c r="S999" s="114" t="n">
        <v>0</v>
      </c>
      <c r="T999" t="n">
        <v>0</v>
      </c>
    </row>
    <row r="1000">
      <c r="A1000" t="inlineStr">
        <is>
          <t>ttJTrans</t>
        </is>
      </c>
      <c r="B1000" s="38" t="inlineStr">
        <is>
          <t>0-4006</t>
        </is>
      </c>
      <c r="C1000" t="inlineStr">
        <is>
          <t>EQ</t>
        </is>
      </c>
      <c r="E1000" t="inlineStr">
        <is>
          <t>EQ</t>
        </is>
      </c>
      <c r="G1000" s="42" t="inlineStr"/>
      <c r="H1000" s="127" t="n">
        <v>46110</v>
      </c>
      <c r="J1000" s="38" t="inlineStr">
        <is>
          <t>0-4006</t>
        </is>
      </c>
      <c r="K1000" t="inlineStr">
        <is>
          <t>TR419 LONESTAR 6.5X16' ENCLOSED CARGO TRAILER LONESTAR 6.5X16' ENCLOSED CARGO TRAILER</t>
        </is>
      </c>
      <c r="L1000" t="n">
        <v>0</v>
      </c>
      <c r="M1000" t="n">
        <v>0</v>
      </c>
      <c r="O1000" t="inlineStr">
        <is>
          <t>TR419</t>
        </is>
      </c>
      <c r="Q1000" s="114" t="n">
        <v>0</v>
      </c>
      <c r="R1000" s="114" t="n">
        <v>65</v>
      </c>
      <c r="S1000" s="114" t="n">
        <v>0</v>
      </c>
      <c r="T1000" t="n">
        <v>0</v>
      </c>
    </row>
    <row r="1001">
      <c r="A1001" t="inlineStr">
        <is>
          <t>ttJTrans</t>
        </is>
      </c>
      <c r="B1001" s="38" t="inlineStr">
        <is>
          <t>0-4006</t>
        </is>
      </c>
      <c r="C1001" t="inlineStr">
        <is>
          <t>EQ</t>
        </is>
      </c>
      <c r="E1001" t="inlineStr">
        <is>
          <t>EQ</t>
        </is>
      </c>
      <c r="G1001" s="42" t="inlineStr"/>
      <c r="H1001" s="127" t="n">
        <v>46110</v>
      </c>
      <c r="J1001" s="38" t="inlineStr">
        <is>
          <t>0-4006</t>
        </is>
      </c>
      <c r="K1001" t="inlineStr">
        <is>
          <t>TR419 LONESTAR 6.5X16' ENCLOSED CARGO TRAILER LONESTAR 6.5X16' ENCLOSED CARGO TRAILER</t>
        </is>
      </c>
      <c r="L1001" t="n">
        <v>0</v>
      </c>
      <c r="M1001" t="n">
        <v>0</v>
      </c>
      <c r="O1001" t="inlineStr">
        <is>
          <t>TR419</t>
        </is>
      </c>
      <c r="Q1001" s="114" t="n">
        <v>0</v>
      </c>
      <c r="R1001" s="114" t="n">
        <v>65</v>
      </c>
      <c r="S1001" s="114" t="n">
        <v>0</v>
      </c>
      <c r="T1001" t="n">
        <v>0</v>
      </c>
    </row>
    <row r="1002">
      <c r="A1002" t="inlineStr">
        <is>
          <t>ttJTrans</t>
        </is>
      </c>
      <c r="B1002" s="38" t="inlineStr">
        <is>
          <t>0-4006</t>
        </is>
      </c>
      <c r="C1002" t="inlineStr">
        <is>
          <t>EQ</t>
        </is>
      </c>
      <c r="E1002" t="inlineStr">
        <is>
          <t>EQ</t>
        </is>
      </c>
      <c r="G1002" s="42" t="inlineStr"/>
      <c r="H1002" s="127" t="n">
        <v>46112</v>
      </c>
      <c r="J1002" s="38" t="inlineStr">
        <is>
          <t>0-4006</t>
        </is>
      </c>
      <c r="K1002" t="inlineStr">
        <is>
          <t>TR419 LONESTAR 6.5X16' ENCLOSED CARGO TRAILER LONESTAR 6.5X16' ENCLOSED CARGO TRAILER</t>
        </is>
      </c>
      <c r="L1002" t="n">
        <v>0</v>
      </c>
      <c r="M1002" t="n">
        <v>0</v>
      </c>
      <c r="O1002" t="inlineStr">
        <is>
          <t>TR419</t>
        </is>
      </c>
      <c r="Q1002" s="114" t="n">
        <v>0</v>
      </c>
      <c r="R1002" s="114" t="n">
        <v>65</v>
      </c>
      <c r="S1002" s="114" t="n">
        <v>0</v>
      </c>
      <c r="T1002" t="n">
        <v>0</v>
      </c>
    </row>
    <row r="1003">
      <c r="A1003" t="inlineStr">
        <is>
          <t>ttJTrans</t>
        </is>
      </c>
      <c r="B1003" s="38" t="inlineStr">
        <is>
          <t>0-4006</t>
        </is>
      </c>
      <c r="C1003" t="inlineStr">
        <is>
          <t>EQ</t>
        </is>
      </c>
      <c r="E1003" t="inlineStr">
        <is>
          <t>EQ</t>
        </is>
      </c>
      <c r="G1003" s="42" t="inlineStr"/>
      <c r="H1003" s="127" t="n">
        <v>46112</v>
      </c>
      <c r="J1003" s="38" t="inlineStr">
        <is>
          <t>0-4006</t>
        </is>
      </c>
      <c r="K1003" t="inlineStr">
        <is>
          <t>TR419 LONESTAR 6.5X16' ENCLOSED CARGO TRAILER LONESTAR 6.5X16' ENCLOSED CARGO TRAILER</t>
        </is>
      </c>
      <c r="L1003" t="n">
        <v>0</v>
      </c>
      <c r="M1003" t="n">
        <v>0</v>
      </c>
      <c r="O1003" t="inlineStr">
        <is>
          <t>TR419</t>
        </is>
      </c>
      <c r="Q1003" s="114" t="n">
        <v>0</v>
      </c>
      <c r="R1003" s="114" t="n">
        <v>65</v>
      </c>
      <c r="S1003" s="114" t="n">
        <v>0</v>
      </c>
      <c r="T1003" t="n">
        <v>0</v>
      </c>
    </row>
    <row r="1004">
      <c r="A1004" t="inlineStr">
        <is>
          <t>ttJTrans</t>
        </is>
      </c>
      <c r="B1004" s="38" t="inlineStr">
        <is>
          <t>0-4006</t>
        </is>
      </c>
      <c r="C1004" t="inlineStr">
        <is>
          <t>EQ</t>
        </is>
      </c>
      <c r="E1004" t="inlineStr">
        <is>
          <t>EQ</t>
        </is>
      </c>
      <c r="G1004" s="42" t="inlineStr"/>
      <c r="H1004" s="127" t="n">
        <v>46117</v>
      </c>
      <c r="J1004" s="38" t="inlineStr">
        <is>
          <t>0-4006</t>
        </is>
      </c>
      <c r="K1004" t="inlineStr">
        <is>
          <t>TR419 LONESTAR 6.5X16' ENCLOSED CARGO TRAILER LONESTAR 6.5X16' ENCLOSED CARGO TRAILER</t>
        </is>
      </c>
      <c r="L1004" t="n">
        <v>0</v>
      </c>
      <c r="M1004" t="n">
        <v>0</v>
      </c>
      <c r="O1004" t="inlineStr">
        <is>
          <t>TR419</t>
        </is>
      </c>
      <c r="Q1004" s="114" t="n">
        <v>0</v>
      </c>
      <c r="R1004" s="114" t="n">
        <v>65</v>
      </c>
      <c r="S1004" s="114" t="n">
        <v>0</v>
      </c>
      <c r="T1004" t="n">
        <v>0</v>
      </c>
    </row>
    <row r="1005">
      <c r="A1005" t="inlineStr">
        <is>
          <t>ttJTrans</t>
        </is>
      </c>
      <c r="B1005" s="38" t="inlineStr">
        <is>
          <t>0-4006</t>
        </is>
      </c>
      <c r="C1005" t="inlineStr">
        <is>
          <t>EQ</t>
        </is>
      </c>
      <c r="E1005" t="inlineStr">
        <is>
          <t>EQ</t>
        </is>
      </c>
      <c r="G1005" s="42" t="inlineStr"/>
      <c r="H1005" s="127" t="n">
        <v>46117</v>
      </c>
      <c r="J1005" s="38" t="inlineStr">
        <is>
          <t>0-4006</t>
        </is>
      </c>
      <c r="K1005" t="inlineStr">
        <is>
          <t>TR419 LONESTAR 6.5X16' ENCLOSED CARGO TRAILER LONESTAR 6.5X16' ENCLOSED CARGO TRAILER</t>
        </is>
      </c>
      <c r="L1005" t="n">
        <v>0</v>
      </c>
      <c r="M1005" t="n">
        <v>0</v>
      </c>
      <c r="O1005" t="inlineStr">
        <is>
          <t>TR419</t>
        </is>
      </c>
      <c r="Q1005" s="114" t="n">
        <v>0</v>
      </c>
      <c r="R1005" s="114" t="n">
        <v>65</v>
      </c>
      <c r="S1005" s="114" t="n">
        <v>0</v>
      </c>
      <c r="T1005" t="n">
        <v>0</v>
      </c>
    </row>
    <row r="1006">
      <c r="A1006" t="inlineStr">
        <is>
          <t>ttJTrans</t>
        </is>
      </c>
      <c r="B1006" s="38" t="inlineStr">
        <is>
          <t>0-4006</t>
        </is>
      </c>
      <c r="C1006" t="inlineStr">
        <is>
          <t>EQ</t>
        </is>
      </c>
      <c r="E1006" t="inlineStr">
        <is>
          <t>EQ</t>
        </is>
      </c>
      <c r="G1006" s="42" t="inlineStr"/>
      <c r="H1006" s="127" t="n">
        <v>46117</v>
      </c>
      <c r="J1006" s="38" t="inlineStr">
        <is>
          <t>0-4006</t>
        </is>
      </c>
      <c r="K1006" t="inlineStr">
        <is>
          <t>TR419 LONESTAR 6.5X16' ENCLOSED CARGO TRAILER LONESTAR 6.5X16' ENCLOSED CARGO TRAILER</t>
        </is>
      </c>
      <c r="L1006" t="n">
        <v>0</v>
      </c>
      <c r="M1006" t="n">
        <v>0</v>
      </c>
      <c r="O1006" t="inlineStr">
        <is>
          <t>TR419</t>
        </is>
      </c>
      <c r="Q1006" s="114" t="n">
        <v>0</v>
      </c>
      <c r="R1006" s="114" t="n">
        <v>65</v>
      </c>
      <c r="S1006" s="114" t="n">
        <v>0</v>
      </c>
      <c r="T1006" t="n">
        <v>0</v>
      </c>
    </row>
    <row r="1007">
      <c r="A1007" t="inlineStr">
        <is>
          <t>ttJTrans</t>
        </is>
      </c>
      <c r="B1007" s="38" t="inlineStr">
        <is>
          <t>0-4006</t>
        </is>
      </c>
      <c r="C1007" t="inlineStr">
        <is>
          <t>EQ</t>
        </is>
      </c>
      <c r="E1007" t="inlineStr">
        <is>
          <t>EQ</t>
        </is>
      </c>
      <c r="G1007" s="42" t="inlineStr"/>
      <c r="H1007" s="127" t="n">
        <v>46117</v>
      </c>
      <c r="J1007" s="38" t="inlineStr">
        <is>
          <t>0-4006</t>
        </is>
      </c>
      <c r="K1007" t="inlineStr">
        <is>
          <t>TR419 LONESTAR 6.5X16' ENCLOSED CARGO TRAILER LONESTAR 6.5X16' ENCLOSED CARGO TRAILER</t>
        </is>
      </c>
      <c r="L1007" t="n">
        <v>0</v>
      </c>
      <c r="M1007" t="n">
        <v>0</v>
      </c>
      <c r="O1007" t="inlineStr">
        <is>
          <t>TR419</t>
        </is>
      </c>
      <c r="Q1007" s="114" t="n">
        <v>0</v>
      </c>
      <c r="R1007" s="114" t="n">
        <v>65</v>
      </c>
      <c r="S1007" s="114" t="n">
        <v>0</v>
      </c>
      <c r="T1007" t="n">
        <v>0</v>
      </c>
    </row>
    <row r="1008">
      <c r="A1008" t="inlineStr">
        <is>
          <t>ttJTrans</t>
        </is>
      </c>
      <c r="B1008" s="38" t="inlineStr">
        <is>
          <t>0-4006</t>
        </is>
      </c>
      <c r="C1008" t="inlineStr">
        <is>
          <t>EQ</t>
        </is>
      </c>
      <c r="E1008" t="inlineStr">
        <is>
          <t>EQ</t>
        </is>
      </c>
      <c r="G1008" s="42" t="inlineStr"/>
      <c r="H1008" s="127" t="n">
        <v>46124</v>
      </c>
      <c r="J1008" s="38" t="inlineStr">
        <is>
          <t>0-4006</t>
        </is>
      </c>
      <c r="K1008" t="inlineStr">
        <is>
          <t>TR419 LONESTAR 6.5X16' ENCLOSED CARGO TRAILER LONESTAR 6.5X16' ENCLOSED CARGO TRAILER</t>
        </is>
      </c>
      <c r="L1008" t="n">
        <v>0</v>
      </c>
      <c r="M1008" t="n">
        <v>0</v>
      </c>
      <c r="O1008" t="inlineStr">
        <is>
          <t>TR419</t>
        </is>
      </c>
      <c r="Q1008" s="114" t="n">
        <v>0</v>
      </c>
      <c r="R1008" s="114" t="n">
        <v>65</v>
      </c>
      <c r="S1008" s="114" t="n">
        <v>0</v>
      </c>
      <c r="T1008" t="n">
        <v>0</v>
      </c>
    </row>
    <row r="1009">
      <c r="A1009" t="inlineStr">
        <is>
          <t>ttJTrans</t>
        </is>
      </c>
      <c r="B1009" s="38" t="inlineStr">
        <is>
          <t>0-4006</t>
        </is>
      </c>
      <c r="C1009" t="inlineStr">
        <is>
          <t>EQ</t>
        </is>
      </c>
      <c r="E1009" t="inlineStr">
        <is>
          <t>EQ</t>
        </is>
      </c>
      <c r="G1009" s="42" t="inlineStr"/>
      <c r="H1009" s="127" t="n">
        <v>46124</v>
      </c>
      <c r="J1009" s="38" t="inlineStr">
        <is>
          <t>0-4006</t>
        </is>
      </c>
      <c r="K1009" t="inlineStr">
        <is>
          <t>TR419 LONESTAR 6.5X16' ENCLOSED CARGO TRAILER LONESTAR 6.5X16' ENCLOSED CARGO TRAILER</t>
        </is>
      </c>
      <c r="L1009" t="n">
        <v>0</v>
      </c>
      <c r="M1009" t="n">
        <v>0</v>
      </c>
      <c r="O1009" t="inlineStr">
        <is>
          <t>TR419</t>
        </is>
      </c>
      <c r="Q1009" s="114" t="n">
        <v>0</v>
      </c>
      <c r="R1009" s="114" t="n">
        <v>65</v>
      </c>
      <c r="S1009" s="114" t="n">
        <v>0</v>
      </c>
      <c r="T1009" t="n">
        <v>0</v>
      </c>
    </row>
    <row r="1010">
      <c r="A1010" t="inlineStr">
        <is>
          <t>ttJTrans</t>
        </is>
      </c>
      <c r="B1010" s="38" t="inlineStr">
        <is>
          <t>0-4006</t>
        </is>
      </c>
      <c r="C1010" t="inlineStr">
        <is>
          <t>EQ</t>
        </is>
      </c>
      <c r="E1010" t="inlineStr">
        <is>
          <t>EQ</t>
        </is>
      </c>
      <c r="G1010" s="42" t="inlineStr"/>
      <c r="H1010" s="127" t="n">
        <v>46124</v>
      </c>
      <c r="J1010" s="38" t="inlineStr">
        <is>
          <t>0-4006</t>
        </is>
      </c>
      <c r="K1010" t="inlineStr">
        <is>
          <t>TR419 LONESTAR 6.5X16' ENCLOSED CARGO TRAILER LONESTAR 6.5X16' ENCLOSED CARGO TRAILER</t>
        </is>
      </c>
      <c r="L1010" t="n">
        <v>0</v>
      </c>
      <c r="M1010" t="n">
        <v>0</v>
      </c>
      <c r="O1010" t="inlineStr">
        <is>
          <t>TR419</t>
        </is>
      </c>
      <c r="Q1010" s="114" t="n">
        <v>0</v>
      </c>
      <c r="R1010" s="114" t="n">
        <v>65</v>
      </c>
      <c r="S1010" s="114" t="n">
        <v>0</v>
      </c>
      <c r="T1010" t="n">
        <v>0</v>
      </c>
    </row>
    <row r="1011">
      <c r="A1011" t="inlineStr">
        <is>
          <t>ttJTrans</t>
        </is>
      </c>
      <c r="B1011" s="38" t="inlineStr">
        <is>
          <t>0-4006</t>
        </is>
      </c>
      <c r="C1011" t="inlineStr">
        <is>
          <t>EQ</t>
        </is>
      </c>
      <c r="E1011" t="inlineStr">
        <is>
          <t>EQ</t>
        </is>
      </c>
      <c r="G1011" s="42" t="inlineStr"/>
      <c r="H1011" s="127" t="n">
        <v>46124</v>
      </c>
      <c r="J1011" s="38" t="inlineStr">
        <is>
          <t>0-4006</t>
        </is>
      </c>
      <c r="K1011" t="inlineStr">
        <is>
          <t>TR419 LONESTAR 6.5X16' ENCLOSED CARGO TRAILER LONESTAR 6.5X16' ENCLOSED CARGO TRAILER</t>
        </is>
      </c>
      <c r="L1011" t="n">
        <v>0</v>
      </c>
      <c r="M1011" t="n">
        <v>0</v>
      </c>
      <c r="O1011" t="inlineStr">
        <is>
          <t>TR419</t>
        </is>
      </c>
      <c r="Q1011" s="114" t="n">
        <v>0</v>
      </c>
      <c r="R1011" s="114" t="n">
        <v>65</v>
      </c>
      <c r="S1011" s="114" t="n">
        <v>0</v>
      </c>
      <c r="T1011" t="n">
        <v>0</v>
      </c>
    </row>
    <row r="1012">
      <c r="A1012" t="inlineStr">
        <is>
          <t>ttJTrans</t>
        </is>
      </c>
      <c r="B1012" s="38" t="inlineStr">
        <is>
          <t>0-4006</t>
        </is>
      </c>
      <c r="C1012" t="inlineStr">
        <is>
          <t>EQ</t>
        </is>
      </c>
      <c r="E1012" t="inlineStr">
        <is>
          <t>EQ</t>
        </is>
      </c>
      <c r="G1012" s="42" t="inlineStr"/>
      <c r="H1012" s="127" t="n">
        <v>46124</v>
      </c>
      <c r="J1012" s="38" t="inlineStr">
        <is>
          <t>0-4006</t>
        </is>
      </c>
      <c r="K1012" t="inlineStr">
        <is>
          <t>TR419 LONESTAR 6.5X16' ENCLOSED CARGO TRAILER LONESTAR 6.5X16' ENCLOSED CARGO TRAILER</t>
        </is>
      </c>
      <c r="L1012" t="n">
        <v>0</v>
      </c>
      <c r="M1012" t="n">
        <v>0</v>
      </c>
      <c r="O1012" t="inlineStr">
        <is>
          <t>TR419</t>
        </is>
      </c>
      <c r="Q1012" s="114" t="n">
        <v>0</v>
      </c>
      <c r="R1012" s="114" t="n">
        <v>65</v>
      </c>
      <c r="S1012" s="114" t="n">
        <v>0</v>
      </c>
      <c r="T1012" t="n">
        <v>0</v>
      </c>
    </row>
    <row r="1013">
      <c r="A1013" t="inlineStr">
        <is>
          <t>ttJTrans</t>
        </is>
      </c>
      <c r="B1013" s="38" t="inlineStr">
        <is>
          <t>0-4006</t>
        </is>
      </c>
      <c r="C1013" t="inlineStr">
        <is>
          <t>EQ</t>
        </is>
      </c>
      <c r="E1013" t="inlineStr">
        <is>
          <t>EQ</t>
        </is>
      </c>
      <c r="G1013" s="42" t="inlineStr"/>
      <c r="H1013" s="127" t="n">
        <v>46124</v>
      </c>
      <c r="J1013" s="38" t="inlineStr">
        <is>
          <t>0-4006</t>
        </is>
      </c>
      <c r="K1013" t="inlineStr">
        <is>
          <t>TR419 LONESTAR 6.5X16' ENCLOSED CARGO TRAILER LONESTAR 6.5X16' ENCLOSED CARGO TRAILER</t>
        </is>
      </c>
      <c r="L1013" t="n">
        <v>0</v>
      </c>
      <c r="M1013" t="n">
        <v>0</v>
      </c>
      <c r="O1013" t="inlineStr">
        <is>
          <t>TR419</t>
        </is>
      </c>
      <c r="Q1013" s="114" t="n">
        <v>0</v>
      </c>
      <c r="R1013" s="114" t="n">
        <v>65</v>
      </c>
      <c r="S1013" s="114" t="n">
        <v>0</v>
      </c>
      <c r="T1013" t="n">
        <v>0</v>
      </c>
    </row>
    <row r="1014">
      <c r="A1014" t="inlineStr">
        <is>
          <t>ttJTrans</t>
        </is>
      </c>
      <c r="B1014" s="38" t="inlineStr">
        <is>
          <t>0-4006</t>
        </is>
      </c>
      <c r="C1014" t="inlineStr">
        <is>
          <t>EQ</t>
        </is>
      </c>
      <c r="E1014" t="inlineStr">
        <is>
          <t>EQ</t>
        </is>
      </c>
      <c r="G1014" s="42" t="inlineStr"/>
      <c r="H1014" s="127" t="n">
        <v>46124</v>
      </c>
      <c r="J1014" s="38" t="inlineStr">
        <is>
          <t>0-4006</t>
        </is>
      </c>
      <c r="K1014" t="inlineStr">
        <is>
          <t>RT1344 2023 FORD F250 XL STX 4X4 DIESEL 2023 FORD F250 XL STX 4X4 DIESEL</t>
        </is>
      </c>
      <c r="L1014" t="n">
        <v>0</v>
      </c>
      <c r="M1014" t="n">
        <v>0</v>
      </c>
      <c r="O1014" t="inlineStr">
        <is>
          <t>RT1344</t>
        </is>
      </c>
      <c r="Q1014" s="114" t="n">
        <v>0</v>
      </c>
      <c r="R1014" s="114" t="n">
        <v>79.14</v>
      </c>
      <c r="S1014" s="114" t="n">
        <v>0</v>
      </c>
      <c r="T1014" t="n">
        <v>0</v>
      </c>
    </row>
    <row r="1015">
      <c r="A1015" t="inlineStr">
        <is>
          <t>ttJTrans</t>
        </is>
      </c>
      <c r="B1015" s="38" t="inlineStr">
        <is>
          <t>0-4006</t>
        </is>
      </c>
      <c r="C1015" t="inlineStr">
        <is>
          <t>EQ</t>
        </is>
      </c>
      <c r="E1015" t="inlineStr">
        <is>
          <t>EQ</t>
        </is>
      </c>
      <c r="G1015" s="42" t="inlineStr"/>
      <c r="H1015" s="127" t="n">
        <v>46124</v>
      </c>
      <c r="J1015" s="38" t="inlineStr">
        <is>
          <t>0-4006</t>
        </is>
      </c>
      <c r="K1015" t="inlineStr">
        <is>
          <t>RT1344 2023 FORD F250 XL STX 4X4 DIESEL 2023 FORD F250 XL STX 4X4 DIESEL</t>
        </is>
      </c>
      <c r="L1015" t="n">
        <v>0</v>
      </c>
      <c r="M1015" t="n">
        <v>0</v>
      </c>
      <c r="O1015" t="inlineStr">
        <is>
          <t>RT1344</t>
        </is>
      </c>
      <c r="Q1015" s="114" t="n">
        <v>0</v>
      </c>
      <c r="R1015" s="114" t="n">
        <v>79.14</v>
      </c>
      <c r="S1015" s="114" t="n">
        <v>0</v>
      </c>
      <c r="T1015" t="n">
        <v>0</v>
      </c>
    </row>
    <row r="1016">
      <c r="A1016" t="inlineStr">
        <is>
          <t>ttJTrans</t>
        </is>
      </c>
      <c r="B1016" s="38" t="inlineStr">
        <is>
          <t>0-4006</t>
        </is>
      </c>
      <c r="C1016" t="inlineStr">
        <is>
          <t>EQ</t>
        </is>
      </c>
      <c r="E1016" t="inlineStr">
        <is>
          <t>EQ</t>
        </is>
      </c>
      <c r="G1016" s="42" t="inlineStr"/>
      <c r="H1016" s="127" t="n">
        <v>46124</v>
      </c>
      <c r="J1016" s="38" t="inlineStr">
        <is>
          <t>0-4006</t>
        </is>
      </c>
      <c r="K1016" t="inlineStr">
        <is>
          <t>RT1344 2023 FORD F250 XL STX 4X4 DIESEL 2023 FORD F250 XL STX 4X4 DIESEL</t>
        </is>
      </c>
      <c r="L1016" t="n">
        <v>0</v>
      </c>
      <c r="M1016" t="n">
        <v>0</v>
      </c>
      <c r="O1016" t="inlineStr">
        <is>
          <t>RT1344</t>
        </is>
      </c>
      <c r="Q1016" s="114" t="n">
        <v>0</v>
      </c>
      <c r="R1016" s="114" t="n">
        <v>79.14</v>
      </c>
      <c r="S1016" s="114" t="n">
        <v>0</v>
      </c>
      <c r="T1016" t="n">
        <v>0</v>
      </c>
    </row>
    <row r="1017">
      <c r="A1017" t="inlineStr">
        <is>
          <t>ttJTrans</t>
        </is>
      </c>
      <c r="B1017" s="38" t="inlineStr">
        <is>
          <t>0-4006</t>
        </is>
      </c>
      <c r="C1017" t="inlineStr">
        <is>
          <t>EQ</t>
        </is>
      </c>
      <c r="E1017" t="inlineStr">
        <is>
          <t>EQ</t>
        </is>
      </c>
      <c r="G1017" s="42" t="inlineStr"/>
      <c r="H1017" s="127" t="n">
        <v>46124</v>
      </c>
      <c r="J1017" s="38" t="inlineStr">
        <is>
          <t>0-4006</t>
        </is>
      </c>
      <c r="K1017" t="inlineStr">
        <is>
          <t>RT1344 2023 FORD F250 XL STX 4X4 DIESEL 2023 FORD F250 XL STX 4X4 DIESEL</t>
        </is>
      </c>
      <c r="L1017" t="n">
        <v>0</v>
      </c>
      <c r="M1017" t="n">
        <v>0</v>
      </c>
      <c r="O1017" t="inlineStr">
        <is>
          <t>RT1344</t>
        </is>
      </c>
      <c r="Q1017" s="114" t="n">
        <v>0</v>
      </c>
      <c r="R1017" s="114" t="n">
        <v>79.14</v>
      </c>
      <c r="S1017" s="114" t="n">
        <v>0</v>
      </c>
      <c r="T1017" t="n">
        <v>0</v>
      </c>
    </row>
    <row r="1018">
      <c r="A1018" t="inlineStr">
        <is>
          <t>ttJTrans</t>
        </is>
      </c>
      <c r="B1018" s="38" t="inlineStr">
        <is>
          <t>0-4006</t>
        </is>
      </c>
      <c r="C1018" t="inlineStr">
        <is>
          <t>EQ</t>
        </is>
      </c>
      <c r="E1018" t="inlineStr">
        <is>
          <t>EQ</t>
        </is>
      </c>
      <c r="G1018" s="42" t="inlineStr"/>
      <c r="H1018" s="127" t="n">
        <v>46124</v>
      </c>
      <c r="J1018" s="38" t="inlineStr">
        <is>
          <t>0-4006</t>
        </is>
      </c>
      <c r="K1018" t="inlineStr">
        <is>
          <t>RT1344 2023 FORD F250 XL STX 4X4 DIESEL 2023 FORD F250 XL STX 4X4 DIESEL</t>
        </is>
      </c>
      <c r="L1018" t="n">
        <v>0</v>
      </c>
      <c r="M1018" t="n">
        <v>0</v>
      </c>
      <c r="O1018" t="inlineStr">
        <is>
          <t>RT1344</t>
        </is>
      </c>
      <c r="Q1018" s="114" t="n">
        <v>0</v>
      </c>
      <c r="R1018" s="114" t="n">
        <v>79.14</v>
      </c>
      <c r="S1018" s="114" t="n">
        <v>0</v>
      </c>
      <c r="T1018" t="n">
        <v>0</v>
      </c>
    </row>
    <row r="1019">
      <c r="A1019" t="inlineStr">
        <is>
          <t>ttJTrans</t>
        </is>
      </c>
      <c r="B1019" s="38" t="inlineStr">
        <is>
          <t>0-4006</t>
        </is>
      </c>
      <c r="C1019" t="inlineStr">
        <is>
          <t>EQ</t>
        </is>
      </c>
      <c r="E1019" t="inlineStr">
        <is>
          <t>EQ</t>
        </is>
      </c>
      <c r="G1019" s="42" t="inlineStr"/>
      <c r="H1019" s="127" t="n">
        <v>46124</v>
      </c>
      <c r="J1019" s="38" t="inlineStr">
        <is>
          <t>0-4006</t>
        </is>
      </c>
      <c r="K1019" t="inlineStr">
        <is>
          <t>RT1344 2023 FORD F250 XL STX 4X4 DIESEL 2023 FORD F250 XL STX 4X4 DIESEL</t>
        </is>
      </c>
      <c r="L1019" t="n">
        <v>0</v>
      </c>
      <c r="M1019" t="n">
        <v>0</v>
      </c>
      <c r="O1019" t="inlineStr">
        <is>
          <t>RT1344</t>
        </is>
      </c>
      <c r="Q1019" s="114" t="n">
        <v>0</v>
      </c>
      <c r="R1019" s="114" t="n">
        <v>79.14</v>
      </c>
      <c r="S1019" s="114" t="n">
        <v>0</v>
      </c>
      <c r="T1019" t="n">
        <v>0</v>
      </c>
    </row>
    <row r="1020">
      <c r="A1020" t="inlineStr">
        <is>
          <t>ttJTrans</t>
        </is>
      </c>
      <c r="B1020" s="38" t="inlineStr">
        <is>
          <t>0-4006</t>
        </is>
      </c>
      <c r="C1020" t="inlineStr">
        <is>
          <t>EQ</t>
        </is>
      </c>
      <c r="E1020" t="inlineStr">
        <is>
          <t>EQ</t>
        </is>
      </c>
      <c r="G1020" s="42" t="inlineStr"/>
      <c r="H1020" s="127" t="n">
        <v>46124</v>
      </c>
      <c r="J1020" s="38" t="inlineStr">
        <is>
          <t>0-4006</t>
        </is>
      </c>
      <c r="K1020" t="inlineStr">
        <is>
          <t>TR260 2005 UTILITY BRAND TOOL VAN 2005 UTILITY BRAND TOOL VAN</t>
        </is>
      </c>
      <c r="L1020" t="n">
        <v>0</v>
      </c>
      <c r="M1020" t="n">
        <v>0</v>
      </c>
      <c r="O1020" t="inlineStr">
        <is>
          <t>TR260</t>
        </is>
      </c>
      <c r="Q1020" s="114" t="n">
        <v>0</v>
      </c>
      <c r="R1020" s="114" t="n">
        <v>75</v>
      </c>
      <c r="S1020" s="114" t="n">
        <v>0</v>
      </c>
      <c r="T1020" t="n">
        <v>0</v>
      </c>
    </row>
    <row r="1021">
      <c r="A1021" t="inlineStr">
        <is>
          <t>ttJTrans</t>
        </is>
      </c>
      <c r="B1021" s="38" t="inlineStr">
        <is>
          <t>0-4006</t>
        </is>
      </c>
      <c r="C1021" t="inlineStr">
        <is>
          <t>EQ</t>
        </is>
      </c>
      <c r="E1021" t="inlineStr">
        <is>
          <t>EQ</t>
        </is>
      </c>
      <c r="G1021" s="42" t="inlineStr"/>
      <c r="H1021" s="127" t="n">
        <v>46124</v>
      </c>
      <c r="J1021" s="38" t="inlineStr">
        <is>
          <t>0-4006</t>
        </is>
      </c>
      <c r="K1021" t="inlineStr">
        <is>
          <t>TR260 2005 UTILITY BRAND TOOL VAN 2005 UTILITY BRAND TOOL VAN</t>
        </is>
      </c>
      <c r="L1021" t="n">
        <v>0</v>
      </c>
      <c r="M1021" t="n">
        <v>0</v>
      </c>
      <c r="O1021" t="inlineStr">
        <is>
          <t>TR260</t>
        </is>
      </c>
      <c r="Q1021" s="114" t="n">
        <v>0</v>
      </c>
      <c r="R1021" s="114" t="n">
        <v>75</v>
      </c>
      <c r="S1021" s="114" t="n">
        <v>0</v>
      </c>
      <c r="T1021" t="n">
        <v>0</v>
      </c>
    </row>
    <row r="1022">
      <c r="A1022" t="inlineStr">
        <is>
          <t>ttJTrans</t>
        </is>
      </c>
      <c r="B1022" s="38" t="inlineStr">
        <is>
          <t>0-4006</t>
        </is>
      </c>
      <c r="C1022" t="inlineStr">
        <is>
          <t>EQ</t>
        </is>
      </c>
      <c r="E1022" t="inlineStr">
        <is>
          <t>EQ</t>
        </is>
      </c>
      <c r="G1022" s="42" t="inlineStr"/>
      <c r="H1022" s="127" t="n">
        <v>46124</v>
      </c>
      <c r="J1022" s="38" t="inlineStr">
        <is>
          <t>0-4006</t>
        </is>
      </c>
      <c r="K1022" t="inlineStr">
        <is>
          <t>TR260 2005 UTILITY BRAND TOOL VAN 2005 UTILITY BRAND TOOL VAN</t>
        </is>
      </c>
      <c r="L1022" t="n">
        <v>0</v>
      </c>
      <c r="M1022" t="n">
        <v>0</v>
      </c>
      <c r="O1022" t="inlineStr">
        <is>
          <t>TR260</t>
        </is>
      </c>
      <c r="Q1022" s="114" t="n">
        <v>0</v>
      </c>
      <c r="R1022" s="114" t="n">
        <v>75</v>
      </c>
      <c r="S1022" s="114" t="n">
        <v>0</v>
      </c>
      <c r="T1022" t="n">
        <v>0</v>
      </c>
    </row>
    <row r="1023">
      <c r="A1023" t="inlineStr">
        <is>
          <t>ttJTrans</t>
        </is>
      </c>
      <c r="B1023" s="38" t="inlineStr">
        <is>
          <t>0-4006</t>
        </is>
      </c>
      <c r="C1023" t="inlineStr">
        <is>
          <t>EQ</t>
        </is>
      </c>
      <c r="E1023" t="inlineStr">
        <is>
          <t>EQ</t>
        </is>
      </c>
      <c r="G1023" s="42" t="inlineStr"/>
      <c r="H1023" s="127" t="n">
        <v>46131</v>
      </c>
      <c r="J1023" s="38" t="inlineStr">
        <is>
          <t>0-4006</t>
        </is>
      </c>
      <c r="K1023" t="inlineStr">
        <is>
          <t>TR419 LONESTAR 6.5X16' ENCLOSED CARGO TRAILER LONESTAR 6.5X16' ENCLOSED CARGO TRAILER</t>
        </is>
      </c>
      <c r="L1023" t="n">
        <v>0</v>
      </c>
      <c r="M1023" t="n">
        <v>0</v>
      </c>
      <c r="O1023" t="inlineStr">
        <is>
          <t>TR419</t>
        </is>
      </c>
      <c r="Q1023" s="114" t="n">
        <v>0</v>
      </c>
      <c r="R1023" s="114" t="n">
        <v>65</v>
      </c>
      <c r="S1023" s="114" t="n">
        <v>0</v>
      </c>
      <c r="T1023" t="n">
        <v>0</v>
      </c>
    </row>
    <row r="1024">
      <c r="A1024" t="inlineStr">
        <is>
          <t>ttJTrans</t>
        </is>
      </c>
      <c r="B1024" s="38" t="inlineStr">
        <is>
          <t>0-4006</t>
        </is>
      </c>
      <c r="C1024" t="inlineStr">
        <is>
          <t>EQ</t>
        </is>
      </c>
      <c r="E1024" t="inlineStr">
        <is>
          <t>EQ</t>
        </is>
      </c>
      <c r="G1024" s="42" t="inlineStr"/>
      <c r="H1024" s="127" t="n">
        <v>46131</v>
      </c>
      <c r="J1024" s="38" t="inlineStr">
        <is>
          <t>0-4006</t>
        </is>
      </c>
      <c r="K1024" t="inlineStr">
        <is>
          <t>TR419 LONESTAR 6.5X16' ENCLOSED CARGO TRAILER LONESTAR 6.5X16' ENCLOSED CARGO TRAILER</t>
        </is>
      </c>
      <c r="L1024" t="n">
        <v>0</v>
      </c>
      <c r="M1024" t="n">
        <v>0</v>
      </c>
      <c r="O1024" t="inlineStr">
        <is>
          <t>TR419</t>
        </is>
      </c>
      <c r="Q1024" s="114" t="n">
        <v>0</v>
      </c>
      <c r="R1024" s="114" t="n">
        <v>65</v>
      </c>
      <c r="S1024" s="114" t="n">
        <v>0</v>
      </c>
      <c r="T1024" t="n">
        <v>0</v>
      </c>
    </row>
    <row r="1025">
      <c r="A1025" t="inlineStr">
        <is>
          <t>ttJTrans</t>
        </is>
      </c>
      <c r="B1025" s="38" t="inlineStr">
        <is>
          <t>0-4006</t>
        </is>
      </c>
      <c r="C1025" t="inlineStr">
        <is>
          <t>EQ</t>
        </is>
      </c>
      <c r="E1025" t="inlineStr">
        <is>
          <t>EQ</t>
        </is>
      </c>
      <c r="G1025" s="42" t="inlineStr"/>
      <c r="H1025" s="127" t="n">
        <v>46131</v>
      </c>
      <c r="J1025" s="38" t="inlineStr">
        <is>
          <t>0-4006</t>
        </is>
      </c>
      <c r="K1025" t="inlineStr">
        <is>
          <t>TR419 LONESTAR 6.5X16' ENCLOSED CARGO TRAILER LONESTAR 6.5X16' ENCLOSED CARGO TRAILER</t>
        </is>
      </c>
      <c r="L1025" t="n">
        <v>0</v>
      </c>
      <c r="M1025" t="n">
        <v>0</v>
      </c>
      <c r="O1025" t="inlineStr">
        <is>
          <t>TR419</t>
        </is>
      </c>
      <c r="Q1025" s="114" t="n">
        <v>0</v>
      </c>
      <c r="R1025" s="114" t="n">
        <v>65</v>
      </c>
      <c r="S1025" s="114" t="n">
        <v>0</v>
      </c>
      <c r="T1025" t="n">
        <v>0</v>
      </c>
    </row>
    <row r="1026">
      <c r="A1026" t="inlineStr">
        <is>
          <t>ttJTrans</t>
        </is>
      </c>
      <c r="B1026" s="38" t="inlineStr">
        <is>
          <t>0-4006</t>
        </is>
      </c>
      <c r="C1026" t="inlineStr">
        <is>
          <t>EQ</t>
        </is>
      </c>
      <c r="E1026" t="inlineStr">
        <is>
          <t>EQ</t>
        </is>
      </c>
      <c r="G1026" s="42" t="inlineStr"/>
      <c r="H1026" s="127" t="n">
        <v>46131</v>
      </c>
      <c r="J1026" s="38" t="inlineStr">
        <is>
          <t>0-4006</t>
        </is>
      </c>
      <c r="K1026" t="inlineStr">
        <is>
          <t>TR419 LONESTAR 6.5X16' ENCLOSED CARGO TRAILER LONESTAR 6.5X16' ENCLOSED CARGO TRAILER</t>
        </is>
      </c>
      <c r="L1026" t="n">
        <v>0</v>
      </c>
      <c r="M1026" t="n">
        <v>0</v>
      </c>
      <c r="O1026" t="inlineStr">
        <is>
          <t>TR419</t>
        </is>
      </c>
      <c r="Q1026" s="114" t="n">
        <v>0</v>
      </c>
      <c r="R1026" s="114" t="n">
        <v>65</v>
      </c>
      <c r="S1026" s="114" t="n">
        <v>0</v>
      </c>
      <c r="T1026" t="n">
        <v>0</v>
      </c>
    </row>
    <row r="1027">
      <c r="A1027" t="inlineStr">
        <is>
          <t>ttJTrans</t>
        </is>
      </c>
      <c r="B1027" s="38" t="inlineStr">
        <is>
          <t>0-4006</t>
        </is>
      </c>
      <c r="C1027" t="inlineStr">
        <is>
          <t>EQ</t>
        </is>
      </c>
      <c r="E1027" t="inlineStr">
        <is>
          <t>EQ</t>
        </is>
      </c>
      <c r="G1027" s="42" t="inlineStr"/>
      <c r="H1027" s="127" t="n">
        <v>46131</v>
      </c>
      <c r="J1027" s="38" t="inlineStr">
        <is>
          <t>0-4006</t>
        </is>
      </c>
      <c r="K1027" t="inlineStr">
        <is>
          <t>TR419 LONESTAR 6.5X16' ENCLOSED CARGO TRAILER LONESTAR 6.5X16' ENCLOSED CARGO TRAILER</t>
        </is>
      </c>
      <c r="L1027" t="n">
        <v>0</v>
      </c>
      <c r="M1027" t="n">
        <v>0</v>
      </c>
      <c r="O1027" t="inlineStr">
        <is>
          <t>TR419</t>
        </is>
      </c>
      <c r="Q1027" s="114" t="n">
        <v>0</v>
      </c>
      <c r="R1027" s="114" t="n">
        <v>65</v>
      </c>
      <c r="S1027" s="114" t="n">
        <v>0</v>
      </c>
      <c r="T1027" t="n">
        <v>0</v>
      </c>
    </row>
    <row r="1028">
      <c r="A1028" t="inlineStr">
        <is>
          <t>ttJTrans</t>
        </is>
      </c>
      <c r="B1028" s="38" t="inlineStr">
        <is>
          <t>0-4006</t>
        </is>
      </c>
      <c r="C1028" t="inlineStr">
        <is>
          <t>EQ</t>
        </is>
      </c>
      <c r="E1028" t="inlineStr">
        <is>
          <t>EQ</t>
        </is>
      </c>
      <c r="G1028" s="42" t="inlineStr"/>
      <c r="H1028" s="127" t="n">
        <v>46131</v>
      </c>
      <c r="J1028" s="38" t="inlineStr">
        <is>
          <t>0-4006</t>
        </is>
      </c>
      <c r="K1028" t="inlineStr">
        <is>
          <t>TR419 LONESTAR 6.5X16' ENCLOSED CARGO TRAILER LONESTAR 6.5X16' ENCLOSED CARGO TRAILER</t>
        </is>
      </c>
      <c r="L1028" t="n">
        <v>0</v>
      </c>
      <c r="M1028" t="n">
        <v>0</v>
      </c>
      <c r="O1028" t="inlineStr">
        <is>
          <t>TR419</t>
        </is>
      </c>
      <c r="Q1028" s="114" t="n">
        <v>0</v>
      </c>
      <c r="R1028" s="114" t="n">
        <v>65</v>
      </c>
      <c r="S1028" s="114" t="n">
        <v>0</v>
      </c>
      <c r="T1028" t="n">
        <v>0</v>
      </c>
    </row>
    <row r="1029">
      <c r="A1029" t="inlineStr">
        <is>
          <t>ttJTrans</t>
        </is>
      </c>
      <c r="B1029" s="38" t="inlineStr">
        <is>
          <t>0-4006</t>
        </is>
      </c>
      <c r="C1029" t="inlineStr">
        <is>
          <t>EQ</t>
        </is>
      </c>
      <c r="E1029" t="inlineStr">
        <is>
          <t>EQ</t>
        </is>
      </c>
      <c r="G1029" s="42" t="inlineStr"/>
      <c r="H1029" s="127" t="n">
        <v>46131</v>
      </c>
      <c r="J1029" s="38" t="inlineStr">
        <is>
          <t>0-4006</t>
        </is>
      </c>
      <c r="K1029" t="inlineStr">
        <is>
          <t>RT1344 2023 FORD F250 XL STX 4X4 DIESEL 2023 FORD F250 XL STX 4X4 DIESEL</t>
        </is>
      </c>
      <c r="L1029" t="n">
        <v>0</v>
      </c>
      <c r="M1029" t="n">
        <v>0</v>
      </c>
      <c r="O1029" t="inlineStr">
        <is>
          <t>RT1344</t>
        </is>
      </c>
      <c r="Q1029" s="114" t="n">
        <v>0</v>
      </c>
      <c r="R1029" s="114" t="n">
        <v>79.14</v>
      </c>
      <c r="S1029" s="114" t="n">
        <v>0</v>
      </c>
      <c r="T1029" t="n">
        <v>0</v>
      </c>
    </row>
    <row r="1030">
      <c r="A1030" t="inlineStr">
        <is>
          <t>ttJTrans</t>
        </is>
      </c>
      <c r="B1030" s="38" t="inlineStr">
        <is>
          <t>0-4006</t>
        </is>
      </c>
      <c r="C1030" t="inlineStr">
        <is>
          <t>EQ</t>
        </is>
      </c>
      <c r="E1030" t="inlineStr">
        <is>
          <t>EQ</t>
        </is>
      </c>
      <c r="G1030" s="42" t="inlineStr"/>
      <c r="H1030" s="127" t="n">
        <v>46131</v>
      </c>
      <c r="J1030" s="38" t="inlineStr">
        <is>
          <t>0-4006</t>
        </is>
      </c>
      <c r="K1030" t="inlineStr">
        <is>
          <t>RT1344 2023 FORD F250 XL STX 4X4 DIESEL 2023 FORD F250 XL STX 4X4 DIESEL</t>
        </is>
      </c>
      <c r="L1030" t="n">
        <v>0</v>
      </c>
      <c r="M1030" t="n">
        <v>0</v>
      </c>
      <c r="O1030" t="inlineStr">
        <is>
          <t>RT1344</t>
        </is>
      </c>
      <c r="Q1030" s="114" t="n">
        <v>0</v>
      </c>
      <c r="R1030" s="114" t="n">
        <v>79.14</v>
      </c>
      <c r="S1030" s="114" t="n">
        <v>0</v>
      </c>
      <c r="T1030" t="n">
        <v>0</v>
      </c>
    </row>
    <row r="1031">
      <c r="A1031" t="inlineStr">
        <is>
          <t>ttJTrans</t>
        </is>
      </c>
      <c r="B1031" s="38" t="inlineStr">
        <is>
          <t>0-4006</t>
        </is>
      </c>
      <c r="C1031" t="inlineStr">
        <is>
          <t>EQ</t>
        </is>
      </c>
      <c r="E1031" t="inlineStr">
        <is>
          <t>EQ</t>
        </is>
      </c>
      <c r="G1031" s="42" t="inlineStr"/>
      <c r="H1031" s="127" t="n">
        <v>46131</v>
      </c>
      <c r="J1031" s="38" t="inlineStr">
        <is>
          <t>0-4006</t>
        </is>
      </c>
      <c r="K1031" t="inlineStr">
        <is>
          <t>RT1344 2023 FORD F250 XL STX 4X4 DIESEL 2023 FORD F250 XL STX 4X4 DIESEL</t>
        </is>
      </c>
      <c r="L1031" t="n">
        <v>0</v>
      </c>
      <c r="M1031" t="n">
        <v>0</v>
      </c>
      <c r="O1031" t="inlineStr">
        <is>
          <t>RT1344</t>
        </is>
      </c>
      <c r="Q1031" s="114" t="n">
        <v>0</v>
      </c>
      <c r="R1031" s="114" t="n">
        <v>79.14</v>
      </c>
      <c r="S1031" s="114" t="n">
        <v>0</v>
      </c>
      <c r="T1031" t="n">
        <v>0</v>
      </c>
    </row>
    <row r="1032">
      <c r="A1032" t="inlineStr">
        <is>
          <t>ttJTrans</t>
        </is>
      </c>
      <c r="B1032" s="38" t="inlineStr">
        <is>
          <t>0-4006</t>
        </is>
      </c>
      <c r="C1032" t="inlineStr">
        <is>
          <t>EQ</t>
        </is>
      </c>
      <c r="E1032" t="inlineStr">
        <is>
          <t>EQ</t>
        </is>
      </c>
      <c r="G1032" s="42" t="inlineStr"/>
      <c r="H1032" s="127" t="n">
        <v>46131</v>
      </c>
      <c r="J1032" s="38" t="inlineStr">
        <is>
          <t>0-4006</t>
        </is>
      </c>
      <c r="K1032" t="inlineStr">
        <is>
          <t>RT1344 2023 FORD F250 XL STX 4X4 DIESEL 2023 FORD F250 XL STX 4X4 DIESEL</t>
        </is>
      </c>
      <c r="L1032" t="n">
        <v>0</v>
      </c>
      <c r="M1032" t="n">
        <v>0</v>
      </c>
      <c r="O1032" t="inlineStr">
        <is>
          <t>RT1344</t>
        </is>
      </c>
      <c r="Q1032" s="114" t="n">
        <v>0</v>
      </c>
      <c r="R1032" s="114" t="n">
        <v>79.14</v>
      </c>
      <c r="S1032" s="114" t="n">
        <v>0</v>
      </c>
      <c r="T1032" t="n">
        <v>0</v>
      </c>
    </row>
    <row r="1033">
      <c r="A1033" t="inlineStr">
        <is>
          <t>ttJTrans</t>
        </is>
      </c>
      <c r="B1033" s="38" t="inlineStr">
        <is>
          <t>0-4006</t>
        </is>
      </c>
      <c r="C1033" t="inlineStr">
        <is>
          <t>EQ</t>
        </is>
      </c>
      <c r="E1033" t="inlineStr">
        <is>
          <t>EQ</t>
        </is>
      </c>
      <c r="G1033" s="42" t="inlineStr"/>
      <c r="H1033" s="127" t="n">
        <v>46131</v>
      </c>
      <c r="J1033" s="38" t="inlineStr">
        <is>
          <t>0-4006</t>
        </is>
      </c>
      <c r="K1033" t="inlineStr">
        <is>
          <t>RT1344 2023 FORD F250 XL STX 4X4 DIESEL 2023 FORD F250 XL STX 4X4 DIESEL</t>
        </is>
      </c>
      <c r="L1033" t="n">
        <v>0</v>
      </c>
      <c r="M1033" t="n">
        <v>0</v>
      </c>
      <c r="O1033" t="inlineStr">
        <is>
          <t>RT1344</t>
        </is>
      </c>
      <c r="Q1033" s="114" t="n">
        <v>0</v>
      </c>
      <c r="R1033" s="114" t="n">
        <v>79.14</v>
      </c>
      <c r="S1033" s="114" t="n">
        <v>0</v>
      </c>
      <c r="T1033" t="n">
        <v>0</v>
      </c>
    </row>
    <row r="1034">
      <c r="A1034" t="inlineStr">
        <is>
          <t>ttJTrans</t>
        </is>
      </c>
      <c r="B1034" s="38" t="inlineStr">
        <is>
          <t>0-4006</t>
        </is>
      </c>
      <c r="C1034" t="inlineStr">
        <is>
          <t>EQ</t>
        </is>
      </c>
      <c r="E1034" t="inlineStr">
        <is>
          <t>EQ</t>
        </is>
      </c>
      <c r="G1034" s="42" t="inlineStr"/>
      <c r="H1034" s="127" t="n">
        <v>46131</v>
      </c>
      <c r="J1034" s="38" t="inlineStr">
        <is>
          <t>0-4006</t>
        </is>
      </c>
      <c r="K1034" t="inlineStr">
        <is>
          <t>RT1344 2023 FORD F250 XL STX 4X4 DIESEL 2023 FORD F250 XL STX 4X4 DIESEL</t>
        </is>
      </c>
      <c r="L1034" t="n">
        <v>0</v>
      </c>
      <c r="M1034" t="n">
        <v>0</v>
      </c>
      <c r="O1034" t="inlineStr">
        <is>
          <t>RT1344</t>
        </is>
      </c>
      <c r="Q1034" s="114" t="n">
        <v>0</v>
      </c>
      <c r="R1034" s="114" t="n">
        <v>79.14</v>
      </c>
      <c r="S1034" s="114" t="n">
        <v>0</v>
      </c>
      <c r="T1034" t="n">
        <v>0</v>
      </c>
    </row>
    <row r="1035">
      <c r="A1035" t="inlineStr">
        <is>
          <t>ttJTrans</t>
        </is>
      </c>
      <c r="B1035" s="38" t="inlineStr">
        <is>
          <t>0-4006</t>
        </is>
      </c>
      <c r="C1035" t="inlineStr">
        <is>
          <t>EQ</t>
        </is>
      </c>
      <c r="E1035" t="inlineStr">
        <is>
          <t>EQ</t>
        </is>
      </c>
      <c r="G1035" s="42" t="inlineStr"/>
      <c r="H1035" s="127" t="n">
        <v>46131</v>
      </c>
      <c r="J1035" s="38" t="inlineStr">
        <is>
          <t>0-4006</t>
        </is>
      </c>
      <c r="K1035" t="inlineStr">
        <is>
          <t>TR260 2005 UTILITY BRAND TOOL VAN 2005 UTILITY BRAND TOOL VAN</t>
        </is>
      </c>
      <c r="L1035" t="n">
        <v>0</v>
      </c>
      <c r="M1035" t="n">
        <v>0</v>
      </c>
      <c r="O1035" t="inlineStr">
        <is>
          <t>TR260</t>
        </is>
      </c>
      <c r="Q1035" s="114" t="n">
        <v>0</v>
      </c>
      <c r="R1035" s="114" t="n">
        <v>75</v>
      </c>
      <c r="S1035" s="114" t="n">
        <v>0</v>
      </c>
      <c r="T1035" t="n">
        <v>0</v>
      </c>
    </row>
    <row r="1036">
      <c r="A1036" t="inlineStr">
        <is>
          <t>ttJTrans</t>
        </is>
      </c>
      <c r="B1036" s="38" t="inlineStr">
        <is>
          <t>0-4006</t>
        </is>
      </c>
      <c r="C1036" t="inlineStr">
        <is>
          <t>EQ</t>
        </is>
      </c>
      <c r="E1036" t="inlineStr">
        <is>
          <t>EQ</t>
        </is>
      </c>
      <c r="G1036" s="42" t="inlineStr"/>
      <c r="H1036" s="127" t="n">
        <v>46131</v>
      </c>
      <c r="J1036" s="38" t="inlineStr">
        <is>
          <t>0-4006</t>
        </is>
      </c>
      <c r="K1036" t="inlineStr">
        <is>
          <t>TR260 2005 UTILITY BRAND TOOL VAN 2005 UTILITY BRAND TOOL VAN</t>
        </is>
      </c>
      <c r="L1036" t="n">
        <v>0</v>
      </c>
      <c r="M1036" t="n">
        <v>0</v>
      </c>
      <c r="O1036" t="inlineStr">
        <is>
          <t>TR260</t>
        </is>
      </c>
      <c r="Q1036" s="114" t="n">
        <v>0</v>
      </c>
      <c r="R1036" s="114" t="n">
        <v>75</v>
      </c>
      <c r="S1036" s="114" t="n">
        <v>0</v>
      </c>
      <c r="T1036" t="n">
        <v>0</v>
      </c>
    </row>
    <row r="1037">
      <c r="A1037" t="inlineStr">
        <is>
          <t>ttJTrans</t>
        </is>
      </c>
      <c r="B1037" s="38" t="inlineStr">
        <is>
          <t>0-4006</t>
        </is>
      </c>
      <c r="C1037" t="inlineStr">
        <is>
          <t>EQ</t>
        </is>
      </c>
      <c r="E1037" t="inlineStr">
        <is>
          <t>EQ</t>
        </is>
      </c>
      <c r="G1037" s="42" t="inlineStr"/>
      <c r="H1037" s="127" t="n">
        <v>46131</v>
      </c>
      <c r="J1037" s="38" t="inlineStr">
        <is>
          <t>0-4006</t>
        </is>
      </c>
      <c r="K1037" t="inlineStr">
        <is>
          <t>TR260 2005 UTILITY BRAND TOOL VAN 2005 UTILITY BRAND TOOL VAN</t>
        </is>
      </c>
      <c r="L1037" t="n">
        <v>0</v>
      </c>
      <c r="M1037" t="n">
        <v>0</v>
      </c>
      <c r="O1037" t="inlineStr">
        <is>
          <t>TR260</t>
        </is>
      </c>
      <c r="Q1037" s="114" t="n">
        <v>0</v>
      </c>
      <c r="R1037" s="114" t="n">
        <v>75</v>
      </c>
      <c r="S1037" s="114" t="n">
        <v>0</v>
      </c>
      <c r="T1037" t="n">
        <v>0</v>
      </c>
    </row>
    <row r="1038">
      <c r="A1038" t="inlineStr">
        <is>
          <t>ttJTrans</t>
        </is>
      </c>
      <c r="B1038" s="43" t="inlineStr">
        <is>
          <t>0-4006</t>
        </is>
      </c>
      <c r="C1038" t="inlineStr">
        <is>
          <t>EQ</t>
        </is>
      </c>
      <c r="E1038" t="inlineStr">
        <is>
          <t>EQ</t>
        </is>
      </c>
      <c r="G1038" s="42" t="inlineStr"/>
      <c r="H1038" s="127" t="n">
        <v>46131</v>
      </c>
      <c r="J1038" s="38" t="inlineStr">
        <is>
          <t>0-4006</t>
        </is>
      </c>
      <c r="K1038" t="inlineStr">
        <is>
          <t>TR260 2005 UTILITY BRAND TOOL VAN 2005 UTILITY BRAND TOOL VAN</t>
        </is>
      </c>
      <c r="L1038" t="n">
        <v>0</v>
      </c>
      <c r="M1038" t="n">
        <v>0</v>
      </c>
      <c r="O1038" t="inlineStr">
        <is>
          <t>TR260</t>
        </is>
      </c>
      <c r="Q1038" s="114" t="n">
        <v>0</v>
      </c>
      <c r="R1038" s="114" t="n">
        <v>75</v>
      </c>
      <c r="S1038" s="114" t="n">
        <v>0</v>
      </c>
      <c r="T1038" t="n">
        <v>0</v>
      </c>
    </row>
    <row r="1039">
      <c r="A1039" t="inlineStr">
        <is>
          <t>ttJTrans</t>
        </is>
      </c>
      <c r="B1039" s="38" t="inlineStr">
        <is>
          <t>0-4006</t>
        </is>
      </c>
      <c r="C1039" t="inlineStr">
        <is>
          <t>EQ</t>
        </is>
      </c>
      <c r="E1039" t="inlineStr">
        <is>
          <t>EQ</t>
        </is>
      </c>
      <c r="G1039" s="42" t="inlineStr"/>
      <c r="H1039" s="127" t="n">
        <v>46131</v>
      </c>
      <c r="J1039" s="38" t="inlineStr">
        <is>
          <t>0-4006</t>
        </is>
      </c>
      <c r="K1039" t="inlineStr">
        <is>
          <t>TR260 2005 UTILITY BRAND TOOL VAN 2005 UTILITY BRAND TOOL VAN</t>
        </is>
      </c>
      <c r="L1039" t="n">
        <v>0</v>
      </c>
      <c r="M1039" t="n">
        <v>0</v>
      </c>
      <c r="O1039" t="inlineStr">
        <is>
          <t>TR260</t>
        </is>
      </c>
      <c r="Q1039" s="114" t="n">
        <v>0</v>
      </c>
      <c r="R1039" s="114" t="n">
        <v>75</v>
      </c>
      <c r="S1039" s="114" t="n">
        <v>0</v>
      </c>
      <c r="T1039" t="n">
        <v>0</v>
      </c>
    </row>
    <row r="1040">
      <c r="A1040" t="inlineStr">
        <is>
          <t>ttJTrans</t>
        </is>
      </c>
      <c r="B1040" s="38" t="inlineStr">
        <is>
          <t>0-4006</t>
        </is>
      </c>
      <c r="C1040" t="inlineStr">
        <is>
          <t>EQ</t>
        </is>
      </c>
      <c r="E1040" t="inlineStr">
        <is>
          <t>EQ</t>
        </is>
      </c>
      <c r="G1040" s="42" t="inlineStr"/>
      <c r="H1040" s="127" t="n">
        <v>46131</v>
      </c>
      <c r="J1040" s="38" t="inlineStr">
        <is>
          <t>0-4006</t>
        </is>
      </c>
      <c r="K1040" t="inlineStr">
        <is>
          <t>TR260 2005 UTILITY BRAND TOOL VAN 2005 UTILITY BRAND TOOL VAN</t>
        </is>
      </c>
      <c r="L1040" t="n">
        <v>0</v>
      </c>
      <c r="M1040" t="n">
        <v>0</v>
      </c>
      <c r="O1040" t="inlineStr">
        <is>
          <t>TR260</t>
        </is>
      </c>
      <c r="Q1040" s="114" t="n">
        <v>0</v>
      </c>
      <c r="R1040" s="114" t="n">
        <v>75</v>
      </c>
      <c r="S1040" s="114" t="n">
        <v>0</v>
      </c>
      <c r="T1040" t="n">
        <v>0</v>
      </c>
    </row>
    <row r="1041">
      <c r="A1041" t="inlineStr">
        <is>
          <t>ttJTrans</t>
        </is>
      </c>
      <c r="B1041" s="38" t="inlineStr">
        <is>
          <t>0-4006</t>
        </is>
      </c>
      <c r="C1041" t="inlineStr">
        <is>
          <t>EQ</t>
        </is>
      </c>
      <c r="E1041" t="inlineStr">
        <is>
          <t>EQ</t>
        </is>
      </c>
      <c r="G1041" s="42" t="inlineStr"/>
      <c r="H1041" s="127" t="n">
        <v>46131</v>
      </c>
      <c r="J1041" s="38" t="inlineStr">
        <is>
          <t>0-4006</t>
        </is>
      </c>
      <c r="K1041" t="inlineStr">
        <is>
          <t>TR154 20' PARKER TRAILER #1000277 20' PARKER TRAILER #1000277</t>
        </is>
      </c>
      <c r="L1041" t="n">
        <v>0</v>
      </c>
      <c r="M1041" t="n">
        <v>0</v>
      </c>
      <c r="O1041" t="inlineStr">
        <is>
          <t>TR154</t>
        </is>
      </c>
      <c r="Q1041" s="114" t="n">
        <v>0</v>
      </c>
      <c r="R1041" s="114" t="n">
        <v>15</v>
      </c>
      <c r="S1041" s="114" t="n">
        <v>0</v>
      </c>
      <c r="T1041" t="n">
        <v>0</v>
      </c>
    </row>
    <row r="1042">
      <c r="A1042" t="inlineStr">
        <is>
          <t>ttJTrans</t>
        </is>
      </c>
      <c r="B1042" s="38" t="inlineStr">
        <is>
          <t>0-4006</t>
        </is>
      </c>
      <c r="C1042" t="inlineStr">
        <is>
          <t>EQ</t>
        </is>
      </c>
      <c r="E1042" t="inlineStr">
        <is>
          <t>EQ</t>
        </is>
      </c>
      <c r="G1042" s="42" t="inlineStr"/>
      <c r="H1042" s="127" t="n">
        <v>46131</v>
      </c>
      <c r="J1042" s="38" t="inlineStr">
        <is>
          <t>0-4006</t>
        </is>
      </c>
      <c r="K1042" t="inlineStr">
        <is>
          <t>TR154 20' PARKER TRAILER #1000277 20' PARKER TRAILER #1000277</t>
        </is>
      </c>
      <c r="L1042" t="n">
        <v>0</v>
      </c>
      <c r="M1042" t="n">
        <v>0</v>
      </c>
      <c r="O1042" t="inlineStr">
        <is>
          <t>TR154</t>
        </is>
      </c>
      <c r="Q1042" s="114" t="n">
        <v>0</v>
      </c>
      <c r="R1042" s="114" t="n">
        <v>15</v>
      </c>
      <c r="S1042" s="114" t="n">
        <v>0</v>
      </c>
      <c r="T1042" t="n">
        <v>0</v>
      </c>
    </row>
    <row r="1043">
      <c r="A1043" t="inlineStr">
        <is>
          <t>ttJTrans</t>
        </is>
      </c>
      <c r="B1043" s="38" t="inlineStr">
        <is>
          <t>0-4006</t>
        </is>
      </c>
      <c r="C1043" t="inlineStr">
        <is>
          <t>EQ</t>
        </is>
      </c>
      <c r="E1043" t="inlineStr">
        <is>
          <t>EQ</t>
        </is>
      </c>
      <c r="G1043" s="42" t="inlineStr"/>
      <c r="H1043" s="127" t="n">
        <v>46131</v>
      </c>
      <c r="J1043" s="38" t="inlineStr">
        <is>
          <t>0-4006</t>
        </is>
      </c>
      <c r="K1043" t="inlineStr">
        <is>
          <t>TR154 20' PARKER TRAILER #1000277 20' PARKER TRAILER #1000277</t>
        </is>
      </c>
      <c r="L1043" t="n">
        <v>0</v>
      </c>
      <c r="M1043" t="n">
        <v>0</v>
      </c>
      <c r="O1043" t="inlineStr">
        <is>
          <t>TR154</t>
        </is>
      </c>
      <c r="Q1043" s="114" t="n">
        <v>0</v>
      </c>
      <c r="R1043" s="114" t="n">
        <v>15</v>
      </c>
      <c r="S1043" s="114" t="n">
        <v>0</v>
      </c>
      <c r="T1043" t="n">
        <v>0</v>
      </c>
    </row>
    <row r="1044">
      <c r="A1044" t="inlineStr">
        <is>
          <t>ttJTrans</t>
        </is>
      </c>
      <c r="B1044" s="38" t="inlineStr">
        <is>
          <t>0-4006</t>
        </is>
      </c>
      <c r="C1044" t="inlineStr">
        <is>
          <t>EQ</t>
        </is>
      </c>
      <c r="E1044" t="inlineStr">
        <is>
          <t>EQ</t>
        </is>
      </c>
      <c r="G1044" s="42" t="inlineStr"/>
      <c r="H1044" s="127" t="n">
        <v>46131</v>
      </c>
      <c r="J1044" s="38" t="inlineStr">
        <is>
          <t>0-4006</t>
        </is>
      </c>
      <c r="K1044" t="inlineStr">
        <is>
          <t>TR154 20' PARKER TRAILER #1000277 20' PARKER TRAILER #1000277</t>
        </is>
      </c>
      <c r="L1044" t="n">
        <v>0</v>
      </c>
      <c r="M1044" t="n">
        <v>0</v>
      </c>
      <c r="O1044" t="inlineStr">
        <is>
          <t>TR154</t>
        </is>
      </c>
      <c r="Q1044" s="114" t="n">
        <v>0</v>
      </c>
      <c r="R1044" s="114" t="n">
        <v>15</v>
      </c>
      <c r="S1044" s="114" t="n">
        <v>0</v>
      </c>
      <c r="T1044" t="n">
        <v>0</v>
      </c>
    </row>
    <row r="1045">
      <c r="A1045" t="inlineStr">
        <is>
          <t>ttJTrans</t>
        </is>
      </c>
      <c r="B1045" s="38" t="inlineStr">
        <is>
          <t>0-4006</t>
        </is>
      </c>
      <c r="C1045" t="inlineStr">
        <is>
          <t>EQ</t>
        </is>
      </c>
      <c r="E1045" t="inlineStr">
        <is>
          <t>EQ</t>
        </is>
      </c>
      <c r="G1045" s="42" t="inlineStr"/>
      <c r="H1045" s="127" t="n">
        <v>46131</v>
      </c>
      <c r="J1045" s="38" t="inlineStr">
        <is>
          <t>0-4006</t>
        </is>
      </c>
      <c r="K1045" t="inlineStr">
        <is>
          <t>TR154 20' PARKER TRAILER #1000277 20' PARKER TRAILER #1000277</t>
        </is>
      </c>
      <c r="L1045" t="n">
        <v>0</v>
      </c>
      <c r="M1045" t="n">
        <v>0</v>
      </c>
      <c r="O1045" t="inlineStr">
        <is>
          <t>TR154</t>
        </is>
      </c>
      <c r="Q1045" s="114" t="n">
        <v>0</v>
      </c>
      <c r="R1045" s="114" t="n">
        <v>15</v>
      </c>
      <c r="S1045" s="114" t="n">
        <v>0</v>
      </c>
      <c r="T1045" t="n">
        <v>0</v>
      </c>
    </row>
    <row r="1046">
      <c r="A1046" t="inlineStr">
        <is>
          <t>ttJTrans</t>
        </is>
      </c>
      <c r="B1046" s="38" t="inlineStr">
        <is>
          <t>0-4006</t>
        </is>
      </c>
      <c r="C1046" t="inlineStr">
        <is>
          <t>EQ</t>
        </is>
      </c>
      <c r="E1046" t="inlineStr">
        <is>
          <t>EQ</t>
        </is>
      </c>
      <c r="G1046" s="42" t="inlineStr"/>
      <c r="H1046" s="127" t="n">
        <v>46131</v>
      </c>
      <c r="J1046" s="38" t="inlineStr">
        <is>
          <t>0-4006</t>
        </is>
      </c>
      <c r="K1046" t="inlineStr">
        <is>
          <t>TR154 20' PARKER TRAILER #1000277 20' PARKER TRAILER #1000277</t>
        </is>
      </c>
      <c r="L1046" t="n">
        <v>0</v>
      </c>
      <c r="M1046" t="n">
        <v>0</v>
      </c>
      <c r="O1046" t="inlineStr">
        <is>
          <t>TR154</t>
        </is>
      </c>
      <c r="Q1046" s="114" t="n">
        <v>0</v>
      </c>
      <c r="R1046" s="114" t="n">
        <v>15</v>
      </c>
      <c r="S1046" s="114" t="n">
        <v>0</v>
      </c>
      <c r="T1046" t="n">
        <v>0</v>
      </c>
    </row>
    <row r="1047">
      <c r="A1047" t="inlineStr">
        <is>
          <t>ttJTrans</t>
        </is>
      </c>
      <c r="B1047" s="38" t="inlineStr">
        <is>
          <t>0-4006</t>
        </is>
      </c>
      <c r="C1047" t="inlineStr">
        <is>
          <t>EQ</t>
        </is>
      </c>
      <c r="E1047" t="inlineStr">
        <is>
          <t>EQ</t>
        </is>
      </c>
      <c r="G1047" s="42" t="inlineStr"/>
      <c r="H1047" s="127" t="n">
        <v>46131</v>
      </c>
      <c r="J1047" s="38" t="inlineStr">
        <is>
          <t>0-4006</t>
        </is>
      </c>
      <c r="K1047" t="inlineStr">
        <is>
          <t>TR280 20' BIG TEX PI-20 20' BIG TEX PI-20</t>
        </is>
      </c>
      <c r="L1047" t="n">
        <v>0</v>
      </c>
      <c r="M1047" t="n">
        <v>0</v>
      </c>
      <c r="O1047" t="inlineStr">
        <is>
          <t>TR280</t>
        </is>
      </c>
      <c r="Q1047" s="114" t="n">
        <v>0</v>
      </c>
      <c r="R1047" s="114" t="n">
        <v>15</v>
      </c>
      <c r="S1047" s="114" t="n">
        <v>0</v>
      </c>
      <c r="T1047" t="n">
        <v>0</v>
      </c>
    </row>
    <row r="1048">
      <c r="A1048" t="inlineStr">
        <is>
          <t>ttJTrans</t>
        </is>
      </c>
      <c r="B1048" s="38" t="inlineStr">
        <is>
          <t>0-4006</t>
        </is>
      </c>
      <c r="C1048" t="inlineStr">
        <is>
          <t>EQ</t>
        </is>
      </c>
      <c r="E1048" t="inlineStr">
        <is>
          <t>EQ</t>
        </is>
      </c>
      <c r="G1048" s="42" t="inlineStr"/>
      <c r="H1048" s="127" t="n">
        <v>46131</v>
      </c>
      <c r="J1048" s="38" t="inlineStr">
        <is>
          <t>0-4006</t>
        </is>
      </c>
      <c r="K1048" t="inlineStr">
        <is>
          <t>TR280 20' BIG TEX PI-20 20' BIG TEX PI-20</t>
        </is>
      </c>
      <c r="L1048" t="n">
        <v>0</v>
      </c>
      <c r="M1048" t="n">
        <v>0</v>
      </c>
      <c r="O1048" t="inlineStr">
        <is>
          <t>TR280</t>
        </is>
      </c>
      <c r="Q1048" s="114" t="n">
        <v>0</v>
      </c>
      <c r="R1048" s="114" t="n">
        <v>15</v>
      </c>
      <c r="S1048" s="114" t="n">
        <v>0</v>
      </c>
      <c r="T1048" t="n">
        <v>0</v>
      </c>
    </row>
    <row r="1049">
      <c r="A1049" t="inlineStr">
        <is>
          <t>ttJTrans</t>
        </is>
      </c>
      <c r="B1049" s="38" t="inlineStr">
        <is>
          <t>0-4006</t>
        </is>
      </c>
      <c r="C1049" t="inlineStr">
        <is>
          <t>EQ</t>
        </is>
      </c>
      <c r="E1049" t="inlineStr">
        <is>
          <t>EQ</t>
        </is>
      </c>
      <c r="G1049" s="42" t="inlineStr"/>
      <c r="H1049" s="127" t="n">
        <v>46131</v>
      </c>
      <c r="J1049" s="38" t="inlineStr">
        <is>
          <t>0-4006</t>
        </is>
      </c>
      <c r="K1049" t="inlineStr">
        <is>
          <t>TR280 20' BIG TEX PI-20 20' BIG TEX PI-20</t>
        </is>
      </c>
      <c r="L1049" t="n">
        <v>0</v>
      </c>
      <c r="M1049" t="n">
        <v>0</v>
      </c>
      <c r="O1049" t="inlineStr">
        <is>
          <t>TR280</t>
        </is>
      </c>
      <c r="Q1049" s="114" t="n">
        <v>0</v>
      </c>
      <c r="R1049" s="114" t="n">
        <v>15</v>
      </c>
      <c r="S1049" s="114" t="n">
        <v>0</v>
      </c>
      <c r="T1049" t="n">
        <v>0</v>
      </c>
    </row>
    <row r="1050">
      <c r="A1050" t="inlineStr">
        <is>
          <t>ttJTrans</t>
        </is>
      </c>
      <c r="B1050" s="38" t="inlineStr">
        <is>
          <t>0-4006</t>
        </is>
      </c>
      <c r="C1050" t="inlineStr">
        <is>
          <t>EQ</t>
        </is>
      </c>
      <c r="E1050" t="inlineStr">
        <is>
          <t>EQ</t>
        </is>
      </c>
      <c r="G1050" s="42" t="inlineStr"/>
      <c r="H1050" s="127" t="n">
        <v>46131</v>
      </c>
      <c r="J1050" s="38" t="inlineStr">
        <is>
          <t>0-4006</t>
        </is>
      </c>
      <c r="K1050" t="inlineStr">
        <is>
          <t>TR280 20' BIG TEX PI-20 20' BIG TEX PI-20</t>
        </is>
      </c>
      <c r="L1050" t="n">
        <v>0</v>
      </c>
      <c r="M1050" t="n">
        <v>0</v>
      </c>
      <c r="O1050" t="inlineStr">
        <is>
          <t>TR280</t>
        </is>
      </c>
      <c r="Q1050" s="114" t="n">
        <v>0</v>
      </c>
      <c r="R1050" s="114" t="n">
        <v>15</v>
      </c>
      <c r="S1050" s="114" t="n">
        <v>0</v>
      </c>
      <c r="T1050" t="n">
        <v>0</v>
      </c>
    </row>
    <row r="1051">
      <c r="A1051" t="inlineStr">
        <is>
          <t>ttJTrans</t>
        </is>
      </c>
      <c r="B1051" s="38" t="inlineStr">
        <is>
          <t>0-4006</t>
        </is>
      </c>
      <c r="C1051" t="inlineStr">
        <is>
          <t>EQ</t>
        </is>
      </c>
      <c r="E1051" t="inlineStr">
        <is>
          <t>EQ</t>
        </is>
      </c>
      <c r="G1051" s="42" t="inlineStr"/>
      <c r="H1051" s="127" t="n">
        <v>46131</v>
      </c>
      <c r="J1051" s="38" t="inlineStr">
        <is>
          <t>0-4006</t>
        </is>
      </c>
      <c r="K1051" t="inlineStr">
        <is>
          <t>TR280 20' BIG TEX PI-20 20' BIG TEX PI-20</t>
        </is>
      </c>
      <c r="L1051" t="n">
        <v>0</v>
      </c>
      <c r="M1051" t="n">
        <v>0</v>
      </c>
      <c r="O1051" t="inlineStr">
        <is>
          <t>TR280</t>
        </is>
      </c>
      <c r="Q1051" s="114" t="n">
        <v>0</v>
      </c>
      <c r="R1051" s="114" t="n">
        <v>15</v>
      </c>
      <c r="S1051" s="114" t="n">
        <v>0</v>
      </c>
      <c r="T1051" t="n">
        <v>0</v>
      </c>
    </row>
    <row r="1052">
      <c r="A1052" t="inlineStr">
        <is>
          <t>ttJTrans</t>
        </is>
      </c>
      <c r="B1052" s="38" t="inlineStr">
        <is>
          <t>0-4006</t>
        </is>
      </c>
      <c r="C1052" t="inlineStr">
        <is>
          <t>EQ</t>
        </is>
      </c>
      <c r="E1052" t="inlineStr">
        <is>
          <t>EQ</t>
        </is>
      </c>
      <c r="G1052" s="42" t="inlineStr"/>
      <c r="H1052" s="127" t="n">
        <v>46131</v>
      </c>
      <c r="J1052" s="38" t="inlineStr">
        <is>
          <t>0-4006</t>
        </is>
      </c>
      <c r="K1052" t="inlineStr">
        <is>
          <t>TR280 20' BIG TEX PI-20 20' BIG TEX PI-20</t>
        </is>
      </c>
      <c r="L1052" t="n">
        <v>0</v>
      </c>
      <c r="M1052" t="n">
        <v>0</v>
      </c>
      <c r="O1052" t="inlineStr">
        <is>
          <t>TR280</t>
        </is>
      </c>
      <c r="Q1052" s="114" t="n">
        <v>0</v>
      </c>
      <c r="R1052" s="114" t="n">
        <v>15</v>
      </c>
      <c r="S1052" s="114" t="n">
        <v>0</v>
      </c>
      <c r="T1052" t="n">
        <v>0</v>
      </c>
    </row>
    <row r="1053">
      <c r="A1053" t="inlineStr">
        <is>
          <t>ttJTrans</t>
        </is>
      </c>
      <c r="B1053" s="38" t="inlineStr">
        <is>
          <t>0-4006</t>
        </is>
      </c>
      <c r="C1053" t="inlineStr">
        <is>
          <t>EQ</t>
        </is>
      </c>
      <c r="E1053" t="inlineStr">
        <is>
          <t>EQ</t>
        </is>
      </c>
      <c r="G1053" s="42" t="inlineStr"/>
      <c r="H1053" s="127" t="n">
        <v>46131</v>
      </c>
      <c r="J1053" s="38" t="inlineStr">
        <is>
          <t>0-4006</t>
        </is>
      </c>
      <c r="K1053" t="inlineStr">
        <is>
          <t>WHV001 2025 PETERBILT 589 SLEEPER CAB 2025 PETERBILT 589 SLEEPER CAB</t>
        </is>
      </c>
      <c r="L1053" t="n">
        <v>0</v>
      </c>
      <c r="M1053" t="n">
        <v>0</v>
      </c>
      <c r="O1053" t="inlineStr">
        <is>
          <t>WHV001</t>
        </is>
      </c>
      <c r="Q1053" s="114" t="n">
        <v>0</v>
      </c>
      <c r="R1053" s="114" t="n">
        <v>250</v>
      </c>
      <c r="S1053" s="114" t="n">
        <v>0</v>
      </c>
      <c r="T1053" t="n">
        <v>0</v>
      </c>
    </row>
    <row r="1054">
      <c r="A1054" t="inlineStr">
        <is>
          <t>ttJTrans</t>
        </is>
      </c>
      <c r="B1054" s="38" t="inlineStr">
        <is>
          <t>0-4006</t>
        </is>
      </c>
      <c r="C1054" t="inlineStr">
        <is>
          <t>EQ</t>
        </is>
      </c>
      <c r="E1054" t="inlineStr">
        <is>
          <t>EQ</t>
        </is>
      </c>
      <c r="G1054" s="42" t="inlineStr"/>
      <c r="H1054" s="127" t="n">
        <v>46131</v>
      </c>
      <c r="J1054" s="38" t="inlineStr">
        <is>
          <t>0-4006</t>
        </is>
      </c>
      <c r="K1054" t="inlineStr">
        <is>
          <t>WHV001 2025 PETERBILT 589 SLEEPER CAB 2025 PETERBILT 589 SLEEPER CAB</t>
        </is>
      </c>
      <c r="L1054" t="n">
        <v>0</v>
      </c>
      <c r="M1054" t="n">
        <v>0</v>
      </c>
      <c r="O1054" t="inlineStr">
        <is>
          <t>WHV001</t>
        </is>
      </c>
      <c r="Q1054" s="114" t="n">
        <v>0</v>
      </c>
      <c r="R1054" s="114" t="n">
        <v>250</v>
      </c>
      <c r="S1054" s="114" t="n">
        <v>0</v>
      </c>
      <c r="T1054" t="n">
        <v>0</v>
      </c>
    </row>
    <row r="1055">
      <c r="A1055" t="inlineStr">
        <is>
          <t>ttJTrans</t>
        </is>
      </c>
      <c r="B1055" s="38" t="inlineStr">
        <is>
          <t>0-4006</t>
        </is>
      </c>
      <c r="C1055" t="inlineStr">
        <is>
          <t>EQ</t>
        </is>
      </c>
      <c r="E1055" t="inlineStr">
        <is>
          <t>EQ</t>
        </is>
      </c>
      <c r="G1055" s="42" t="inlineStr"/>
      <c r="H1055" s="127" t="n">
        <v>46131</v>
      </c>
      <c r="J1055" s="38" t="inlineStr">
        <is>
          <t>0-4006</t>
        </is>
      </c>
      <c r="K1055" t="inlineStr">
        <is>
          <t>WHV001 2025 PETERBILT 589 SLEEPER CAB 2025 PETERBILT 589 SLEEPER CAB</t>
        </is>
      </c>
      <c r="L1055" t="n">
        <v>0</v>
      </c>
      <c r="M1055" t="n">
        <v>0</v>
      </c>
      <c r="O1055" t="inlineStr">
        <is>
          <t>WHV001</t>
        </is>
      </c>
      <c r="Q1055" s="114" t="n">
        <v>0</v>
      </c>
      <c r="R1055" s="114" t="n">
        <v>250</v>
      </c>
      <c r="S1055" s="114" t="n">
        <v>0</v>
      </c>
      <c r="T1055" t="n">
        <v>0</v>
      </c>
    </row>
    <row r="1056">
      <c r="A1056" t="inlineStr">
        <is>
          <t>ttJTrans</t>
        </is>
      </c>
      <c r="B1056" s="38" t="inlineStr">
        <is>
          <t>0-4006</t>
        </is>
      </c>
      <c r="C1056" t="inlineStr">
        <is>
          <t>EQ</t>
        </is>
      </c>
      <c r="E1056" t="inlineStr">
        <is>
          <t>EQ</t>
        </is>
      </c>
      <c r="G1056" s="42" t="inlineStr"/>
      <c r="H1056" s="127" t="n">
        <v>46131</v>
      </c>
      <c r="J1056" s="38" t="inlineStr">
        <is>
          <t>0-4006</t>
        </is>
      </c>
      <c r="K1056" t="inlineStr">
        <is>
          <t>WHV001 2025 PETERBILT 589 SLEEPER CAB 2025 PETERBILT 589 SLEEPER CAB</t>
        </is>
      </c>
      <c r="L1056" t="n">
        <v>0</v>
      </c>
      <c r="M1056" t="n">
        <v>0</v>
      </c>
      <c r="O1056" t="inlineStr">
        <is>
          <t>WHV001</t>
        </is>
      </c>
      <c r="Q1056" s="114" t="n">
        <v>0</v>
      </c>
      <c r="R1056" s="114" t="n">
        <v>250</v>
      </c>
      <c r="S1056" s="114" t="n">
        <v>0</v>
      </c>
      <c r="T1056" t="n">
        <v>0</v>
      </c>
    </row>
    <row r="1057">
      <c r="A1057" t="inlineStr">
        <is>
          <t>ttJTrans</t>
        </is>
      </c>
      <c r="B1057" s="38" t="inlineStr">
        <is>
          <t>0-4006</t>
        </is>
      </c>
      <c r="C1057" t="inlineStr">
        <is>
          <t>EQ</t>
        </is>
      </c>
      <c r="E1057" t="inlineStr">
        <is>
          <t>EQ</t>
        </is>
      </c>
      <c r="G1057" s="42" t="inlineStr"/>
      <c r="H1057" s="127" t="n">
        <v>46131</v>
      </c>
      <c r="J1057" s="38" t="inlineStr">
        <is>
          <t>0-4006</t>
        </is>
      </c>
      <c r="K1057" t="inlineStr">
        <is>
          <t>TR473 LANDOLL 53FT LOWBOY LANDOLL 53FT LOWBOY</t>
        </is>
      </c>
      <c r="L1057" t="n">
        <v>0</v>
      </c>
      <c r="M1057" t="n">
        <v>0</v>
      </c>
      <c r="O1057" t="inlineStr">
        <is>
          <t>TR473</t>
        </is>
      </c>
      <c r="Q1057" s="114" t="n">
        <v>0</v>
      </c>
      <c r="R1057" s="114" t="n">
        <v>0</v>
      </c>
      <c r="S1057" s="114" t="n">
        <v>0</v>
      </c>
      <c r="T1057" t="n">
        <v>0</v>
      </c>
    </row>
    <row r="1058">
      <c r="A1058" t="inlineStr">
        <is>
          <t>ttJTrans</t>
        </is>
      </c>
      <c r="B1058" s="38" t="inlineStr">
        <is>
          <t>0-4006</t>
        </is>
      </c>
      <c r="C1058" t="inlineStr">
        <is>
          <t>EQ</t>
        </is>
      </c>
      <c r="E1058" t="inlineStr">
        <is>
          <t>EQ</t>
        </is>
      </c>
      <c r="G1058" s="42" t="inlineStr"/>
      <c r="H1058" s="127" t="n">
        <v>46131</v>
      </c>
      <c r="J1058" s="38" t="inlineStr">
        <is>
          <t>0-4006</t>
        </is>
      </c>
      <c r="K1058" t="inlineStr">
        <is>
          <t>TR473 LANDOLL 53FT LOWBOY LANDOLL 53FT LOWBOY</t>
        </is>
      </c>
      <c r="L1058" t="n">
        <v>0</v>
      </c>
      <c r="M1058" t="n">
        <v>0</v>
      </c>
      <c r="O1058" t="inlineStr">
        <is>
          <t>TR473</t>
        </is>
      </c>
      <c r="Q1058" s="114" t="n">
        <v>0</v>
      </c>
      <c r="R1058" s="114" t="n">
        <v>0</v>
      </c>
      <c r="S1058" s="114" t="n">
        <v>0</v>
      </c>
      <c r="T1058" t="n">
        <v>0</v>
      </c>
    </row>
    <row r="1059">
      <c r="A1059" t="inlineStr">
        <is>
          <t>ttJTrans</t>
        </is>
      </c>
      <c r="B1059" s="38" t="inlineStr">
        <is>
          <t>0-4006</t>
        </is>
      </c>
      <c r="C1059" t="inlineStr">
        <is>
          <t>EQ</t>
        </is>
      </c>
      <c r="E1059" t="inlineStr">
        <is>
          <t>EQ</t>
        </is>
      </c>
      <c r="G1059" s="42" t="inlineStr"/>
      <c r="H1059" s="127" t="n">
        <v>46131</v>
      </c>
      <c r="J1059" s="38" t="inlineStr">
        <is>
          <t>0-4006</t>
        </is>
      </c>
      <c r="K1059" t="inlineStr">
        <is>
          <t>TR473 LANDOLL 53FT LOWBOY LANDOLL 53FT LOWBOY</t>
        </is>
      </c>
      <c r="L1059" t="n">
        <v>0</v>
      </c>
      <c r="M1059" t="n">
        <v>0</v>
      </c>
      <c r="O1059" t="inlineStr">
        <is>
          <t>TR473</t>
        </is>
      </c>
      <c r="Q1059" s="114" t="n">
        <v>0</v>
      </c>
      <c r="R1059" s="114" t="n">
        <v>0</v>
      </c>
      <c r="S1059" s="114" t="n">
        <v>0</v>
      </c>
      <c r="T1059" t="n">
        <v>0</v>
      </c>
    </row>
    <row r="1060">
      <c r="A1060" t="inlineStr">
        <is>
          <t>ttJTrans</t>
        </is>
      </c>
      <c r="B1060" s="38" t="inlineStr">
        <is>
          <t>0-4006</t>
        </is>
      </c>
      <c r="C1060" t="inlineStr">
        <is>
          <t>EQ</t>
        </is>
      </c>
      <c r="E1060" t="inlineStr">
        <is>
          <t>EQ</t>
        </is>
      </c>
      <c r="G1060" s="42" t="inlineStr"/>
      <c r="H1060" s="127" t="n">
        <v>46131</v>
      </c>
      <c r="J1060" s="38" t="inlineStr">
        <is>
          <t>0-4006</t>
        </is>
      </c>
      <c r="K1060" t="inlineStr">
        <is>
          <t>TR473 LANDOLL 53FT LOWBOY LANDOLL 53FT LOWBOY</t>
        </is>
      </c>
      <c r="L1060" t="n">
        <v>0</v>
      </c>
      <c r="M1060" t="n">
        <v>0</v>
      </c>
      <c r="O1060" t="inlineStr">
        <is>
          <t>TR473</t>
        </is>
      </c>
      <c r="Q1060" s="114" t="n">
        <v>0</v>
      </c>
      <c r="R1060" s="114" t="n">
        <v>0</v>
      </c>
      <c r="S1060" s="114" t="n">
        <v>0</v>
      </c>
      <c r="T1060" t="n">
        <v>0</v>
      </c>
    </row>
    <row r="1061">
      <c r="A1061" t="inlineStr">
        <is>
          <t>ttJTrans</t>
        </is>
      </c>
      <c r="B1061" s="38" t="inlineStr">
        <is>
          <t>0-4006</t>
        </is>
      </c>
      <c r="C1061" t="inlineStr">
        <is>
          <t>EQ</t>
        </is>
      </c>
      <c r="E1061" t="inlineStr">
        <is>
          <t>EQ</t>
        </is>
      </c>
      <c r="G1061" s="42" t="inlineStr"/>
      <c r="H1061" s="127" t="n">
        <v>46131</v>
      </c>
      <c r="J1061" s="38" t="inlineStr">
        <is>
          <t>0-4006</t>
        </is>
      </c>
      <c r="K1061" t="inlineStr">
        <is>
          <t>TR461 40' HIGH CUBE CONTAINERS 40' HIGH CUBE CONTAINERS</t>
        </is>
      </c>
      <c r="L1061" t="n">
        <v>0</v>
      </c>
      <c r="M1061" t="n">
        <v>0</v>
      </c>
      <c r="O1061" t="inlineStr">
        <is>
          <t>TR461</t>
        </is>
      </c>
      <c r="Q1061" s="114" t="n">
        <v>0</v>
      </c>
      <c r="R1061" s="114" t="n">
        <v>65</v>
      </c>
      <c r="S1061" s="114" t="n">
        <v>0</v>
      </c>
      <c r="T1061" t="n">
        <v>0</v>
      </c>
    </row>
    <row r="1062">
      <c r="A1062" t="inlineStr">
        <is>
          <t>ttJTrans</t>
        </is>
      </c>
      <c r="B1062" s="38" t="inlineStr">
        <is>
          <t>0-4006</t>
        </is>
      </c>
      <c r="C1062" t="inlineStr">
        <is>
          <t>EQ</t>
        </is>
      </c>
      <c r="E1062" t="inlineStr">
        <is>
          <t>EQ</t>
        </is>
      </c>
      <c r="G1062" s="42" t="inlineStr"/>
      <c r="H1062" s="127" t="n">
        <v>46131</v>
      </c>
      <c r="J1062" s="38" t="inlineStr">
        <is>
          <t>0-4006</t>
        </is>
      </c>
      <c r="K1062" t="inlineStr">
        <is>
          <t>TR461 40' HIGH CUBE CONTAINERS 40' HIGH CUBE CONTAINERS</t>
        </is>
      </c>
      <c r="L1062" t="n">
        <v>0</v>
      </c>
      <c r="M1062" t="n">
        <v>0</v>
      </c>
      <c r="O1062" t="inlineStr">
        <is>
          <t>TR461</t>
        </is>
      </c>
      <c r="Q1062" s="114" t="n">
        <v>0</v>
      </c>
      <c r="R1062" s="114" t="n">
        <v>65</v>
      </c>
      <c r="S1062" s="114" t="n">
        <v>0</v>
      </c>
      <c r="T1062" t="n">
        <v>0</v>
      </c>
    </row>
    <row r="1063">
      <c r="A1063" t="inlineStr">
        <is>
          <t>ttJTrans</t>
        </is>
      </c>
      <c r="B1063" s="38" t="inlineStr">
        <is>
          <t>0-4006</t>
        </is>
      </c>
      <c r="C1063" t="inlineStr">
        <is>
          <t>EQ</t>
        </is>
      </c>
      <c r="E1063" t="inlineStr">
        <is>
          <t>EQ</t>
        </is>
      </c>
      <c r="G1063" s="42" t="inlineStr"/>
      <c r="H1063" s="127" t="n">
        <v>46131</v>
      </c>
      <c r="J1063" s="38" t="inlineStr">
        <is>
          <t>0-4006</t>
        </is>
      </c>
      <c r="K1063" t="inlineStr">
        <is>
          <t>TR461 40' HIGH CUBE CONTAINERS 40' HIGH CUBE CONTAINERS</t>
        </is>
      </c>
      <c r="L1063" t="n">
        <v>0</v>
      </c>
      <c r="M1063" t="n">
        <v>0</v>
      </c>
      <c r="O1063" t="inlineStr">
        <is>
          <t>TR461</t>
        </is>
      </c>
      <c r="Q1063" s="114" t="n">
        <v>0</v>
      </c>
      <c r="R1063" s="114" t="n">
        <v>65</v>
      </c>
      <c r="S1063" s="114" t="n">
        <v>0</v>
      </c>
      <c r="T1063" t="n">
        <v>0</v>
      </c>
    </row>
    <row r="1064">
      <c r="A1064" t="inlineStr">
        <is>
          <t>ttJTrans</t>
        </is>
      </c>
      <c r="B1064" s="41" t="inlineStr">
        <is>
          <t>0-4006</t>
        </is>
      </c>
      <c r="C1064" t="inlineStr">
        <is>
          <t>EQ</t>
        </is>
      </c>
      <c r="E1064" t="inlineStr">
        <is>
          <t>EQ</t>
        </is>
      </c>
      <c r="G1064" s="42" t="inlineStr"/>
      <c r="H1064" s="127" t="n">
        <v>46131</v>
      </c>
      <c r="J1064" s="38" t="inlineStr">
        <is>
          <t>0-4006</t>
        </is>
      </c>
      <c r="K1064" t="inlineStr">
        <is>
          <t>TR462 40' HIGH CUBE CONTAINERS 40' HIGH CUBE CONTAINERS</t>
        </is>
      </c>
      <c r="L1064" t="n">
        <v>0</v>
      </c>
      <c r="M1064" t="n">
        <v>0</v>
      </c>
      <c r="O1064" t="inlineStr">
        <is>
          <t>TR462</t>
        </is>
      </c>
      <c r="Q1064" s="114" t="n">
        <v>0</v>
      </c>
      <c r="R1064" s="114" t="n">
        <v>65</v>
      </c>
      <c r="S1064" s="114" t="n">
        <v>0</v>
      </c>
      <c r="T1064" t="n">
        <v>0</v>
      </c>
    </row>
    <row r="1065">
      <c r="A1065" t="inlineStr">
        <is>
          <t>ttJTrans</t>
        </is>
      </c>
      <c r="B1065" s="41" t="inlineStr">
        <is>
          <t>0-4006</t>
        </is>
      </c>
      <c r="C1065" t="inlineStr">
        <is>
          <t>EQ</t>
        </is>
      </c>
      <c r="E1065" t="inlineStr">
        <is>
          <t>EQ</t>
        </is>
      </c>
      <c r="G1065" s="42" t="inlineStr"/>
      <c r="H1065" s="127" t="n">
        <v>46131</v>
      </c>
      <c r="J1065" s="38" t="inlineStr">
        <is>
          <t>0-4006</t>
        </is>
      </c>
      <c r="K1065" t="inlineStr">
        <is>
          <t>TR462 40' HIGH CUBE CONTAINERS 40' HIGH CUBE CONTAINERS</t>
        </is>
      </c>
      <c r="L1065" t="n">
        <v>0</v>
      </c>
      <c r="M1065" t="n">
        <v>0</v>
      </c>
      <c r="O1065" t="inlineStr">
        <is>
          <t>TR462</t>
        </is>
      </c>
      <c r="Q1065" s="114" t="n">
        <v>0</v>
      </c>
      <c r="R1065" s="114" t="n">
        <v>65</v>
      </c>
      <c r="S1065" s="114" t="n">
        <v>0</v>
      </c>
      <c r="T1065" t="n">
        <v>0</v>
      </c>
    </row>
    <row r="1066">
      <c r="A1066" t="inlineStr">
        <is>
          <t>ttJTrans</t>
        </is>
      </c>
      <c r="B1066" s="38" t="inlineStr">
        <is>
          <t>0-4006</t>
        </is>
      </c>
      <c r="C1066" t="inlineStr">
        <is>
          <t>EQ</t>
        </is>
      </c>
      <c r="E1066" t="inlineStr">
        <is>
          <t>EQ</t>
        </is>
      </c>
      <c r="G1066" s="42" t="inlineStr"/>
      <c r="H1066" s="127" t="n">
        <v>46131</v>
      </c>
      <c r="J1066" s="38" t="inlineStr">
        <is>
          <t>0-4006</t>
        </is>
      </c>
      <c r="K1066" t="inlineStr">
        <is>
          <t>TR462 40' HIGH CUBE CONTAINERS 40' HIGH CUBE CONTAINERS</t>
        </is>
      </c>
      <c r="L1066" t="n">
        <v>0</v>
      </c>
      <c r="M1066" t="n">
        <v>0</v>
      </c>
      <c r="O1066" t="inlineStr">
        <is>
          <t>TR462</t>
        </is>
      </c>
      <c r="Q1066" s="114" t="n">
        <v>0</v>
      </c>
      <c r="R1066" s="114" t="n">
        <v>65</v>
      </c>
      <c r="S1066" s="114" t="n">
        <v>0</v>
      </c>
      <c r="T1066" t="n">
        <v>0</v>
      </c>
    </row>
    <row r="1067">
      <c r="A1067" t="inlineStr">
        <is>
          <t>ttJTrans</t>
        </is>
      </c>
      <c r="B1067" s="38" t="inlineStr">
        <is>
          <t>0-4006</t>
        </is>
      </c>
      <c r="C1067" t="inlineStr">
        <is>
          <t>EQ</t>
        </is>
      </c>
      <c r="E1067" t="inlineStr">
        <is>
          <t>EQ</t>
        </is>
      </c>
      <c r="G1067" s="128" t="inlineStr"/>
      <c r="H1067" s="127" t="n">
        <v>46131</v>
      </c>
      <c r="J1067" s="38" t="inlineStr">
        <is>
          <t>0-4006</t>
        </is>
      </c>
      <c r="K1067" t="inlineStr">
        <is>
          <t>TR463 40' HIGH CUBE CONTAINERS 40' HIGH CUBE CONTAINERS</t>
        </is>
      </c>
      <c r="L1067" t="n">
        <v>0</v>
      </c>
      <c r="M1067" t="n">
        <v>0</v>
      </c>
      <c r="O1067" t="inlineStr">
        <is>
          <t>TR463</t>
        </is>
      </c>
      <c r="Q1067" s="114" t="n">
        <v>0</v>
      </c>
      <c r="R1067" s="114" t="n">
        <v>65</v>
      </c>
      <c r="S1067" s="114" t="n">
        <v>0</v>
      </c>
      <c r="T1067" t="n">
        <v>0</v>
      </c>
    </row>
    <row r="1068">
      <c r="A1068" t="inlineStr">
        <is>
          <t>ttJTrans</t>
        </is>
      </c>
      <c r="B1068" s="38" t="inlineStr">
        <is>
          <t>0-4006</t>
        </is>
      </c>
      <c r="C1068" t="inlineStr">
        <is>
          <t>EQ</t>
        </is>
      </c>
      <c r="E1068" t="inlineStr">
        <is>
          <t>EQ</t>
        </is>
      </c>
      <c r="G1068" s="128" t="inlineStr"/>
      <c r="H1068" s="127" t="n">
        <v>46131</v>
      </c>
      <c r="J1068" s="38" t="inlineStr">
        <is>
          <t>0-4006</t>
        </is>
      </c>
      <c r="K1068" t="inlineStr">
        <is>
          <t>TR463 40' HIGH CUBE CONTAINERS 40' HIGH CUBE CONTAINERS</t>
        </is>
      </c>
      <c r="L1068" t="n">
        <v>0</v>
      </c>
      <c r="M1068" t="n">
        <v>0</v>
      </c>
      <c r="O1068" t="inlineStr">
        <is>
          <t>TR463</t>
        </is>
      </c>
      <c r="Q1068" s="114" t="n">
        <v>0</v>
      </c>
      <c r="R1068" s="114" t="n">
        <v>65</v>
      </c>
      <c r="S1068" s="114" t="n">
        <v>0</v>
      </c>
      <c r="T1068" t="n">
        <v>0</v>
      </c>
    </row>
    <row r="1069">
      <c r="A1069" t="inlineStr">
        <is>
          <t>ttJTrans</t>
        </is>
      </c>
      <c r="B1069" s="38" t="inlineStr">
        <is>
          <t>0-4006</t>
        </is>
      </c>
      <c r="C1069" t="inlineStr">
        <is>
          <t>EQ</t>
        </is>
      </c>
      <c r="E1069" t="inlineStr">
        <is>
          <t>EQ</t>
        </is>
      </c>
      <c r="G1069" s="128" t="inlineStr"/>
      <c r="H1069" s="127" t="n">
        <v>46131</v>
      </c>
      <c r="J1069" s="38" t="inlineStr">
        <is>
          <t>0-4006</t>
        </is>
      </c>
      <c r="K1069" t="inlineStr">
        <is>
          <t>TR463 40' HIGH CUBE CONTAINERS 40' HIGH CUBE CONTAINERS</t>
        </is>
      </c>
      <c r="L1069" t="n">
        <v>0</v>
      </c>
      <c r="M1069" t="n">
        <v>0</v>
      </c>
      <c r="O1069" t="inlineStr">
        <is>
          <t>TR463</t>
        </is>
      </c>
      <c r="Q1069" s="114" t="n">
        <v>0</v>
      </c>
      <c r="R1069" s="114" t="n">
        <v>65</v>
      </c>
      <c r="S1069" s="114" t="n">
        <v>0</v>
      </c>
      <c r="T1069" t="n">
        <v>0</v>
      </c>
    </row>
    <row r="1070">
      <c r="A1070" t="inlineStr">
        <is>
          <t>ttJTrans</t>
        </is>
      </c>
      <c r="B1070" s="38" t="inlineStr">
        <is>
          <t>0-4006</t>
        </is>
      </c>
      <c r="C1070" t="inlineStr">
        <is>
          <t>EQ</t>
        </is>
      </c>
      <c r="E1070" t="inlineStr">
        <is>
          <t>EQ</t>
        </is>
      </c>
      <c r="G1070" s="128" t="inlineStr"/>
      <c r="H1070" s="127" t="n">
        <v>46131</v>
      </c>
      <c r="J1070" s="38" t="inlineStr">
        <is>
          <t>0-4006</t>
        </is>
      </c>
      <c r="K1070" t="inlineStr">
        <is>
          <t>TR464 40' HIGH CUBE CONTAINERS 40' HIGH CUBE CONTAINERS</t>
        </is>
      </c>
      <c r="L1070" t="n">
        <v>0</v>
      </c>
      <c r="M1070" t="n">
        <v>0</v>
      </c>
      <c r="O1070" t="inlineStr">
        <is>
          <t>TR464</t>
        </is>
      </c>
      <c r="Q1070" s="114" t="n">
        <v>0</v>
      </c>
      <c r="R1070" s="114" t="n">
        <v>65</v>
      </c>
      <c r="S1070" s="114" t="n">
        <v>0</v>
      </c>
      <c r="T1070" t="n">
        <v>0</v>
      </c>
    </row>
    <row r="1071">
      <c r="A1071" t="inlineStr">
        <is>
          <t>ttJTrans</t>
        </is>
      </c>
      <c r="B1071" s="38" t="inlineStr">
        <is>
          <t>0-4006</t>
        </is>
      </c>
      <c r="C1071" t="inlineStr">
        <is>
          <t>EQ</t>
        </is>
      </c>
      <c r="E1071" t="inlineStr">
        <is>
          <t>EQ</t>
        </is>
      </c>
      <c r="G1071" s="128" t="inlineStr"/>
      <c r="H1071" s="127" t="n">
        <v>46131</v>
      </c>
      <c r="J1071" s="38" t="inlineStr">
        <is>
          <t>0-4006</t>
        </is>
      </c>
      <c r="K1071" t="inlineStr">
        <is>
          <t>TR464 40' HIGH CUBE CONTAINERS 40' HIGH CUBE CONTAINERS</t>
        </is>
      </c>
      <c r="L1071" t="n">
        <v>0</v>
      </c>
      <c r="M1071" t="n">
        <v>0</v>
      </c>
      <c r="O1071" t="inlineStr">
        <is>
          <t>TR464</t>
        </is>
      </c>
      <c r="Q1071" s="114" t="n">
        <v>0</v>
      </c>
      <c r="R1071" s="114" t="n">
        <v>65</v>
      </c>
      <c r="S1071" s="114" t="n">
        <v>0</v>
      </c>
      <c r="T1071" t="n">
        <v>0</v>
      </c>
    </row>
    <row r="1072">
      <c r="A1072" t="inlineStr">
        <is>
          <t>ttJTrans</t>
        </is>
      </c>
      <c r="B1072" s="38" t="inlineStr">
        <is>
          <t>0-4006</t>
        </is>
      </c>
      <c r="C1072" t="inlineStr">
        <is>
          <t>EQ</t>
        </is>
      </c>
      <c r="E1072" t="inlineStr">
        <is>
          <t>EQ</t>
        </is>
      </c>
      <c r="G1072" s="128" t="inlineStr"/>
      <c r="H1072" s="127" t="n">
        <v>46131</v>
      </c>
      <c r="J1072" s="38" t="inlineStr">
        <is>
          <t>0-4006</t>
        </is>
      </c>
      <c r="K1072" t="inlineStr">
        <is>
          <t>TR464 40' HIGH CUBE CONTAINERS 40' HIGH CUBE CONTAINERS</t>
        </is>
      </c>
      <c r="L1072" t="n">
        <v>0</v>
      </c>
      <c r="M1072" t="n">
        <v>0</v>
      </c>
      <c r="O1072" t="inlineStr">
        <is>
          <t>TR464</t>
        </is>
      </c>
      <c r="Q1072" s="114" t="n">
        <v>0</v>
      </c>
      <c r="R1072" s="114" t="n">
        <v>65</v>
      </c>
      <c r="S1072" s="114" t="n">
        <v>0</v>
      </c>
      <c r="T1072" t="n">
        <v>0</v>
      </c>
    </row>
    <row r="1073">
      <c r="A1073" t="inlineStr">
        <is>
          <t>ttJTrans</t>
        </is>
      </c>
      <c r="B1073" s="38" t="inlineStr">
        <is>
          <t>0-4006</t>
        </is>
      </c>
      <c r="C1073" t="inlineStr">
        <is>
          <t>EQ</t>
        </is>
      </c>
      <c r="E1073" t="inlineStr">
        <is>
          <t>EQ</t>
        </is>
      </c>
      <c r="G1073" s="128" t="inlineStr"/>
      <c r="H1073" s="127" t="n">
        <v>46131</v>
      </c>
      <c r="J1073" s="38" t="inlineStr">
        <is>
          <t>0-4006</t>
        </is>
      </c>
      <c r="K1073" t="inlineStr">
        <is>
          <t>WTL002 2025 55 TON GOOSENECK EAGER BEAVER LOWBOY 2025 55 TON GOOSENECK EAGER BEAVER LOWBOY</t>
        </is>
      </c>
      <c r="L1073" t="n">
        <v>0</v>
      </c>
      <c r="M1073" t="n">
        <v>0</v>
      </c>
      <c r="O1073" t="inlineStr">
        <is>
          <t>WTL002</t>
        </is>
      </c>
      <c r="Q1073" s="114" t="n">
        <v>0</v>
      </c>
      <c r="R1073" s="114" t="n">
        <v>55</v>
      </c>
      <c r="S1073" s="114" t="n">
        <v>0</v>
      </c>
      <c r="T1073" t="n">
        <v>0</v>
      </c>
    </row>
    <row r="1074">
      <c r="A1074" t="inlineStr">
        <is>
          <t>ttJTrans</t>
        </is>
      </c>
      <c r="B1074" s="38" t="inlineStr">
        <is>
          <t>0-4006</t>
        </is>
      </c>
      <c r="C1074" t="inlineStr">
        <is>
          <t>EQ</t>
        </is>
      </c>
      <c r="E1074" t="inlineStr">
        <is>
          <t>EQ</t>
        </is>
      </c>
      <c r="G1074" s="128" t="inlineStr"/>
      <c r="H1074" s="127" t="n">
        <v>46131</v>
      </c>
      <c r="J1074" s="38" t="inlineStr">
        <is>
          <t>0-4006</t>
        </is>
      </c>
      <c r="K1074" t="inlineStr">
        <is>
          <t>WTL002 2025 55 TON GOOSENECK EAGER BEAVER LOWBOY 2025 55 TON GOOSENECK EAGER BEAVER LOWBOY</t>
        </is>
      </c>
      <c r="L1074" t="n">
        <v>0</v>
      </c>
      <c r="M1074" t="n">
        <v>0</v>
      </c>
      <c r="O1074" t="inlineStr">
        <is>
          <t>WTL002</t>
        </is>
      </c>
      <c r="Q1074" s="114" t="n">
        <v>0</v>
      </c>
      <c r="R1074" s="114" t="n">
        <v>55</v>
      </c>
      <c r="S1074" s="114" t="n">
        <v>0</v>
      </c>
      <c r="T1074" t="n">
        <v>0</v>
      </c>
    </row>
    <row r="1075">
      <c r="A1075" t="inlineStr">
        <is>
          <t>ttJTrans</t>
        </is>
      </c>
      <c r="B1075" s="38" t="inlineStr">
        <is>
          <t>0-4006</t>
        </is>
      </c>
      <c r="C1075" t="inlineStr">
        <is>
          <t>EQ</t>
        </is>
      </c>
      <c r="E1075" t="inlineStr">
        <is>
          <t>EQ</t>
        </is>
      </c>
      <c r="G1075" s="128" t="inlineStr"/>
      <c r="H1075" s="127" t="n">
        <v>46131</v>
      </c>
      <c r="J1075" s="38" t="inlineStr">
        <is>
          <t>0-4006</t>
        </is>
      </c>
      <c r="K1075" t="inlineStr">
        <is>
          <t>WTL002 2025 55 TON GOOSENECK EAGER BEAVER LOWBOY 2025 55 TON GOOSENECK EAGER BEAVER LOWBOY</t>
        </is>
      </c>
      <c r="L1075" t="n">
        <v>0</v>
      </c>
      <c r="M1075" t="n">
        <v>0</v>
      </c>
      <c r="O1075" t="inlineStr">
        <is>
          <t>WTL002</t>
        </is>
      </c>
      <c r="Q1075" s="114" t="n">
        <v>0</v>
      </c>
      <c r="R1075" s="114" t="n">
        <v>55</v>
      </c>
      <c r="S1075" s="114" t="n">
        <v>0</v>
      </c>
      <c r="T1075" t="n">
        <v>0</v>
      </c>
    </row>
    <row r="1076">
      <c r="A1076" t="inlineStr">
        <is>
          <t>ttJTrans</t>
        </is>
      </c>
      <c r="B1076" s="38" t="inlineStr">
        <is>
          <t>0-4006</t>
        </is>
      </c>
      <c r="C1076" t="inlineStr">
        <is>
          <t>EQ</t>
        </is>
      </c>
      <c r="E1076" t="inlineStr">
        <is>
          <t>EQ</t>
        </is>
      </c>
      <c r="G1076" s="128" t="inlineStr"/>
      <c r="H1076" s="127" t="n">
        <v>46131</v>
      </c>
      <c r="J1076" s="38" t="inlineStr">
        <is>
          <t>0-4006</t>
        </is>
      </c>
      <c r="K1076" t="inlineStr">
        <is>
          <t>WTL002 2025 55 TON GOOSENECK EAGER BEAVER LOWBOY 2025 55 TON GOOSENECK EAGER BEAVER LOWBOY</t>
        </is>
      </c>
      <c r="L1076" t="n">
        <v>0</v>
      </c>
      <c r="M1076" t="n">
        <v>0</v>
      </c>
      <c r="O1076" t="inlineStr">
        <is>
          <t>WTL002</t>
        </is>
      </c>
      <c r="Q1076" s="114" t="n">
        <v>0</v>
      </c>
      <c r="R1076" s="114" t="n">
        <v>55</v>
      </c>
      <c r="S1076" s="114" t="n">
        <v>0</v>
      </c>
      <c r="T1076" t="n">
        <v>0</v>
      </c>
    </row>
    <row r="1077">
      <c r="A1077" t="inlineStr">
        <is>
          <t>ttJTrans</t>
        </is>
      </c>
      <c r="B1077" s="38" t="inlineStr">
        <is>
          <t>0-4006</t>
        </is>
      </c>
      <c r="C1077" t="inlineStr">
        <is>
          <t>EQ</t>
        </is>
      </c>
      <c r="E1077" t="inlineStr">
        <is>
          <t>EQ</t>
        </is>
      </c>
      <c r="G1077" s="128" t="inlineStr"/>
      <c r="H1077" s="127" t="n">
        <v>46138</v>
      </c>
      <c r="J1077" s="38" t="inlineStr">
        <is>
          <t>0-4006</t>
        </is>
      </c>
      <c r="K1077" t="inlineStr">
        <is>
          <t>TR419 LONESTAR 6.5X16' ENCLOSED CARGO TRAILER LONESTAR 6.5X16' ENCLOSED CARGO TRAILER</t>
        </is>
      </c>
      <c r="L1077" t="n">
        <v>0</v>
      </c>
      <c r="M1077" t="n">
        <v>0</v>
      </c>
      <c r="O1077" t="inlineStr">
        <is>
          <t>TR419</t>
        </is>
      </c>
      <c r="Q1077" s="114" t="n">
        <v>0</v>
      </c>
      <c r="R1077" s="114" t="n">
        <v>65</v>
      </c>
      <c r="S1077" s="114" t="n">
        <v>0</v>
      </c>
      <c r="T1077" t="n">
        <v>0</v>
      </c>
    </row>
    <row r="1078">
      <c r="A1078" t="inlineStr">
        <is>
          <t>ttJTrans</t>
        </is>
      </c>
      <c r="B1078" s="38" t="inlineStr">
        <is>
          <t>0-4006</t>
        </is>
      </c>
      <c r="C1078" t="inlineStr">
        <is>
          <t>EQ</t>
        </is>
      </c>
      <c r="E1078" t="inlineStr">
        <is>
          <t>EQ</t>
        </is>
      </c>
      <c r="G1078" s="128" t="inlineStr"/>
      <c r="H1078" s="127" t="n">
        <v>46138</v>
      </c>
      <c r="J1078" s="38" t="inlineStr">
        <is>
          <t>0-4006</t>
        </is>
      </c>
      <c r="K1078" t="inlineStr">
        <is>
          <t>TR419 LONESTAR 6.5X16' ENCLOSED CARGO TRAILER LONESTAR 6.5X16' ENCLOSED CARGO TRAILER</t>
        </is>
      </c>
      <c r="L1078" t="n">
        <v>0</v>
      </c>
      <c r="M1078" t="n">
        <v>0</v>
      </c>
      <c r="O1078" t="inlineStr">
        <is>
          <t>TR419</t>
        </is>
      </c>
      <c r="Q1078" s="114" t="n">
        <v>0</v>
      </c>
      <c r="R1078" s="114" t="n">
        <v>65</v>
      </c>
      <c r="S1078" s="114" t="n">
        <v>0</v>
      </c>
      <c r="T1078" t="n">
        <v>0</v>
      </c>
    </row>
    <row r="1079">
      <c r="A1079" t="inlineStr">
        <is>
          <t>ttJTrans</t>
        </is>
      </c>
      <c r="B1079" s="38" t="inlineStr">
        <is>
          <t>0-4006</t>
        </is>
      </c>
      <c r="C1079" t="inlineStr">
        <is>
          <t>EQ</t>
        </is>
      </c>
      <c r="E1079" t="inlineStr">
        <is>
          <t>EQ</t>
        </is>
      </c>
      <c r="G1079" s="128" t="inlineStr"/>
      <c r="H1079" s="127" t="n">
        <v>46138</v>
      </c>
      <c r="J1079" s="38" t="inlineStr">
        <is>
          <t>0-4006</t>
        </is>
      </c>
      <c r="K1079" t="inlineStr">
        <is>
          <t>TR419 LONESTAR 6.5X16' ENCLOSED CARGO TRAILER LONESTAR 6.5X16' ENCLOSED CARGO TRAILER</t>
        </is>
      </c>
      <c r="L1079" t="n">
        <v>0</v>
      </c>
      <c r="M1079" t="n">
        <v>0</v>
      </c>
      <c r="O1079" t="inlineStr">
        <is>
          <t>TR419</t>
        </is>
      </c>
      <c r="Q1079" s="114" t="n">
        <v>0</v>
      </c>
      <c r="R1079" s="114" t="n">
        <v>65</v>
      </c>
      <c r="S1079" s="114" t="n">
        <v>0</v>
      </c>
      <c r="T1079" t="n">
        <v>0</v>
      </c>
    </row>
    <row r="1080">
      <c r="A1080" t="inlineStr">
        <is>
          <t>ttJTrans</t>
        </is>
      </c>
      <c r="B1080" s="38" t="inlineStr">
        <is>
          <t>0-4006</t>
        </is>
      </c>
      <c r="C1080" t="inlineStr">
        <is>
          <t>EQ</t>
        </is>
      </c>
      <c r="E1080" t="inlineStr">
        <is>
          <t>EQ</t>
        </is>
      </c>
      <c r="G1080" s="128" t="inlineStr"/>
      <c r="H1080" s="127" t="n">
        <v>46138</v>
      </c>
      <c r="J1080" s="38" t="inlineStr">
        <is>
          <t>0-4006</t>
        </is>
      </c>
      <c r="K1080" t="inlineStr">
        <is>
          <t>TR419 LONESTAR 6.5X16' ENCLOSED CARGO TRAILER LONESTAR 6.5X16' ENCLOSED CARGO TRAILER</t>
        </is>
      </c>
      <c r="L1080" t="n">
        <v>0</v>
      </c>
      <c r="M1080" t="n">
        <v>0</v>
      </c>
      <c r="O1080" t="inlineStr">
        <is>
          <t>TR419</t>
        </is>
      </c>
      <c r="Q1080" s="114" t="n">
        <v>0</v>
      </c>
      <c r="R1080" s="114" t="n">
        <v>65</v>
      </c>
      <c r="S1080" s="114" t="n">
        <v>0</v>
      </c>
      <c r="T1080" t="n">
        <v>0</v>
      </c>
    </row>
    <row r="1081">
      <c r="A1081" t="inlineStr">
        <is>
          <t>ttJTrans</t>
        </is>
      </c>
      <c r="B1081" s="38" t="inlineStr">
        <is>
          <t>0-4006</t>
        </is>
      </c>
      <c r="C1081" t="inlineStr">
        <is>
          <t>EQ</t>
        </is>
      </c>
      <c r="E1081" t="inlineStr">
        <is>
          <t>EQ</t>
        </is>
      </c>
      <c r="G1081" s="128" t="inlineStr"/>
      <c r="H1081" s="127" t="n">
        <v>46138</v>
      </c>
      <c r="J1081" s="38" t="inlineStr">
        <is>
          <t>0-4006</t>
        </is>
      </c>
      <c r="K1081" t="inlineStr">
        <is>
          <t>TR419 LONESTAR 6.5X16' ENCLOSED CARGO TRAILER LONESTAR 6.5X16' ENCLOSED CARGO TRAILER</t>
        </is>
      </c>
      <c r="L1081" t="n">
        <v>0</v>
      </c>
      <c r="M1081" t="n">
        <v>0</v>
      </c>
      <c r="O1081" t="inlineStr">
        <is>
          <t>TR419</t>
        </is>
      </c>
      <c r="Q1081" s="114" t="n">
        <v>0</v>
      </c>
      <c r="R1081" s="114" t="n">
        <v>65</v>
      </c>
      <c r="S1081" s="114" t="n">
        <v>0</v>
      </c>
      <c r="T1081" t="n">
        <v>0</v>
      </c>
    </row>
    <row r="1082">
      <c r="A1082" t="inlineStr">
        <is>
          <t>ttJTrans</t>
        </is>
      </c>
      <c r="B1082" s="38" t="inlineStr">
        <is>
          <t>0-4006</t>
        </is>
      </c>
      <c r="C1082" t="inlineStr">
        <is>
          <t>EQ</t>
        </is>
      </c>
      <c r="E1082" t="inlineStr">
        <is>
          <t>EQ</t>
        </is>
      </c>
      <c r="G1082" s="128" t="inlineStr"/>
      <c r="H1082" s="127" t="n">
        <v>46138</v>
      </c>
      <c r="J1082" s="38" t="inlineStr">
        <is>
          <t>0-4006</t>
        </is>
      </c>
      <c r="K1082" t="inlineStr">
        <is>
          <t>TR419 LONESTAR 6.5X16' ENCLOSED CARGO TRAILER LONESTAR 6.5X16' ENCLOSED CARGO TRAILER</t>
        </is>
      </c>
      <c r="L1082" t="n">
        <v>0</v>
      </c>
      <c r="M1082" t="n">
        <v>0</v>
      </c>
      <c r="O1082" t="inlineStr">
        <is>
          <t>TR419</t>
        </is>
      </c>
      <c r="Q1082" s="114" t="n">
        <v>0</v>
      </c>
      <c r="R1082" s="114" t="n">
        <v>65</v>
      </c>
      <c r="S1082" s="114" t="n">
        <v>0</v>
      </c>
      <c r="T1082" t="n">
        <v>0</v>
      </c>
    </row>
    <row r="1083">
      <c r="A1083" t="inlineStr">
        <is>
          <t>ttJTrans</t>
        </is>
      </c>
      <c r="B1083" s="38" t="inlineStr">
        <is>
          <t>0-4006</t>
        </is>
      </c>
      <c r="C1083" t="inlineStr">
        <is>
          <t>EQ</t>
        </is>
      </c>
      <c r="E1083" t="inlineStr">
        <is>
          <t>EQ</t>
        </is>
      </c>
      <c r="G1083" s="128" t="inlineStr"/>
      <c r="H1083" s="127" t="n">
        <v>46138</v>
      </c>
      <c r="J1083" s="38" t="inlineStr">
        <is>
          <t>0-4006</t>
        </is>
      </c>
      <c r="K1083" t="inlineStr">
        <is>
          <t>RT1344 2023 FORD F250 XL STX 4X4 DIESEL 2023 FORD F250 XL STX 4X4 DIESEL</t>
        </is>
      </c>
      <c r="L1083" t="n">
        <v>0</v>
      </c>
      <c r="M1083" t="n">
        <v>0</v>
      </c>
      <c r="O1083" t="inlineStr">
        <is>
          <t>RT1344</t>
        </is>
      </c>
      <c r="Q1083" s="114" t="n">
        <v>0</v>
      </c>
      <c r="R1083" s="114" t="n">
        <v>79.14</v>
      </c>
      <c r="S1083" s="114" t="n">
        <v>0</v>
      </c>
      <c r="T1083" t="n">
        <v>0</v>
      </c>
    </row>
    <row r="1084">
      <c r="A1084" t="inlineStr">
        <is>
          <t>ttJTrans</t>
        </is>
      </c>
      <c r="B1084" s="38" t="inlineStr">
        <is>
          <t>0-4006</t>
        </is>
      </c>
      <c r="C1084" t="inlineStr">
        <is>
          <t>EQ</t>
        </is>
      </c>
      <c r="E1084" t="inlineStr">
        <is>
          <t>EQ</t>
        </is>
      </c>
      <c r="G1084" s="128" t="inlineStr"/>
      <c r="H1084" s="127" t="n">
        <v>46138</v>
      </c>
      <c r="J1084" s="38" t="inlineStr">
        <is>
          <t>0-4006</t>
        </is>
      </c>
      <c r="K1084" t="inlineStr">
        <is>
          <t>RT1344 2023 FORD F250 XL STX 4X4 DIESEL 2023 FORD F250 XL STX 4X4 DIESEL</t>
        </is>
      </c>
      <c r="L1084" t="n">
        <v>0</v>
      </c>
      <c r="M1084" t="n">
        <v>0</v>
      </c>
      <c r="O1084" t="inlineStr">
        <is>
          <t>RT1344</t>
        </is>
      </c>
      <c r="Q1084" s="114" t="n">
        <v>0</v>
      </c>
      <c r="R1084" s="114" t="n">
        <v>79.14</v>
      </c>
      <c r="S1084" s="114" t="n">
        <v>0</v>
      </c>
      <c r="T1084" t="n">
        <v>0</v>
      </c>
    </row>
    <row r="1085">
      <c r="A1085" t="inlineStr">
        <is>
          <t>ttJTrans</t>
        </is>
      </c>
      <c r="B1085" s="38" t="inlineStr">
        <is>
          <t>0-4006</t>
        </is>
      </c>
      <c r="C1085" t="inlineStr">
        <is>
          <t>EQ</t>
        </is>
      </c>
      <c r="E1085" t="inlineStr">
        <is>
          <t>EQ</t>
        </is>
      </c>
      <c r="G1085" s="128" t="inlineStr"/>
      <c r="H1085" s="127" t="n">
        <v>46138</v>
      </c>
      <c r="J1085" s="38" t="inlineStr">
        <is>
          <t>0-4006</t>
        </is>
      </c>
      <c r="K1085" t="inlineStr">
        <is>
          <t>RT1344 2023 FORD F250 XL STX 4X4 DIESEL 2023 FORD F250 XL STX 4X4 DIESEL</t>
        </is>
      </c>
      <c r="L1085" t="n">
        <v>0</v>
      </c>
      <c r="M1085" t="n">
        <v>0</v>
      </c>
      <c r="O1085" t="inlineStr">
        <is>
          <t>RT1344</t>
        </is>
      </c>
      <c r="Q1085" s="114" t="n">
        <v>0</v>
      </c>
      <c r="R1085" s="114" t="n">
        <v>79.14</v>
      </c>
      <c r="S1085" s="114" t="n">
        <v>0</v>
      </c>
      <c r="T1085" t="n">
        <v>0</v>
      </c>
    </row>
    <row r="1086">
      <c r="A1086" t="inlineStr">
        <is>
          <t>ttJTrans</t>
        </is>
      </c>
      <c r="B1086" s="38" t="inlineStr">
        <is>
          <t>0-4006</t>
        </is>
      </c>
      <c r="C1086" t="inlineStr">
        <is>
          <t>EQ</t>
        </is>
      </c>
      <c r="E1086" t="inlineStr">
        <is>
          <t>EQ</t>
        </is>
      </c>
      <c r="G1086" s="42" t="inlineStr"/>
      <c r="H1086" s="127" t="n">
        <v>46138</v>
      </c>
      <c r="J1086" s="38" t="inlineStr">
        <is>
          <t>0-4006</t>
        </is>
      </c>
      <c r="K1086" t="inlineStr">
        <is>
          <t>TR260 2005 UTILITY BRAND TOOL VAN 2005 UTILITY BRAND TOOL VAN</t>
        </is>
      </c>
      <c r="L1086" t="n">
        <v>0</v>
      </c>
      <c r="M1086" t="n">
        <v>0</v>
      </c>
      <c r="O1086" t="inlineStr">
        <is>
          <t>TR260</t>
        </is>
      </c>
      <c r="Q1086" s="114" t="n">
        <v>0</v>
      </c>
      <c r="R1086" s="114" t="n">
        <v>75</v>
      </c>
      <c r="S1086" s="114" t="n">
        <v>0</v>
      </c>
      <c r="T1086" t="n">
        <v>0</v>
      </c>
    </row>
    <row r="1087">
      <c r="A1087" t="inlineStr">
        <is>
          <t>ttJTrans</t>
        </is>
      </c>
      <c r="B1087" s="38" t="inlineStr">
        <is>
          <t>0-4006</t>
        </is>
      </c>
      <c r="C1087" t="inlineStr">
        <is>
          <t>EQ</t>
        </is>
      </c>
      <c r="E1087" t="inlineStr">
        <is>
          <t>EQ</t>
        </is>
      </c>
      <c r="G1087" s="42" t="inlineStr"/>
      <c r="H1087" s="127" t="n">
        <v>46138</v>
      </c>
      <c r="J1087" s="38" t="inlineStr">
        <is>
          <t>0-4006</t>
        </is>
      </c>
      <c r="K1087" t="inlineStr">
        <is>
          <t>TR260 2005 UTILITY BRAND TOOL VAN 2005 UTILITY BRAND TOOL VAN</t>
        </is>
      </c>
      <c r="L1087" t="n">
        <v>0</v>
      </c>
      <c r="M1087" t="n">
        <v>0</v>
      </c>
      <c r="O1087" t="inlineStr">
        <is>
          <t>TR260</t>
        </is>
      </c>
      <c r="Q1087" s="114" t="n">
        <v>0</v>
      </c>
      <c r="R1087" s="114" t="n">
        <v>75</v>
      </c>
      <c r="S1087" s="114" t="n">
        <v>0</v>
      </c>
      <c r="T1087" t="n">
        <v>0</v>
      </c>
    </row>
    <row r="1088">
      <c r="A1088" t="inlineStr">
        <is>
          <t>ttJTrans</t>
        </is>
      </c>
      <c r="B1088" s="38" t="inlineStr">
        <is>
          <t>0-4006</t>
        </is>
      </c>
      <c r="C1088" t="inlineStr">
        <is>
          <t>EQ</t>
        </is>
      </c>
      <c r="E1088" t="inlineStr">
        <is>
          <t>EQ</t>
        </is>
      </c>
      <c r="G1088" s="42" t="inlineStr"/>
      <c r="H1088" s="127" t="n">
        <v>46138</v>
      </c>
      <c r="J1088" s="38" t="inlineStr">
        <is>
          <t>0-4006</t>
        </is>
      </c>
      <c r="K1088" t="inlineStr">
        <is>
          <t>TR260 2005 UTILITY BRAND TOOL VAN 2005 UTILITY BRAND TOOL VAN</t>
        </is>
      </c>
      <c r="L1088" t="n">
        <v>0</v>
      </c>
      <c r="M1088" t="n">
        <v>0</v>
      </c>
      <c r="O1088" t="inlineStr">
        <is>
          <t>TR260</t>
        </is>
      </c>
      <c r="Q1088" s="114" t="n">
        <v>0</v>
      </c>
      <c r="R1088" s="114" t="n">
        <v>75</v>
      </c>
      <c r="S1088" s="114" t="n">
        <v>0</v>
      </c>
      <c r="T1088" t="n">
        <v>0</v>
      </c>
    </row>
    <row r="1089">
      <c r="A1089" t="inlineStr">
        <is>
          <t>ttJTrans</t>
        </is>
      </c>
      <c r="B1089" s="38" t="inlineStr">
        <is>
          <t>0-4006</t>
        </is>
      </c>
      <c r="C1089" t="inlineStr">
        <is>
          <t>EQ</t>
        </is>
      </c>
      <c r="E1089" t="inlineStr">
        <is>
          <t>EQ</t>
        </is>
      </c>
      <c r="G1089" s="42" t="inlineStr"/>
      <c r="H1089" s="127" t="n">
        <v>46138</v>
      </c>
      <c r="J1089" s="38" t="inlineStr">
        <is>
          <t>0-4006</t>
        </is>
      </c>
      <c r="K1089" t="inlineStr">
        <is>
          <t>TR154 20' PARKER TRAILER #1000277 20' PARKER TRAILER #1000277</t>
        </is>
      </c>
      <c r="L1089" t="n">
        <v>0</v>
      </c>
      <c r="M1089" t="n">
        <v>0</v>
      </c>
      <c r="O1089" t="inlineStr">
        <is>
          <t>TR154</t>
        </is>
      </c>
      <c r="Q1089" s="114" t="n">
        <v>0</v>
      </c>
      <c r="R1089" s="114" t="n">
        <v>15</v>
      </c>
      <c r="S1089" s="114" t="n">
        <v>0</v>
      </c>
      <c r="T1089" t="n">
        <v>0</v>
      </c>
    </row>
    <row r="1090">
      <c r="A1090" t="inlineStr">
        <is>
          <t>ttJTrans</t>
        </is>
      </c>
      <c r="B1090" s="38" t="inlineStr">
        <is>
          <t>0-4006</t>
        </is>
      </c>
      <c r="C1090" t="inlineStr">
        <is>
          <t>EQ</t>
        </is>
      </c>
      <c r="E1090" t="inlineStr">
        <is>
          <t>EQ</t>
        </is>
      </c>
      <c r="G1090" s="42" t="inlineStr"/>
      <c r="H1090" s="127" t="n">
        <v>46138</v>
      </c>
      <c r="J1090" s="38" t="inlineStr">
        <is>
          <t>0-4006</t>
        </is>
      </c>
      <c r="K1090" t="inlineStr">
        <is>
          <t>TR154 20' PARKER TRAILER #1000277 20' PARKER TRAILER #1000277</t>
        </is>
      </c>
      <c r="L1090" t="n">
        <v>0</v>
      </c>
      <c r="M1090" t="n">
        <v>0</v>
      </c>
      <c r="O1090" t="inlineStr">
        <is>
          <t>TR154</t>
        </is>
      </c>
      <c r="Q1090" s="114" t="n">
        <v>0</v>
      </c>
      <c r="R1090" s="114" t="n">
        <v>15</v>
      </c>
      <c r="S1090" s="114" t="n">
        <v>0</v>
      </c>
      <c r="T1090" t="n">
        <v>0</v>
      </c>
    </row>
    <row r="1091">
      <c r="A1091" t="inlineStr">
        <is>
          <t>ttJTrans</t>
        </is>
      </c>
      <c r="B1091" s="38" t="inlineStr">
        <is>
          <t>0-4006</t>
        </is>
      </c>
      <c r="C1091" t="inlineStr">
        <is>
          <t>EQ</t>
        </is>
      </c>
      <c r="E1091" t="inlineStr">
        <is>
          <t>EQ</t>
        </is>
      </c>
      <c r="G1091" s="42" t="inlineStr"/>
      <c r="H1091" s="127" t="n">
        <v>46138</v>
      </c>
      <c r="J1091" s="38" t="inlineStr">
        <is>
          <t>0-4006</t>
        </is>
      </c>
      <c r="K1091" t="inlineStr">
        <is>
          <t>TR154 20' PARKER TRAILER #1000277 20' PARKER TRAILER #1000277</t>
        </is>
      </c>
      <c r="L1091" t="n">
        <v>0</v>
      </c>
      <c r="M1091" t="n">
        <v>0</v>
      </c>
      <c r="O1091" t="inlineStr">
        <is>
          <t>TR154</t>
        </is>
      </c>
      <c r="Q1091" s="114" t="n">
        <v>0</v>
      </c>
      <c r="R1091" s="114" t="n">
        <v>15</v>
      </c>
      <c r="S1091" s="114" t="n">
        <v>0</v>
      </c>
      <c r="T1091" t="n">
        <v>0</v>
      </c>
    </row>
    <row r="1092">
      <c r="A1092" t="inlineStr">
        <is>
          <t>ttJTrans</t>
        </is>
      </c>
      <c r="B1092" s="38" t="inlineStr">
        <is>
          <t>0-4006</t>
        </is>
      </c>
      <c r="C1092" t="inlineStr">
        <is>
          <t>EQ</t>
        </is>
      </c>
      <c r="E1092" t="inlineStr">
        <is>
          <t>EQ</t>
        </is>
      </c>
      <c r="G1092" s="42" t="inlineStr"/>
      <c r="H1092" s="127" t="n">
        <v>46138</v>
      </c>
      <c r="J1092" s="38" t="inlineStr">
        <is>
          <t>0-4006</t>
        </is>
      </c>
      <c r="K1092" t="inlineStr">
        <is>
          <t>TR280 20' BIG TEX PI-20 20' BIG TEX PI-20</t>
        </is>
      </c>
      <c r="L1092" t="n">
        <v>0</v>
      </c>
      <c r="M1092" t="n">
        <v>0</v>
      </c>
      <c r="O1092" t="inlineStr">
        <is>
          <t>TR280</t>
        </is>
      </c>
      <c r="Q1092" s="114" t="n">
        <v>0</v>
      </c>
      <c r="R1092" s="114" t="n">
        <v>15</v>
      </c>
      <c r="S1092" s="114" t="n">
        <v>0</v>
      </c>
      <c r="T1092" t="n">
        <v>0</v>
      </c>
    </row>
    <row r="1093">
      <c r="A1093" t="inlineStr">
        <is>
          <t>ttJTrans</t>
        </is>
      </c>
      <c r="B1093" s="38" t="inlineStr">
        <is>
          <t>0-4006</t>
        </is>
      </c>
      <c r="C1093" t="inlineStr">
        <is>
          <t>EQ</t>
        </is>
      </c>
      <c r="E1093" t="inlineStr">
        <is>
          <t>EQ</t>
        </is>
      </c>
      <c r="G1093" s="42" t="inlineStr"/>
      <c r="H1093" s="127" t="n">
        <v>46138</v>
      </c>
      <c r="J1093" s="38" t="inlineStr">
        <is>
          <t>0-4006</t>
        </is>
      </c>
      <c r="K1093" t="inlineStr">
        <is>
          <t>TR280 20' BIG TEX PI-20 20' BIG TEX PI-20</t>
        </is>
      </c>
      <c r="L1093" t="n">
        <v>0</v>
      </c>
      <c r="M1093" t="n">
        <v>0</v>
      </c>
      <c r="O1093" t="inlineStr">
        <is>
          <t>TR280</t>
        </is>
      </c>
      <c r="Q1093" s="114" t="n">
        <v>0</v>
      </c>
      <c r="R1093" s="114" t="n">
        <v>15</v>
      </c>
      <c r="S1093" s="114" t="n">
        <v>0</v>
      </c>
      <c r="T1093" t="n">
        <v>0</v>
      </c>
    </row>
    <row r="1094">
      <c r="A1094" t="inlineStr">
        <is>
          <t>ttJTrans</t>
        </is>
      </c>
      <c r="B1094" s="38" t="inlineStr">
        <is>
          <t>0-4006</t>
        </is>
      </c>
      <c r="C1094" t="inlineStr">
        <is>
          <t>EQ</t>
        </is>
      </c>
      <c r="E1094" t="inlineStr">
        <is>
          <t>EQ</t>
        </is>
      </c>
      <c r="G1094" s="42" t="inlineStr"/>
      <c r="H1094" s="127" t="n">
        <v>46138</v>
      </c>
      <c r="J1094" s="38" t="inlineStr">
        <is>
          <t>0-4006</t>
        </is>
      </c>
      <c r="K1094" t="inlineStr">
        <is>
          <t>TR280 20' BIG TEX PI-20 20' BIG TEX PI-20</t>
        </is>
      </c>
      <c r="L1094" t="n">
        <v>0</v>
      </c>
      <c r="M1094" t="n">
        <v>0</v>
      </c>
      <c r="O1094" t="inlineStr">
        <is>
          <t>TR280</t>
        </is>
      </c>
      <c r="Q1094" s="114" t="n">
        <v>0</v>
      </c>
      <c r="R1094" s="114" t="n">
        <v>15</v>
      </c>
      <c r="S1094" s="114" t="n">
        <v>0</v>
      </c>
      <c r="T1094" t="n">
        <v>0</v>
      </c>
    </row>
    <row r="1095">
      <c r="A1095" t="inlineStr">
        <is>
          <t>ttJTrans</t>
        </is>
      </c>
      <c r="B1095" s="38" t="inlineStr">
        <is>
          <t>0-4006</t>
        </is>
      </c>
      <c r="C1095" t="inlineStr">
        <is>
          <t>EQ</t>
        </is>
      </c>
      <c r="E1095" t="inlineStr">
        <is>
          <t>EQ</t>
        </is>
      </c>
      <c r="G1095" s="42" t="inlineStr"/>
      <c r="H1095" s="127" t="n">
        <v>46138</v>
      </c>
      <c r="J1095" s="38" t="inlineStr">
        <is>
          <t>0-4006</t>
        </is>
      </c>
      <c r="K1095" t="inlineStr">
        <is>
          <t>WHV001 2025 PETERBILT 589 SLEEPER CAB 2025 PETERBILT 589 SLEEPER CAB</t>
        </is>
      </c>
      <c r="L1095" t="n">
        <v>0</v>
      </c>
      <c r="M1095" t="n">
        <v>0</v>
      </c>
      <c r="O1095" t="inlineStr">
        <is>
          <t>WHV001</t>
        </is>
      </c>
      <c r="Q1095" s="114" t="n">
        <v>0</v>
      </c>
      <c r="R1095" s="114" t="n">
        <v>250</v>
      </c>
      <c r="S1095" s="114" t="n">
        <v>0</v>
      </c>
      <c r="T1095" t="n">
        <v>0</v>
      </c>
    </row>
    <row r="1096">
      <c r="A1096" t="inlineStr">
        <is>
          <t>ttJTrans</t>
        </is>
      </c>
      <c r="B1096" s="38" t="inlineStr">
        <is>
          <t>0-4006</t>
        </is>
      </c>
      <c r="C1096" t="inlineStr">
        <is>
          <t>EQ</t>
        </is>
      </c>
      <c r="E1096" t="inlineStr">
        <is>
          <t>EQ</t>
        </is>
      </c>
      <c r="G1096" s="42" t="inlineStr"/>
      <c r="H1096" s="127" t="n">
        <v>46138</v>
      </c>
      <c r="J1096" s="38" t="inlineStr">
        <is>
          <t>0-4006</t>
        </is>
      </c>
      <c r="K1096" t="inlineStr">
        <is>
          <t>WHV001 2025 PETERBILT 589 SLEEPER CAB 2025 PETERBILT 589 SLEEPER CAB</t>
        </is>
      </c>
      <c r="L1096" t="n">
        <v>0</v>
      </c>
      <c r="M1096" t="n">
        <v>0</v>
      </c>
      <c r="O1096" t="inlineStr">
        <is>
          <t>WHV001</t>
        </is>
      </c>
      <c r="Q1096" s="114" t="n">
        <v>0</v>
      </c>
      <c r="R1096" s="114" t="n">
        <v>250</v>
      </c>
      <c r="S1096" s="114" t="n">
        <v>0</v>
      </c>
      <c r="T1096" t="n">
        <v>0</v>
      </c>
    </row>
    <row r="1097">
      <c r="A1097" t="inlineStr">
        <is>
          <t>ttJTrans</t>
        </is>
      </c>
      <c r="B1097" s="38" t="inlineStr">
        <is>
          <t>0-4006</t>
        </is>
      </c>
      <c r="C1097" t="inlineStr">
        <is>
          <t>EQ</t>
        </is>
      </c>
      <c r="E1097" t="inlineStr">
        <is>
          <t>EQ</t>
        </is>
      </c>
      <c r="G1097" s="42" t="inlineStr"/>
      <c r="H1097" s="127" t="n">
        <v>46138</v>
      </c>
      <c r="J1097" s="38" t="inlineStr">
        <is>
          <t>0-4006</t>
        </is>
      </c>
      <c r="K1097" t="inlineStr">
        <is>
          <t>WHV001 2025 PETERBILT 589 SLEEPER CAB 2025 PETERBILT 589 SLEEPER CAB</t>
        </is>
      </c>
      <c r="L1097" t="n">
        <v>0</v>
      </c>
      <c r="M1097" t="n">
        <v>0</v>
      </c>
      <c r="O1097" t="inlineStr">
        <is>
          <t>WHV001</t>
        </is>
      </c>
      <c r="Q1097" s="114" t="n">
        <v>0</v>
      </c>
      <c r="R1097" s="114" t="n">
        <v>250</v>
      </c>
      <c r="S1097" s="114" t="n">
        <v>0</v>
      </c>
      <c r="T1097" t="n">
        <v>0</v>
      </c>
    </row>
    <row r="1098">
      <c r="A1098" t="inlineStr">
        <is>
          <t>ttJTrans</t>
        </is>
      </c>
      <c r="B1098" s="38" t="inlineStr">
        <is>
          <t>0-4006</t>
        </is>
      </c>
      <c r="C1098" t="inlineStr">
        <is>
          <t>EQ</t>
        </is>
      </c>
      <c r="E1098" t="inlineStr">
        <is>
          <t>EQ</t>
        </is>
      </c>
      <c r="G1098" s="42" t="inlineStr"/>
      <c r="H1098" s="127" t="n">
        <v>46138</v>
      </c>
      <c r="J1098" s="38" t="inlineStr">
        <is>
          <t>0-4006</t>
        </is>
      </c>
      <c r="K1098" t="inlineStr">
        <is>
          <t>TR473 LANDOLL 53FT LOWBOY LANDOLL 53FT LOWBOY</t>
        </is>
      </c>
      <c r="L1098" t="n">
        <v>0</v>
      </c>
      <c r="M1098" t="n">
        <v>0</v>
      </c>
      <c r="O1098" t="inlineStr">
        <is>
          <t>TR473</t>
        </is>
      </c>
      <c r="Q1098" s="114" t="n">
        <v>0</v>
      </c>
      <c r="R1098" s="114" t="n">
        <v>0</v>
      </c>
      <c r="S1098" s="114" t="n">
        <v>0</v>
      </c>
      <c r="T1098" t="n">
        <v>0</v>
      </c>
    </row>
    <row r="1099">
      <c r="A1099" t="inlineStr">
        <is>
          <t>ttJTrans</t>
        </is>
      </c>
      <c r="B1099" s="38" t="inlineStr">
        <is>
          <t>0-4006</t>
        </is>
      </c>
      <c r="C1099" t="inlineStr">
        <is>
          <t>EQ</t>
        </is>
      </c>
      <c r="E1099" t="inlineStr">
        <is>
          <t>EQ</t>
        </is>
      </c>
      <c r="G1099" s="42" t="inlineStr"/>
      <c r="H1099" s="127" t="n">
        <v>46138</v>
      </c>
      <c r="J1099" s="38" t="inlineStr">
        <is>
          <t>0-4006</t>
        </is>
      </c>
      <c r="K1099" t="inlineStr">
        <is>
          <t>TR473 LANDOLL 53FT LOWBOY LANDOLL 53FT LOWBOY</t>
        </is>
      </c>
      <c r="L1099" t="n">
        <v>0</v>
      </c>
      <c r="M1099" t="n">
        <v>0</v>
      </c>
      <c r="O1099" t="inlineStr">
        <is>
          <t>TR473</t>
        </is>
      </c>
      <c r="Q1099" s="114" t="n">
        <v>0</v>
      </c>
      <c r="R1099" s="114" t="n">
        <v>0</v>
      </c>
      <c r="S1099" s="114" t="n">
        <v>0</v>
      </c>
      <c r="T1099" t="n">
        <v>0</v>
      </c>
    </row>
    <row r="1100">
      <c r="A1100" t="inlineStr">
        <is>
          <t>ttJTrans</t>
        </is>
      </c>
      <c r="B1100" s="38" t="inlineStr">
        <is>
          <t>0-4006</t>
        </is>
      </c>
      <c r="C1100" t="inlineStr">
        <is>
          <t>EQ</t>
        </is>
      </c>
      <c r="E1100" t="inlineStr">
        <is>
          <t>EQ</t>
        </is>
      </c>
      <c r="G1100" s="128" t="inlineStr"/>
      <c r="H1100" s="127" t="n">
        <v>46138</v>
      </c>
      <c r="J1100" s="38" t="inlineStr">
        <is>
          <t>0-4006</t>
        </is>
      </c>
      <c r="K1100" t="inlineStr">
        <is>
          <t>TR473 LANDOLL 53FT LOWBOY LANDOLL 53FT LOWBOY</t>
        </is>
      </c>
      <c r="L1100" t="n">
        <v>0</v>
      </c>
      <c r="M1100" t="n">
        <v>0</v>
      </c>
      <c r="O1100" t="inlineStr">
        <is>
          <t>TR473</t>
        </is>
      </c>
      <c r="Q1100" s="114" t="n">
        <v>0</v>
      </c>
      <c r="R1100" s="114" t="n">
        <v>0</v>
      </c>
      <c r="S1100" s="114" t="n">
        <v>0</v>
      </c>
      <c r="T1100" t="n">
        <v>0</v>
      </c>
    </row>
    <row r="1101">
      <c r="A1101" t="inlineStr">
        <is>
          <t>ttJTrans</t>
        </is>
      </c>
      <c r="B1101" s="38" t="inlineStr">
        <is>
          <t>0-4006</t>
        </is>
      </c>
      <c r="C1101" t="inlineStr">
        <is>
          <t>EQ</t>
        </is>
      </c>
      <c r="E1101" t="inlineStr">
        <is>
          <t>EQ</t>
        </is>
      </c>
      <c r="G1101" s="128" t="inlineStr"/>
      <c r="H1101" s="127" t="n">
        <v>46138</v>
      </c>
      <c r="J1101" s="38" t="inlineStr">
        <is>
          <t>0-4006</t>
        </is>
      </c>
      <c r="K1101" t="inlineStr">
        <is>
          <t>TR461 40' HIGH CUBE CONTAINERS 40' HIGH CUBE CONTAINERS</t>
        </is>
      </c>
      <c r="L1101" t="n">
        <v>0</v>
      </c>
      <c r="M1101" t="n">
        <v>0</v>
      </c>
      <c r="O1101" t="inlineStr">
        <is>
          <t>TR461</t>
        </is>
      </c>
      <c r="Q1101" s="114" t="n">
        <v>0</v>
      </c>
      <c r="R1101" s="114" t="n">
        <v>65</v>
      </c>
      <c r="S1101" s="114" t="n">
        <v>0</v>
      </c>
      <c r="T1101" t="n">
        <v>0</v>
      </c>
    </row>
    <row r="1102">
      <c r="A1102" t="inlineStr">
        <is>
          <t>ttJTrans</t>
        </is>
      </c>
      <c r="B1102" s="38" t="inlineStr">
        <is>
          <t>0-4006</t>
        </is>
      </c>
      <c r="C1102" t="inlineStr">
        <is>
          <t>EQ</t>
        </is>
      </c>
      <c r="E1102" t="inlineStr">
        <is>
          <t>EQ</t>
        </is>
      </c>
      <c r="G1102" s="128" t="inlineStr"/>
      <c r="H1102" s="127" t="n">
        <v>46138</v>
      </c>
      <c r="J1102" s="38" t="inlineStr">
        <is>
          <t>0-4006</t>
        </is>
      </c>
      <c r="K1102" t="inlineStr">
        <is>
          <t>TR461 40' HIGH CUBE CONTAINERS 40' HIGH CUBE CONTAINERS</t>
        </is>
      </c>
      <c r="L1102" t="n">
        <v>0</v>
      </c>
      <c r="M1102" t="n">
        <v>0</v>
      </c>
      <c r="O1102" t="inlineStr">
        <is>
          <t>TR461</t>
        </is>
      </c>
      <c r="Q1102" s="114" t="n">
        <v>0</v>
      </c>
      <c r="R1102" s="114" t="n">
        <v>65</v>
      </c>
      <c r="S1102" s="114" t="n">
        <v>0</v>
      </c>
      <c r="T1102" t="n">
        <v>0</v>
      </c>
    </row>
    <row r="1103">
      <c r="A1103" t="inlineStr">
        <is>
          <t>ttJTrans</t>
        </is>
      </c>
      <c r="B1103" s="38" t="inlineStr">
        <is>
          <t>0-4006</t>
        </is>
      </c>
      <c r="C1103" t="inlineStr">
        <is>
          <t>EQ</t>
        </is>
      </c>
      <c r="E1103" t="inlineStr">
        <is>
          <t>EQ</t>
        </is>
      </c>
      <c r="G1103" s="128" t="inlineStr"/>
      <c r="H1103" s="127" t="n">
        <v>46138</v>
      </c>
      <c r="J1103" s="38" t="inlineStr">
        <is>
          <t>0-4006</t>
        </is>
      </c>
      <c r="K1103" t="inlineStr">
        <is>
          <t>TR461 40' HIGH CUBE CONTAINERS 40' HIGH CUBE CONTAINERS</t>
        </is>
      </c>
      <c r="L1103" t="n">
        <v>0</v>
      </c>
      <c r="M1103" t="n">
        <v>0</v>
      </c>
      <c r="O1103" t="inlineStr">
        <is>
          <t>TR461</t>
        </is>
      </c>
      <c r="Q1103" s="114" t="n">
        <v>0</v>
      </c>
      <c r="R1103" s="114" t="n">
        <v>65</v>
      </c>
      <c r="S1103" s="114" t="n">
        <v>0</v>
      </c>
      <c r="T1103" t="n">
        <v>0</v>
      </c>
    </row>
    <row r="1104">
      <c r="A1104" t="inlineStr">
        <is>
          <t>ttJTrans</t>
        </is>
      </c>
      <c r="B1104" s="38" t="inlineStr">
        <is>
          <t>0-4006</t>
        </is>
      </c>
      <c r="C1104" t="inlineStr">
        <is>
          <t>EQ</t>
        </is>
      </c>
      <c r="E1104" t="inlineStr">
        <is>
          <t>EQ</t>
        </is>
      </c>
      <c r="G1104" s="128" t="inlineStr"/>
      <c r="H1104" s="127" t="n">
        <v>46138</v>
      </c>
      <c r="J1104" s="38" t="inlineStr">
        <is>
          <t>0-4006</t>
        </is>
      </c>
      <c r="K1104" t="inlineStr">
        <is>
          <t>TR462 40' HIGH CUBE CONTAINERS 40' HIGH CUBE CONTAINERS</t>
        </is>
      </c>
      <c r="L1104" t="n">
        <v>0</v>
      </c>
      <c r="M1104" t="n">
        <v>0</v>
      </c>
      <c r="O1104" t="inlineStr">
        <is>
          <t>TR462</t>
        </is>
      </c>
      <c r="Q1104" s="114" t="n">
        <v>0</v>
      </c>
      <c r="R1104" s="114" t="n">
        <v>65</v>
      </c>
      <c r="S1104" s="114" t="n">
        <v>0</v>
      </c>
      <c r="T1104" t="n">
        <v>0</v>
      </c>
    </row>
    <row r="1105">
      <c r="A1105" t="inlineStr">
        <is>
          <t>ttJTrans</t>
        </is>
      </c>
      <c r="B1105" s="38" t="inlineStr">
        <is>
          <t>0-4006</t>
        </is>
      </c>
      <c r="C1105" t="inlineStr">
        <is>
          <t>EQ</t>
        </is>
      </c>
      <c r="E1105" t="inlineStr">
        <is>
          <t>EQ</t>
        </is>
      </c>
      <c r="G1105" s="128" t="inlineStr"/>
      <c r="H1105" s="127" t="n">
        <v>46138</v>
      </c>
      <c r="J1105" s="38" t="inlineStr">
        <is>
          <t>0-4006</t>
        </is>
      </c>
      <c r="K1105" t="inlineStr">
        <is>
          <t>TR462 40' HIGH CUBE CONTAINERS 40' HIGH CUBE CONTAINERS</t>
        </is>
      </c>
      <c r="L1105" t="n">
        <v>0</v>
      </c>
      <c r="M1105" t="n">
        <v>0</v>
      </c>
      <c r="O1105" t="inlineStr">
        <is>
          <t>TR462</t>
        </is>
      </c>
      <c r="Q1105" s="114" t="n">
        <v>0</v>
      </c>
      <c r="R1105" s="114" t="n">
        <v>65</v>
      </c>
      <c r="S1105" s="114" t="n">
        <v>0</v>
      </c>
      <c r="T1105" t="n">
        <v>0</v>
      </c>
    </row>
    <row r="1106">
      <c r="A1106" t="inlineStr">
        <is>
          <t>ttJTrans</t>
        </is>
      </c>
      <c r="B1106" s="38" t="inlineStr">
        <is>
          <t>0-4006</t>
        </is>
      </c>
      <c r="C1106" t="inlineStr">
        <is>
          <t>EQ</t>
        </is>
      </c>
      <c r="E1106" t="inlineStr">
        <is>
          <t>EQ</t>
        </is>
      </c>
      <c r="G1106" s="128" t="inlineStr"/>
      <c r="H1106" s="127" t="n">
        <v>46138</v>
      </c>
      <c r="J1106" s="38" t="inlineStr">
        <is>
          <t>0-4006</t>
        </is>
      </c>
      <c r="K1106" t="inlineStr">
        <is>
          <t>TR462 40' HIGH CUBE CONTAINERS 40' HIGH CUBE CONTAINERS</t>
        </is>
      </c>
      <c r="L1106" t="n">
        <v>0</v>
      </c>
      <c r="M1106" t="n">
        <v>0</v>
      </c>
      <c r="O1106" t="inlineStr">
        <is>
          <t>TR462</t>
        </is>
      </c>
      <c r="Q1106" s="114" t="n">
        <v>0</v>
      </c>
      <c r="R1106" s="114" t="n">
        <v>65</v>
      </c>
      <c r="S1106" s="114" t="n">
        <v>0</v>
      </c>
      <c r="T1106" t="n">
        <v>0</v>
      </c>
    </row>
    <row r="1107">
      <c r="A1107" t="inlineStr">
        <is>
          <t>ttJTrans</t>
        </is>
      </c>
      <c r="B1107" s="38" t="inlineStr">
        <is>
          <t>0-4006</t>
        </is>
      </c>
      <c r="C1107" t="inlineStr">
        <is>
          <t>EQ</t>
        </is>
      </c>
      <c r="E1107" t="inlineStr">
        <is>
          <t>EQ</t>
        </is>
      </c>
      <c r="G1107" s="128" t="inlineStr"/>
      <c r="H1107" s="127" t="n">
        <v>46138</v>
      </c>
      <c r="J1107" s="38" t="inlineStr">
        <is>
          <t>0-4006</t>
        </is>
      </c>
      <c r="K1107" t="inlineStr">
        <is>
          <t>TR463 40' HIGH CUBE CONTAINERS 40' HIGH CUBE CONTAINERS</t>
        </is>
      </c>
      <c r="L1107" t="n">
        <v>0</v>
      </c>
      <c r="M1107" t="n">
        <v>0</v>
      </c>
      <c r="O1107" t="inlineStr">
        <is>
          <t>TR463</t>
        </is>
      </c>
      <c r="Q1107" s="114" t="n">
        <v>0</v>
      </c>
      <c r="R1107" s="114" t="n">
        <v>65</v>
      </c>
      <c r="S1107" s="114" t="n">
        <v>0</v>
      </c>
      <c r="T1107" t="n">
        <v>0</v>
      </c>
    </row>
    <row r="1108">
      <c r="A1108" t="inlineStr">
        <is>
          <t>ttJTrans</t>
        </is>
      </c>
      <c r="B1108" s="38" t="inlineStr">
        <is>
          <t>0-4006</t>
        </is>
      </c>
      <c r="C1108" t="inlineStr">
        <is>
          <t>EQ</t>
        </is>
      </c>
      <c r="E1108" t="inlineStr">
        <is>
          <t>EQ</t>
        </is>
      </c>
      <c r="G1108" s="128" t="inlineStr"/>
      <c r="H1108" s="127" t="n">
        <v>46138</v>
      </c>
      <c r="J1108" s="38" t="inlineStr">
        <is>
          <t>0-4006</t>
        </is>
      </c>
      <c r="K1108" t="inlineStr">
        <is>
          <t>TR463 40' HIGH CUBE CONTAINERS 40' HIGH CUBE CONTAINERS</t>
        </is>
      </c>
      <c r="L1108" t="n">
        <v>0</v>
      </c>
      <c r="M1108" t="n">
        <v>0</v>
      </c>
      <c r="O1108" t="inlineStr">
        <is>
          <t>TR463</t>
        </is>
      </c>
      <c r="Q1108" s="114" t="n">
        <v>0</v>
      </c>
      <c r="R1108" s="114" t="n">
        <v>65</v>
      </c>
      <c r="S1108" s="114" t="n">
        <v>0</v>
      </c>
      <c r="T1108" t="n">
        <v>0</v>
      </c>
    </row>
    <row r="1109">
      <c r="A1109" t="inlineStr">
        <is>
          <t>ttJTrans</t>
        </is>
      </c>
      <c r="B1109" s="38" t="inlineStr">
        <is>
          <t>0-4006</t>
        </is>
      </c>
      <c r="C1109" t="inlineStr">
        <is>
          <t>EQ</t>
        </is>
      </c>
      <c r="E1109" t="inlineStr">
        <is>
          <t>EQ</t>
        </is>
      </c>
      <c r="G1109" s="128" t="inlineStr"/>
      <c r="H1109" s="127" t="n">
        <v>46138</v>
      </c>
      <c r="J1109" s="38" t="inlineStr">
        <is>
          <t>0-4006</t>
        </is>
      </c>
      <c r="K1109" t="inlineStr">
        <is>
          <t>TR463 40' HIGH CUBE CONTAINERS 40' HIGH CUBE CONTAINERS</t>
        </is>
      </c>
      <c r="L1109" t="n">
        <v>0</v>
      </c>
      <c r="M1109" t="n">
        <v>0</v>
      </c>
      <c r="O1109" t="inlineStr">
        <is>
          <t>TR463</t>
        </is>
      </c>
      <c r="Q1109" s="114" t="n">
        <v>0</v>
      </c>
      <c r="R1109" s="114" t="n">
        <v>65</v>
      </c>
      <c r="S1109" s="114" t="n">
        <v>0</v>
      </c>
      <c r="T1109" t="n">
        <v>0</v>
      </c>
    </row>
    <row r="1110">
      <c r="A1110" t="inlineStr">
        <is>
          <t>ttJTrans</t>
        </is>
      </c>
      <c r="B1110" s="38" t="inlineStr">
        <is>
          <t>0-4006</t>
        </is>
      </c>
      <c r="C1110" t="inlineStr">
        <is>
          <t>EQ</t>
        </is>
      </c>
      <c r="E1110" t="inlineStr">
        <is>
          <t>EQ</t>
        </is>
      </c>
      <c r="G1110" s="128" t="inlineStr"/>
      <c r="H1110" s="127" t="n">
        <v>46138</v>
      </c>
      <c r="J1110" s="38" t="inlineStr">
        <is>
          <t>0-4006</t>
        </is>
      </c>
      <c r="K1110" t="inlineStr">
        <is>
          <t>TR464 40' HIGH CUBE CONTAINERS 40' HIGH CUBE CONTAINERS</t>
        </is>
      </c>
      <c r="L1110" t="n">
        <v>0</v>
      </c>
      <c r="M1110" t="n">
        <v>0</v>
      </c>
      <c r="O1110" t="inlineStr">
        <is>
          <t>TR464</t>
        </is>
      </c>
      <c r="Q1110" s="114" t="n">
        <v>0</v>
      </c>
      <c r="R1110" s="114" t="n">
        <v>65</v>
      </c>
      <c r="S1110" s="114" t="n">
        <v>0</v>
      </c>
      <c r="T1110" t="n">
        <v>0</v>
      </c>
    </row>
    <row r="1111">
      <c r="A1111" t="inlineStr">
        <is>
          <t>ttJTrans</t>
        </is>
      </c>
      <c r="B1111" s="38" t="inlineStr">
        <is>
          <t>0-4006</t>
        </is>
      </c>
      <c r="C1111" t="inlineStr">
        <is>
          <t>EQ</t>
        </is>
      </c>
      <c r="E1111" t="inlineStr">
        <is>
          <t>EQ</t>
        </is>
      </c>
      <c r="G1111" s="128" t="inlineStr"/>
      <c r="H1111" s="127" t="n">
        <v>46138</v>
      </c>
      <c r="J1111" s="38" t="inlineStr">
        <is>
          <t>0-4006</t>
        </is>
      </c>
      <c r="K1111" t="inlineStr">
        <is>
          <t>TR464 40' HIGH CUBE CONTAINERS 40' HIGH CUBE CONTAINERS</t>
        </is>
      </c>
      <c r="L1111" t="n">
        <v>0</v>
      </c>
      <c r="M1111" t="n">
        <v>0</v>
      </c>
      <c r="O1111" t="inlineStr">
        <is>
          <t>TR464</t>
        </is>
      </c>
      <c r="Q1111" s="114" t="n">
        <v>0</v>
      </c>
      <c r="R1111" s="114" t="n">
        <v>65</v>
      </c>
      <c r="S1111" s="114" t="n">
        <v>0</v>
      </c>
      <c r="T1111" t="n">
        <v>0</v>
      </c>
    </row>
    <row r="1112">
      <c r="A1112" t="inlineStr">
        <is>
          <t>ttJTrans</t>
        </is>
      </c>
      <c r="B1112" s="38" t="inlineStr">
        <is>
          <t>0-4006</t>
        </is>
      </c>
      <c r="C1112" t="inlineStr">
        <is>
          <t>EQ</t>
        </is>
      </c>
      <c r="E1112" t="inlineStr">
        <is>
          <t>EQ</t>
        </is>
      </c>
      <c r="G1112" s="128" t="inlineStr"/>
      <c r="H1112" s="127" t="n">
        <v>46138</v>
      </c>
      <c r="J1112" s="38" t="inlineStr">
        <is>
          <t>0-4006</t>
        </is>
      </c>
      <c r="K1112" t="inlineStr">
        <is>
          <t>TR464 40' HIGH CUBE CONTAINERS 40' HIGH CUBE CONTAINERS</t>
        </is>
      </c>
      <c r="L1112" t="n">
        <v>0</v>
      </c>
      <c r="M1112" t="n">
        <v>0</v>
      </c>
      <c r="O1112" t="inlineStr">
        <is>
          <t>TR464</t>
        </is>
      </c>
      <c r="Q1112" s="114" t="n">
        <v>0</v>
      </c>
      <c r="R1112" s="114" t="n">
        <v>65</v>
      </c>
      <c r="S1112" s="114" t="n">
        <v>0</v>
      </c>
      <c r="T1112" t="n">
        <v>0</v>
      </c>
    </row>
    <row r="1113">
      <c r="A1113" t="inlineStr">
        <is>
          <t>ttJTrans</t>
        </is>
      </c>
      <c r="B1113" s="38" t="inlineStr">
        <is>
          <t>0-4006</t>
        </is>
      </c>
      <c r="C1113" t="inlineStr">
        <is>
          <t>EQ</t>
        </is>
      </c>
      <c r="E1113" t="inlineStr">
        <is>
          <t>EQ</t>
        </is>
      </c>
      <c r="G1113" s="128" t="inlineStr"/>
      <c r="H1113" s="127" t="n">
        <v>46138</v>
      </c>
      <c r="J1113" s="38" t="inlineStr">
        <is>
          <t>0-4006</t>
        </is>
      </c>
      <c r="K1113" t="inlineStr">
        <is>
          <t>TR456 40' DOUBLE DOOR CONTAINER 40' DOUBLE DOOR CONTAINER</t>
        </is>
      </c>
      <c r="L1113" t="n">
        <v>0</v>
      </c>
      <c r="M1113" t="n">
        <v>0</v>
      </c>
      <c r="O1113" t="inlineStr">
        <is>
          <t>TR456</t>
        </is>
      </c>
      <c r="Q1113" s="114" t="n">
        <v>0</v>
      </c>
      <c r="R1113" s="114" t="n">
        <v>65</v>
      </c>
      <c r="S1113" s="114" t="n">
        <v>0</v>
      </c>
      <c r="T1113" t="n">
        <v>0</v>
      </c>
    </row>
    <row r="1114">
      <c r="A1114" t="inlineStr">
        <is>
          <t>ttJTrans</t>
        </is>
      </c>
      <c r="B1114" s="38" t="inlineStr">
        <is>
          <t>0-4006</t>
        </is>
      </c>
      <c r="C1114" t="inlineStr">
        <is>
          <t>EQ</t>
        </is>
      </c>
      <c r="E1114" t="inlineStr">
        <is>
          <t>EQ</t>
        </is>
      </c>
      <c r="G1114" s="128" t="inlineStr"/>
      <c r="H1114" s="127" t="n">
        <v>46138</v>
      </c>
      <c r="J1114" s="38" t="inlineStr">
        <is>
          <t>0-4006</t>
        </is>
      </c>
      <c r="K1114" t="inlineStr">
        <is>
          <t>TR456 40' DOUBLE DOOR CONTAINER 40' DOUBLE DOOR CONTAINER</t>
        </is>
      </c>
      <c r="L1114" t="n">
        <v>0</v>
      </c>
      <c r="M1114" t="n">
        <v>0</v>
      </c>
      <c r="O1114" t="inlineStr">
        <is>
          <t>TR456</t>
        </is>
      </c>
      <c r="Q1114" s="114" t="n">
        <v>0</v>
      </c>
      <c r="R1114" s="114" t="n">
        <v>65</v>
      </c>
      <c r="S1114" s="114" t="n">
        <v>0</v>
      </c>
      <c r="T1114" t="n">
        <v>0</v>
      </c>
    </row>
    <row r="1115">
      <c r="A1115" t="inlineStr">
        <is>
          <t>ttJTrans</t>
        </is>
      </c>
      <c r="B1115" s="38" t="inlineStr">
        <is>
          <t>0-4006</t>
        </is>
      </c>
      <c r="C1115" t="inlineStr">
        <is>
          <t>EQ</t>
        </is>
      </c>
      <c r="E1115" t="inlineStr">
        <is>
          <t>EQ</t>
        </is>
      </c>
      <c r="G1115" s="128" t="inlineStr"/>
      <c r="H1115" s="127" t="n">
        <v>46138</v>
      </c>
      <c r="J1115" s="38" t="inlineStr">
        <is>
          <t>0-4006</t>
        </is>
      </c>
      <c r="K1115" t="inlineStr">
        <is>
          <t>TR456 40' DOUBLE DOOR CONTAINER 40' DOUBLE DOOR CONTAINER</t>
        </is>
      </c>
      <c r="L1115" t="n">
        <v>0</v>
      </c>
      <c r="M1115" t="n">
        <v>0</v>
      </c>
      <c r="O1115" t="inlineStr">
        <is>
          <t>TR456</t>
        </is>
      </c>
      <c r="Q1115" s="114" t="n">
        <v>0</v>
      </c>
      <c r="R1115" s="114" t="n">
        <v>65</v>
      </c>
      <c r="S1115" s="114" t="n">
        <v>0</v>
      </c>
      <c r="T1115" t="n">
        <v>0</v>
      </c>
    </row>
    <row r="1116">
      <c r="A1116" t="inlineStr">
        <is>
          <t>ttJTrans</t>
        </is>
      </c>
      <c r="B1116" s="38" t="inlineStr">
        <is>
          <t>0-4006</t>
        </is>
      </c>
      <c r="C1116" t="inlineStr">
        <is>
          <t>EQ</t>
        </is>
      </c>
      <c r="E1116" t="inlineStr">
        <is>
          <t>EQ</t>
        </is>
      </c>
      <c r="G1116" s="128" t="inlineStr"/>
      <c r="H1116" s="127" t="n">
        <v>46138</v>
      </c>
      <c r="J1116" s="38" t="inlineStr">
        <is>
          <t>0-4006</t>
        </is>
      </c>
      <c r="K1116" t="inlineStr">
        <is>
          <t>WTL002 2025 55 TON GOOSENECK EAGER BEAVER LOWBOY 2025 55 TON GOOSENECK EAGER BEAVER LOWBOY</t>
        </is>
      </c>
      <c r="L1116" t="n">
        <v>0</v>
      </c>
      <c r="M1116" t="n">
        <v>0</v>
      </c>
      <c r="O1116" t="inlineStr">
        <is>
          <t>WTL002</t>
        </is>
      </c>
      <c r="Q1116" s="114" t="n">
        <v>0</v>
      </c>
      <c r="R1116" s="114" t="n">
        <v>55</v>
      </c>
      <c r="S1116" s="114" t="n">
        <v>0</v>
      </c>
      <c r="T1116" t="n">
        <v>0</v>
      </c>
    </row>
    <row r="1117">
      <c r="A1117" t="inlineStr">
        <is>
          <t>ttJTrans</t>
        </is>
      </c>
      <c r="B1117" s="38" t="inlineStr">
        <is>
          <t>0-4006</t>
        </is>
      </c>
      <c r="C1117" t="inlineStr">
        <is>
          <t>EQ</t>
        </is>
      </c>
      <c r="E1117" t="inlineStr">
        <is>
          <t>EQ</t>
        </is>
      </c>
      <c r="G1117" s="128" t="inlineStr"/>
      <c r="H1117" s="127" t="n">
        <v>46138</v>
      </c>
      <c r="J1117" s="38" t="inlineStr">
        <is>
          <t>0-4006</t>
        </is>
      </c>
      <c r="K1117" t="inlineStr">
        <is>
          <t>WTL002 2025 55 TON GOOSENECK EAGER BEAVER LOWBOY 2025 55 TON GOOSENECK EAGER BEAVER LOWBOY</t>
        </is>
      </c>
      <c r="L1117" t="n">
        <v>0</v>
      </c>
      <c r="M1117" t="n">
        <v>0</v>
      </c>
      <c r="O1117" t="inlineStr">
        <is>
          <t>WTL002</t>
        </is>
      </c>
      <c r="Q1117" s="114" t="n">
        <v>0</v>
      </c>
      <c r="R1117" s="114" t="n">
        <v>55</v>
      </c>
      <c r="S1117" s="114" t="n">
        <v>0</v>
      </c>
      <c r="T1117" t="n">
        <v>0</v>
      </c>
    </row>
    <row r="1118">
      <c r="A1118" t="inlineStr">
        <is>
          <t>ttJTrans</t>
        </is>
      </c>
      <c r="B1118" s="38" t="inlineStr">
        <is>
          <t>0-4006</t>
        </is>
      </c>
      <c r="C1118" t="inlineStr">
        <is>
          <t>EQ</t>
        </is>
      </c>
      <c r="E1118" t="inlineStr">
        <is>
          <t>EQ</t>
        </is>
      </c>
      <c r="G1118" s="128" t="inlineStr"/>
      <c r="H1118" s="127" t="n">
        <v>46138</v>
      </c>
      <c r="J1118" s="38" t="inlineStr">
        <is>
          <t>0-4006</t>
        </is>
      </c>
      <c r="K1118" t="inlineStr">
        <is>
          <t>WTL002 2025 55 TON GOOSENECK EAGER BEAVER LOWBOY 2025 55 TON GOOSENECK EAGER BEAVER LOWBOY</t>
        </is>
      </c>
      <c r="L1118" t="n">
        <v>0</v>
      </c>
      <c r="M1118" t="n">
        <v>0</v>
      </c>
      <c r="O1118" t="inlineStr">
        <is>
          <t>WTL002</t>
        </is>
      </c>
      <c r="Q1118" s="114" t="n">
        <v>0</v>
      </c>
      <c r="R1118" s="114" t="n">
        <v>55</v>
      </c>
      <c r="S1118" s="114" t="n">
        <v>0</v>
      </c>
      <c r="T1118" t="n">
        <v>0</v>
      </c>
    </row>
    <row r="1119">
      <c r="A1119" t="inlineStr">
        <is>
          <t>ttJTrans</t>
        </is>
      </c>
      <c r="B1119" s="38" t="inlineStr">
        <is>
          <t>0-4006</t>
        </is>
      </c>
      <c r="C1119" t="inlineStr">
        <is>
          <t>EQ</t>
        </is>
      </c>
      <c r="E1119" t="inlineStr">
        <is>
          <t>EQ</t>
        </is>
      </c>
      <c r="G1119" s="128" t="inlineStr"/>
      <c r="H1119" s="127" t="n">
        <v>46142</v>
      </c>
      <c r="J1119" s="38" t="inlineStr">
        <is>
          <t>0-4006</t>
        </is>
      </c>
      <c r="K1119" t="inlineStr">
        <is>
          <t>TR436 40' CONTAINER 40' CONTAINER</t>
        </is>
      </c>
      <c r="L1119" t="n">
        <v>0</v>
      </c>
      <c r="M1119" t="n">
        <v>0</v>
      </c>
      <c r="O1119" t="inlineStr">
        <is>
          <t>TR436</t>
        </is>
      </c>
      <c r="Q1119" s="114" t="n">
        <v>0</v>
      </c>
      <c r="R1119" s="114" t="n">
        <v>65</v>
      </c>
      <c r="S1119" s="114" t="n">
        <v>0</v>
      </c>
      <c r="T1119" t="n">
        <v>0</v>
      </c>
    </row>
    <row r="1120">
      <c r="A1120" t="inlineStr">
        <is>
          <t>ttJTrans</t>
        </is>
      </c>
      <c r="B1120" s="38" t="inlineStr">
        <is>
          <t>0-4006</t>
        </is>
      </c>
      <c r="C1120" t="inlineStr">
        <is>
          <t>EQ</t>
        </is>
      </c>
      <c r="E1120" t="inlineStr">
        <is>
          <t>EQ</t>
        </is>
      </c>
      <c r="G1120" s="128" t="inlineStr"/>
      <c r="H1120" s="127" t="n">
        <v>46142</v>
      </c>
      <c r="J1120" s="38" t="inlineStr">
        <is>
          <t>0-4006</t>
        </is>
      </c>
      <c r="K1120" t="inlineStr">
        <is>
          <t>TR436 40' CONTAINER 40' CONTAINER</t>
        </is>
      </c>
      <c r="L1120" t="n">
        <v>0</v>
      </c>
      <c r="M1120" t="n">
        <v>0</v>
      </c>
      <c r="O1120" t="inlineStr">
        <is>
          <t>TR436</t>
        </is>
      </c>
      <c r="Q1120" s="114" t="n">
        <v>0</v>
      </c>
      <c r="R1120" s="114" t="n">
        <v>65</v>
      </c>
      <c r="S1120" s="114" t="n">
        <v>0</v>
      </c>
      <c r="T1120" t="n">
        <v>0</v>
      </c>
    </row>
    <row r="1121">
      <c r="A1121" t="inlineStr">
        <is>
          <t>ttJTrans</t>
        </is>
      </c>
      <c r="B1121" s="38" t="inlineStr">
        <is>
          <t>0-4006</t>
        </is>
      </c>
      <c r="C1121" t="inlineStr">
        <is>
          <t>EQ</t>
        </is>
      </c>
      <c r="E1121" t="inlineStr">
        <is>
          <t>EQ</t>
        </is>
      </c>
      <c r="G1121" s="128" t="inlineStr"/>
      <c r="H1121" s="127" t="n">
        <v>46142</v>
      </c>
      <c r="J1121" s="38" t="inlineStr">
        <is>
          <t>0-4006</t>
        </is>
      </c>
      <c r="K1121" t="inlineStr">
        <is>
          <t>TR419 LONESTAR 6.5X16' ENCLOSED CARGO TRAILER LONESTAR 6.5X16' ENCLOSED CARGO TRAILER</t>
        </is>
      </c>
      <c r="L1121" t="n">
        <v>0</v>
      </c>
      <c r="M1121" t="n">
        <v>0</v>
      </c>
      <c r="O1121" t="inlineStr">
        <is>
          <t>TR419</t>
        </is>
      </c>
      <c r="Q1121" s="114" t="n">
        <v>0</v>
      </c>
      <c r="R1121" s="114" t="n">
        <v>65</v>
      </c>
      <c r="S1121" s="114" t="n">
        <v>0</v>
      </c>
      <c r="T1121" t="n">
        <v>0</v>
      </c>
    </row>
    <row r="1122">
      <c r="A1122" t="inlineStr">
        <is>
          <t>ttJTrans</t>
        </is>
      </c>
      <c r="B1122" s="38" t="inlineStr">
        <is>
          <t>0-4006</t>
        </is>
      </c>
      <c r="C1122" t="inlineStr">
        <is>
          <t>EQ</t>
        </is>
      </c>
      <c r="E1122" t="inlineStr">
        <is>
          <t>EQ</t>
        </is>
      </c>
      <c r="G1122" s="42" t="inlineStr"/>
      <c r="H1122" s="127" t="n">
        <v>46142</v>
      </c>
      <c r="J1122" s="38" t="inlineStr">
        <is>
          <t>0-4006</t>
        </is>
      </c>
      <c r="K1122" t="inlineStr">
        <is>
          <t>TR419 LONESTAR 6.5X16' ENCLOSED CARGO TRAILER LONESTAR 6.5X16' ENCLOSED CARGO TRAILER</t>
        </is>
      </c>
      <c r="L1122" t="n">
        <v>0</v>
      </c>
      <c r="M1122" t="n">
        <v>0</v>
      </c>
      <c r="O1122" t="inlineStr">
        <is>
          <t>TR419</t>
        </is>
      </c>
      <c r="Q1122" s="114" t="n">
        <v>0</v>
      </c>
      <c r="R1122" s="114" t="n">
        <v>65</v>
      </c>
      <c r="S1122" s="114" t="n">
        <v>0</v>
      </c>
      <c r="T1122" t="n">
        <v>0</v>
      </c>
    </row>
    <row r="1123">
      <c r="A1123" t="inlineStr">
        <is>
          <t>ttJTrans</t>
        </is>
      </c>
      <c r="B1123" s="38" t="inlineStr">
        <is>
          <t>0-4006</t>
        </is>
      </c>
      <c r="C1123" t="inlineStr">
        <is>
          <t>EQ</t>
        </is>
      </c>
      <c r="E1123" t="inlineStr">
        <is>
          <t>EQ</t>
        </is>
      </c>
      <c r="G1123" s="42" t="inlineStr"/>
      <c r="H1123" s="127" t="n">
        <v>46142</v>
      </c>
      <c r="J1123" s="38" t="inlineStr">
        <is>
          <t>0-4006</t>
        </is>
      </c>
      <c r="K1123" t="inlineStr">
        <is>
          <t>TR419 LONESTAR 6.5X16' ENCLOSED CARGO TRAILER LONESTAR 6.5X16' ENCLOSED CARGO TRAILER</t>
        </is>
      </c>
      <c r="L1123" t="n">
        <v>0</v>
      </c>
      <c r="M1123" t="n">
        <v>0</v>
      </c>
      <c r="O1123" t="inlineStr">
        <is>
          <t>TR419</t>
        </is>
      </c>
      <c r="Q1123" s="114" t="n">
        <v>0</v>
      </c>
      <c r="R1123" s="114" t="n">
        <v>65</v>
      </c>
      <c r="S1123" s="114" t="n">
        <v>0</v>
      </c>
      <c r="T1123" t="n">
        <v>0</v>
      </c>
    </row>
    <row r="1124">
      <c r="A1124" t="inlineStr">
        <is>
          <t>ttJTrans</t>
        </is>
      </c>
      <c r="B1124" s="38" t="inlineStr">
        <is>
          <t>0-4006</t>
        </is>
      </c>
      <c r="C1124" t="inlineStr">
        <is>
          <t>EQ</t>
        </is>
      </c>
      <c r="E1124" t="inlineStr">
        <is>
          <t>EQ</t>
        </is>
      </c>
      <c r="G1124" s="42" t="inlineStr"/>
      <c r="H1124" s="127" t="n">
        <v>46142</v>
      </c>
      <c r="J1124" s="38" t="inlineStr">
        <is>
          <t>0-4006</t>
        </is>
      </c>
      <c r="K1124" t="inlineStr">
        <is>
          <t>TR419 LONESTAR 6.5X16' ENCLOSED CARGO TRAILER LONESTAR 6.5X16' ENCLOSED CARGO TRAILER</t>
        </is>
      </c>
      <c r="L1124" t="n">
        <v>0</v>
      </c>
      <c r="M1124" t="n">
        <v>0</v>
      </c>
      <c r="O1124" t="inlineStr">
        <is>
          <t>TR419</t>
        </is>
      </c>
      <c r="Q1124" s="114" t="n">
        <v>0</v>
      </c>
      <c r="R1124" s="114" t="n">
        <v>65</v>
      </c>
      <c r="S1124" s="114" t="n">
        <v>0</v>
      </c>
      <c r="T1124" t="n">
        <v>0</v>
      </c>
    </row>
    <row r="1125">
      <c r="A1125" t="inlineStr">
        <is>
          <t>ttJTrans</t>
        </is>
      </c>
      <c r="B1125" s="38" t="inlineStr">
        <is>
          <t>0-4006</t>
        </is>
      </c>
      <c r="C1125" t="inlineStr">
        <is>
          <t>EQ</t>
        </is>
      </c>
      <c r="E1125" t="inlineStr">
        <is>
          <t>EQ</t>
        </is>
      </c>
      <c r="G1125" s="42" t="inlineStr"/>
      <c r="H1125" s="127" t="n">
        <v>46142</v>
      </c>
      <c r="J1125" s="38" t="inlineStr">
        <is>
          <t>0-4006</t>
        </is>
      </c>
      <c r="K1125" t="inlineStr">
        <is>
          <t>RT1344 2023 FORD F250 XL STX 4X4 DIESEL 2023 FORD F250 XL STX 4X4 DIESEL</t>
        </is>
      </c>
      <c r="L1125" t="n">
        <v>0</v>
      </c>
      <c r="M1125" t="n">
        <v>0</v>
      </c>
      <c r="O1125" t="inlineStr">
        <is>
          <t>RT1344</t>
        </is>
      </c>
      <c r="Q1125" s="114" t="n">
        <v>0</v>
      </c>
      <c r="R1125" s="114" t="n">
        <v>79.14</v>
      </c>
      <c r="S1125" s="114" t="n">
        <v>0</v>
      </c>
      <c r="T1125" t="n">
        <v>0</v>
      </c>
    </row>
    <row r="1126">
      <c r="A1126" t="inlineStr">
        <is>
          <t>ttJTrans</t>
        </is>
      </c>
      <c r="B1126" s="38" t="inlineStr">
        <is>
          <t>0-4006</t>
        </is>
      </c>
      <c r="C1126" t="inlineStr">
        <is>
          <t>EQ</t>
        </is>
      </c>
      <c r="E1126" t="inlineStr">
        <is>
          <t>EQ</t>
        </is>
      </c>
      <c r="G1126" s="42" t="inlineStr"/>
      <c r="H1126" s="127" t="n">
        <v>46142</v>
      </c>
      <c r="J1126" s="38" t="inlineStr">
        <is>
          <t>0-4006</t>
        </is>
      </c>
      <c r="K1126" t="inlineStr">
        <is>
          <t>RT1344 2023 FORD F250 XL STX 4X4 DIESEL 2023 FORD F250 XL STX 4X4 DIESEL</t>
        </is>
      </c>
      <c r="L1126" t="n">
        <v>0</v>
      </c>
      <c r="M1126" t="n">
        <v>0</v>
      </c>
      <c r="O1126" t="inlineStr">
        <is>
          <t>RT1344</t>
        </is>
      </c>
      <c r="Q1126" s="114" t="n">
        <v>0</v>
      </c>
      <c r="R1126" s="114" t="n">
        <v>79.14</v>
      </c>
      <c r="S1126" s="114" t="n">
        <v>0</v>
      </c>
      <c r="T1126" t="n">
        <v>0</v>
      </c>
    </row>
    <row r="1127">
      <c r="A1127" t="inlineStr">
        <is>
          <t>ttJTrans</t>
        </is>
      </c>
      <c r="B1127" s="38" t="inlineStr">
        <is>
          <t>0-4006</t>
        </is>
      </c>
      <c r="C1127" t="inlineStr">
        <is>
          <t>EQ</t>
        </is>
      </c>
      <c r="E1127" t="inlineStr">
        <is>
          <t>EQ</t>
        </is>
      </c>
      <c r="G1127" s="42" t="inlineStr"/>
      <c r="H1127" s="127" t="n">
        <v>46142</v>
      </c>
      <c r="J1127" s="38" t="inlineStr">
        <is>
          <t>0-4006</t>
        </is>
      </c>
      <c r="K1127" t="inlineStr">
        <is>
          <t>RT1344 2023 FORD F250 XL STX 4X4 DIESEL 2023 FORD F250 XL STX 4X4 DIESEL</t>
        </is>
      </c>
      <c r="L1127" t="n">
        <v>0</v>
      </c>
      <c r="M1127" t="n">
        <v>0</v>
      </c>
      <c r="O1127" t="inlineStr">
        <is>
          <t>RT1344</t>
        </is>
      </c>
      <c r="Q1127" s="114" t="n">
        <v>0</v>
      </c>
      <c r="R1127" s="114" t="n">
        <v>79.14</v>
      </c>
      <c r="S1127" s="114" t="n">
        <v>0</v>
      </c>
      <c r="T1127" t="n">
        <v>0</v>
      </c>
    </row>
    <row r="1128">
      <c r="A1128" t="inlineStr">
        <is>
          <t>ttJTrans</t>
        </is>
      </c>
      <c r="B1128" s="38" t="inlineStr">
        <is>
          <t>0-4006</t>
        </is>
      </c>
      <c r="C1128" t="inlineStr">
        <is>
          <t>EQ</t>
        </is>
      </c>
      <c r="E1128" t="inlineStr">
        <is>
          <t>EQ</t>
        </is>
      </c>
      <c r="G1128" s="42" t="inlineStr"/>
      <c r="H1128" s="127" t="n">
        <v>46142</v>
      </c>
      <c r="J1128" s="38" t="inlineStr">
        <is>
          <t>0-4006</t>
        </is>
      </c>
      <c r="K1128" t="inlineStr">
        <is>
          <t>RT1344 2023 FORD F250 XL STX 4X4 DIESEL 2023 FORD F250 XL STX 4X4 DIESEL</t>
        </is>
      </c>
      <c r="L1128" t="n">
        <v>0</v>
      </c>
      <c r="M1128" t="n">
        <v>0</v>
      </c>
      <c r="O1128" t="inlineStr">
        <is>
          <t>RT1344</t>
        </is>
      </c>
      <c r="Q1128" s="114" t="n">
        <v>0</v>
      </c>
      <c r="R1128" s="114" t="n">
        <v>79.14</v>
      </c>
      <c r="S1128" s="114" t="n">
        <v>0</v>
      </c>
      <c r="T1128" t="n">
        <v>0</v>
      </c>
    </row>
    <row r="1129">
      <c r="A1129" t="inlineStr">
        <is>
          <t>ttJTrans</t>
        </is>
      </c>
      <c r="B1129" s="38" t="inlineStr">
        <is>
          <t>0-4006</t>
        </is>
      </c>
      <c r="C1129" t="inlineStr">
        <is>
          <t>EQ</t>
        </is>
      </c>
      <c r="E1129" t="inlineStr">
        <is>
          <t>EQ</t>
        </is>
      </c>
      <c r="G1129" s="42" t="inlineStr"/>
      <c r="H1129" s="127" t="n">
        <v>46142</v>
      </c>
      <c r="J1129" s="38" t="inlineStr">
        <is>
          <t>0-4006</t>
        </is>
      </c>
      <c r="K1129" t="inlineStr">
        <is>
          <t>SSAUGKIT1 SKIDPRO SP300 PLANETARY AUGER DRIVE KIT W/ CRADLE &amp; MOUNT SKIDPRO SP300 PLANETARY AUGER DRIVE KIT W/ CRADLE &amp; MOUNT</t>
        </is>
      </c>
      <c r="L1129" t="n">
        <v>0</v>
      </c>
      <c r="M1129" t="n">
        <v>0</v>
      </c>
      <c r="O1129" t="inlineStr">
        <is>
          <t>SSAUGKIT1</t>
        </is>
      </c>
      <c r="Q1129" s="114" t="n">
        <v>0</v>
      </c>
      <c r="R1129" s="114" t="n">
        <v>35</v>
      </c>
      <c r="S1129" s="114" t="n">
        <v>0</v>
      </c>
      <c r="T1129" t="n">
        <v>0</v>
      </c>
    </row>
    <row r="1130">
      <c r="A1130" t="inlineStr">
        <is>
          <t>ttJTrans</t>
        </is>
      </c>
      <c r="B1130" s="38" t="inlineStr">
        <is>
          <t>0-4006</t>
        </is>
      </c>
      <c r="C1130" t="inlineStr">
        <is>
          <t>EQ</t>
        </is>
      </c>
      <c r="E1130" t="inlineStr">
        <is>
          <t>EQ</t>
        </is>
      </c>
      <c r="G1130" s="128" t="inlineStr"/>
      <c r="H1130" s="127" t="n">
        <v>46142</v>
      </c>
      <c r="J1130" s="38" t="inlineStr">
        <is>
          <t>0-4006</t>
        </is>
      </c>
      <c r="K1130" t="inlineStr">
        <is>
          <t>SSAUGKIT1 SKIDPRO SP300 PLANETARY AUGER DRIVE KIT W/ CRADLE &amp; MOUNT SKIDPRO SP300 PLANETARY AUGER DRIVE KIT W/ CRADLE &amp; MOUNT</t>
        </is>
      </c>
      <c r="L1130" t="n">
        <v>0</v>
      </c>
      <c r="M1130" t="n">
        <v>0</v>
      </c>
      <c r="O1130" t="inlineStr">
        <is>
          <t>SSAUGKIT1</t>
        </is>
      </c>
      <c r="Q1130" s="114" t="n">
        <v>0</v>
      </c>
      <c r="R1130" s="114" t="n">
        <v>35</v>
      </c>
      <c r="S1130" s="114" t="n">
        <v>0</v>
      </c>
      <c r="T1130" t="n">
        <v>0</v>
      </c>
    </row>
    <row r="1131">
      <c r="A1131" t="inlineStr">
        <is>
          <t>ttJTrans</t>
        </is>
      </c>
      <c r="B1131" s="38" t="inlineStr">
        <is>
          <t>0-4006</t>
        </is>
      </c>
      <c r="C1131" t="inlineStr">
        <is>
          <t>EQ</t>
        </is>
      </c>
      <c r="E1131" t="inlineStr">
        <is>
          <t>EQ</t>
        </is>
      </c>
      <c r="G1131" s="128" t="inlineStr"/>
      <c r="H1131" s="127" t="n">
        <v>46142</v>
      </c>
      <c r="J1131" s="38" t="inlineStr">
        <is>
          <t>0-4006</t>
        </is>
      </c>
      <c r="K1131" t="inlineStr">
        <is>
          <t>SSAUGKIT1 SKIDPRO SP300 PLANETARY AUGER DRIVE KIT W/ CRADLE &amp; MOUNT SKIDPRO SP300 PLANETARY AUGER DRIVE KIT W/ CRADLE &amp; MOUNT</t>
        </is>
      </c>
      <c r="L1131" t="n">
        <v>0</v>
      </c>
      <c r="M1131" t="n">
        <v>0</v>
      </c>
      <c r="O1131" t="inlineStr">
        <is>
          <t>SSAUGKIT1</t>
        </is>
      </c>
      <c r="Q1131" s="114" t="n">
        <v>0</v>
      </c>
      <c r="R1131" s="114" t="n">
        <v>35</v>
      </c>
      <c r="S1131" s="114" t="n">
        <v>0</v>
      </c>
      <c r="T1131" t="n">
        <v>0</v>
      </c>
    </row>
    <row r="1132">
      <c r="A1132" t="inlineStr">
        <is>
          <t>ttJTrans</t>
        </is>
      </c>
      <c r="B1132" s="38" t="inlineStr">
        <is>
          <t>0-4006</t>
        </is>
      </c>
      <c r="C1132" t="inlineStr">
        <is>
          <t>EQ</t>
        </is>
      </c>
      <c r="E1132" t="inlineStr">
        <is>
          <t>EQ</t>
        </is>
      </c>
      <c r="G1132" s="128" t="inlineStr"/>
      <c r="H1132" s="127" t="n">
        <v>46142</v>
      </c>
      <c r="J1132" s="38" t="inlineStr">
        <is>
          <t>0-4006</t>
        </is>
      </c>
      <c r="K1132" t="inlineStr">
        <is>
          <t>SSAUGKIT1 SKIDPRO SP300 PLANETARY AUGER DRIVE KIT W/ CRADLE &amp; MOUNT SKIDPRO SP300 PLANETARY AUGER DRIVE KIT W/ CRADLE &amp; MOUNT</t>
        </is>
      </c>
      <c r="L1132" t="n">
        <v>0</v>
      </c>
      <c r="M1132" t="n">
        <v>0</v>
      </c>
      <c r="O1132" t="inlineStr">
        <is>
          <t>SSAUGKIT1</t>
        </is>
      </c>
      <c r="Q1132" s="114" t="n">
        <v>0</v>
      </c>
      <c r="R1132" s="114" t="n">
        <v>35</v>
      </c>
      <c r="S1132" s="114" t="n">
        <v>0</v>
      </c>
      <c r="T1132" t="n">
        <v>0</v>
      </c>
    </row>
    <row r="1133">
      <c r="A1133" t="inlineStr">
        <is>
          <t>ttJTrans</t>
        </is>
      </c>
      <c r="B1133" s="38" t="inlineStr">
        <is>
          <t>0-4006</t>
        </is>
      </c>
      <c r="C1133" t="inlineStr">
        <is>
          <t>EQ</t>
        </is>
      </c>
      <c r="E1133" t="inlineStr">
        <is>
          <t>EQ</t>
        </is>
      </c>
      <c r="G1133" s="128" t="inlineStr"/>
      <c r="H1133" s="127" t="n">
        <v>46142</v>
      </c>
      <c r="J1133" s="38" t="inlineStr">
        <is>
          <t>0-4006</t>
        </is>
      </c>
      <c r="K1133" t="inlineStr">
        <is>
          <t>TR260 2005 UTILITY BRAND TOOL VAN 2005 UTILITY BRAND TOOL VAN</t>
        </is>
      </c>
      <c r="L1133" t="n">
        <v>0</v>
      </c>
      <c r="M1133" t="n">
        <v>0</v>
      </c>
      <c r="O1133" t="inlineStr">
        <is>
          <t>TR260</t>
        </is>
      </c>
      <c r="Q1133" s="114" t="n">
        <v>0</v>
      </c>
      <c r="R1133" s="114" t="n">
        <v>75</v>
      </c>
      <c r="S1133" s="114" t="n">
        <v>0</v>
      </c>
      <c r="T1133" t="n">
        <v>0</v>
      </c>
    </row>
    <row r="1134">
      <c r="A1134" t="inlineStr">
        <is>
          <t>ttJTrans</t>
        </is>
      </c>
      <c r="B1134" s="38" t="inlineStr">
        <is>
          <t>0-4006</t>
        </is>
      </c>
      <c r="C1134" t="inlineStr">
        <is>
          <t>EQ</t>
        </is>
      </c>
      <c r="E1134" t="inlineStr">
        <is>
          <t>EQ</t>
        </is>
      </c>
      <c r="G1134" s="128" t="inlineStr"/>
      <c r="H1134" s="127" t="n">
        <v>46142</v>
      </c>
      <c r="J1134" s="38" t="inlineStr">
        <is>
          <t>0-4006</t>
        </is>
      </c>
      <c r="K1134" t="inlineStr">
        <is>
          <t>TR260 2005 UTILITY BRAND TOOL VAN 2005 UTILITY BRAND TOOL VAN</t>
        </is>
      </c>
      <c r="L1134" t="n">
        <v>0</v>
      </c>
      <c r="M1134" t="n">
        <v>0</v>
      </c>
      <c r="O1134" t="inlineStr">
        <is>
          <t>TR260</t>
        </is>
      </c>
      <c r="Q1134" s="114" t="n">
        <v>0</v>
      </c>
      <c r="R1134" s="114" t="n">
        <v>75</v>
      </c>
      <c r="S1134" s="114" t="n">
        <v>0</v>
      </c>
      <c r="T1134" t="n">
        <v>0</v>
      </c>
    </row>
    <row r="1135">
      <c r="A1135" t="inlineStr">
        <is>
          <t>ttJTrans</t>
        </is>
      </c>
      <c r="B1135" s="38" t="inlineStr">
        <is>
          <t>0-4006</t>
        </is>
      </c>
      <c r="C1135" t="inlineStr">
        <is>
          <t>EQ</t>
        </is>
      </c>
      <c r="E1135" t="inlineStr">
        <is>
          <t>EQ</t>
        </is>
      </c>
      <c r="G1135" s="128" t="inlineStr"/>
      <c r="H1135" s="127" t="n">
        <v>46142</v>
      </c>
      <c r="J1135" s="38" t="inlineStr">
        <is>
          <t>0-4006</t>
        </is>
      </c>
      <c r="K1135" t="inlineStr">
        <is>
          <t>TR260 2005 UTILITY BRAND TOOL VAN 2005 UTILITY BRAND TOOL VAN</t>
        </is>
      </c>
      <c r="L1135" t="n">
        <v>0</v>
      </c>
      <c r="M1135" t="n">
        <v>0</v>
      </c>
      <c r="O1135" t="inlineStr">
        <is>
          <t>TR260</t>
        </is>
      </c>
      <c r="Q1135" s="114" t="n">
        <v>0</v>
      </c>
      <c r="R1135" s="114" t="n">
        <v>75</v>
      </c>
      <c r="S1135" s="114" t="n">
        <v>0</v>
      </c>
      <c r="T1135" t="n">
        <v>0</v>
      </c>
    </row>
    <row r="1136">
      <c r="A1136" t="inlineStr">
        <is>
          <t>ttJTrans</t>
        </is>
      </c>
      <c r="B1136" s="38" t="inlineStr">
        <is>
          <t>0-4006</t>
        </is>
      </c>
      <c r="C1136" t="inlineStr">
        <is>
          <t>EQ</t>
        </is>
      </c>
      <c r="E1136" t="inlineStr">
        <is>
          <t>EQ</t>
        </is>
      </c>
      <c r="G1136" s="128" t="inlineStr"/>
      <c r="H1136" s="127" t="n">
        <v>46142</v>
      </c>
      <c r="J1136" s="38" t="inlineStr">
        <is>
          <t>0-4006</t>
        </is>
      </c>
      <c r="K1136" t="inlineStr">
        <is>
          <t>TR260 2005 UTILITY BRAND TOOL VAN 2005 UTILITY BRAND TOOL VAN</t>
        </is>
      </c>
      <c r="L1136" t="n">
        <v>0</v>
      </c>
      <c r="M1136" t="n">
        <v>0</v>
      </c>
      <c r="O1136" t="inlineStr">
        <is>
          <t>TR260</t>
        </is>
      </c>
      <c r="Q1136" s="114" t="n">
        <v>0</v>
      </c>
      <c r="R1136" s="114" t="n">
        <v>75</v>
      </c>
      <c r="S1136" s="114" t="n">
        <v>0</v>
      </c>
      <c r="T1136" t="n">
        <v>0</v>
      </c>
    </row>
    <row r="1137">
      <c r="A1137" t="inlineStr">
        <is>
          <t>ttJTrans</t>
        </is>
      </c>
      <c r="B1137" s="38" t="inlineStr">
        <is>
          <t>0-4006</t>
        </is>
      </c>
      <c r="C1137" t="inlineStr">
        <is>
          <t>EQ</t>
        </is>
      </c>
      <c r="E1137" t="inlineStr">
        <is>
          <t>EQ</t>
        </is>
      </c>
      <c r="G1137" s="128" t="inlineStr"/>
      <c r="H1137" s="127" t="n">
        <v>46142</v>
      </c>
      <c r="J1137" s="38" t="inlineStr">
        <is>
          <t>0-4006</t>
        </is>
      </c>
      <c r="K1137" t="inlineStr">
        <is>
          <t>TR154 20' PARKER TRAILER #1000277 20' PARKER TRAILER #1000277</t>
        </is>
      </c>
      <c r="L1137" t="n">
        <v>0</v>
      </c>
      <c r="M1137" t="n">
        <v>0</v>
      </c>
      <c r="O1137" t="inlineStr">
        <is>
          <t>TR154</t>
        </is>
      </c>
      <c r="Q1137" s="114" t="n">
        <v>0</v>
      </c>
      <c r="R1137" s="114" t="n">
        <v>15</v>
      </c>
      <c r="S1137" s="114" t="n">
        <v>0</v>
      </c>
      <c r="T1137" t="n">
        <v>0</v>
      </c>
    </row>
    <row r="1138">
      <c r="A1138" t="inlineStr">
        <is>
          <t>ttJTrans</t>
        </is>
      </c>
      <c r="B1138" s="38" t="inlineStr">
        <is>
          <t>0-4006</t>
        </is>
      </c>
      <c r="C1138" t="inlineStr">
        <is>
          <t>EQ</t>
        </is>
      </c>
      <c r="E1138" t="inlineStr">
        <is>
          <t>EQ</t>
        </is>
      </c>
      <c r="G1138" s="42" t="inlineStr"/>
      <c r="H1138" s="127" t="n">
        <v>46142</v>
      </c>
      <c r="J1138" s="38" t="inlineStr">
        <is>
          <t>0-4006</t>
        </is>
      </c>
      <c r="K1138" t="inlineStr">
        <is>
          <t>TR154 20' PARKER TRAILER #1000277 20' PARKER TRAILER #1000277</t>
        </is>
      </c>
      <c r="L1138" t="n">
        <v>0</v>
      </c>
      <c r="M1138" t="n">
        <v>0</v>
      </c>
      <c r="O1138" t="inlineStr">
        <is>
          <t>TR154</t>
        </is>
      </c>
      <c r="Q1138" s="114" t="n">
        <v>0</v>
      </c>
      <c r="R1138" s="114" t="n">
        <v>15</v>
      </c>
      <c r="S1138" s="114" t="n">
        <v>0</v>
      </c>
      <c r="T1138" t="n">
        <v>0</v>
      </c>
    </row>
    <row r="1139">
      <c r="A1139" t="inlineStr">
        <is>
          <t>ttJTrans</t>
        </is>
      </c>
      <c r="B1139" s="38" t="inlineStr">
        <is>
          <t>0-4006</t>
        </is>
      </c>
      <c r="C1139" t="inlineStr">
        <is>
          <t>EQ</t>
        </is>
      </c>
      <c r="E1139" t="inlineStr">
        <is>
          <t>EQ</t>
        </is>
      </c>
      <c r="G1139" s="42" t="inlineStr"/>
      <c r="H1139" s="127" t="n">
        <v>46142</v>
      </c>
      <c r="J1139" s="38" t="inlineStr">
        <is>
          <t>0-4006</t>
        </is>
      </c>
      <c r="K1139" t="inlineStr">
        <is>
          <t>TR154 20' PARKER TRAILER #1000277 20' PARKER TRAILER #1000277</t>
        </is>
      </c>
      <c r="L1139" t="n">
        <v>0</v>
      </c>
      <c r="M1139" t="n">
        <v>0</v>
      </c>
      <c r="O1139" t="inlineStr">
        <is>
          <t>TR154</t>
        </is>
      </c>
      <c r="Q1139" s="114" t="n">
        <v>0</v>
      </c>
      <c r="R1139" s="114" t="n">
        <v>15</v>
      </c>
      <c r="S1139" s="114" t="n">
        <v>0</v>
      </c>
      <c r="T1139" t="n">
        <v>0</v>
      </c>
    </row>
    <row r="1140">
      <c r="A1140" t="inlineStr">
        <is>
          <t>ttJTrans</t>
        </is>
      </c>
      <c r="B1140" s="38" t="inlineStr">
        <is>
          <t>0-4006</t>
        </is>
      </c>
      <c r="C1140" t="inlineStr">
        <is>
          <t>EQ</t>
        </is>
      </c>
      <c r="E1140" t="inlineStr">
        <is>
          <t>EQ</t>
        </is>
      </c>
      <c r="G1140" s="42" t="inlineStr"/>
      <c r="H1140" s="127" t="n">
        <v>46142</v>
      </c>
      <c r="J1140" s="38" t="inlineStr">
        <is>
          <t>0-4006</t>
        </is>
      </c>
      <c r="K1140" t="inlineStr">
        <is>
          <t>TR154 20' PARKER TRAILER #1000277 20' PARKER TRAILER #1000277</t>
        </is>
      </c>
      <c r="L1140" t="n">
        <v>0</v>
      </c>
      <c r="M1140" t="n">
        <v>0</v>
      </c>
      <c r="O1140" t="inlineStr">
        <is>
          <t>TR154</t>
        </is>
      </c>
      <c r="Q1140" s="114" t="n">
        <v>0</v>
      </c>
      <c r="R1140" s="114" t="n">
        <v>15</v>
      </c>
      <c r="S1140" s="114" t="n">
        <v>0</v>
      </c>
      <c r="T1140" t="n">
        <v>0</v>
      </c>
    </row>
    <row r="1141">
      <c r="A1141" t="inlineStr">
        <is>
          <t>ttJTrans</t>
        </is>
      </c>
      <c r="B1141" s="38" t="inlineStr">
        <is>
          <t>0-4006</t>
        </is>
      </c>
      <c r="C1141" t="inlineStr">
        <is>
          <t>EQ</t>
        </is>
      </c>
      <c r="E1141" t="inlineStr">
        <is>
          <t>EQ</t>
        </is>
      </c>
      <c r="G1141" s="128" t="inlineStr"/>
      <c r="H1141" s="127" t="n">
        <v>46142</v>
      </c>
      <c r="J1141" s="38" t="inlineStr">
        <is>
          <t>0-4006</t>
        </is>
      </c>
      <c r="K1141" t="inlineStr">
        <is>
          <t>TR280 20' BIG TEX PI-20 20' BIG TEX PI-20</t>
        </is>
      </c>
      <c r="L1141" t="n">
        <v>0</v>
      </c>
      <c r="M1141" t="n">
        <v>0</v>
      </c>
      <c r="O1141" t="inlineStr">
        <is>
          <t>TR280</t>
        </is>
      </c>
      <c r="Q1141" s="114" t="n">
        <v>0</v>
      </c>
      <c r="R1141" s="114" t="n">
        <v>15</v>
      </c>
      <c r="S1141" s="114" t="n">
        <v>0</v>
      </c>
      <c r="T1141" t="n">
        <v>0</v>
      </c>
    </row>
    <row r="1142">
      <c r="A1142" t="inlineStr">
        <is>
          <t>ttJTrans</t>
        </is>
      </c>
      <c r="B1142" s="38" t="inlineStr">
        <is>
          <t>0-4006</t>
        </is>
      </c>
      <c r="C1142" t="inlineStr">
        <is>
          <t>EQ</t>
        </is>
      </c>
      <c r="E1142" t="inlineStr">
        <is>
          <t>EQ</t>
        </is>
      </c>
      <c r="G1142" s="128" t="inlineStr"/>
      <c r="H1142" s="127" t="n">
        <v>46142</v>
      </c>
      <c r="J1142" s="38" t="inlineStr">
        <is>
          <t>0-4006</t>
        </is>
      </c>
      <c r="K1142" t="inlineStr">
        <is>
          <t>TR280 20' BIG TEX PI-20 20' BIG TEX PI-20</t>
        </is>
      </c>
      <c r="L1142" t="n">
        <v>0</v>
      </c>
      <c r="M1142" t="n">
        <v>0</v>
      </c>
      <c r="O1142" t="inlineStr">
        <is>
          <t>TR280</t>
        </is>
      </c>
      <c r="Q1142" s="114" t="n">
        <v>0</v>
      </c>
      <c r="R1142" s="114" t="n">
        <v>15</v>
      </c>
      <c r="S1142" s="114" t="n">
        <v>0</v>
      </c>
      <c r="T1142" t="n">
        <v>0</v>
      </c>
    </row>
    <row r="1143">
      <c r="A1143" t="inlineStr">
        <is>
          <t>ttJTrans</t>
        </is>
      </c>
      <c r="B1143" s="38" t="inlineStr">
        <is>
          <t>0-4006</t>
        </is>
      </c>
      <c r="C1143" t="inlineStr">
        <is>
          <t>EQ</t>
        </is>
      </c>
      <c r="E1143" t="inlineStr">
        <is>
          <t>EQ</t>
        </is>
      </c>
      <c r="G1143" s="128" t="inlineStr"/>
      <c r="H1143" s="127" t="n">
        <v>46142</v>
      </c>
      <c r="J1143" s="38" t="inlineStr">
        <is>
          <t>0-4006</t>
        </is>
      </c>
      <c r="K1143" t="inlineStr">
        <is>
          <t>TR280 20' BIG TEX PI-20 20' BIG TEX PI-20</t>
        </is>
      </c>
      <c r="L1143" t="n">
        <v>0</v>
      </c>
      <c r="M1143" t="n">
        <v>0</v>
      </c>
      <c r="O1143" t="inlineStr">
        <is>
          <t>TR280</t>
        </is>
      </c>
      <c r="Q1143" s="114" t="n">
        <v>0</v>
      </c>
      <c r="R1143" s="114" t="n">
        <v>15</v>
      </c>
      <c r="S1143" s="114" t="n">
        <v>0</v>
      </c>
      <c r="T1143" t="n">
        <v>0</v>
      </c>
    </row>
    <row r="1144">
      <c r="A1144" t="inlineStr">
        <is>
          <t>ttJTrans</t>
        </is>
      </c>
      <c r="B1144" s="38" t="inlineStr">
        <is>
          <t>0-4006</t>
        </is>
      </c>
      <c r="C1144" t="inlineStr">
        <is>
          <t>EQ</t>
        </is>
      </c>
      <c r="E1144" t="inlineStr">
        <is>
          <t>EQ</t>
        </is>
      </c>
      <c r="G1144" s="42" t="inlineStr"/>
      <c r="H1144" s="127" t="n">
        <v>46142</v>
      </c>
      <c r="J1144" s="38" t="inlineStr">
        <is>
          <t>0-4006</t>
        </is>
      </c>
      <c r="K1144" t="inlineStr">
        <is>
          <t>TR280 20' BIG TEX PI-20 20' BIG TEX PI-20</t>
        </is>
      </c>
      <c r="L1144" t="n">
        <v>0</v>
      </c>
      <c r="M1144" t="n">
        <v>0</v>
      </c>
      <c r="O1144" t="inlineStr">
        <is>
          <t>TR280</t>
        </is>
      </c>
      <c r="Q1144" s="114" t="n">
        <v>0</v>
      </c>
      <c r="R1144" s="114" t="n">
        <v>15</v>
      </c>
      <c r="S1144" s="114" t="n">
        <v>0</v>
      </c>
      <c r="T1144" t="n">
        <v>0</v>
      </c>
    </row>
    <row r="1145">
      <c r="A1145" t="inlineStr">
        <is>
          <t>ttJTrans</t>
        </is>
      </c>
      <c r="B1145" s="38" t="inlineStr">
        <is>
          <t>0-4006</t>
        </is>
      </c>
      <c r="C1145" t="inlineStr">
        <is>
          <t>EQ</t>
        </is>
      </c>
      <c r="E1145" t="inlineStr">
        <is>
          <t>EQ</t>
        </is>
      </c>
      <c r="G1145" s="128" t="inlineStr"/>
      <c r="H1145" s="127" t="n">
        <v>46142</v>
      </c>
      <c r="J1145" s="38" t="inlineStr">
        <is>
          <t>0-4006</t>
        </is>
      </c>
      <c r="K1145" t="inlineStr">
        <is>
          <t>WHV001 2025 PETERBILT 589 SLEEPER CAB 2025 PETERBILT 589 SLEEPER CAB</t>
        </is>
      </c>
      <c r="L1145" t="n">
        <v>0</v>
      </c>
      <c r="M1145" t="n">
        <v>0</v>
      </c>
      <c r="O1145" t="inlineStr">
        <is>
          <t>WHV001</t>
        </is>
      </c>
      <c r="Q1145" s="114" t="n">
        <v>0</v>
      </c>
      <c r="R1145" s="114" t="n">
        <v>250</v>
      </c>
      <c r="S1145" s="114" t="n">
        <v>0</v>
      </c>
      <c r="T1145" t="n">
        <v>0</v>
      </c>
    </row>
    <row r="1146">
      <c r="A1146" t="inlineStr">
        <is>
          <t>ttJTrans</t>
        </is>
      </c>
      <c r="B1146" s="38" t="inlineStr">
        <is>
          <t>0-4006</t>
        </is>
      </c>
      <c r="C1146" t="inlineStr">
        <is>
          <t>EQ</t>
        </is>
      </c>
      <c r="E1146" t="inlineStr">
        <is>
          <t>EQ</t>
        </is>
      </c>
      <c r="G1146" s="42" t="inlineStr"/>
      <c r="H1146" s="127" t="n">
        <v>46142</v>
      </c>
      <c r="J1146" s="38" t="inlineStr">
        <is>
          <t>0-4006</t>
        </is>
      </c>
      <c r="K1146" t="inlineStr">
        <is>
          <t>WHV001 2025 PETERBILT 589 SLEEPER CAB 2025 PETERBILT 589 SLEEPER CAB</t>
        </is>
      </c>
      <c r="L1146" t="n">
        <v>0</v>
      </c>
      <c r="M1146" t="n">
        <v>0</v>
      </c>
      <c r="O1146" t="inlineStr">
        <is>
          <t>WHV001</t>
        </is>
      </c>
      <c r="Q1146" s="114" t="n">
        <v>0</v>
      </c>
      <c r="R1146" s="114" t="n">
        <v>250</v>
      </c>
      <c r="S1146" s="114" t="n">
        <v>0</v>
      </c>
      <c r="T1146" t="n">
        <v>0</v>
      </c>
    </row>
    <row r="1147">
      <c r="A1147" t="inlineStr">
        <is>
          <t>ttJTrans</t>
        </is>
      </c>
      <c r="B1147" s="38" t="inlineStr">
        <is>
          <t>0-4006</t>
        </is>
      </c>
      <c r="C1147" t="inlineStr">
        <is>
          <t>EQ</t>
        </is>
      </c>
      <c r="E1147" t="inlineStr">
        <is>
          <t>EQ</t>
        </is>
      </c>
      <c r="G1147" s="42" t="inlineStr"/>
      <c r="H1147" s="127" t="n">
        <v>46142</v>
      </c>
      <c r="J1147" s="38" t="inlineStr">
        <is>
          <t>0-4006</t>
        </is>
      </c>
      <c r="K1147" t="inlineStr">
        <is>
          <t>WHV001 2025 PETERBILT 589 SLEEPER CAB 2025 PETERBILT 589 SLEEPER CAB</t>
        </is>
      </c>
      <c r="L1147" t="n">
        <v>0</v>
      </c>
      <c r="M1147" t="n">
        <v>0</v>
      </c>
      <c r="O1147" t="inlineStr">
        <is>
          <t>WHV001</t>
        </is>
      </c>
      <c r="Q1147" s="114" t="n">
        <v>0</v>
      </c>
      <c r="R1147" s="114" t="n">
        <v>250</v>
      </c>
      <c r="S1147" s="114" t="n">
        <v>0</v>
      </c>
      <c r="T1147" t="n">
        <v>0</v>
      </c>
    </row>
    <row r="1148">
      <c r="A1148" t="inlineStr">
        <is>
          <t>ttJTrans</t>
        </is>
      </c>
      <c r="B1148" s="38" t="inlineStr">
        <is>
          <t>0-4006</t>
        </is>
      </c>
      <c r="C1148" t="inlineStr">
        <is>
          <t>EQ</t>
        </is>
      </c>
      <c r="E1148" t="inlineStr">
        <is>
          <t>EQ</t>
        </is>
      </c>
      <c r="G1148" s="42" t="inlineStr"/>
      <c r="H1148" s="127" t="n">
        <v>46142</v>
      </c>
      <c r="J1148" s="38" t="inlineStr">
        <is>
          <t>0-4006</t>
        </is>
      </c>
      <c r="K1148" t="inlineStr">
        <is>
          <t>WHV001 2025 PETERBILT 589 SLEEPER CAB 2025 PETERBILT 589 SLEEPER CAB</t>
        </is>
      </c>
      <c r="L1148" t="n">
        <v>0</v>
      </c>
      <c r="M1148" t="n">
        <v>0</v>
      </c>
      <c r="O1148" t="inlineStr">
        <is>
          <t>WHV001</t>
        </is>
      </c>
      <c r="Q1148" s="114" t="n">
        <v>0</v>
      </c>
      <c r="R1148" s="114" t="n">
        <v>250</v>
      </c>
      <c r="S1148" s="114" t="n">
        <v>0</v>
      </c>
      <c r="T1148" t="n">
        <v>0</v>
      </c>
    </row>
    <row r="1149">
      <c r="A1149" t="inlineStr">
        <is>
          <t>ttJTrans</t>
        </is>
      </c>
      <c r="B1149" s="38" t="inlineStr">
        <is>
          <t>0-4006</t>
        </is>
      </c>
      <c r="C1149" t="inlineStr">
        <is>
          <t>EQ</t>
        </is>
      </c>
      <c r="E1149" t="inlineStr">
        <is>
          <t>EQ</t>
        </is>
      </c>
      <c r="G1149" s="42" t="inlineStr"/>
      <c r="H1149" s="127" t="n">
        <v>46142</v>
      </c>
      <c r="J1149" s="38" t="inlineStr">
        <is>
          <t>0-4006</t>
        </is>
      </c>
      <c r="K1149" t="inlineStr">
        <is>
          <t>TR473 LANDOLL 53FT LOWBOY LANDOLL 53FT LOWBOY</t>
        </is>
      </c>
      <c r="L1149" t="n">
        <v>0</v>
      </c>
      <c r="M1149" t="n">
        <v>0</v>
      </c>
      <c r="O1149" t="inlineStr">
        <is>
          <t>TR473</t>
        </is>
      </c>
      <c r="Q1149" s="114" t="n">
        <v>0</v>
      </c>
      <c r="R1149" s="114" t="n">
        <v>0</v>
      </c>
      <c r="S1149" s="114" t="n">
        <v>0</v>
      </c>
      <c r="T1149" t="n">
        <v>0</v>
      </c>
    </row>
    <row r="1150">
      <c r="A1150" t="inlineStr">
        <is>
          <t>ttJTrans</t>
        </is>
      </c>
      <c r="B1150" s="38" t="inlineStr">
        <is>
          <t>0-4006</t>
        </is>
      </c>
      <c r="C1150" t="inlineStr">
        <is>
          <t>EQ</t>
        </is>
      </c>
      <c r="E1150" t="inlineStr">
        <is>
          <t>EQ</t>
        </is>
      </c>
      <c r="G1150" s="42" t="inlineStr"/>
      <c r="H1150" s="127" t="n">
        <v>46142</v>
      </c>
      <c r="J1150" s="38" t="inlineStr">
        <is>
          <t>0-4006</t>
        </is>
      </c>
      <c r="K1150" t="inlineStr">
        <is>
          <t>TR473 LANDOLL 53FT LOWBOY LANDOLL 53FT LOWBOY</t>
        </is>
      </c>
      <c r="L1150" t="n">
        <v>0</v>
      </c>
      <c r="M1150" t="n">
        <v>0</v>
      </c>
      <c r="O1150" t="inlineStr">
        <is>
          <t>TR473</t>
        </is>
      </c>
      <c r="Q1150" s="114" t="n">
        <v>0</v>
      </c>
      <c r="R1150" s="114" t="n">
        <v>0</v>
      </c>
      <c r="S1150" s="114" t="n">
        <v>0</v>
      </c>
      <c r="T1150" t="n">
        <v>0</v>
      </c>
    </row>
    <row r="1151">
      <c r="A1151" t="inlineStr">
        <is>
          <t>ttJTrans</t>
        </is>
      </c>
      <c r="B1151" s="38" t="inlineStr">
        <is>
          <t>0-4006</t>
        </is>
      </c>
      <c r="C1151" t="inlineStr">
        <is>
          <t>EQ</t>
        </is>
      </c>
      <c r="E1151" t="inlineStr">
        <is>
          <t>EQ</t>
        </is>
      </c>
      <c r="G1151" s="42" t="inlineStr"/>
      <c r="H1151" s="127" t="n">
        <v>46142</v>
      </c>
      <c r="J1151" s="38" t="inlineStr">
        <is>
          <t>0-4006</t>
        </is>
      </c>
      <c r="K1151" t="inlineStr">
        <is>
          <t>TR473 LANDOLL 53FT LOWBOY LANDOLL 53FT LOWBOY</t>
        </is>
      </c>
      <c r="L1151" t="n">
        <v>0</v>
      </c>
      <c r="M1151" t="n">
        <v>0</v>
      </c>
      <c r="O1151" t="inlineStr">
        <is>
          <t>TR473</t>
        </is>
      </c>
      <c r="Q1151" s="114" t="n">
        <v>0</v>
      </c>
      <c r="R1151" s="114" t="n">
        <v>0</v>
      </c>
      <c r="S1151" s="114" t="n">
        <v>0</v>
      </c>
      <c r="T1151" t="n">
        <v>0</v>
      </c>
    </row>
    <row r="1152">
      <c r="A1152" t="inlineStr">
        <is>
          <t>ttJTrans</t>
        </is>
      </c>
      <c r="B1152" s="38" t="inlineStr">
        <is>
          <t>0-4006</t>
        </is>
      </c>
      <c r="C1152" t="inlineStr">
        <is>
          <t>EQ</t>
        </is>
      </c>
      <c r="E1152" t="inlineStr">
        <is>
          <t>EQ</t>
        </is>
      </c>
      <c r="G1152" s="42" t="inlineStr"/>
      <c r="H1152" s="127" t="n">
        <v>46142</v>
      </c>
      <c r="J1152" s="38" t="inlineStr">
        <is>
          <t>0-4006</t>
        </is>
      </c>
      <c r="K1152" t="inlineStr">
        <is>
          <t>TR473 LANDOLL 53FT LOWBOY LANDOLL 53FT LOWBOY</t>
        </is>
      </c>
      <c r="L1152" t="n">
        <v>0</v>
      </c>
      <c r="M1152" t="n">
        <v>0</v>
      </c>
      <c r="O1152" t="inlineStr">
        <is>
          <t>TR473</t>
        </is>
      </c>
      <c r="Q1152" s="114" t="n">
        <v>0</v>
      </c>
      <c r="R1152" s="114" t="n">
        <v>0</v>
      </c>
      <c r="S1152" s="114" t="n">
        <v>0</v>
      </c>
      <c r="T1152" t="n">
        <v>0</v>
      </c>
    </row>
    <row r="1153">
      <c r="A1153" t="inlineStr">
        <is>
          <t>ttJTrans</t>
        </is>
      </c>
      <c r="B1153" s="38" t="inlineStr">
        <is>
          <t>0-4006</t>
        </is>
      </c>
      <c r="C1153" t="inlineStr">
        <is>
          <t>EQ</t>
        </is>
      </c>
      <c r="E1153" t="inlineStr">
        <is>
          <t>EQ</t>
        </is>
      </c>
      <c r="G1153" s="42" t="inlineStr"/>
      <c r="H1153" s="127" t="n">
        <v>46142</v>
      </c>
      <c r="J1153" s="38" t="inlineStr">
        <is>
          <t>0-4006</t>
        </is>
      </c>
      <c r="K1153" t="inlineStr">
        <is>
          <t>TR461 40' HIGH CUBE CONTAINERS 40' HIGH CUBE CONTAINERS</t>
        </is>
      </c>
      <c r="L1153" t="n">
        <v>0</v>
      </c>
      <c r="M1153" t="n">
        <v>0</v>
      </c>
      <c r="O1153" t="inlineStr">
        <is>
          <t>TR461</t>
        </is>
      </c>
      <c r="Q1153" s="114" t="n">
        <v>0</v>
      </c>
      <c r="R1153" s="114" t="n">
        <v>65</v>
      </c>
      <c r="S1153" s="114" t="n">
        <v>0</v>
      </c>
      <c r="T1153" t="n">
        <v>0</v>
      </c>
    </row>
    <row r="1154">
      <c r="A1154" t="inlineStr">
        <is>
          <t>ttJTrans</t>
        </is>
      </c>
      <c r="B1154" s="38" t="inlineStr">
        <is>
          <t>0-4006</t>
        </is>
      </c>
      <c r="C1154" t="inlineStr">
        <is>
          <t>EQ</t>
        </is>
      </c>
      <c r="E1154" t="inlineStr">
        <is>
          <t>EQ</t>
        </is>
      </c>
      <c r="G1154" s="42" t="inlineStr"/>
      <c r="H1154" s="127" t="n">
        <v>46142</v>
      </c>
      <c r="J1154" s="38" t="inlineStr">
        <is>
          <t>0-4006</t>
        </is>
      </c>
      <c r="K1154" t="inlineStr">
        <is>
          <t>TR461 40' HIGH CUBE CONTAINERS 40' HIGH CUBE CONTAINERS</t>
        </is>
      </c>
      <c r="L1154" t="n">
        <v>0</v>
      </c>
      <c r="M1154" t="n">
        <v>0</v>
      </c>
      <c r="O1154" t="inlineStr">
        <is>
          <t>TR461</t>
        </is>
      </c>
      <c r="Q1154" s="114" t="n">
        <v>0</v>
      </c>
      <c r="R1154" s="114" t="n">
        <v>65</v>
      </c>
      <c r="S1154" s="114" t="n">
        <v>0</v>
      </c>
      <c r="T1154" t="n">
        <v>0</v>
      </c>
    </row>
    <row r="1155">
      <c r="A1155" t="inlineStr">
        <is>
          <t>ttJTrans</t>
        </is>
      </c>
      <c r="B1155" s="38" t="inlineStr">
        <is>
          <t>0-4006</t>
        </is>
      </c>
      <c r="C1155" t="inlineStr">
        <is>
          <t>EQ</t>
        </is>
      </c>
      <c r="E1155" t="inlineStr">
        <is>
          <t>EQ</t>
        </is>
      </c>
      <c r="G1155" s="42" t="inlineStr"/>
      <c r="H1155" s="127" t="n">
        <v>46142</v>
      </c>
      <c r="J1155" s="38" t="inlineStr">
        <is>
          <t>0-4006</t>
        </is>
      </c>
      <c r="K1155" t="inlineStr">
        <is>
          <t>TR461 40' HIGH CUBE CONTAINERS 40' HIGH CUBE CONTAINERS</t>
        </is>
      </c>
      <c r="L1155" t="n">
        <v>0</v>
      </c>
      <c r="M1155" t="n">
        <v>0</v>
      </c>
      <c r="O1155" t="inlineStr">
        <is>
          <t>TR461</t>
        </is>
      </c>
      <c r="Q1155" s="114" t="n">
        <v>0</v>
      </c>
      <c r="R1155" s="114" t="n">
        <v>65</v>
      </c>
      <c r="S1155" s="114" t="n">
        <v>0</v>
      </c>
      <c r="T1155" t="n">
        <v>0</v>
      </c>
    </row>
    <row r="1156">
      <c r="A1156" t="inlineStr">
        <is>
          <t>ttJTrans</t>
        </is>
      </c>
      <c r="B1156" s="38" t="inlineStr">
        <is>
          <t>0-4006</t>
        </is>
      </c>
      <c r="C1156" t="inlineStr">
        <is>
          <t>EQ</t>
        </is>
      </c>
      <c r="E1156" t="inlineStr">
        <is>
          <t>EQ</t>
        </is>
      </c>
      <c r="G1156" s="42" t="inlineStr"/>
      <c r="H1156" s="127" t="n">
        <v>46142</v>
      </c>
      <c r="J1156" s="38" t="inlineStr">
        <is>
          <t>0-4006</t>
        </is>
      </c>
      <c r="K1156" t="inlineStr">
        <is>
          <t>TR461 40' HIGH CUBE CONTAINERS 40' HIGH CUBE CONTAINERS</t>
        </is>
      </c>
      <c r="L1156" t="n">
        <v>0</v>
      </c>
      <c r="M1156" t="n">
        <v>0</v>
      </c>
      <c r="O1156" t="inlineStr">
        <is>
          <t>TR461</t>
        </is>
      </c>
      <c r="Q1156" s="114" t="n">
        <v>0</v>
      </c>
      <c r="R1156" s="114" t="n">
        <v>65</v>
      </c>
      <c r="S1156" s="114" t="n">
        <v>0</v>
      </c>
      <c r="T1156" t="n">
        <v>0</v>
      </c>
    </row>
    <row r="1157">
      <c r="A1157" t="inlineStr">
        <is>
          <t>ttJTrans</t>
        </is>
      </c>
      <c r="B1157" s="38" t="inlineStr">
        <is>
          <t>0-4006</t>
        </is>
      </c>
      <c r="C1157" t="inlineStr">
        <is>
          <t>EQ</t>
        </is>
      </c>
      <c r="E1157" t="inlineStr">
        <is>
          <t>EQ</t>
        </is>
      </c>
      <c r="G1157" s="42" t="inlineStr"/>
      <c r="H1157" s="127" t="n">
        <v>46142</v>
      </c>
      <c r="J1157" s="38" t="inlineStr">
        <is>
          <t>0-4006</t>
        </is>
      </c>
      <c r="K1157" t="inlineStr">
        <is>
          <t>TR462 40' HIGH CUBE CONTAINERS 40' HIGH CUBE CONTAINERS</t>
        </is>
      </c>
      <c r="L1157" t="n">
        <v>0</v>
      </c>
      <c r="M1157" t="n">
        <v>0</v>
      </c>
      <c r="O1157" t="inlineStr">
        <is>
          <t>TR462</t>
        </is>
      </c>
      <c r="Q1157" s="114" t="n">
        <v>0</v>
      </c>
      <c r="R1157" s="114" t="n">
        <v>65</v>
      </c>
      <c r="S1157" s="114" t="n">
        <v>0</v>
      </c>
      <c r="T1157" t="n">
        <v>0</v>
      </c>
    </row>
    <row r="1158">
      <c r="A1158" t="inlineStr">
        <is>
          <t>ttJTrans</t>
        </is>
      </c>
      <c r="B1158" s="38" t="inlineStr">
        <is>
          <t>0-4006</t>
        </is>
      </c>
      <c r="C1158" t="inlineStr">
        <is>
          <t>EQ</t>
        </is>
      </c>
      <c r="E1158" t="inlineStr">
        <is>
          <t>EQ</t>
        </is>
      </c>
      <c r="G1158" s="42" t="inlineStr"/>
      <c r="H1158" s="127" t="n">
        <v>46142</v>
      </c>
      <c r="J1158" s="38" t="inlineStr">
        <is>
          <t>0-4006</t>
        </is>
      </c>
      <c r="K1158" t="inlineStr">
        <is>
          <t>TR462 40' HIGH CUBE CONTAINERS 40' HIGH CUBE CONTAINERS</t>
        </is>
      </c>
      <c r="L1158" t="n">
        <v>0</v>
      </c>
      <c r="M1158" t="n">
        <v>0</v>
      </c>
      <c r="O1158" t="inlineStr">
        <is>
          <t>TR462</t>
        </is>
      </c>
      <c r="Q1158" s="114" t="n">
        <v>0</v>
      </c>
      <c r="R1158" s="114" t="n">
        <v>65</v>
      </c>
      <c r="S1158" s="114" t="n">
        <v>0</v>
      </c>
      <c r="T1158" t="n">
        <v>0</v>
      </c>
    </row>
    <row r="1159">
      <c r="A1159" t="inlineStr">
        <is>
          <t>ttJTrans</t>
        </is>
      </c>
      <c r="B1159" s="38" t="inlineStr">
        <is>
          <t>0-4006</t>
        </is>
      </c>
      <c r="C1159" t="inlineStr">
        <is>
          <t>EQ</t>
        </is>
      </c>
      <c r="E1159" t="inlineStr">
        <is>
          <t>EQ</t>
        </is>
      </c>
      <c r="G1159" s="42" t="inlineStr"/>
      <c r="H1159" s="127" t="n">
        <v>46142</v>
      </c>
      <c r="J1159" s="38" t="inlineStr">
        <is>
          <t>0-4006</t>
        </is>
      </c>
      <c r="K1159" t="inlineStr">
        <is>
          <t>TR462 40' HIGH CUBE CONTAINERS 40' HIGH CUBE CONTAINERS</t>
        </is>
      </c>
      <c r="L1159" t="n">
        <v>0</v>
      </c>
      <c r="M1159" t="n">
        <v>0</v>
      </c>
      <c r="O1159" t="inlineStr">
        <is>
          <t>TR462</t>
        </is>
      </c>
      <c r="Q1159" s="114" t="n">
        <v>0</v>
      </c>
      <c r="R1159" s="114" t="n">
        <v>65</v>
      </c>
      <c r="S1159" s="114" t="n">
        <v>0</v>
      </c>
      <c r="T1159" t="n">
        <v>0</v>
      </c>
    </row>
    <row r="1160">
      <c r="A1160" t="inlineStr">
        <is>
          <t>ttJTrans</t>
        </is>
      </c>
      <c r="B1160" s="38" t="inlineStr">
        <is>
          <t>0-4006</t>
        </is>
      </c>
      <c r="C1160" t="inlineStr">
        <is>
          <t>EQ</t>
        </is>
      </c>
      <c r="E1160" t="inlineStr">
        <is>
          <t>EQ</t>
        </is>
      </c>
      <c r="G1160" s="42" t="inlineStr"/>
      <c r="H1160" s="127" t="n">
        <v>46142</v>
      </c>
      <c r="J1160" s="38" t="inlineStr">
        <is>
          <t>0-4006</t>
        </is>
      </c>
      <c r="K1160" t="inlineStr">
        <is>
          <t>TR462 40' HIGH CUBE CONTAINERS 40' HIGH CUBE CONTAINERS</t>
        </is>
      </c>
      <c r="L1160" t="n">
        <v>0</v>
      </c>
      <c r="M1160" t="n">
        <v>0</v>
      </c>
      <c r="O1160" t="inlineStr">
        <is>
          <t>TR462</t>
        </is>
      </c>
      <c r="Q1160" s="114" t="n">
        <v>0</v>
      </c>
      <c r="R1160" s="114" t="n">
        <v>65</v>
      </c>
      <c r="S1160" s="114" t="n">
        <v>0</v>
      </c>
      <c r="T1160" t="n">
        <v>0</v>
      </c>
    </row>
    <row r="1161">
      <c r="A1161" t="inlineStr">
        <is>
          <t>ttJTrans</t>
        </is>
      </c>
      <c r="B1161" s="38" t="inlineStr">
        <is>
          <t>0-4006</t>
        </is>
      </c>
      <c r="C1161" t="inlineStr">
        <is>
          <t>EQ</t>
        </is>
      </c>
      <c r="E1161" t="inlineStr">
        <is>
          <t>EQ</t>
        </is>
      </c>
      <c r="G1161" s="42" t="inlineStr"/>
      <c r="H1161" s="127" t="n">
        <v>46142</v>
      </c>
      <c r="J1161" s="38" t="inlineStr">
        <is>
          <t>0-4006</t>
        </is>
      </c>
      <c r="K1161" t="inlineStr">
        <is>
          <t>TR463 40' HIGH CUBE CONTAINERS 40' HIGH CUBE CONTAINERS</t>
        </is>
      </c>
      <c r="L1161" t="n">
        <v>0</v>
      </c>
      <c r="M1161" t="n">
        <v>0</v>
      </c>
      <c r="O1161" t="inlineStr">
        <is>
          <t>TR463</t>
        </is>
      </c>
      <c r="Q1161" s="114" t="n">
        <v>0</v>
      </c>
      <c r="R1161" s="114" t="n">
        <v>65</v>
      </c>
      <c r="S1161" s="114" t="n">
        <v>0</v>
      </c>
      <c r="T1161" t="n">
        <v>0</v>
      </c>
    </row>
    <row r="1162">
      <c r="A1162" t="inlineStr">
        <is>
          <t>ttJTrans</t>
        </is>
      </c>
      <c r="B1162" s="38" t="inlineStr">
        <is>
          <t>0-4006</t>
        </is>
      </c>
      <c r="C1162" t="inlineStr">
        <is>
          <t>EQ</t>
        </is>
      </c>
      <c r="E1162" t="inlineStr">
        <is>
          <t>EQ</t>
        </is>
      </c>
      <c r="G1162" s="42" t="inlineStr"/>
      <c r="H1162" s="127" t="n">
        <v>46142</v>
      </c>
      <c r="J1162" s="38" t="inlineStr">
        <is>
          <t>0-4006</t>
        </is>
      </c>
      <c r="K1162" t="inlineStr">
        <is>
          <t>TR463 40' HIGH CUBE CONTAINERS 40' HIGH CUBE CONTAINERS</t>
        </is>
      </c>
      <c r="L1162" t="n">
        <v>0</v>
      </c>
      <c r="M1162" t="n">
        <v>0</v>
      </c>
      <c r="O1162" t="inlineStr">
        <is>
          <t>TR463</t>
        </is>
      </c>
      <c r="Q1162" s="114" t="n">
        <v>0</v>
      </c>
      <c r="R1162" s="114" t="n">
        <v>65</v>
      </c>
      <c r="S1162" s="114" t="n">
        <v>0</v>
      </c>
      <c r="T1162" t="n">
        <v>0</v>
      </c>
    </row>
    <row r="1163">
      <c r="A1163" t="inlineStr">
        <is>
          <t>ttJTrans</t>
        </is>
      </c>
      <c r="B1163" s="38" t="inlineStr">
        <is>
          <t>0-4006</t>
        </is>
      </c>
      <c r="C1163" t="inlineStr">
        <is>
          <t>EQ</t>
        </is>
      </c>
      <c r="E1163" t="inlineStr">
        <is>
          <t>EQ</t>
        </is>
      </c>
      <c r="G1163" s="42" t="inlineStr"/>
      <c r="H1163" s="127" t="n">
        <v>46142</v>
      </c>
      <c r="J1163" s="38" t="inlineStr">
        <is>
          <t>0-4006</t>
        </is>
      </c>
      <c r="K1163" t="inlineStr">
        <is>
          <t>TR463 40' HIGH CUBE CONTAINERS 40' HIGH CUBE CONTAINERS</t>
        </is>
      </c>
      <c r="L1163" t="n">
        <v>0</v>
      </c>
      <c r="M1163" t="n">
        <v>0</v>
      </c>
      <c r="O1163" t="inlineStr">
        <is>
          <t>TR463</t>
        </is>
      </c>
      <c r="Q1163" s="114" t="n">
        <v>0</v>
      </c>
      <c r="R1163" s="114" t="n">
        <v>65</v>
      </c>
      <c r="S1163" s="114" t="n">
        <v>0</v>
      </c>
      <c r="T1163" t="n">
        <v>0</v>
      </c>
    </row>
    <row r="1164">
      <c r="A1164" t="inlineStr">
        <is>
          <t>ttJTrans</t>
        </is>
      </c>
      <c r="B1164" s="38" t="inlineStr">
        <is>
          <t>0-4006</t>
        </is>
      </c>
      <c r="C1164" t="inlineStr">
        <is>
          <t>EQ</t>
        </is>
      </c>
      <c r="E1164" t="inlineStr">
        <is>
          <t>EQ</t>
        </is>
      </c>
      <c r="G1164" s="42" t="inlineStr"/>
      <c r="H1164" s="127" t="n">
        <v>46142</v>
      </c>
      <c r="J1164" s="38" t="inlineStr">
        <is>
          <t>0-4006</t>
        </is>
      </c>
      <c r="K1164" t="inlineStr">
        <is>
          <t>TR463 40' HIGH CUBE CONTAINERS 40' HIGH CUBE CONTAINERS</t>
        </is>
      </c>
      <c r="L1164" t="n">
        <v>0</v>
      </c>
      <c r="M1164" t="n">
        <v>0</v>
      </c>
      <c r="O1164" t="inlineStr">
        <is>
          <t>TR463</t>
        </is>
      </c>
      <c r="Q1164" s="114" t="n">
        <v>0</v>
      </c>
      <c r="R1164" s="114" t="n">
        <v>65</v>
      </c>
      <c r="S1164" s="114" t="n">
        <v>0</v>
      </c>
      <c r="T1164" t="n">
        <v>0</v>
      </c>
    </row>
    <row r="1165">
      <c r="A1165" t="inlineStr">
        <is>
          <t>ttJTrans</t>
        </is>
      </c>
      <c r="B1165" s="38" t="inlineStr">
        <is>
          <t>0-4006</t>
        </is>
      </c>
      <c r="C1165" t="inlineStr">
        <is>
          <t>EQ</t>
        </is>
      </c>
      <c r="E1165" t="inlineStr">
        <is>
          <t>EQ</t>
        </is>
      </c>
      <c r="G1165" s="42" t="inlineStr"/>
      <c r="H1165" s="127" t="n">
        <v>46142</v>
      </c>
      <c r="J1165" s="38" t="inlineStr">
        <is>
          <t>0-4006</t>
        </is>
      </c>
      <c r="K1165" t="inlineStr">
        <is>
          <t>TR464 40' HIGH CUBE CONTAINERS 40' HIGH CUBE CONTAINERS</t>
        </is>
      </c>
      <c r="L1165" t="n">
        <v>0</v>
      </c>
      <c r="M1165" t="n">
        <v>0</v>
      </c>
      <c r="O1165" t="inlineStr">
        <is>
          <t>TR464</t>
        </is>
      </c>
      <c r="Q1165" s="114" t="n">
        <v>0</v>
      </c>
      <c r="R1165" s="114" t="n">
        <v>65</v>
      </c>
      <c r="S1165" s="114" t="n">
        <v>0</v>
      </c>
      <c r="T1165" t="n">
        <v>0</v>
      </c>
    </row>
    <row r="1166">
      <c r="A1166" t="inlineStr">
        <is>
          <t>ttJTrans</t>
        </is>
      </c>
      <c r="B1166" s="38" t="inlineStr">
        <is>
          <t>0-4006</t>
        </is>
      </c>
      <c r="C1166" t="inlineStr">
        <is>
          <t>EQ</t>
        </is>
      </c>
      <c r="E1166" t="inlineStr">
        <is>
          <t>EQ</t>
        </is>
      </c>
      <c r="G1166" s="42" t="inlineStr"/>
      <c r="H1166" s="127" t="n">
        <v>46142</v>
      </c>
      <c r="J1166" s="38" t="inlineStr">
        <is>
          <t>0-4006</t>
        </is>
      </c>
      <c r="K1166" t="inlineStr">
        <is>
          <t>TR464 40' HIGH CUBE CONTAINERS 40' HIGH CUBE CONTAINERS</t>
        </is>
      </c>
      <c r="L1166" t="n">
        <v>0</v>
      </c>
      <c r="M1166" t="n">
        <v>0</v>
      </c>
      <c r="O1166" t="inlineStr">
        <is>
          <t>TR464</t>
        </is>
      </c>
      <c r="Q1166" s="114" t="n">
        <v>0</v>
      </c>
      <c r="R1166" s="114" t="n">
        <v>65</v>
      </c>
      <c r="S1166" s="114" t="n">
        <v>0</v>
      </c>
      <c r="T1166" t="n">
        <v>0</v>
      </c>
    </row>
    <row r="1167">
      <c r="A1167" t="inlineStr">
        <is>
          <t>ttJTrans</t>
        </is>
      </c>
      <c r="B1167" s="38" t="inlineStr">
        <is>
          <t>0-4006</t>
        </is>
      </c>
      <c r="C1167" t="inlineStr">
        <is>
          <t>EQ</t>
        </is>
      </c>
      <c r="E1167" t="inlineStr">
        <is>
          <t>EQ</t>
        </is>
      </c>
      <c r="G1167" s="42" t="inlineStr"/>
      <c r="H1167" s="127" t="n">
        <v>46142</v>
      </c>
      <c r="J1167" s="38" t="inlineStr">
        <is>
          <t>0-4006</t>
        </is>
      </c>
      <c r="K1167" t="inlineStr">
        <is>
          <t>TR464 40' HIGH CUBE CONTAINERS 40' HIGH CUBE CONTAINERS</t>
        </is>
      </c>
      <c r="L1167" t="n">
        <v>0</v>
      </c>
      <c r="M1167" t="n">
        <v>0</v>
      </c>
      <c r="O1167" t="inlineStr">
        <is>
          <t>TR464</t>
        </is>
      </c>
      <c r="Q1167" s="114" t="n">
        <v>0</v>
      </c>
      <c r="R1167" s="114" t="n">
        <v>65</v>
      </c>
      <c r="S1167" s="114" t="n">
        <v>0</v>
      </c>
      <c r="T1167" t="n">
        <v>0</v>
      </c>
    </row>
    <row r="1168">
      <c r="A1168" t="inlineStr">
        <is>
          <t>ttJTrans</t>
        </is>
      </c>
      <c r="B1168" s="38" t="inlineStr">
        <is>
          <t>0-4006</t>
        </is>
      </c>
      <c r="C1168" t="inlineStr">
        <is>
          <t>EQ</t>
        </is>
      </c>
      <c r="E1168" t="inlineStr">
        <is>
          <t>EQ</t>
        </is>
      </c>
      <c r="G1168" s="42" t="inlineStr"/>
      <c r="H1168" s="127" t="n">
        <v>46142</v>
      </c>
      <c r="J1168" s="38" t="inlineStr">
        <is>
          <t>0-4006</t>
        </is>
      </c>
      <c r="K1168" t="inlineStr">
        <is>
          <t>TR464 40' HIGH CUBE CONTAINERS 40' HIGH CUBE CONTAINERS</t>
        </is>
      </c>
      <c r="L1168" t="n">
        <v>0</v>
      </c>
      <c r="M1168" t="n">
        <v>0</v>
      </c>
      <c r="O1168" t="inlineStr">
        <is>
          <t>TR464</t>
        </is>
      </c>
      <c r="Q1168" s="114" t="n">
        <v>0</v>
      </c>
      <c r="R1168" s="114" t="n">
        <v>65</v>
      </c>
      <c r="S1168" s="114" t="n">
        <v>0</v>
      </c>
      <c r="T1168" t="n">
        <v>0</v>
      </c>
    </row>
    <row r="1169">
      <c r="A1169" t="inlineStr">
        <is>
          <t>ttJTrans</t>
        </is>
      </c>
      <c r="B1169" s="38" t="inlineStr">
        <is>
          <t>0-4006</t>
        </is>
      </c>
      <c r="C1169" t="inlineStr">
        <is>
          <t>EQ</t>
        </is>
      </c>
      <c r="E1169" t="inlineStr">
        <is>
          <t>EQ</t>
        </is>
      </c>
      <c r="G1169" s="42" t="inlineStr"/>
      <c r="H1169" s="127" t="n">
        <v>46142</v>
      </c>
      <c r="J1169" s="38" t="inlineStr">
        <is>
          <t>0-4006</t>
        </is>
      </c>
      <c r="K1169" t="inlineStr">
        <is>
          <t>TR456 40' DOUBLE DOOR CONTAINER 40' DOUBLE DOOR CONTAINER</t>
        </is>
      </c>
      <c r="L1169" t="n">
        <v>0</v>
      </c>
      <c r="M1169" t="n">
        <v>0</v>
      </c>
      <c r="O1169" t="inlineStr">
        <is>
          <t>TR456</t>
        </is>
      </c>
      <c r="Q1169" s="114" t="n">
        <v>0</v>
      </c>
      <c r="R1169" s="114" t="n">
        <v>65</v>
      </c>
      <c r="S1169" s="114" t="n">
        <v>0</v>
      </c>
      <c r="T1169" t="n">
        <v>0</v>
      </c>
    </row>
    <row r="1170">
      <c r="A1170" t="inlineStr">
        <is>
          <t>ttJTrans</t>
        </is>
      </c>
      <c r="B1170" s="38" t="inlineStr">
        <is>
          <t>0-4006</t>
        </is>
      </c>
      <c r="C1170" t="inlineStr">
        <is>
          <t>EQ</t>
        </is>
      </c>
      <c r="E1170" t="inlineStr">
        <is>
          <t>EQ</t>
        </is>
      </c>
      <c r="G1170" s="42" t="inlineStr"/>
      <c r="H1170" s="127" t="n">
        <v>46142</v>
      </c>
      <c r="J1170" s="38" t="inlineStr">
        <is>
          <t>0-4006</t>
        </is>
      </c>
      <c r="K1170" t="inlineStr">
        <is>
          <t>TR456 40' DOUBLE DOOR CONTAINER 40' DOUBLE DOOR CONTAINER</t>
        </is>
      </c>
      <c r="L1170" t="n">
        <v>0</v>
      </c>
      <c r="M1170" t="n">
        <v>0</v>
      </c>
      <c r="O1170" t="inlineStr">
        <is>
          <t>TR456</t>
        </is>
      </c>
      <c r="Q1170" s="114" t="n">
        <v>0</v>
      </c>
      <c r="R1170" s="114" t="n">
        <v>65</v>
      </c>
      <c r="S1170" s="114" t="n">
        <v>0</v>
      </c>
      <c r="T1170" t="n">
        <v>0</v>
      </c>
    </row>
    <row r="1171">
      <c r="A1171" t="inlineStr">
        <is>
          <t>ttJTrans</t>
        </is>
      </c>
      <c r="B1171" s="38" t="inlineStr">
        <is>
          <t>0-4006</t>
        </is>
      </c>
      <c r="C1171" t="inlineStr">
        <is>
          <t>EQ</t>
        </is>
      </c>
      <c r="E1171" t="inlineStr">
        <is>
          <t>EQ</t>
        </is>
      </c>
      <c r="G1171" s="42" t="inlineStr"/>
      <c r="H1171" s="127" t="n">
        <v>46142</v>
      </c>
      <c r="J1171" s="38" t="inlineStr">
        <is>
          <t>0-4006</t>
        </is>
      </c>
      <c r="K1171" t="inlineStr">
        <is>
          <t>TR456 40' DOUBLE DOOR CONTAINER 40' DOUBLE DOOR CONTAINER</t>
        </is>
      </c>
      <c r="L1171" t="n">
        <v>0</v>
      </c>
      <c r="M1171" t="n">
        <v>0</v>
      </c>
      <c r="O1171" t="inlineStr">
        <is>
          <t>TR456</t>
        </is>
      </c>
      <c r="Q1171" s="114" t="n">
        <v>0</v>
      </c>
      <c r="R1171" s="114" t="n">
        <v>65</v>
      </c>
      <c r="S1171" s="114" t="n">
        <v>0</v>
      </c>
      <c r="T1171" t="n">
        <v>0</v>
      </c>
    </row>
    <row r="1172">
      <c r="A1172" t="inlineStr">
        <is>
          <t>ttJTrans</t>
        </is>
      </c>
      <c r="B1172" s="38" t="inlineStr">
        <is>
          <t>0-4006</t>
        </is>
      </c>
      <c r="C1172" t="inlineStr">
        <is>
          <t>EQ</t>
        </is>
      </c>
      <c r="E1172" t="inlineStr">
        <is>
          <t>EQ</t>
        </is>
      </c>
      <c r="G1172" s="42" t="inlineStr"/>
      <c r="H1172" s="127" t="n">
        <v>46142</v>
      </c>
      <c r="J1172" s="38" t="inlineStr">
        <is>
          <t>0-4006</t>
        </is>
      </c>
      <c r="K1172" t="inlineStr">
        <is>
          <t>TR456 40' DOUBLE DOOR CONTAINER 40' DOUBLE DOOR CONTAINER</t>
        </is>
      </c>
      <c r="L1172" t="n">
        <v>0</v>
      </c>
      <c r="M1172" t="n">
        <v>0</v>
      </c>
      <c r="O1172" t="inlineStr">
        <is>
          <t>TR456</t>
        </is>
      </c>
      <c r="Q1172" s="114" t="n">
        <v>0</v>
      </c>
      <c r="R1172" s="114" t="n">
        <v>65</v>
      </c>
      <c r="S1172" s="114" t="n">
        <v>0</v>
      </c>
      <c r="T1172" t="n">
        <v>0</v>
      </c>
    </row>
    <row r="1173">
      <c r="A1173" t="inlineStr">
        <is>
          <t>ttJTrans</t>
        </is>
      </c>
      <c r="B1173" s="38" t="inlineStr">
        <is>
          <t>0-4006</t>
        </is>
      </c>
      <c r="C1173" t="inlineStr">
        <is>
          <t>EQ</t>
        </is>
      </c>
      <c r="E1173" t="inlineStr">
        <is>
          <t>EQ</t>
        </is>
      </c>
      <c r="G1173" s="42" t="inlineStr"/>
      <c r="H1173" s="127" t="n">
        <v>46142</v>
      </c>
      <c r="J1173" s="38" t="inlineStr">
        <is>
          <t>0-4006</t>
        </is>
      </c>
      <c r="K1173" t="inlineStr">
        <is>
          <t>WTL002 2025 55 TON GOOSENECK EAGER BEAVER LOWBOY 2025 55 TON GOOSENECK EAGER BEAVER LOWBOY</t>
        </is>
      </c>
      <c r="L1173" t="n">
        <v>0</v>
      </c>
      <c r="M1173" t="n">
        <v>0</v>
      </c>
      <c r="O1173" t="inlineStr">
        <is>
          <t>WTL002</t>
        </is>
      </c>
      <c r="Q1173" s="114" t="n">
        <v>0</v>
      </c>
      <c r="R1173" s="114" t="n">
        <v>55</v>
      </c>
      <c r="S1173" s="114" t="n">
        <v>0</v>
      </c>
      <c r="T1173" t="n">
        <v>0</v>
      </c>
    </row>
    <row r="1174">
      <c r="A1174" t="inlineStr">
        <is>
          <t>ttJTrans</t>
        </is>
      </c>
      <c r="B1174" s="38" t="inlineStr">
        <is>
          <t>0-4006</t>
        </is>
      </c>
      <c r="C1174" t="inlineStr">
        <is>
          <t>EQ</t>
        </is>
      </c>
      <c r="E1174" t="inlineStr">
        <is>
          <t>EQ</t>
        </is>
      </c>
      <c r="G1174" s="42" t="inlineStr"/>
      <c r="H1174" s="127" t="n">
        <v>46142</v>
      </c>
      <c r="J1174" s="38" t="inlineStr">
        <is>
          <t>0-4006</t>
        </is>
      </c>
      <c r="K1174" t="inlineStr">
        <is>
          <t>WTL002 2025 55 TON GOOSENECK EAGER BEAVER LOWBOY 2025 55 TON GOOSENECK EAGER BEAVER LOWBOY</t>
        </is>
      </c>
      <c r="L1174" t="n">
        <v>0</v>
      </c>
      <c r="M1174" t="n">
        <v>0</v>
      </c>
      <c r="O1174" t="inlineStr">
        <is>
          <t>WTL002</t>
        </is>
      </c>
      <c r="Q1174" s="114" t="n">
        <v>0</v>
      </c>
      <c r="R1174" s="114" t="n">
        <v>55</v>
      </c>
      <c r="S1174" s="114" t="n">
        <v>0</v>
      </c>
      <c r="T1174" t="n">
        <v>0</v>
      </c>
    </row>
    <row r="1175">
      <c r="A1175" t="inlineStr">
        <is>
          <t>ttJTrans</t>
        </is>
      </c>
      <c r="B1175" s="38" t="inlineStr">
        <is>
          <t>0-4006</t>
        </is>
      </c>
      <c r="C1175" t="inlineStr">
        <is>
          <t>EQ</t>
        </is>
      </c>
      <c r="E1175" t="inlineStr">
        <is>
          <t>EQ</t>
        </is>
      </c>
      <c r="G1175" s="42" t="inlineStr"/>
      <c r="H1175" s="127" t="n">
        <v>46142</v>
      </c>
      <c r="J1175" s="38" t="inlineStr">
        <is>
          <t>0-4006</t>
        </is>
      </c>
      <c r="K1175" t="inlineStr">
        <is>
          <t>WTL002 2025 55 TON GOOSENECK EAGER BEAVER LOWBOY 2025 55 TON GOOSENECK EAGER BEAVER LOWBOY</t>
        </is>
      </c>
      <c r="L1175" t="n">
        <v>0</v>
      </c>
      <c r="M1175" t="n">
        <v>0</v>
      </c>
      <c r="O1175" t="inlineStr">
        <is>
          <t>WTL002</t>
        </is>
      </c>
      <c r="Q1175" s="114" t="n">
        <v>0</v>
      </c>
      <c r="R1175" s="114" t="n">
        <v>55</v>
      </c>
      <c r="S1175" s="114" t="n">
        <v>0</v>
      </c>
      <c r="T1175" t="n">
        <v>0</v>
      </c>
    </row>
    <row r="1176">
      <c r="A1176" t="inlineStr">
        <is>
          <t>ttJTrans</t>
        </is>
      </c>
      <c r="B1176" s="38" t="inlineStr">
        <is>
          <t>0-4006</t>
        </is>
      </c>
      <c r="C1176" t="inlineStr">
        <is>
          <t>EQ</t>
        </is>
      </c>
      <c r="E1176" t="inlineStr">
        <is>
          <t>EQ</t>
        </is>
      </c>
      <c r="G1176" s="42" t="inlineStr"/>
      <c r="H1176" s="127" t="n">
        <v>46142</v>
      </c>
      <c r="J1176" s="38" t="inlineStr">
        <is>
          <t>0-4006</t>
        </is>
      </c>
      <c r="K1176" t="inlineStr">
        <is>
          <t>WTL002 2025 55 TON GOOSENECK EAGER BEAVER LOWBOY 2025 55 TON GOOSENECK EAGER BEAVER LOWBOY</t>
        </is>
      </c>
      <c r="L1176" t="n">
        <v>0</v>
      </c>
      <c r="M1176" t="n">
        <v>0</v>
      </c>
      <c r="O1176" t="inlineStr">
        <is>
          <t>WTL002</t>
        </is>
      </c>
      <c r="Q1176" s="114" t="n">
        <v>0</v>
      </c>
      <c r="R1176" s="114" t="n">
        <v>55</v>
      </c>
      <c r="S1176" s="114" t="n">
        <v>0</v>
      </c>
      <c r="T1176" t="n">
        <v>0</v>
      </c>
    </row>
    <row r="1177">
      <c r="A1177" t="inlineStr">
        <is>
          <t>ttJTrans</t>
        </is>
      </c>
      <c r="B1177" s="38" t="inlineStr">
        <is>
          <t>0-4006</t>
        </is>
      </c>
      <c r="C1177" t="inlineStr">
        <is>
          <t>EQ</t>
        </is>
      </c>
      <c r="E1177" t="inlineStr">
        <is>
          <t>EQ</t>
        </is>
      </c>
      <c r="G1177" s="42" t="inlineStr"/>
      <c r="H1177" s="127" t="n">
        <v>46142</v>
      </c>
      <c r="J1177" s="38" t="inlineStr">
        <is>
          <t>0-4006</t>
        </is>
      </c>
      <c r="K1177" t="inlineStr">
        <is>
          <t>WLD133 JCB 512-56 12K TELEHANDLER W/ 96" PALLET FORKS 	JCB 512-56 12K TELEHANDLER W/ 96" PALLET FORKS</t>
        </is>
      </c>
      <c r="L1177" t="n">
        <v>0</v>
      </c>
      <c r="M1177" t="n">
        <v>0</v>
      </c>
      <c r="O1177" t="inlineStr">
        <is>
          <t>WLD133</t>
        </is>
      </c>
      <c r="Q1177" s="114" t="n">
        <v>0</v>
      </c>
      <c r="R1177" s="114" t="n">
        <v>259.22</v>
      </c>
      <c r="S1177" s="114" t="n">
        <v>0</v>
      </c>
      <c r="T1177" t="n">
        <v>0</v>
      </c>
    </row>
    <row r="1178">
      <c r="A1178" t="inlineStr">
        <is>
          <t>ttJTrans</t>
        </is>
      </c>
      <c r="B1178" s="38" t="inlineStr">
        <is>
          <t>0-4006</t>
        </is>
      </c>
      <c r="C1178" t="inlineStr">
        <is>
          <t>EQ</t>
        </is>
      </c>
      <c r="E1178" t="inlineStr">
        <is>
          <t>EQ</t>
        </is>
      </c>
      <c r="G1178" s="42" t="inlineStr"/>
      <c r="H1178" s="127" t="n">
        <v>46142</v>
      </c>
      <c r="J1178" s="38" t="inlineStr">
        <is>
          <t>0-4006</t>
        </is>
      </c>
      <c r="K1178" t="inlineStr">
        <is>
          <t>WLD133 JCB 512-56 12K TELEHANDLER W/ 96" PALLET FORKS 	JCB 512-56 12K TELEHANDLER W/ 96" PALLET FORKS</t>
        </is>
      </c>
      <c r="L1178" t="n">
        <v>0</v>
      </c>
      <c r="M1178" t="n">
        <v>0</v>
      </c>
      <c r="O1178" t="inlineStr">
        <is>
          <t>WLD133</t>
        </is>
      </c>
      <c r="Q1178" s="114" t="n">
        <v>0</v>
      </c>
      <c r="R1178" s="114" t="n">
        <v>259.22</v>
      </c>
      <c r="S1178" s="114" t="n">
        <v>0</v>
      </c>
      <c r="T1178" t="n">
        <v>0</v>
      </c>
    </row>
    <row r="1179">
      <c r="A1179" t="inlineStr">
        <is>
          <t>ttJTrans</t>
        </is>
      </c>
      <c r="B1179" s="38" t="inlineStr">
        <is>
          <t>0-4006</t>
        </is>
      </c>
      <c r="C1179" t="inlineStr">
        <is>
          <t>EQ</t>
        </is>
      </c>
      <c r="E1179" t="inlineStr">
        <is>
          <t>EQ</t>
        </is>
      </c>
      <c r="G1179" s="42" t="inlineStr"/>
      <c r="H1179" s="127" t="n">
        <v>46142</v>
      </c>
      <c r="J1179" s="38" t="inlineStr">
        <is>
          <t>0-4006</t>
        </is>
      </c>
      <c r="K1179" t="inlineStr">
        <is>
          <t>WLD133 JCB 512-56 12K TELEHANDLER W/ 96" PALLET FORKS 	JCB 512-56 12K TELEHANDLER W/ 96" PALLET FORKS</t>
        </is>
      </c>
      <c r="L1179" t="n">
        <v>0</v>
      </c>
      <c r="M1179" t="n">
        <v>0</v>
      </c>
      <c r="O1179" t="inlineStr">
        <is>
          <t>WLD133</t>
        </is>
      </c>
      <c r="Q1179" s="114" t="n">
        <v>0</v>
      </c>
      <c r="R1179" s="114" t="n">
        <v>259.22</v>
      </c>
      <c r="S1179" s="114" t="n">
        <v>0</v>
      </c>
      <c r="T1179" t="n">
        <v>0</v>
      </c>
    </row>
    <row r="1180">
      <c r="A1180" t="inlineStr">
        <is>
          <t>ttJTrans</t>
        </is>
      </c>
      <c r="B1180" s="38" t="inlineStr">
        <is>
          <t>0-4006</t>
        </is>
      </c>
      <c r="C1180" t="inlineStr">
        <is>
          <t>EQ</t>
        </is>
      </c>
      <c r="E1180" t="inlineStr">
        <is>
          <t>EQ</t>
        </is>
      </c>
      <c r="G1180" s="42" t="inlineStr"/>
      <c r="H1180" s="127" t="n">
        <v>46142</v>
      </c>
      <c r="J1180" s="38" t="inlineStr">
        <is>
          <t>0-4006</t>
        </is>
      </c>
      <c r="K1180" t="inlineStr">
        <is>
          <t>RT1242 2022 RAM 2500 TRADESMAN 4X4 CREW 8FT BED GAS 2022 RAM 2500 TRADESMAN 4X4 CREW 8FT BED GAS</t>
        </is>
      </c>
      <c r="L1180" t="n">
        <v>0</v>
      </c>
      <c r="M1180" t="n">
        <v>0</v>
      </c>
      <c r="O1180" t="inlineStr">
        <is>
          <t>RT1242</t>
        </is>
      </c>
      <c r="Q1180" s="114" t="n">
        <v>0</v>
      </c>
      <c r="R1180" s="114" t="n">
        <v>79.14</v>
      </c>
      <c r="S1180" s="114" t="n">
        <v>0</v>
      </c>
      <c r="T1180" t="n">
        <v>0</v>
      </c>
    </row>
    <row r="1181">
      <c r="A1181" t="inlineStr">
        <is>
          <t>ttJTrans</t>
        </is>
      </c>
      <c r="B1181" s="38" t="inlineStr">
        <is>
          <t>0-4006</t>
        </is>
      </c>
      <c r="C1181" t="inlineStr">
        <is>
          <t>EQ</t>
        </is>
      </c>
      <c r="E1181" t="inlineStr">
        <is>
          <t>EQ</t>
        </is>
      </c>
      <c r="G1181" s="42" t="inlineStr"/>
      <c r="H1181" s="127" t="n">
        <v>46142</v>
      </c>
      <c r="J1181" s="38" t="inlineStr">
        <is>
          <t>0-4006</t>
        </is>
      </c>
      <c r="K1181" t="inlineStr">
        <is>
          <t>RT1242 2022 RAM 2500 TRADESMAN 4X4 CREW 8FT BED GAS 2022 RAM 2500 TRADESMAN 4X4 CREW 8FT BED GAS</t>
        </is>
      </c>
      <c r="L1181" t="n">
        <v>0</v>
      </c>
      <c r="M1181" t="n">
        <v>0</v>
      </c>
      <c r="O1181" t="inlineStr">
        <is>
          <t>RT1242</t>
        </is>
      </c>
      <c r="Q1181" s="114" t="n">
        <v>0</v>
      </c>
      <c r="R1181" s="114" t="n">
        <v>79.14</v>
      </c>
      <c r="S1181" s="114" t="n">
        <v>0</v>
      </c>
      <c r="T1181" t="n">
        <v>0</v>
      </c>
    </row>
    <row r="1182">
      <c r="A1182" t="inlineStr">
        <is>
          <t>ttJTrans</t>
        </is>
      </c>
      <c r="B1182" s="38" t="inlineStr">
        <is>
          <t>0-4006</t>
        </is>
      </c>
      <c r="C1182" t="inlineStr">
        <is>
          <t>EQ</t>
        </is>
      </c>
      <c r="E1182" t="inlineStr">
        <is>
          <t>EQ</t>
        </is>
      </c>
      <c r="G1182" s="42" t="inlineStr"/>
      <c r="H1182" s="127" t="n">
        <v>46142</v>
      </c>
      <c r="J1182" s="38" t="inlineStr">
        <is>
          <t>0-4006</t>
        </is>
      </c>
      <c r="K1182" t="inlineStr">
        <is>
          <t>RT1242 2022 RAM 2500 TRADESMAN 4X4 CREW 8FT BED GAS 2022 RAM 2500 TRADESMAN 4X4 CREW 8FT BED GAS</t>
        </is>
      </c>
      <c r="L1182" t="n">
        <v>0</v>
      </c>
      <c r="M1182" t="n">
        <v>0</v>
      </c>
      <c r="O1182" t="inlineStr">
        <is>
          <t>RT1242</t>
        </is>
      </c>
      <c r="Q1182" s="114" t="n">
        <v>0</v>
      </c>
      <c r="R1182" s="114" t="n">
        <v>79.14</v>
      </c>
      <c r="S1182" s="114" t="n">
        <v>0</v>
      </c>
      <c r="T1182" t="n">
        <v>0</v>
      </c>
    </row>
    <row r="1183">
      <c r="A1183" t="inlineStr">
        <is>
          <t>ttJTrans</t>
        </is>
      </c>
      <c r="B1183" s="38" t="inlineStr">
        <is>
          <t>0-4006</t>
        </is>
      </c>
      <c r="C1183" t="inlineStr">
        <is>
          <t>EQ</t>
        </is>
      </c>
      <c r="E1183" t="inlineStr">
        <is>
          <t>EQ</t>
        </is>
      </c>
      <c r="G1183" s="42" t="inlineStr"/>
      <c r="H1183" s="127" t="n">
        <v>46142</v>
      </c>
      <c r="J1183" s="38" t="inlineStr">
        <is>
          <t>0-4006</t>
        </is>
      </c>
      <c r="K1183" t="inlineStr">
        <is>
          <t>TR436 40' CONTAINER 40' CONTAINER</t>
        </is>
      </c>
      <c r="L1183" t="n">
        <v>0</v>
      </c>
      <c r="M1183" t="n">
        <v>0</v>
      </c>
      <c r="O1183" t="inlineStr">
        <is>
          <t>TR436</t>
        </is>
      </c>
      <c r="Q1183" s="114" t="n">
        <v>0</v>
      </c>
      <c r="R1183" s="114" t="n">
        <v>65</v>
      </c>
      <c r="S1183" s="114" t="n">
        <v>0</v>
      </c>
      <c r="T1183" t="n">
        <v>0</v>
      </c>
    </row>
    <row r="1184">
      <c r="A1184" t="inlineStr">
        <is>
          <t>ttJTrans</t>
        </is>
      </c>
      <c r="B1184" s="38" t="inlineStr">
        <is>
          <t>0-4006</t>
        </is>
      </c>
      <c r="C1184" t="inlineStr">
        <is>
          <t>EQ</t>
        </is>
      </c>
      <c r="E1184" t="inlineStr">
        <is>
          <t>EQ</t>
        </is>
      </c>
      <c r="G1184" s="42" t="inlineStr"/>
      <c r="H1184" s="127" t="n">
        <v>46142</v>
      </c>
      <c r="J1184" s="38" t="inlineStr">
        <is>
          <t>0-4006</t>
        </is>
      </c>
      <c r="K1184" t="inlineStr">
        <is>
          <t>TR436 40' CONTAINER 40' CONTAINER</t>
        </is>
      </c>
      <c r="L1184" t="n">
        <v>0</v>
      </c>
      <c r="M1184" t="n">
        <v>0</v>
      </c>
      <c r="O1184" t="inlineStr">
        <is>
          <t>TR436</t>
        </is>
      </c>
      <c r="Q1184" s="114" t="n">
        <v>0</v>
      </c>
      <c r="R1184" s="114" t="n">
        <v>65</v>
      </c>
      <c r="S1184" s="114" t="n">
        <v>0</v>
      </c>
      <c r="T1184" t="n">
        <v>0</v>
      </c>
    </row>
    <row r="1185">
      <c r="A1185" t="inlineStr">
        <is>
          <t>ttJTrans</t>
        </is>
      </c>
      <c r="B1185" s="38" t="inlineStr">
        <is>
          <t>0-4006</t>
        </is>
      </c>
      <c r="C1185" t="inlineStr">
        <is>
          <t>EQ</t>
        </is>
      </c>
      <c r="E1185" t="inlineStr">
        <is>
          <t>EQ</t>
        </is>
      </c>
      <c r="G1185" s="42" t="inlineStr"/>
      <c r="H1185" s="127" t="n">
        <v>46145</v>
      </c>
      <c r="J1185" s="38" t="inlineStr">
        <is>
          <t>0-4006</t>
        </is>
      </c>
      <c r="K1185" t="inlineStr">
        <is>
          <t>TR419 LONESTAR 6.5X16' ENCLOSED CARGO TRAILER LONESTAR 6.5X16' ENCLOSED CARGO TRAILER</t>
        </is>
      </c>
      <c r="L1185" t="n">
        <v>0</v>
      </c>
      <c r="M1185" t="n">
        <v>0</v>
      </c>
      <c r="O1185" t="inlineStr">
        <is>
          <t>TR419</t>
        </is>
      </c>
      <c r="Q1185" s="114" t="n">
        <v>0</v>
      </c>
      <c r="R1185" s="114" t="n">
        <v>65</v>
      </c>
      <c r="S1185" s="114" t="n">
        <v>0</v>
      </c>
      <c r="T1185" t="n">
        <v>0</v>
      </c>
    </row>
    <row r="1186">
      <c r="A1186" t="inlineStr">
        <is>
          <t>ttJTrans</t>
        </is>
      </c>
      <c r="B1186" s="38" t="inlineStr">
        <is>
          <t>0-4006</t>
        </is>
      </c>
      <c r="C1186" t="inlineStr">
        <is>
          <t>EQ</t>
        </is>
      </c>
      <c r="E1186" t="inlineStr">
        <is>
          <t>EQ</t>
        </is>
      </c>
      <c r="G1186" s="42" t="inlineStr"/>
      <c r="H1186" s="127" t="n">
        <v>46145</v>
      </c>
      <c r="J1186" s="38" t="inlineStr">
        <is>
          <t>0-4006</t>
        </is>
      </c>
      <c r="K1186" t="inlineStr">
        <is>
          <t>TR419 LONESTAR 6.5X16' ENCLOSED CARGO TRAILER LONESTAR 6.5X16' ENCLOSED CARGO TRAILER</t>
        </is>
      </c>
      <c r="L1186" t="n">
        <v>0</v>
      </c>
      <c r="M1186" t="n">
        <v>0</v>
      </c>
      <c r="O1186" t="inlineStr">
        <is>
          <t>TR419</t>
        </is>
      </c>
      <c r="Q1186" s="114" t="n">
        <v>0</v>
      </c>
      <c r="R1186" s="114" t="n">
        <v>65</v>
      </c>
      <c r="S1186" s="114" t="n">
        <v>0</v>
      </c>
      <c r="T1186" t="n">
        <v>0</v>
      </c>
    </row>
    <row r="1187">
      <c r="A1187" t="inlineStr">
        <is>
          <t>ttJTrans</t>
        </is>
      </c>
      <c r="B1187" s="38" t="inlineStr">
        <is>
          <t>0-4006</t>
        </is>
      </c>
      <c r="C1187" t="inlineStr">
        <is>
          <t>EQ</t>
        </is>
      </c>
      <c r="E1187" t="inlineStr">
        <is>
          <t>EQ</t>
        </is>
      </c>
      <c r="G1187" s="42" t="inlineStr"/>
      <c r="H1187" s="127" t="n">
        <v>46145</v>
      </c>
      <c r="J1187" s="38" t="inlineStr">
        <is>
          <t>0-4006</t>
        </is>
      </c>
      <c r="K1187" t="inlineStr">
        <is>
          <t>RT1344 2023 FORD F250 XL STX 4X4 DIESEL 2023 FORD F250 XL STX 4X4 DIESEL</t>
        </is>
      </c>
      <c r="L1187" t="n">
        <v>0</v>
      </c>
      <c r="M1187" t="n">
        <v>0</v>
      </c>
      <c r="O1187" t="inlineStr">
        <is>
          <t>RT1344</t>
        </is>
      </c>
      <c r="Q1187" s="114" t="n">
        <v>0</v>
      </c>
      <c r="R1187" s="114" t="n">
        <v>79.14</v>
      </c>
      <c r="S1187" s="114" t="n">
        <v>0</v>
      </c>
      <c r="T1187" t="n">
        <v>0</v>
      </c>
    </row>
    <row r="1188">
      <c r="A1188" t="inlineStr">
        <is>
          <t>ttJTrans</t>
        </is>
      </c>
      <c r="B1188" s="38" t="inlineStr">
        <is>
          <t>0-4006</t>
        </is>
      </c>
      <c r="C1188" t="inlineStr">
        <is>
          <t>EQ</t>
        </is>
      </c>
      <c r="E1188" t="inlineStr">
        <is>
          <t>EQ</t>
        </is>
      </c>
      <c r="G1188" s="42" t="inlineStr"/>
      <c r="H1188" s="127" t="n">
        <v>46145</v>
      </c>
      <c r="J1188" s="38" t="inlineStr">
        <is>
          <t>0-4006</t>
        </is>
      </c>
      <c r="K1188" t="inlineStr">
        <is>
          <t>RT1344 2023 FORD F250 XL STX 4X4 DIESEL 2023 FORD F250 XL STX 4X4 DIESEL</t>
        </is>
      </c>
      <c r="L1188" t="n">
        <v>0</v>
      </c>
      <c r="M1188" t="n">
        <v>0</v>
      </c>
      <c r="O1188" t="inlineStr">
        <is>
          <t>RT1344</t>
        </is>
      </c>
      <c r="Q1188" s="114" t="n">
        <v>0</v>
      </c>
      <c r="R1188" s="114" t="n">
        <v>79.14</v>
      </c>
      <c r="S1188" s="114" t="n">
        <v>0</v>
      </c>
      <c r="T1188" t="n">
        <v>0</v>
      </c>
    </row>
    <row r="1189">
      <c r="A1189" t="inlineStr">
        <is>
          <t>ttJTrans</t>
        </is>
      </c>
      <c r="B1189" s="38" t="inlineStr">
        <is>
          <t>0-4006</t>
        </is>
      </c>
      <c r="C1189" t="inlineStr">
        <is>
          <t>EQ</t>
        </is>
      </c>
      <c r="E1189" t="inlineStr">
        <is>
          <t>EQ</t>
        </is>
      </c>
      <c r="G1189" s="42" t="inlineStr"/>
      <c r="H1189" s="127" t="n">
        <v>46145</v>
      </c>
      <c r="J1189" s="38" t="inlineStr">
        <is>
          <t>0-4006</t>
        </is>
      </c>
      <c r="K1189" t="inlineStr">
        <is>
          <t>SSAUGKIT1 SKIDPRO SP300 PLANETARY AUGER DRIVE KIT W/ CRADLE &amp; MOUNT SKIDPRO SP300 PLANETARY AUGER DRIVE KIT W/ CRADLE &amp; MOUNT</t>
        </is>
      </c>
      <c r="L1189" t="n">
        <v>0</v>
      </c>
      <c r="M1189" t="n">
        <v>0</v>
      </c>
      <c r="O1189" t="inlineStr">
        <is>
          <t>SSAUGKIT1</t>
        </is>
      </c>
      <c r="Q1189" s="114" t="n">
        <v>0</v>
      </c>
      <c r="R1189" s="114" t="n">
        <v>35</v>
      </c>
      <c r="S1189" s="114" t="n">
        <v>0</v>
      </c>
      <c r="T1189" t="n">
        <v>0</v>
      </c>
    </row>
    <row r="1190">
      <c r="A1190" t="inlineStr">
        <is>
          <t>ttJTrans</t>
        </is>
      </c>
      <c r="B1190" s="38" t="inlineStr">
        <is>
          <t>0-4006</t>
        </is>
      </c>
      <c r="C1190" t="inlineStr">
        <is>
          <t>EQ</t>
        </is>
      </c>
      <c r="E1190" t="inlineStr">
        <is>
          <t>EQ</t>
        </is>
      </c>
      <c r="G1190" s="42" t="inlineStr"/>
      <c r="H1190" s="127" t="n">
        <v>46145</v>
      </c>
      <c r="J1190" s="38" t="inlineStr">
        <is>
          <t>0-4006</t>
        </is>
      </c>
      <c r="K1190" t="inlineStr">
        <is>
          <t>SSAUGKIT1 SKIDPRO SP300 PLANETARY AUGER DRIVE KIT W/ CRADLE &amp; MOUNT SKIDPRO SP300 PLANETARY AUGER DRIVE KIT W/ CRADLE &amp; MOUNT</t>
        </is>
      </c>
      <c r="L1190" t="n">
        <v>0</v>
      </c>
      <c r="M1190" t="n">
        <v>0</v>
      </c>
      <c r="O1190" t="inlineStr">
        <is>
          <t>SSAUGKIT1</t>
        </is>
      </c>
      <c r="Q1190" s="114" t="n">
        <v>0</v>
      </c>
      <c r="R1190" s="114" t="n">
        <v>35</v>
      </c>
      <c r="S1190" s="114" t="n">
        <v>0</v>
      </c>
      <c r="T1190" t="n">
        <v>0</v>
      </c>
    </row>
    <row r="1191">
      <c r="A1191" t="inlineStr">
        <is>
          <t>ttJTrans</t>
        </is>
      </c>
      <c r="B1191" s="38" t="inlineStr">
        <is>
          <t>0-4006</t>
        </is>
      </c>
      <c r="C1191" t="inlineStr">
        <is>
          <t>EQ</t>
        </is>
      </c>
      <c r="E1191" t="inlineStr">
        <is>
          <t>EQ</t>
        </is>
      </c>
      <c r="G1191" s="42" t="inlineStr"/>
      <c r="H1191" s="127" t="n">
        <v>46145</v>
      </c>
      <c r="J1191" s="38" t="inlineStr">
        <is>
          <t>0-4006</t>
        </is>
      </c>
      <c r="K1191" t="inlineStr">
        <is>
          <t>TR260 2005 UTILITY BRAND TOOL VAN 2005 UTILITY BRAND TOOL VAN</t>
        </is>
      </c>
      <c r="L1191" t="n">
        <v>0</v>
      </c>
      <c r="M1191" t="n">
        <v>0</v>
      </c>
      <c r="O1191" t="inlineStr">
        <is>
          <t>TR260</t>
        </is>
      </c>
      <c r="Q1191" s="114" t="n">
        <v>0</v>
      </c>
      <c r="R1191" s="114" t="n">
        <v>75</v>
      </c>
      <c r="S1191" s="114" t="n">
        <v>0</v>
      </c>
      <c r="T1191" t="n">
        <v>0</v>
      </c>
    </row>
    <row r="1192">
      <c r="A1192" t="inlineStr">
        <is>
          <t>ttJTrans</t>
        </is>
      </c>
      <c r="B1192" s="38" t="inlineStr">
        <is>
          <t>0-4006</t>
        </is>
      </c>
      <c r="C1192" t="inlineStr">
        <is>
          <t>EQ</t>
        </is>
      </c>
      <c r="E1192" t="inlineStr">
        <is>
          <t>EQ</t>
        </is>
      </c>
      <c r="G1192" s="42" t="inlineStr"/>
      <c r="H1192" s="127" t="n">
        <v>46145</v>
      </c>
      <c r="J1192" s="38" t="inlineStr">
        <is>
          <t>0-4006</t>
        </is>
      </c>
      <c r="K1192" t="inlineStr">
        <is>
          <t>TR260 2005 UTILITY BRAND TOOL VAN 2005 UTILITY BRAND TOOL VAN</t>
        </is>
      </c>
      <c r="L1192" t="n">
        <v>0</v>
      </c>
      <c r="M1192" t="n">
        <v>0</v>
      </c>
      <c r="O1192" t="inlineStr">
        <is>
          <t>TR260</t>
        </is>
      </c>
      <c r="Q1192" s="114" t="n">
        <v>0</v>
      </c>
      <c r="R1192" s="114" t="n">
        <v>75</v>
      </c>
      <c r="S1192" s="114" t="n">
        <v>0</v>
      </c>
      <c r="T1192" t="n">
        <v>0</v>
      </c>
    </row>
    <row r="1193">
      <c r="A1193" t="inlineStr">
        <is>
          <t>ttJTrans</t>
        </is>
      </c>
      <c r="B1193" s="38" t="inlineStr">
        <is>
          <t>0-4006</t>
        </is>
      </c>
      <c r="C1193" t="inlineStr">
        <is>
          <t>EQ</t>
        </is>
      </c>
      <c r="E1193" t="inlineStr">
        <is>
          <t>EQ</t>
        </is>
      </c>
      <c r="G1193" s="42" t="inlineStr"/>
      <c r="H1193" s="127" t="n">
        <v>46145</v>
      </c>
      <c r="J1193" s="38" t="inlineStr">
        <is>
          <t>0-4006</t>
        </is>
      </c>
      <c r="K1193" t="inlineStr">
        <is>
          <t>TR154 20' PARKER TRAILER #1000277 20' PARKER TRAILER #1000277</t>
        </is>
      </c>
      <c r="L1193" t="n">
        <v>0</v>
      </c>
      <c r="M1193" t="n">
        <v>0</v>
      </c>
      <c r="O1193" t="inlineStr">
        <is>
          <t>TR154</t>
        </is>
      </c>
      <c r="Q1193" s="114" t="n">
        <v>0</v>
      </c>
      <c r="R1193" s="114" t="n">
        <v>15</v>
      </c>
      <c r="S1193" s="114" t="n">
        <v>0</v>
      </c>
      <c r="T1193" t="n">
        <v>0</v>
      </c>
    </row>
    <row r="1194">
      <c r="A1194" t="inlineStr">
        <is>
          <t>ttJTrans</t>
        </is>
      </c>
      <c r="B1194" s="38" t="inlineStr">
        <is>
          <t>0-4006</t>
        </is>
      </c>
      <c r="C1194" t="inlineStr">
        <is>
          <t>EQ</t>
        </is>
      </c>
      <c r="E1194" t="inlineStr">
        <is>
          <t>EQ</t>
        </is>
      </c>
      <c r="G1194" s="42" t="inlineStr"/>
      <c r="H1194" s="127" t="n">
        <v>46145</v>
      </c>
      <c r="J1194" s="38" t="inlineStr">
        <is>
          <t>0-4006</t>
        </is>
      </c>
      <c r="K1194" t="inlineStr">
        <is>
          <t>TR154 20' PARKER TRAILER #1000277 20' PARKER TRAILER #1000277</t>
        </is>
      </c>
      <c r="L1194" t="n">
        <v>0</v>
      </c>
      <c r="M1194" t="n">
        <v>0</v>
      </c>
      <c r="O1194" t="inlineStr">
        <is>
          <t>TR154</t>
        </is>
      </c>
      <c r="Q1194" s="114" t="n">
        <v>0</v>
      </c>
      <c r="R1194" s="114" t="n">
        <v>15</v>
      </c>
      <c r="S1194" s="114" t="n">
        <v>0</v>
      </c>
      <c r="T1194" t="n">
        <v>0</v>
      </c>
    </row>
    <row r="1195">
      <c r="A1195" t="inlineStr">
        <is>
          <t>ttJTrans</t>
        </is>
      </c>
      <c r="B1195" s="38" t="inlineStr">
        <is>
          <t>0-4006</t>
        </is>
      </c>
      <c r="C1195" t="inlineStr">
        <is>
          <t>EQ</t>
        </is>
      </c>
      <c r="E1195" t="inlineStr">
        <is>
          <t>EQ</t>
        </is>
      </c>
      <c r="G1195" s="42" t="inlineStr"/>
      <c r="H1195" s="127" t="n">
        <v>46145</v>
      </c>
      <c r="J1195" s="38" t="inlineStr">
        <is>
          <t>0-4006</t>
        </is>
      </c>
      <c r="K1195" t="inlineStr">
        <is>
          <t>TR280 20' BIG TEX PI-20 20' BIG TEX PI-20</t>
        </is>
      </c>
      <c r="L1195" t="n">
        <v>0</v>
      </c>
      <c r="M1195" t="n">
        <v>0</v>
      </c>
      <c r="O1195" t="inlineStr">
        <is>
          <t>TR280</t>
        </is>
      </c>
      <c r="Q1195" s="114" t="n">
        <v>0</v>
      </c>
      <c r="R1195" s="114" t="n">
        <v>15</v>
      </c>
      <c r="S1195" s="114" t="n">
        <v>0</v>
      </c>
      <c r="T1195" t="n">
        <v>0</v>
      </c>
    </row>
    <row r="1196">
      <c r="A1196" t="inlineStr">
        <is>
          <t>ttJTrans</t>
        </is>
      </c>
      <c r="B1196" s="38" t="inlineStr">
        <is>
          <t>0-4006</t>
        </is>
      </c>
      <c r="C1196" t="inlineStr">
        <is>
          <t>EQ</t>
        </is>
      </c>
      <c r="E1196" t="inlineStr">
        <is>
          <t>EQ</t>
        </is>
      </c>
      <c r="G1196" s="42" t="inlineStr"/>
      <c r="H1196" s="127" t="n">
        <v>46145</v>
      </c>
      <c r="J1196" s="38" t="inlineStr">
        <is>
          <t>0-4006</t>
        </is>
      </c>
      <c r="K1196" t="inlineStr">
        <is>
          <t>TR280 20' BIG TEX PI-20 20' BIG TEX PI-20</t>
        </is>
      </c>
      <c r="L1196" t="n">
        <v>0</v>
      </c>
      <c r="M1196" t="n">
        <v>0</v>
      </c>
      <c r="O1196" t="inlineStr">
        <is>
          <t>TR280</t>
        </is>
      </c>
      <c r="Q1196" s="114" t="n">
        <v>0</v>
      </c>
      <c r="R1196" s="114" t="n">
        <v>15</v>
      </c>
      <c r="S1196" s="114" t="n">
        <v>0</v>
      </c>
      <c r="T1196" t="n">
        <v>0</v>
      </c>
    </row>
    <row r="1197">
      <c r="A1197" t="inlineStr">
        <is>
          <t>ttJTrans</t>
        </is>
      </c>
      <c r="B1197" s="38" t="inlineStr">
        <is>
          <t>0-4006</t>
        </is>
      </c>
      <c r="C1197" t="inlineStr">
        <is>
          <t>EQ</t>
        </is>
      </c>
      <c r="E1197" t="inlineStr">
        <is>
          <t>EQ</t>
        </is>
      </c>
      <c r="G1197" s="42" t="inlineStr"/>
      <c r="H1197" s="127" t="n">
        <v>46145</v>
      </c>
      <c r="J1197" s="38" t="inlineStr">
        <is>
          <t>0-4006</t>
        </is>
      </c>
      <c r="K1197" t="inlineStr">
        <is>
          <t>WHV001 2025 PETERBILT 589 SLEEPER CAB 2025 PETERBILT 589 SLEEPER CAB</t>
        </is>
      </c>
      <c r="L1197" t="n">
        <v>0</v>
      </c>
      <c r="M1197" t="n">
        <v>0</v>
      </c>
      <c r="O1197" t="inlineStr">
        <is>
          <t>WHV001</t>
        </is>
      </c>
      <c r="Q1197" s="114" t="n">
        <v>0</v>
      </c>
      <c r="R1197" s="114" t="n">
        <v>250</v>
      </c>
      <c r="S1197" s="114" t="n">
        <v>0</v>
      </c>
      <c r="T1197" t="n">
        <v>0</v>
      </c>
    </row>
    <row r="1198">
      <c r="A1198" t="inlineStr">
        <is>
          <t>ttJTrans</t>
        </is>
      </c>
      <c r="B1198" s="38" t="inlineStr">
        <is>
          <t>0-4006</t>
        </is>
      </c>
      <c r="C1198" t="inlineStr">
        <is>
          <t>EQ</t>
        </is>
      </c>
      <c r="E1198" t="inlineStr">
        <is>
          <t>EQ</t>
        </is>
      </c>
      <c r="G1198" s="42" t="inlineStr"/>
      <c r="H1198" s="127" t="n">
        <v>46145</v>
      </c>
      <c r="J1198" s="38" t="inlineStr">
        <is>
          <t>0-4006</t>
        </is>
      </c>
      <c r="K1198" t="inlineStr">
        <is>
          <t>WHV001 2025 PETERBILT 589 SLEEPER CAB 2025 PETERBILT 589 SLEEPER CAB</t>
        </is>
      </c>
      <c r="L1198" t="n">
        <v>0</v>
      </c>
      <c r="M1198" t="n">
        <v>0</v>
      </c>
      <c r="O1198" t="inlineStr">
        <is>
          <t>WHV001</t>
        </is>
      </c>
      <c r="Q1198" s="114" t="n">
        <v>0</v>
      </c>
      <c r="R1198" s="114" t="n">
        <v>250</v>
      </c>
      <c r="S1198" s="114" t="n">
        <v>0</v>
      </c>
      <c r="T1198" t="n">
        <v>0</v>
      </c>
    </row>
    <row r="1199">
      <c r="A1199" t="inlineStr">
        <is>
          <t>ttJTrans</t>
        </is>
      </c>
      <c r="B1199" s="38" t="inlineStr">
        <is>
          <t>0-4006</t>
        </is>
      </c>
      <c r="C1199" t="inlineStr">
        <is>
          <t>EQ</t>
        </is>
      </c>
      <c r="E1199" t="inlineStr">
        <is>
          <t>EQ</t>
        </is>
      </c>
      <c r="G1199" s="42" t="inlineStr"/>
      <c r="H1199" s="127" t="n">
        <v>46145</v>
      </c>
      <c r="J1199" s="38" t="inlineStr">
        <is>
          <t>0-4006</t>
        </is>
      </c>
      <c r="K1199" t="inlineStr">
        <is>
          <t>TR473 LANDOLL 53FT LOWBOY LANDOLL 53FT LOWBOY</t>
        </is>
      </c>
      <c r="L1199" t="n">
        <v>0</v>
      </c>
      <c r="M1199" t="n">
        <v>0</v>
      </c>
      <c r="O1199" t="inlineStr">
        <is>
          <t>TR473</t>
        </is>
      </c>
      <c r="Q1199" s="114" t="n">
        <v>0</v>
      </c>
      <c r="R1199" s="114" t="n">
        <v>0</v>
      </c>
      <c r="S1199" s="114" t="n">
        <v>0</v>
      </c>
      <c r="T1199" t="n">
        <v>0</v>
      </c>
    </row>
    <row r="1200">
      <c r="A1200" t="inlineStr">
        <is>
          <t>ttJTrans</t>
        </is>
      </c>
      <c r="B1200" s="38" t="inlineStr">
        <is>
          <t>0-4006</t>
        </is>
      </c>
      <c r="C1200" t="inlineStr">
        <is>
          <t>EQ</t>
        </is>
      </c>
      <c r="E1200" t="inlineStr">
        <is>
          <t>EQ</t>
        </is>
      </c>
      <c r="G1200" s="42" t="inlineStr"/>
      <c r="H1200" s="127" t="n">
        <v>46145</v>
      </c>
      <c r="J1200" s="38" t="inlineStr">
        <is>
          <t>0-4006</t>
        </is>
      </c>
      <c r="K1200" t="inlineStr">
        <is>
          <t>TR473 LANDOLL 53FT LOWBOY LANDOLL 53FT LOWBOY</t>
        </is>
      </c>
      <c r="L1200" t="n">
        <v>0</v>
      </c>
      <c r="M1200" t="n">
        <v>0</v>
      </c>
      <c r="O1200" t="inlineStr">
        <is>
          <t>TR473</t>
        </is>
      </c>
      <c r="Q1200" s="114" t="n">
        <v>0</v>
      </c>
      <c r="R1200" s="114" t="n">
        <v>0</v>
      </c>
      <c r="S1200" s="114" t="n">
        <v>0</v>
      </c>
      <c r="T1200" t="n">
        <v>0</v>
      </c>
    </row>
    <row r="1201">
      <c r="A1201" t="inlineStr">
        <is>
          <t>ttJTrans</t>
        </is>
      </c>
      <c r="B1201" s="38" t="inlineStr">
        <is>
          <t>0-4006</t>
        </is>
      </c>
      <c r="C1201" t="inlineStr">
        <is>
          <t>EQ</t>
        </is>
      </c>
      <c r="E1201" t="inlineStr">
        <is>
          <t>EQ</t>
        </is>
      </c>
      <c r="G1201" s="42" t="inlineStr"/>
      <c r="H1201" s="127" t="n">
        <v>46145</v>
      </c>
      <c r="J1201" s="38" t="inlineStr">
        <is>
          <t>0-4006</t>
        </is>
      </c>
      <c r="K1201" t="inlineStr">
        <is>
          <t>TR461 40' HIGH CUBE CONTAINERS 40' HIGH CUBE CONTAINERS</t>
        </is>
      </c>
      <c r="L1201" t="n">
        <v>0</v>
      </c>
      <c r="M1201" t="n">
        <v>0</v>
      </c>
      <c r="O1201" t="inlineStr">
        <is>
          <t>TR461</t>
        </is>
      </c>
      <c r="Q1201" s="114" t="n">
        <v>0</v>
      </c>
      <c r="R1201" s="114" t="n">
        <v>65</v>
      </c>
      <c r="S1201" s="114" t="n">
        <v>0</v>
      </c>
      <c r="T1201" t="n">
        <v>0</v>
      </c>
    </row>
    <row r="1202">
      <c r="A1202" t="inlineStr">
        <is>
          <t>ttJTrans</t>
        </is>
      </c>
      <c r="B1202" s="38" t="inlineStr">
        <is>
          <t>0-4006</t>
        </is>
      </c>
      <c r="C1202" t="inlineStr">
        <is>
          <t>EQ</t>
        </is>
      </c>
      <c r="E1202" t="inlineStr">
        <is>
          <t>EQ</t>
        </is>
      </c>
      <c r="G1202" s="42" t="inlineStr"/>
      <c r="H1202" s="127" t="n">
        <v>46145</v>
      </c>
      <c r="J1202" s="38" t="inlineStr">
        <is>
          <t>0-4006</t>
        </is>
      </c>
      <c r="K1202" t="inlineStr">
        <is>
          <t>TR461 40' HIGH CUBE CONTAINERS 40' HIGH CUBE CONTAINERS</t>
        </is>
      </c>
      <c r="L1202" t="n">
        <v>0</v>
      </c>
      <c r="M1202" t="n">
        <v>0</v>
      </c>
      <c r="O1202" t="inlineStr">
        <is>
          <t>TR461</t>
        </is>
      </c>
      <c r="Q1202" s="114" t="n">
        <v>0</v>
      </c>
      <c r="R1202" s="114" t="n">
        <v>65</v>
      </c>
      <c r="S1202" s="114" t="n">
        <v>0</v>
      </c>
      <c r="T1202" t="n">
        <v>0</v>
      </c>
    </row>
    <row r="1203">
      <c r="A1203" t="inlineStr">
        <is>
          <t>ttJTrans</t>
        </is>
      </c>
      <c r="B1203" s="38" t="inlineStr">
        <is>
          <t>0-4006</t>
        </is>
      </c>
      <c r="C1203" t="inlineStr">
        <is>
          <t>EQ</t>
        </is>
      </c>
      <c r="E1203" t="inlineStr">
        <is>
          <t>EQ</t>
        </is>
      </c>
      <c r="G1203" s="42" t="inlineStr"/>
      <c r="H1203" s="127" t="n">
        <v>46145</v>
      </c>
      <c r="J1203" s="38" t="inlineStr">
        <is>
          <t>0-4006</t>
        </is>
      </c>
      <c r="K1203" t="inlineStr">
        <is>
          <t>TR462 40' HIGH CUBE CONTAINERS 40' HIGH CUBE CONTAINERS</t>
        </is>
      </c>
      <c r="L1203" t="n">
        <v>0</v>
      </c>
      <c r="M1203" t="n">
        <v>0</v>
      </c>
      <c r="O1203" t="inlineStr">
        <is>
          <t>TR462</t>
        </is>
      </c>
      <c r="Q1203" s="114" t="n">
        <v>0</v>
      </c>
      <c r="R1203" s="114" t="n">
        <v>65</v>
      </c>
      <c r="S1203" s="114" t="n">
        <v>0</v>
      </c>
      <c r="T1203" t="n">
        <v>0</v>
      </c>
    </row>
    <row r="1204">
      <c r="A1204" t="inlineStr">
        <is>
          <t>ttJTrans</t>
        </is>
      </c>
      <c r="B1204" s="38" t="inlineStr">
        <is>
          <t>0-4006</t>
        </is>
      </c>
      <c r="C1204" t="inlineStr">
        <is>
          <t>EQ</t>
        </is>
      </c>
      <c r="E1204" t="inlineStr">
        <is>
          <t>EQ</t>
        </is>
      </c>
      <c r="G1204" s="42" t="inlineStr"/>
      <c r="H1204" s="127" t="n">
        <v>46145</v>
      </c>
      <c r="J1204" s="38" t="inlineStr">
        <is>
          <t>0-4006</t>
        </is>
      </c>
      <c r="K1204" t="inlineStr">
        <is>
          <t>TR462 40' HIGH CUBE CONTAINERS 40' HIGH CUBE CONTAINERS</t>
        </is>
      </c>
      <c r="L1204" t="n">
        <v>0</v>
      </c>
      <c r="M1204" t="n">
        <v>0</v>
      </c>
      <c r="O1204" t="inlineStr">
        <is>
          <t>TR462</t>
        </is>
      </c>
      <c r="Q1204" s="114" t="n">
        <v>0</v>
      </c>
      <c r="R1204" s="114" t="n">
        <v>65</v>
      </c>
      <c r="S1204" s="114" t="n">
        <v>0</v>
      </c>
      <c r="T1204" t="n">
        <v>0</v>
      </c>
    </row>
    <row r="1205">
      <c r="A1205" t="inlineStr">
        <is>
          <t>ttJTrans</t>
        </is>
      </c>
      <c r="B1205" s="38" t="inlineStr">
        <is>
          <t>0-4006</t>
        </is>
      </c>
      <c r="C1205" t="inlineStr">
        <is>
          <t>EQ</t>
        </is>
      </c>
      <c r="E1205" t="inlineStr">
        <is>
          <t>EQ</t>
        </is>
      </c>
      <c r="G1205" s="42" t="inlineStr"/>
      <c r="H1205" s="127" t="n">
        <v>46145</v>
      </c>
      <c r="J1205" s="38" t="inlineStr">
        <is>
          <t>0-4006</t>
        </is>
      </c>
      <c r="K1205" t="inlineStr">
        <is>
          <t>TR463 40' HIGH CUBE CONTAINERS 40' HIGH CUBE CONTAINERS</t>
        </is>
      </c>
      <c r="L1205" t="n">
        <v>0</v>
      </c>
      <c r="M1205" t="n">
        <v>0</v>
      </c>
      <c r="O1205" t="inlineStr">
        <is>
          <t>TR463</t>
        </is>
      </c>
      <c r="Q1205" s="114" t="n">
        <v>0</v>
      </c>
      <c r="R1205" s="114" t="n">
        <v>65</v>
      </c>
      <c r="S1205" s="114" t="n">
        <v>0</v>
      </c>
      <c r="T1205" t="n">
        <v>0</v>
      </c>
    </row>
    <row r="1206">
      <c r="A1206" t="inlineStr">
        <is>
          <t>ttJTrans</t>
        </is>
      </c>
      <c r="B1206" s="38" t="inlineStr">
        <is>
          <t>0-4006</t>
        </is>
      </c>
      <c r="C1206" t="inlineStr">
        <is>
          <t>EQ</t>
        </is>
      </c>
      <c r="E1206" t="inlineStr">
        <is>
          <t>EQ</t>
        </is>
      </c>
      <c r="G1206" s="42" t="inlineStr"/>
      <c r="H1206" s="127" t="n">
        <v>46145</v>
      </c>
      <c r="J1206" s="38" t="inlineStr">
        <is>
          <t>0-4006</t>
        </is>
      </c>
      <c r="K1206" t="inlineStr">
        <is>
          <t>TR463 40' HIGH CUBE CONTAINERS 40' HIGH CUBE CONTAINERS</t>
        </is>
      </c>
      <c r="L1206" t="n">
        <v>0</v>
      </c>
      <c r="M1206" t="n">
        <v>0</v>
      </c>
      <c r="O1206" t="inlineStr">
        <is>
          <t>TR463</t>
        </is>
      </c>
      <c r="Q1206" s="114" t="n">
        <v>0</v>
      </c>
      <c r="R1206" s="114" t="n">
        <v>65</v>
      </c>
      <c r="S1206" s="114" t="n">
        <v>0</v>
      </c>
      <c r="T1206" t="n">
        <v>0</v>
      </c>
    </row>
    <row r="1207">
      <c r="A1207" t="inlineStr">
        <is>
          <t>ttJTrans</t>
        </is>
      </c>
      <c r="B1207" s="38" t="inlineStr">
        <is>
          <t>0-4006</t>
        </is>
      </c>
      <c r="C1207" t="inlineStr">
        <is>
          <t>EQ</t>
        </is>
      </c>
      <c r="E1207" t="inlineStr">
        <is>
          <t>EQ</t>
        </is>
      </c>
      <c r="G1207" s="42" t="inlineStr"/>
      <c r="H1207" s="127" t="n">
        <v>46145</v>
      </c>
      <c r="J1207" s="38" t="inlineStr">
        <is>
          <t>0-4006</t>
        </is>
      </c>
      <c r="K1207" t="inlineStr">
        <is>
          <t>TR464 40' HIGH CUBE CONTAINERS 40' HIGH CUBE CONTAINERS</t>
        </is>
      </c>
      <c r="L1207" t="n">
        <v>0</v>
      </c>
      <c r="M1207" t="n">
        <v>0</v>
      </c>
      <c r="O1207" t="inlineStr">
        <is>
          <t>TR464</t>
        </is>
      </c>
      <c r="Q1207" s="114" t="n">
        <v>0</v>
      </c>
      <c r="R1207" s="114" t="n">
        <v>65</v>
      </c>
      <c r="S1207" s="114" t="n">
        <v>0</v>
      </c>
      <c r="T1207" t="n">
        <v>0</v>
      </c>
    </row>
    <row r="1208">
      <c r="A1208" t="inlineStr">
        <is>
          <t>ttJTrans</t>
        </is>
      </c>
      <c r="B1208" s="38" t="inlineStr">
        <is>
          <t>0-4006</t>
        </is>
      </c>
      <c r="C1208" t="inlineStr">
        <is>
          <t>EQ</t>
        </is>
      </c>
      <c r="E1208" t="inlineStr">
        <is>
          <t>EQ</t>
        </is>
      </c>
      <c r="G1208" s="42" t="inlineStr"/>
      <c r="H1208" s="127" t="n">
        <v>46145</v>
      </c>
      <c r="J1208" s="38" t="inlineStr">
        <is>
          <t>0-4006</t>
        </is>
      </c>
      <c r="K1208" t="inlineStr">
        <is>
          <t>TR464 40' HIGH CUBE CONTAINERS 40' HIGH CUBE CONTAINERS</t>
        </is>
      </c>
      <c r="L1208" t="n">
        <v>0</v>
      </c>
      <c r="M1208" t="n">
        <v>0</v>
      </c>
      <c r="O1208" t="inlineStr">
        <is>
          <t>TR464</t>
        </is>
      </c>
      <c r="Q1208" s="114" t="n">
        <v>0</v>
      </c>
      <c r="R1208" s="114" t="n">
        <v>65</v>
      </c>
      <c r="S1208" s="114" t="n">
        <v>0</v>
      </c>
      <c r="T1208" t="n">
        <v>0</v>
      </c>
    </row>
    <row r="1209">
      <c r="A1209" t="inlineStr">
        <is>
          <t>ttJTrans</t>
        </is>
      </c>
      <c r="B1209" s="38" t="inlineStr">
        <is>
          <t>0-4006</t>
        </is>
      </c>
      <c r="C1209" t="inlineStr">
        <is>
          <t>EQ</t>
        </is>
      </c>
      <c r="E1209" t="inlineStr">
        <is>
          <t>EQ</t>
        </is>
      </c>
      <c r="G1209" s="42" t="inlineStr"/>
      <c r="H1209" s="127" t="n">
        <v>46145</v>
      </c>
      <c r="J1209" s="38" t="inlineStr">
        <is>
          <t>0-4006</t>
        </is>
      </c>
      <c r="K1209" t="inlineStr">
        <is>
          <t>TR456 40' DOUBLE DOOR CONTAINER 40' DOUBLE DOOR CONTAINER</t>
        </is>
      </c>
      <c r="L1209" t="n">
        <v>0</v>
      </c>
      <c r="M1209" t="n">
        <v>0</v>
      </c>
      <c r="O1209" t="inlineStr">
        <is>
          <t>TR456</t>
        </is>
      </c>
      <c r="Q1209" s="114" t="n">
        <v>0</v>
      </c>
      <c r="R1209" s="114" t="n">
        <v>65</v>
      </c>
      <c r="S1209" s="114" t="n">
        <v>0</v>
      </c>
      <c r="T1209" t="n">
        <v>0</v>
      </c>
    </row>
    <row r="1210">
      <c r="A1210" t="inlineStr">
        <is>
          <t>ttJTrans</t>
        </is>
      </c>
      <c r="B1210" s="38" t="inlineStr">
        <is>
          <t>0-4006</t>
        </is>
      </c>
      <c r="C1210" t="inlineStr">
        <is>
          <t>EQ</t>
        </is>
      </c>
      <c r="E1210" t="inlineStr">
        <is>
          <t>EQ</t>
        </is>
      </c>
      <c r="G1210" s="42" t="inlineStr"/>
      <c r="H1210" s="127" t="n">
        <v>46145</v>
      </c>
      <c r="J1210" s="38" t="inlineStr">
        <is>
          <t>0-4006</t>
        </is>
      </c>
      <c r="K1210" t="inlineStr">
        <is>
          <t>TR456 40' DOUBLE DOOR CONTAINER 40' DOUBLE DOOR CONTAINER</t>
        </is>
      </c>
      <c r="L1210" t="n">
        <v>0</v>
      </c>
      <c r="M1210" t="n">
        <v>0</v>
      </c>
      <c r="O1210" t="inlineStr">
        <is>
          <t>TR456</t>
        </is>
      </c>
      <c r="Q1210" s="114" t="n">
        <v>0</v>
      </c>
      <c r="R1210" s="114" t="n">
        <v>65</v>
      </c>
      <c r="S1210" s="114" t="n">
        <v>0</v>
      </c>
      <c r="T1210" t="n">
        <v>0</v>
      </c>
    </row>
    <row r="1211">
      <c r="A1211" t="inlineStr">
        <is>
          <t>ttJTrans</t>
        </is>
      </c>
      <c r="B1211" s="38" t="inlineStr">
        <is>
          <t>0-4006</t>
        </is>
      </c>
      <c r="C1211" t="inlineStr">
        <is>
          <t>EQ</t>
        </is>
      </c>
      <c r="E1211" t="inlineStr">
        <is>
          <t>EQ</t>
        </is>
      </c>
      <c r="G1211" s="42" t="inlineStr"/>
      <c r="H1211" s="127" t="n">
        <v>46145</v>
      </c>
      <c r="J1211" s="38" t="inlineStr">
        <is>
          <t>0-4006</t>
        </is>
      </c>
      <c r="K1211" t="inlineStr">
        <is>
          <t>WTL002 2025 55 TON GOOSENECK EAGER BEAVER LOWBOY 2025 55 TON GOOSENECK EAGER BEAVER LOWBOY</t>
        </is>
      </c>
      <c r="L1211" t="n">
        <v>0</v>
      </c>
      <c r="M1211" t="n">
        <v>0</v>
      </c>
      <c r="O1211" t="inlineStr">
        <is>
          <t>WTL002</t>
        </is>
      </c>
      <c r="Q1211" s="114" t="n">
        <v>0</v>
      </c>
      <c r="R1211" s="114" t="n">
        <v>55</v>
      </c>
      <c r="S1211" s="114" t="n">
        <v>0</v>
      </c>
      <c r="T1211" t="n">
        <v>0</v>
      </c>
    </row>
    <row r="1212">
      <c r="A1212" t="inlineStr">
        <is>
          <t>ttJTrans</t>
        </is>
      </c>
      <c r="B1212" s="38" t="inlineStr">
        <is>
          <t>0-4006</t>
        </is>
      </c>
      <c r="C1212" t="inlineStr">
        <is>
          <t>EQ</t>
        </is>
      </c>
      <c r="E1212" t="inlineStr">
        <is>
          <t>EQ</t>
        </is>
      </c>
      <c r="G1212" s="42" t="inlineStr"/>
      <c r="H1212" s="127" t="n">
        <v>46145</v>
      </c>
      <c r="J1212" s="38" t="inlineStr">
        <is>
          <t>0-4006</t>
        </is>
      </c>
      <c r="K1212" t="inlineStr">
        <is>
          <t>WTL002 2025 55 TON GOOSENECK EAGER BEAVER LOWBOY 2025 55 TON GOOSENECK EAGER BEAVER LOWBOY</t>
        </is>
      </c>
      <c r="L1212" t="n">
        <v>0</v>
      </c>
      <c r="M1212" t="n">
        <v>0</v>
      </c>
      <c r="O1212" t="inlineStr">
        <is>
          <t>WTL002</t>
        </is>
      </c>
      <c r="Q1212" s="114" t="n">
        <v>0</v>
      </c>
      <c r="R1212" s="114" t="n">
        <v>55</v>
      </c>
      <c r="S1212" s="114" t="n">
        <v>0</v>
      </c>
      <c r="T1212" t="n">
        <v>0</v>
      </c>
    </row>
    <row r="1213">
      <c r="A1213" t="inlineStr">
        <is>
          <t>ttJTrans</t>
        </is>
      </c>
      <c r="B1213" s="38" t="inlineStr">
        <is>
          <t>0-4006</t>
        </is>
      </c>
      <c r="C1213" t="inlineStr">
        <is>
          <t>EQ</t>
        </is>
      </c>
      <c r="E1213" t="inlineStr">
        <is>
          <t>EQ</t>
        </is>
      </c>
      <c r="G1213" s="42" t="inlineStr"/>
      <c r="H1213" s="127" t="n">
        <v>46145</v>
      </c>
      <c r="J1213" s="38" t="inlineStr">
        <is>
          <t>0-4006</t>
        </is>
      </c>
      <c r="K1213" t="inlineStr">
        <is>
          <t>WLD133 JCB 512-56 12K TELEHANDLER W/ 96" PALLET FORKS 	JCB 512-56 12K TELEHANDLER W/ 96" PALLET FORKS</t>
        </is>
      </c>
      <c r="L1213" t="n">
        <v>0</v>
      </c>
      <c r="M1213" t="n">
        <v>0</v>
      </c>
      <c r="O1213" t="inlineStr">
        <is>
          <t>WLD133</t>
        </is>
      </c>
      <c r="Q1213" s="114" t="n">
        <v>0</v>
      </c>
      <c r="R1213" s="114" t="n">
        <v>259.22</v>
      </c>
      <c r="S1213" s="114" t="n">
        <v>0</v>
      </c>
      <c r="T1213" t="n">
        <v>0</v>
      </c>
    </row>
    <row r="1214">
      <c r="A1214" t="inlineStr">
        <is>
          <t>ttJTrans</t>
        </is>
      </c>
      <c r="B1214" s="38" t="inlineStr">
        <is>
          <t>0-4006</t>
        </is>
      </c>
      <c r="C1214" t="inlineStr">
        <is>
          <t>EQ</t>
        </is>
      </c>
      <c r="E1214" t="inlineStr">
        <is>
          <t>EQ</t>
        </is>
      </c>
      <c r="G1214" s="42" t="inlineStr"/>
      <c r="H1214" s="127" t="n">
        <v>46145</v>
      </c>
      <c r="J1214" s="38" t="inlineStr">
        <is>
          <t>0-4006</t>
        </is>
      </c>
      <c r="K1214" t="inlineStr">
        <is>
          <t>WLD133 JCB 512-56 12K TELEHANDLER W/ 96" PALLET FORKS 	JCB 512-56 12K TELEHANDLER W/ 96" PALLET FORKS</t>
        </is>
      </c>
      <c r="L1214" t="n">
        <v>0</v>
      </c>
      <c r="M1214" t="n">
        <v>0</v>
      </c>
      <c r="O1214" t="inlineStr">
        <is>
          <t>WLD133</t>
        </is>
      </c>
      <c r="Q1214" s="114" t="n">
        <v>0</v>
      </c>
      <c r="R1214" s="114" t="n">
        <v>259.22</v>
      </c>
      <c r="S1214" s="114" t="n">
        <v>0</v>
      </c>
      <c r="T1214" t="n">
        <v>0</v>
      </c>
    </row>
    <row r="1215">
      <c r="A1215" t="inlineStr">
        <is>
          <t>ttJTrans</t>
        </is>
      </c>
      <c r="B1215" s="38" t="inlineStr">
        <is>
          <t>0-4006</t>
        </is>
      </c>
      <c r="C1215" t="inlineStr">
        <is>
          <t>EQ</t>
        </is>
      </c>
      <c r="E1215" t="inlineStr">
        <is>
          <t>EQ</t>
        </is>
      </c>
      <c r="G1215" s="42" t="inlineStr"/>
      <c r="H1215" s="127" t="n">
        <v>46145</v>
      </c>
      <c r="J1215" s="38" t="inlineStr">
        <is>
          <t>0-4006</t>
        </is>
      </c>
      <c r="K1215" t="inlineStr">
        <is>
          <t>RT1242 2022 RAM 2500 TRADESMAN 4X4 CREW 8FT BED GAS 2022 RAM 2500 TRADESMAN 4X4 CREW 8FT BED GAS</t>
        </is>
      </c>
      <c r="L1215" t="n">
        <v>0</v>
      </c>
      <c r="M1215" t="n">
        <v>0</v>
      </c>
      <c r="O1215" t="inlineStr">
        <is>
          <t>RT1242</t>
        </is>
      </c>
      <c r="Q1215" s="114" t="n">
        <v>0</v>
      </c>
      <c r="R1215" s="114" t="n">
        <v>79.14</v>
      </c>
      <c r="S1215" s="114" t="n">
        <v>0</v>
      </c>
      <c r="T1215" t="n">
        <v>0</v>
      </c>
    </row>
    <row r="1216">
      <c r="A1216" t="inlineStr">
        <is>
          <t>ttJTrans</t>
        </is>
      </c>
      <c r="B1216" s="38" t="inlineStr">
        <is>
          <t>0-4006</t>
        </is>
      </c>
      <c r="C1216" t="inlineStr">
        <is>
          <t>EQ</t>
        </is>
      </c>
      <c r="E1216" t="inlineStr">
        <is>
          <t>EQ</t>
        </is>
      </c>
      <c r="G1216" s="42" t="inlineStr"/>
      <c r="H1216" s="127" t="n">
        <v>46145</v>
      </c>
      <c r="J1216" s="38" t="inlineStr">
        <is>
          <t>0-4006</t>
        </is>
      </c>
      <c r="K1216" t="inlineStr">
        <is>
          <t>RT1242 2022 RAM 2500 TRADESMAN 4X4 CREW 8FT BED GAS 2022 RAM 2500 TRADESMAN 4X4 CREW 8FT BED GAS</t>
        </is>
      </c>
      <c r="L1216" t="n">
        <v>0</v>
      </c>
      <c r="M1216" t="n">
        <v>0</v>
      </c>
      <c r="O1216" t="inlineStr">
        <is>
          <t>RT1242</t>
        </is>
      </c>
      <c r="Q1216" s="114" t="n">
        <v>0</v>
      </c>
      <c r="R1216" s="114" t="n">
        <v>79.14</v>
      </c>
      <c r="S1216" s="114" t="n">
        <v>0</v>
      </c>
      <c r="T1216" t="n">
        <v>0</v>
      </c>
    </row>
    <row r="1217">
      <c r="A1217" t="inlineStr">
        <is>
          <t>ttJTrans</t>
        </is>
      </c>
      <c r="B1217" s="38" t="inlineStr">
        <is>
          <t>0-4006</t>
        </is>
      </c>
      <c r="C1217" t="inlineStr">
        <is>
          <t>EQ</t>
        </is>
      </c>
      <c r="E1217" t="inlineStr">
        <is>
          <t>EQ</t>
        </is>
      </c>
      <c r="G1217" s="42" t="inlineStr"/>
      <c r="H1217" s="127" t="n">
        <v>46145</v>
      </c>
      <c r="J1217" s="38" t="inlineStr">
        <is>
          <t>0-4006</t>
        </is>
      </c>
      <c r="K1217" t="inlineStr">
        <is>
          <t>TR436 40' CONTAINER 40' CONTAINER</t>
        </is>
      </c>
      <c r="L1217" t="n">
        <v>0</v>
      </c>
      <c r="M1217" t="n">
        <v>0</v>
      </c>
      <c r="O1217" t="inlineStr">
        <is>
          <t>TR436</t>
        </is>
      </c>
      <c r="Q1217" s="114" t="n">
        <v>0</v>
      </c>
      <c r="R1217" s="114" t="n">
        <v>65</v>
      </c>
      <c r="S1217" s="114" t="n">
        <v>0</v>
      </c>
      <c r="T1217" t="n">
        <v>0</v>
      </c>
    </row>
    <row r="1218">
      <c r="A1218" t="inlineStr">
        <is>
          <t>ttJTrans</t>
        </is>
      </c>
      <c r="B1218" s="38" t="inlineStr">
        <is>
          <t>0-4006</t>
        </is>
      </c>
      <c r="C1218" t="inlineStr">
        <is>
          <t>EQ</t>
        </is>
      </c>
      <c r="E1218" t="inlineStr">
        <is>
          <t>EQ</t>
        </is>
      </c>
      <c r="G1218" s="42" t="inlineStr"/>
      <c r="H1218" s="127" t="n">
        <v>46145</v>
      </c>
      <c r="J1218" s="38" t="inlineStr">
        <is>
          <t>0-4006</t>
        </is>
      </c>
      <c r="K1218" t="inlineStr">
        <is>
          <t>TR436 40' CONTAINER 40' CONTAINER</t>
        </is>
      </c>
      <c r="L1218" t="n">
        <v>0</v>
      </c>
      <c r="M1218" t="n">
        <v>0</v>
      </c>
      <c r="O1218" t="inlineStr">
        <is>
          <t>TR436</t>
        </is>
      </c>
      <c r="Q1218" s="114" t="n">
        <v>0</v>
      </c>
      <c r="R1218" s="114" t="n">
        <v>65</v>
      </c>
      <c r="S1218" s="114" t="n">
        <v>0</v>
      </c>
      <c r="T1218" t="n">
        <v>0</v>
      </c>
    </row>
    <row r="1219">
      <c r="A1219" t="inlineStr">
        <is>
          <t>ttJTrans</t>
        </is>
      </c>
      <c r="B1219" s="38" t="inlineStr">
        <is>
          <t>0-4006</t>
        </is>
      </c>
      <c r="C1219" t="inlineStr">
        <is>
          <t>EQ</t>
        </is>
      </c>
      <c r="E1219" t="inlineStr">
        <is>
          <t>EQ</t>
        </is>
      </c>
      <c r="G1219" s="42" t="inlineStr"/>
      <c r="H1219" s="127" t="n">
        <v>46152</v>
      </c>
      <c r="J1219" s="38" t="inlineStr">
        <is>
          <t>0-4006</t>
        </is>
      </c>
      <c r="K1219" t="inlineStr">
        <is>
          <t>TR419 LONESTAR 6.5X16' ENCLOSED CARGO TRAILER LONESTAR 6.5X16' ENCLOSED CARGO TRAILER</t>
        </is>
      </c>
      <c r="L1219" t="n">
        <v>0</v>
      </c>
      <c r="M1219" t="n">
        <v>0</v>
      </c>
      <c r="O1219" t="inlineStr">
        <is>
          <t>TR419</t>
        </is>
      </c>
      <c r="Q1219" s="114" t="n">
        <v>0</v>
      </c>
      <c r="R1219" s="114" t="n">
        <v>65</v>
      </c>
      <c r="S1219" s="114" t="n">
        <v>0</v>
      </c>
      <c r="T1219" t="n">
        <v>0</v>
      </c>
    </row>
    <row r="1220">
      <c r="A1220" t="inlineStr">
        <is>
          <t>ttJTrans</t>
        </is>
      </c>
      <c r="B1220" s="38" t="inlineStr">
        <is>
          <t>0-4006</t>
        </is>
      </c>
      <c r="C1220" t="inlineStr">
        <is>
          <t>EQ</t>
        </is>
      </c>
      <c r="E1220" t="inlineStr">
        <is>
          <t>EQ</t>
        </is>
      </c>
      <c r="G1220" s="42" t="inlineStr"/>
      <c r="H1220" s="127" t="n">
        <v>46152</v>
      </c>
      <c r="J1220" s="38" t="inlineStr">
        <is>
          <t>0-4006</t>
        </is>
      </c>
      <c r="K1220" t="inlineStr">
        <is>
          <t>TR419 LONESTAR 6.5X16' ENCLOSED CARGO TRAILER LONESTAR 6.5X16' ENCLOSED CARGO TRAILER</t>
        </is>
      </c>
      <c r="L1220" t="n">
        <v>0</v>
      </c>
      <c r="M1220" t="n">
        <v>0</v>
      </c>
      <c r="O1220" t="inlineStr">
        <is>
          <t>TR419</t>
        </is>
      </c>
      <c r="Q1220" s="114" t="n">
        <v>0</v>
      </c>
      <c r="R1220" s="114" t="n">
        <v>65</v>
      </c>
      <c r="S1220" s="114" t="n">
        <v>0</v>
      </c>
      <c r="T1220" t="n">
        <v>0</v>
      </c>
    </row>
    <row r="1221">
      <c r="A1221" t="inlineStr">
        <is>
          <t>ttJTrans</t>
        </is>
      </c>
      <c r="B1221" s="38" t="inlineStr">
        <is>
          <t>0-4006</t>
        </is>
      </c>
      <c r="C1221" t="inlineStr">
        <is>
          <t>EQ</t>
        </is>
      </c>
      <c r="E1221" t="inlineStr">
        <is>
          <t>EQ</t>
        </is>
      </c>
      <c r="G1221" s="42" t="inlineStr"/>
      <c r="H1221" s="127" t="n">
        <v>46152</v>
      </c>
      <c r="J1221" s="38" t="inlineStr">
        <is>
          <t>0-4006</t>
        </is>
      </c>
      <c r="K1221" t="inlineStr">
        <is>
          <t>TR419 LONESTAR 6.5X16' ENCLOSED CARGO TRAILER LONESTAR 6.5X16' ENCLOSED CARGO TRAILER</t>
        </is>
      </c>
      <c r="L1221" t="n">
        <v>0</v>
      </c>
      <c r="M1221" t="n">
        <v>0</v>
      </c>
      <c r="O1221" t="inlineStr">
        <is>
          <t>TR419</t>
        </is>
      </c>
      <c r="Q1221" s="114" t="n">
        <v>0</v>
      </c>
      <c r="R1221" s="114" t="n">
        <v>65</v>
      </c>
      <c r="S1221" s="114" t="n">
        <v>0</v>
      </c>
      <c r="T1221" t="n">
        <v>0</v>
      </c>
    </row>
    <row r="1222">
      <c r="A1222" t="inlineStr">
        <is>
          <t>ttJTrans</t>
        </is>
      </c>
      <c r="B1222" s="38" t="inlineStr">
        <is>
          <t>0-4006</t>
        </is>
      </c>
      <c r="C1222" t="inlineStr">
        <is>
          <t>EQ</t>
        </is>
      </c>
      <c r="E1222" t="inlineStr">
        <is>
          <t>EQ</t>
        </is>
      </c>
      <c r="G1222" s="42" t="inlineStr"/>
      <c r="H1222" s="127" t="n">
        <v>46152</v>
      </c>
      <c r="J1222" s="38" t="inlineStr">
        <is>
          <t>0-4006</t>
        </is>
      </c>
      <c r="K1222" t="inlineStr">
        <is>
          <t>TR419 LONESTAR 6.5X16' ENCLOSED CARGO TRAILER LONESTAR 6.5X16' ENCLOSED CARGO TRAILER</t>
        </is>
      </c>
      <c r="L1222" t="n">
        <v>0</v>
      </c>
      <c r="M1222" t="n">
        <v>0</v>
      </c>
      <c r="O1222" t="inlineStr">
        <is>
          <t>TR419</t>
        </is>
      </c>
      <c r="Q1222" s="114" t="n">
        <v>0</v>
      </c>
      <c r="R1222" s="114" t="n">
        <v>65</v>
      </c>
      <c r="S1222" s="114" t="n">
        <v>0</v>
      </c>
      <c r="T1222" t="n">
        <v>0</v>
      </c>
    </row>
    <row r="1223">
      <c r="A1223" t="inlineStr">
        <is>
          <t>ttJTrans</t>
        </is>
      </c>
      <c r="B1223" s="38" t="inlineStr">
        <is>
          <t>0-4006</t>
        </is>
      </c>
      <c r="C1223" t="inlineStr">
        <is>
          <t>EQ</t>
        </is>
      </c>
      <c r="E1223" t="inlineStr">
        <is>
          <t>EQ</t>
        </is>
      </c>
      <c r="G1223" s="42" t="inlineStr"/>
      <c r="H1223" s="127" t="n">
        <v>46152</v>
      </c>
      <c r="J1223" s="38" t="inlineStr">
        <is>
          <t>0-4006</t>
        </is>
      </c>
      <c r="K1223" t="inlineStr">
        <is>
          <t>TR419 LONESTAR 6.5X16' ENCLOSED CARGO TRAILER LONESTAR 6.5X16' ENCLOSED CARGO TRAILER</t>
        </is>
      </c>
      <c r="L1223" t="n">
        <v>0</v>
      </c>
      <c r="M1223" t="n">
        <v>0</v>
      </c>
      <c r="O1223" t="inlineStr">
        <is>
          <t>TR419</t>
        </is>
      </c>
      <c r="Q1223" s="114" t="n">
        <v>0</v>
      </c>
      <c r="R1223" s="114" t="n">
        <v>65</v>
      </c>
      <c r="S1223" s="114" t="n">
        <v>0</v>
      </c>
      <c r="T1223" t="n">
        <v>0</v>
      </c>
    </row>
    <row r="1224">
      <c r="A1224" t="inlineStr">
        <is>
          <t>ttJTrans</t>
        </is>
      </c>
      <c r="B1224" s="38" t="inlineStr">
        <is>
          <t>0-4006</t>
        </is>
      </c>
      <c r="C1224" t="inlineStr">
        <is>
          <t>EQ</t>
        </is>
      </c>
      <c r="E1224" t="inlineStr">
        <is>
          <t>EQ</t>
        </is>
      </c>
      <c r="G1224" s="42" t="inlineStr"/>
      <c r="H1224" s="127" t="n">
        <v>46152</v>
      </c>
      <c r="J1224" s="38" t="inlineStr">
        <is>
          <t>0-4006</t>
        </is>
      </c>
      <c r="K1224" t="inlineStr">
        <is>
          <t>TR419 LONESTAR 6.5X16' ENCLOSED CARGO TRAILER LONESTAR 6.5X16' ENCLOSED CARGO TRAILER</t>
        </is>
      </c>
      <c r="L1224" t="n">
        <v>0</v>
      </c>
      <c r="M1224" t="n">
        <v>0</v>
      </c>
      <c r="O1224" t="inlineStr">
        <is>
          <t>TR419</t>
        </is>
      </c>
      <c r="Q1224" s="114" t="n">
        <v>0</v>
      </c>
      <c r="R1224" s="114" t="n">
        <v>65</v>
      </c>
      <c r="S1224" s="114" t="n">
        <v>0</v>
      </c>
      <c r="T1224" t="n">
        <v>0</v>
      </c>
    </row>
    <row r="1225">
      <c r="A1225" t="inlineStr">
        <is>
          <t>ttJTrans</t>
        </is>
      </c>
      <c r="B1225" s="38" t="inlineStr">
        <is>
          <t>0-4006</t>
        </is>
      </c>
      <c r="C1225" t="inlineStr">
        <is>
          <t>EQ</t>
        </is>
      </c>
      <c r="E1225" t="inlineStr">
        <is>
          <t>EQ</t>
        </is>
      </c>
      <c r="G1225" s="42" t="inlineStr"/>
      <c r="H1225" s="127" t="n">
        <v>46152</v>
      </c>
      <c r="J1225" s="38" t="inlineStr">
        <is>
          <t>0-4006</t>
        </is>
      </c>
      <c r="K1225" t="inlineStr">
        <is>
          <t>RT1344 2023 FORD F250 XL STX 4X4 DIESEL 2023 FORD F250 XL STX 4X4 DIESEL</t>
        </is>
      </c>
      <c r="L1225" t="n">
        <v>0</v>
      </c>
      <c r="M1225" t="n">
        <v>0</v>
      </c>
      <c r="O1225" t="inlineStr">
        <is>
          <t>RT1344</t>
        </is>
      </c>
      <c r="Q1225" s="114" t="n">
        <v>0</v>
      </c>
      <c r="R1225" s="114" t="n">
        <v>79.14</v>
      </c>
      <c r="S1225" s="114" t="n">
        <v>0</v>
      </c>
      <c r="T1225" t="n">
        <v>0</v>
      </c>
    </row>
    <row r="1226">
      <c r="A1226" t="inlineStr">
        <is>
          <t>ttJTrans</t>
        </is>
      </c>
      <c r="B1226" s="38" t="inlineStr">
        <is>
          <t>0-4006</t>
        </is>
      </c>
      <c r="C1226" t="inlineStr">
        <is>
          <t>EQ</t>
        </is>
      </c>
      <c r="E1226" t="inlineStr">
        <is>
          <t>EQ</t>
        </is>
      </c>
      <c r="G1226" s="42" t="inlineStr"/>
      <c r="H1226" s="127" t="n">
        <v>46152</v>
      </c>
      <c r="J1226" s="38" t="inlineStr">
        <is>
          <t>0-4006</t>
        </is>
      </c>
      <c r="K1226" t="inlineStr">
        <is>
          <t>RT1344 2023 FORD F250 XL STX 4X4 DIESEL 2023 FORD F250 XL STX 4X4 DIESEL</t>
        </is>
      </c>
      <c r="L1226" t="n">
        <v>0</v>
      </c>
      <c r="M1226" t="n">
        <v>0</v>
      </c>
      <c r="O1226" t="inlineStr">
        <is>
          <t>RT1344</t>
        </is>
      </c>
      <c r="Q1226" s="114" t="n">
        <v>0</v>
      </c>
      <c r="R1226" s="114" t="n">
        <v>79.14</v>
      </c>
      <c r="S1226" s="114" t="n">
        <v>0</v>
      </c>
      <c r="T1226" t="n">
        <v>0</v>
      </c>
    </row>
    <row r="1227">
      <c r="A1227" t="inlineStr">
        <is>
          <t>ttJTrans</t>
        </is>
      </c>
      <c r="B1227" s="38" t="inlineStr">
        <is>
          <t>0-4006</t>
        </is>
      </c>
      <c r="C1227" t="inlineStr">
        <is>
          <t>EQ</t>
        </is>
      </c>
      <c r="E1227" t="inlineStr">
        <is>
          <t>EQ</t>
        </is>
      </c>
      <c r="G1227" s="42" t="inlineStr"/>
      <c r="H1227" s="127" t="n">
        <v>46152</v>
      </c>
      <c r="J1227" s="38" t="inlineStr">
        <is>
          <t>0-4006</t>
        </is>
      </c>
      <c r="K1227" t="inlineStr">
        <is>
          <t>RT1344 2023 FORD F250 XL STX 4X4 DIESEL 2023 FORD F250 XL STX 4X4 DIESEL</t>
        </is>
      </c>
      <c r="L1227" t="n">
        <v>0</v>
      </c>
      <c r="M1227" t="n">
        <v>0</v>
      </c>
      <c r="O1227" t="inlineStr">
        <is>
          <t>RT1344</t>
        </is>
      </c>
      <c r="Q1227" s="114" t="n">
        <v>0</v>
      </c>
      <c r="R1227" s="114" t="n">
        <v>79.14</v>
      </c>
      <c r="S1227" s="114" t="n">
        <v>0</v>
      </c>
      <c r="T1227" t="n">
        <v>0</v>
      </c>
    </row>
    <row r="1228">
      <c r="A1228" t="inlineStr">
        <is>
          <t>ttJTrans</t>
        </is>
      </c>
      <c r="B1228" s="38" t="inlineStr">
        <is>
          <t>0-4006</t>
        </is>
      </c>
      <c r="C1228" t="inlineStr">
        <is>
          <t>EQ</t>
        </is>
      </c>
      <c r="E1228" t="inlineStr">
        <is>
          <t>EQ</t>
        </is>
      </c>
      <c r="G1228" s="42" t="inlineStr"/>
      <c r="H1228" s="127" t="n">
        <v>46152</v>
      </c>
      <c r="J1228" s="38" t="inlineStr">
        <is>
          <t>0-4006</t>
        </is>
      </c>
      <c r="K1228" t="inlineStr">
        <is>
          <t>RT1344 2023 FORD F250 XL STX 4X4 DIESEL 2023 FORD F250 XL STX 4X4 DIESEL</t>
        </is>
      </c>
      <c r="L1228" t="n">
        <v>0</v>
      </c>
      <c r="M1228" t="n">
        <v>0</v>
      </c>
      <c r="O1228" t="inlineStr">
        <is>
          <t>RT1344</t>
        </is>
      </c>
      <c r="Q1228" s="114" t="n">
        <v>0</v>
      </c>
      <c r="R1228" s="114" t="n">
        <v>79.14</v>
      </c>
      <c r="S1228" s="114" t="n">
        <v>0</v>
      </c>
      <c r="T1228" t="n">
        <v>0</v>
      </c>
    </row>
    <row r="1229">
      <c r="A1229" t="inlineStr">
        <is>
          <t>ttJTrans</t>
        </is>
      </c>
      <c r="B1229" s="38" t="inlineStr">
        <is>
          <t>0-4006</t>
        </is>
      </c>
      <c r="C1229" t="inlineStr">
        <is>
          <t>EQ</t>
        </is>
      </c>
      <c r="E1229" t="inlineStr">
        <is>
          <t>EQ</t>
        </is>
      </c>
      <c r="G1229" s="42" t="inlineStr"/>
      <c r="H1229" s="127" t="n">
        <v>46152</v>
      </c>
      <c r="J1229" s="38" t="inlineStr">
        <is>
          <t>0-4006</t>
        </is>
      </c>
      <c r="K1229" t="inlineStr">
        <is>
          <t>RT1344 2023 FORD F250 XL STX 4X4 DIESEL 2023 FORD F250 XL STX 4X4 DIESEL</t>
        </is>
      </c>
      <c r="L1229" t="n">
        <v>0</v>
      </c>
      <c r="M1229" t="n">
        <v>0</v>
      </c>
      <c r="O1229" t="inlineStr">
        <is>
          <t>RT1344</t>
        </is>
      </c>
      <c r="Q1229" s="114" t="n">
        <v>0</v>
      </c>
      <c r="R1229" s="114" t="n">
        <v>79.14</v>
      </c>
      <c r="S1229" s="114" t="n">
        <v>0</v>
      </c>
      <c r="T1229" t="n">
        <v>0</v>
      </c>
    </row>
    <row r="1230">
      <c r="A1230" t="inlineStr">
        <is>
          <t>ttJTrans</t>
        </is>
      </c>
      <c r="B1230" s="38" t="inlineStr">
        <is>
          <t>0-4006</t>
        </is>
      </c>
      <c r="C1230" t="inlineStr">
        <is>
          <t>EQ</t>
        </is>
      </c>
      <c r="E1230" t="inlineStr">
        <is>
          <t>EQ</t>
        </is>
      </c>
      <c r="G1230" s="42" t="inlineStr"/>
      <c r="H1230" s="127" t="n">
        <v>46152</v>
      </c>
      <c r="J1230" s="38" t="inlineStr">
        <is>
          <t>0-4006</t>
        </is>
      </c>
      <c r="K1230" t="inlineStr">
        <is>
          <t>RT1344 2023 FORD F250 XL STX 4X4 DIESEL 2023 FORD F250 XL STX 4X4 DIESEL</t>
        </is>
      </c>
      <c r="L1230" t="n">
        <v>0</v>
      </c>
      <c r="M1230" t="n">
        <v>0</v>
      </c>
      <c r="O1230" t="inlineStr">
        <is>
          <t>RT1344</t>
        </is>
      </c>
      <c r="Q1230" s="114" t="n">
        <v>0</v>
      </c>
      <c r="R1230" s="114" t="n">
        <v>79.14</v>
      </c>
      <c r="S1230" s="114" t="n">
        <v>0</v>
      </c>
      <c r="T1230" t="n">
        <v>0</v>
      </c>
    </row>
    <row r="1231">
      <c r="A1231" t="inlineStr">
        <is>
          <t>ttJTrans</t>
        </is>
      </c>
      <c r="B1231" s="38" t="inlineStr">
        <is>
          <t>0-4006</t>
        </is>
      </c>
      <c r="C1231" t="inlineStr">
        <is>
          <t>EQ</t>
        </is>
      </c>
      <c r="E1231" t="inlineStr">
        <is>
          <t>EQ</t>
        </is>
      </c>
      <c r="G1231" s="42" t="inlineStr"/>
      <c r="H1231" s="127" t="n">
        <v>46152</v>
      </c>
      <c r="J1231" s="38" t="inlineStr">
        <is>
          <t>0-4006</t>
        </is>
      </c>
      <c r="K1231" t="inlineStr">
        <is>
          <t>SSAUGKIT1 SKIDPRO SP300 PLANETARY AUGER DRIVE KIT W/ CRADLE &amp; MOUNT SKIDPRO SP300 PLANETARY AUGER DRIVE KIT W/ CRADLE &amp; MOUNT</t>
        </is>
      </c>
      <c r="L1231" t="n">
        <v>0</v>
      </c>
      <c r="M1231" t="n">
        <v>0</v>
      </c>
      <c r="O1231" t="inlineStr">
        <is>
          <t>SSAUGKIT1</t>
        </is>
      </c>
      <c r="Q1231" s="114" t="n">
        <v>0</v>
      </c>
      <c r="R1231" s="114" t="n">
        <v>35</v>
      </c>
      <c r="S1231" s="114" t="n">
        <v>0</v>
      </c>
      <c r="T1231" t="n">
        <v>0</v>
      </c>
    </row>
    <row r="1232">
      <c r="A1232" t="inlineStr">
        <is>
          <t>ttJTrans</t>
        </is>
      </c>
      <c r="B1232" s="38" t="inlineStr">
        <is>
          <t>0-4006</t>
        </is>
      </c>
      <c r="C1232" t="inlineStr">
        <is>
          <t>EQ</t>
        </is>
      </c>
      <c r="E1232" t="inlineStr">
        <is>
          <t>EQ</t>
        </is>
      </c>
      <c r="G1232" s="42" t="inlineStr"/>
      <c r="H1232" s="127" t="n">
        <v>46152</v>
      </c>
      <c r="J1232" s="38" t="inlineStr">
        <is>
          <t>0-4006</t>
        </is>
      </c>
      <c r="K1232" t="inlineStr">
        <is>
          <t>SSAUGKIT1 SKIDPRO SP300 PLANETARY AUGER DRIVE KIT W/ CRADLE &amp; MOUNT SKIDPRO SP300 PLANETARY AUGER DRIVE KIT W/ CRADLE &amp; MOUNT</t>
        </is>
      </c>
      <c r="L1232" t="n">
        <v>0</v>
      </c>
      <c r="M1232" t="n">
        <v>0</v>
      </c>
      <c r="O1232" t="inlineStr">
        <is>
          <t>SSAUGKIT1</t>
        </is>
      </c>
      <c r="Q1232" s="114" t="n">
        <v>0</v>
      </c>
      <c r="R1232" s="114" t="n">
        <v>35</v>
      </c>
      <c r="S1232" s="114" t="n">
        <v>0</v>
      </c>
      <c r="T1232" t="n">
        <v>0</v>
      </c>
    </row>
    <row r="1233">
      <c r="A1233" t="inlineStr">
        <is>
          <t>ttJTrans</t>
        </is>
      </c>
      <c r="B1233" s="38" t="inlineStr">
        <is>
          <t>0-4006</t>
        </is>
      </c>
      <c r="C1233" t="inlineStr">
        <is>
          <t>EQ</t>
        </is>
      </c>
      <c r="E1233" t="inlineStr">
        <is>
          <t>EQ</t>
        </is>
      </c>
      <c r="G1233" s="42" t="inlineStr"/>
      <c r="H1233" s="127" t="n">
        <v>46152</v>
      </c>
      <c r="J1233" s="38" t="inlineStr">
        <is>
          <t>0-4006</t>
        </is>
      </c>
      <c r="K1233" t="inlineStr">
        <is>
          <t>SSAUGKIT1 SKIDPRO SP300 PLANETARY AUGER DRIVE KIT W/ CRADLE &amp; MOUNT SKIDPRO SP300 PLANETARY AUGER DRIVE KIT W/ CRADLE &amp; MOUNT</t>
        </is>
      </c>
      <c r="L1233" t="n">
        <v>0</v>
      </c>
      <c r="M1233" t="n">
        <v>0</v>
      </c>
      <c r="O1233" t="inlineStr">
        <is>
          <t>SSAUGKIT1</t>
        </is>
      </c>
      <c r="Q1233" s="114" t="n">
        <v>0</v>
      </c>
      <c r="R1233" s="114" t="n">
        <v>35</v>
      </c>
      <c r="S1233" s="114" t="n">
        <v>0</v>
      </c>
      <c r="T1233" t="n">
        <v>0</v>
      </c>
    </row>
    <row r="1234">
      <c r="A1234" t="inlineStr">
        <is>
          <t>ttJTrans</t>
        </is>
      </c>
      <c r="B1234" s="38" t="inlineStr">
        <is>
          <t>0-4006</t>
        </is>
      </c>
      <c r="C1234" t="inlineStr">
        <is>
          <t>EQ</t>
        </is>
      </c>
      <c r="E1234" t="inlineStr">
        <is>
          <t>EQ</t>
        </is>
      </c>
      <c r="G1234" s="42" t="inlineStr"/>
      <c r="H1234" s="127" t="n">
        <v>46152</v>
      </c>
      <c r="J1234" s="38" t="inlineStr">
        <is>
          <t>0-4006</t>
        </is>
      </c>
      <c r="K1234" t="inlineStr">
        <is>
          <t>TR260 2005 UTILITY BRAND TOOL VAN 2005 UTILITY BRAND TOOL VAN</t>
        </is>
      </c>
      <c r="L1234" t="n">
        <v>0</v>
      </c>
      <c r="M1234" t="n">
        <v>0</v>
      </c>
      <c r="O1234" t="inlineStr">
        <is>
          <t>TR260</t>
        </is>
      </c>
      <c r="Q1234" s="114" t="n">
        <v>0</v>
      </c>
      <c r="R1234" s="114" t="n">
        <v>75</v>
      </c>
      <c r="S1234" s="114" t="n">
        <v>0</v>
      </c>
      <c r="T1234" t="n">
        <v>0</v>
      </c>
    </row>
    <row r="1235">
      <c r="A1235" t="inlineStr">
        <is>
          <t>ttJTrans</t>
        </is>
      </c>
      <c r="B1235" s="38" t="inlineStr">
        <is>
          <t>0-4006</t>
        </is>
      </c>
      <c r="C1235" t="inlineStr">
        <is>
          <t>EQ</t>
        </is>
      </c>
      <c r="E1235" t="inlineStr">
        <is>
          <t>EQ</t>
        </is>
      </c>
      <c r="G1235" s="42" t="inlineStr"/>
      <c r="H1235" s="127" t="n">
        <v>46152</v>
      </c>
      <c r="J1235" s="38" t="inlineStr">
        <is>
          <t>0-4006</t>
        </is>
      </c>
      <c r="K1235" t="inlineStr">
        <is>
          <t>TR260 2005 UTILITY BRAND TOOL VAN 2005 UTILITY BRAND TOOL VAN</t>
        </is>
      </c>
      <c r="L1235" t="n">
        <v>0</v>
      </c>
      <c r="M1235" t="n">
        <v>0</v>
      </c>
      <c r="O1235" t="inlineStr">
        <is>
          <t>TR260</t>
        </is>
      </c>
      <c r="Q1235" s="114" t="n">
        <v>0</v>
      </c>
      <c r="R1235" s="114" t="n">
        <v>75</v>
      </c>
      <c r="S1235" s="114" t="n">
        <v>0</v>
      </c>
      <c r="T1235" t="n">
        <v>0</v>
      </c>
    </row>
    <row r="1236">
      <c r="A1236" t="inlineStr">
        <is>
          <t>ttJTrans</t>
        </is>
      </c>
      <c r="B1236" s="38" t="inlineStr">
        <is>
          <t>0-4006</t>
        </is>
      </c>
      <c r="C1236" t="inlineStr">
        <is>
          <t>EQ</t>
        </is>
      </c>
      <c r="E1236" t="inlineStr">
        <is>
          <t>EQ</t>
        </is>
      </c>
      <c r="G1236" s="42" t="inlineStr"/>
      <c r="H1236" s="127" t="n">
        <v>46152</v>
      </c>
      <c r="J1236" s="38" t="inlineStr">
        <is>
          <t>0-4006</t>
        </is>
      </c>
      <c r="K1236" t="inlineStr">
        <is>
          <t>TR260 2005 UTILITY BRAND TOOL VAN 2005 UTILITY BRAND TOOL VAN</t>
        </is>
      </c>
      <c r="L1236" t="n">
        <v>0</v>
      </c>
      <c r="M1236" t="n">
        <v>0</v>
      </c>
      <c r="O1236" t="inlineStr">
        <is>
          <t>TR260</t>
        </is>
      </c>
      <c r="Q1236" s="114" t="n">
        <v>0</v>
      </c>
      <c r="R1236" s="114" t="n">
        <v>75</v>
      </c>
      <c r="S1236" s="114" t="n">
        <v>0</v>
      </c>
      <c r="T1236" t="n">
        <v>0</v>
      </c>
    </row>
    <row r="1237">
      <c r="A1237" t="inlineStr">
        <is>
          <t>ttJTrans</t>
        </is>
      </c>
      <c r="B1237" s="38" t="inlineStr">
        <is>
          <t>0-4006</t>
        </is>
      </c>
      <c r="C1237" t="inlineStr">
        <is>
          <t>EQ</t>
        </is>
      </c>
      <c r="E1237" t="inlineStr">
        <is>
          <t>EQ</t>
        </is>
      </c>
      <c r="G1237" s="42" t="inlineStr"/>
      <c r="H1237" s="127" t="n">
        <v>46152</v>
      </c>
      <c r="J1237" s="38" t="inlineStr">
        <is>
          <t>0-4006</t>
        </is>
      </c>
      <c r="K1237" t="inlineStr">
        <is>
          <t>TR260 2005 UTILITY BRAND TOOL VAN 2005 UTILITY BRAND TOOL VAN</t>
        </is>
      </c>
      <c r="L1237" t="n">
        <v>0</v>
      </c>
      <c r="M1237" t="n">
        <v>0</v>
      </c>
      <c r="O1237" t="inlineStr">
        <is>
          <t>TR260</t>
        </is>
      </c>
      <c r="Q1237" s="114" t="n">
        <v>0</v>
      </c>
      <c r="R1237" s="114" t="n">
        <v>75</v>
      </c>
      <c r="S1237" s="114" t="n">
        <v>0</v>
      </c>
      <c r="T1237" t="n">
        <v>0</v>
      </c>
    </row>
    <row r="1238">
      <c r="A1238" t="inlineStr">
        <is>
          <t>ttJTrans</t>
        </is>
      </c>
      <c r="B1238" s="38" t="inlineStr">
        <is>
          <t>0-4006</t>
        </is>
      </c>
      <c r="C1238" t="inlineStr">
        <is>
          <t>EQ</t>
        </is>
      </c>
      <c r="E1238" t="inlineStr">
        <is>
          <t>EQ</t>
        </is>
      </c>
      <c r="G1238" s="42" t="inlineStr"/>
      <c r="H1238" s="127" t="n">
        <v>46152</v>
      </c>
      <c r="J1238" s="38" t="inlineStr">
        <is>
          <t>0-4006</t>
        </is>
      </c>
      <c r="K1238" t="inlineStr">
        <is>
          <t>TR260 2005 UTILITY BRAND TOOL VAN 2005 UTILITY BRAND TOOL VAN</t>
        </is>
      </c>
      <c r="L1238" t="n">
        <v>0</v>
      </c>
      <c r="M1238" t="n">
        <v>0</v>
      </c>
      <c r="O1238" t="inlineStr">
        <is>
          <t>TR260</t>
        </is>
      </c>
      <c r="Q1238" s="114" t="n">
        <v>0</v>
      </c>
      <c r="R1238" s="114" t="n">
        <v>75</v>
      </c>
      <c r="S1238" s="114" t="n">
        <v>0</v>
      </c>
      <c r="T1238" t="n">
        <v>0</v>
      </c>
    </row>
    <row r="1239">
      <c r="A1239" t="inlineStr">
        <is>
          <t>ttJTrans</t>
        </is>
      </c>
      <c r="B1239" s="38" t="inlineStr">
        <is>
          <t>0-4006</t>
        </is>
      </c>
      <c r="C1239" t="inlineStr">
        <is>
          <t>EQ</t>
        </is>
      </c>
      <c r="E1239" t="inlineStr">
        <is>
          <t>EQ</t>
        </is>
      </c>
      <c r="G1239" s="42" t="inlineStr"/>
      <c r="H1239" s="127" t="n">
        <v>46152</v>
      </c>
      <c r="J1239" s="38" t="inlineStr">
        <is>
          <t>0-4006</t>
        </is>
      </c>
      <c r="K1239" t="inlineStr">
        <is>
          <t>TR260 2005 UTILITY BRAND TOOL VAN 2005 UTILITY BRAND TOOL VAN</t>
        </is>
      </c>
      <c r="L1239" t="n">
        <v>0</v>
      </c>
      <c r="M1239" t="n">
        <v>0</v>
      </c>
      <c r="O1239" t="inlineStr">
        <is>
          <t>TR260</t>
        </is>
      </c>
      <c r="Q1239" s="114" t="n">
        <v>0</v>
      </c>
      <c r="R1239" s="114" t="n">
        <v>75</v>
      </c>
      <c r="S1239" s="114" t="n">
        <v>0</v>
      </c>
      <c r="T1239" t="n">
        <v>0</v>
      </c>
    </row>
    <row r="1240">
      <c r="A1240" t="inlineStr">
        <is>
          <t>ttJTrans</t>
        </is>
      </c>
      <c r="B1240" s="38" t="inlineStr">
        <is>
          <t>0-4006</t>
        </is>
      </c>
      <c r="C1240" t="inlineStr">
        <is>
          <t>EQ</t>
        </is>
      </c>
      <c r="E1240" t="inlineStr">
        <is>
          <t>EQ</t>
        </is>
      </c>
      <c r="G1240" s="42" t="inlineStr"/>
      <c r="H1240" s="127" t="n">
        <v>46152</v>
      </c>
      <c r="J1240" s="38" t="inlineStr">
        <is>
          <t>0-4006</t>
        </is>
      </c>
      <c r="K1240" t="inlineStr">
        <is>
          <t>TR154 20' PARKER TRAILER #1000277 20' PARKER TRAILER #1000277</t>
        </is>
      </c>
      <c r="L1240" t="n">
        <v>0</v>
      </c>
      <c r="M1240" t="n">
        <v>0</v>
      </c>
      <c r="O1240" t="inlineStr">
        <is>
          <t>TR154</t>
        </is>
      </c>
      <c r="Q1240" s="114" t="n">
        <v>0</v>
      </c>
      <c r="R1240" s="114" t="n">
        <v>15</v>
      </c>
      <c r="S1240" s="114" t="n">
        <v>0</v>
      </c>
      <c r="T1240" t="n">
        <v>0</v>
      </c>
    </row>
    <row r="1241">
      <c r="A1241" t="inlineStr">
        <is>
          <t>ttJTrans</t>
        </is>
      </c>
      <c r="B1241" s="38" t="inlineStr">
        <is>
          <t>0-4006</t>
        </is>
      </c>
      <c r="C1241" t="inlineStr">
        <is>
          <t>EQ</t>
        </is>
      </c>
      <c r="E1241" t="inlineStr">
        <is>
          <t>EQ</t>
        </is>
      </c>
      <c r="G1241" s="42" t="inlineStr"/>
      <c r="H1241" s="127" t="n">
        <v>46152</v>
      </c>
      <c r="J1241" s="38" t="inlineStr">
        <is>
          <t>0-4006</t>
        </is>
      </c>
      <c r="K1241" t="inlineStr">
        <is>
          <t>TR154 20' PARKER TRAILER #1000277 20' PARKER TRAILER #1000277</t>
        </is>
      </c>
      <c r="L1241" t="n">
        <v>0</v>
      </c>
      <c r="M1241" t="n">
        <v>0</v>
      </c>
      <c r="O1241" t="inlineStr">
        <is>
          <t>TR154</t>
        </is>
      </c>
      <c r="Q1241" s="114" t="n">
        <v>0</v>
      </c>
      <c r="R1241" s="114" t="n">
        <v>15</v>
      </c>
      <c r="S1241" s="114" t="n">
        <v>0</v>
      </c>
      <c r="T1241" t="n">
        <v>0</v>
      </c>
    </row>
    <row r="1242">
      <c r="A1242" t="inlineStr">
        <is>
          <t>ttJTrans</t>
        </is>
      </c>
      <c r="B1242" s="38" t="inlineStr">
        <is>
          <t>0-4006</t>
        </is>
      </c>
      <c r="C1242" t="inlineStr">
        <is>
          <t>EQ</t>
        </is>
      </c>
      <c r="E1242" t="inlineStr">
        <is>
          <t>EQ</t>
        </is>
      </c>
      <c r="G1242" s="42" t="inlineStr"/>
      <c r="H1242" s="127" t="n">
        <v>46152</v>
      </c>
      <c r="J1242" s="38" t="inlineStr">
        <is>
          <t>0-4006</t>
        </is>
      </c>
      <c r="K1242" t="inlineStr">
        <is>
          <t>TR154 20' PARKER TRAILER #1000277 20' PARKER TRAILER #1000277</t>
        </is>
      </c>
      <c r="L1242" t="n">
        <v>0</v>
      </c>
      <c r="M1242" t="n">
        <v>0</v>
      </c>
      <c r="O1242" t="inlineStr">
        <is>
          <t>TR154</t>
        </is>
      </c>
      <c r="Q1242" s="114" t="n">
        <v>0</v>
      </c>
      <c r="R1242" s="114" t="n">
        <v>15</v>
      </c>
      <c r="S1242" s="114" t="n">
        <v>0</v>
      </c>
      <c r="T1242" t="n">
        <v>0</v>
      </c>
    </row>
    <row r="1243">
      <c r="A1243" t="inlineStr">
        <is>
          <t>ttJTrans</t>
        </is>
      </c>
      <c r="B1243" s="38" t="inlineStr">
        <is>
          <t>0-4006</t>
        </is>
      </c>
      <c r="C1243" t="inlineStr">
        <is>
          <t>EQ</t>
        </is>
      </c>
      <c r="E1243" t="inlineStr">
        <is>
          <t>EQ</t>
        </is>
      </c>
      <c r="G1243" s="42" t="inlineStr"/>
      <c r="H1243" s="127" t="n">
        <v>46152</v>
      </c>
      <c r="J1243" s="38" t="inlineStr">
        <is>
          <t>0-4006</t>
        </is>
      </c>
      <c r="K1243" t="inlineStr">
        <is>
          <t>TR154 20' PARKER TRAILER #1000277 20' PARKER TRAILER #1000277</t>
        </is>
      </c>
      <c r="L1243" t="n">
        <v>0</v>
      </c>
      <c r="M1243" t="n">
        <v>0</v>
      </c>
      <c r="O1243" t="inlineStr">
        <is>
          <t>TR154</t>
        </is>
      </c>
      <c r="Q1243" s="114" t="n">
        <v>0</v>
      </c>
      <c r="R1243" s="114" t="n">
        <v>15</v>
      </c>
      <c r="S1243" s="114" t="n">
        <v>0</v>
      </c>
      <c r="T1243" t="n">
        <v>0</v>
      </c>
    </row>
    <row r="1244">
      <c r="A1244" t="inlineStr">
        <is>
          <t>ttJTrans</t>
        </is>
      </c>
      <c r="B1244" s="38" t="inlineStr">
        <is>
          <t>0-4006</t>
        </is>
      </c>
      <c r="C1244" t="inlineStr">
        <is>
          <t>EQ</t>
        </is>
      </c>
      <c r="E1244" t="inlineStr">
        <is>
          <t>EQ</t>
        </is>
      </c>
      <c r="G1244" s="42" t="inlineStr"/>
      <c r="H1244" s="127" t="n">
        <v>46152</v>
      </c>
      <c r="J1244" s="38" t="inlineStr">
        <is>
          <t>0-4006</t>
        </is>
      </c>
      <c r="K1244" t="inlineStr">
        <is>
          <t>TR154 20' PARKER TRAILER #1000277 20' PARKER TRAILER #1000277</t>
        </is>
      </c>
      <c r="L1244" t="n">
        <v>0</v>
      </c>
      <c r="M1244" t="n">
        <v>0</v>
      </c>
      <c r="O1244" t="inlineStr">
        <is>
          <t>TR154</t>
        </is>
      </c>
      <c r="Q1244" s="114" t="n">
        <v>0</v>
      </c>
      <c r="R1244" s="114" t="n">
        <v>15</v>
      </c>
      <c r="S1244" s="114" t="n">
        <v>0</v>
      </c>
      <c r="T1244" t="n">
        <v>0</v>
      </c>
    </row>
    <row r="1245">
      <c r="A1245" t="inlineStr">
        <is>
          <t>ttJTrans</t>
        </is>
      </c>
      <c r="B1245" s="38" t="inlineStr">
        <is>
          <t>0-4006</t>
        </is>
      </c>
      <c r="C1245" t="inlineStr">
        <is>
          <t>EQ</t>
        </is>
      </c>
      <c r="E1245" t="inlineStr">
        <is>
          <t>EQ</t>
        </is>
      </c>
      <c r="G1245" s="42" t="inlineStr"/>
      <c r="H1245" s="127" t="n">
        <v>46152</v>
      </c>
      <c r="J1245" s="38" t="inlineStr">
        <is>
          <t>0-4006</t>
        </is>
      </c>
      <c r="K1245" t="inlineStr">
        <is>
          <t>TR154 20' PARKER TRAILER #1000277 20' PARKER TRAILER #1000277</t>
        </is>
      </c>
      <c r="L1245" t="n">
        <v>0</v>
      </c>
      <c r="M1245" t="n">
        <v>0</v>
      </c>
      <c r="O1245" t="inlineStr">
        <is>
          <t>TR154</t>
        </is>
      </c>
      <c r="Q1245" s="114" t="n">
        <v>0</v>
      </c>
      <c r="R1245" s="114" t="n">
        <v>15</v>
      </c>
      <c r="S1245" s="114" t="n">
        <v>0</v>
      </c>
      <c r="T1245" t="n">
        <v>0</v>
      </c>
    </row>
    <row r="1246">
      <c r="A1246" t="inlineStr">
        <is>
          <t>ttJTrans</t>
        </is>
      </c>
      <c r="B1246" s="38" t="inlineStr">
        <is>
          <t>0-4006</t>
        </is>
      </c>
      <c r="C1246" t="inlineStr">
        <is>
          <t>EQ</t>
        </is>
      </c>
      <c r="E1246" t="inlineStr">
        <is>
          <t>EQ</t>
        </is>
      </c>
      <c r="G1246" s="42" t="inlineStr"/>
      <c r="H1246" s="127" t="n">
        <v>46152</v>
      </c>
      <c r="J1246" s="38" t="inlineStr">
        <is>
          <t>0-4006</t>
        </is>
      </c>
      <c r="K1246" t="inlineStr">
        <is>
          <t>TR280 20' BIG TEX PI-20 20' BIG TEX PI-20</t>
        </is>
      </c>
      <c r="L1246" t="n">
        <v>0</v>
      </c>
      <c r="M1246" t="n">
        <v>0</v>
      </c>
      <c r="O1246" t="inlineStr">
        <is>
          <t>TR280</t>
        </is>
      </c>
      <c r="Q1246" s="114" t="n">
        <v>0</v>
      </c>
      <c r="R1246" s="114" t="n">
        <v>15</v>
      </c>
      <c r="S1246" s="114" t="n">
        <v>0</v>
      </c>
      <c r="T1246" t="n">
        <v>0</v>
      </c>
    </row>
    <row r="1247">
      <c r="A1247" t="inlineStr">
        <is>
          <t>ttJTrans</t>
        </is>
      </c>
      <c r="B1247" s="38" t="inlineStr">
        <is>
          <t>0-4006</t>
        </is>
      </c>
      <c r="C1247" t="inlineStr">
        <is>
          <t>EQ</t>
        </is>
      </c>
      <c r="E1247" t="inlineStr">
        <is>
          <t>EQ</t>
        </is>
      </c>
      <c r="G1247" s="42" t="inlineStr"/>
      <c r="H1247" s="127" t="n">
        <v>46152</v>
      </c>
      <c r="J1247" s="38" t="inlineStr">
        <is>
          <t>0-4006</t>
        </is>
      </c>
      <c r="K1247" t="inlineStr">
        <is>
          <t>TR280 20' BIG TEX PI-20 20' BIG TEX PI-20</t>
        </is>
      </c>
      <c r="L1247" t="n">
        <v>0</v>
      </c>
      <c r="M1247" t="n">
        <v>0</v>
      </c>
      <c r="O1247" t="inlineStr">
        <is>
          <t>TR280</t>
        </is>
      </c>
      <c r="Q1247" s="114" t="n">
        <v>0</v>
      </c>
      <c r="R1247" s="114" t="n">
        <v>15</v>
      </c>
      <c r="S1247" s="114" t="n">
        <v>0</v>
      </c>
      <c r="T1247" t="n">
        <v>0</v>
      </c>
    </row>
    <row r="1248">
      <c r="A1248" t="inlineStr">
        <is>
          <t>ttJTrans</t>
        </is>
      </c>
      <c r="B1248" s="38" t="inlineStr">
        <is>
          <t>0-4006</t>
        </is>
      </c>
      <c r="C1248" t="inlineStr">
        <is>
          <t>EQ</t>
        </is>
      </c>
      <c r="E1248" t="inlineStr">
        <is>
          <t>EQ</t>
        </is>
      </c>
      <c r="G1248" s="42" t="inlineStr"/>
      <c r="H1248" s="127" t="n">
        <v>46152</v>
      </c>
      <c r="J1248" s="38" t="inlineStr">
        <is>
          <t>0-4006</t>
        </is>
      </c>
      <c r="K1248" t="inlineStr">
        <is>
          <t>TR280 20' BIG TEX PI-20 20' BIG TEX PI-20</t>
        </is>
      </c>
      <c r="L1248" t="n">
        <v>0</v>
      </c>
      <c r="M1248" t="n">
        <v>0</v>
      </c>
      <c r="O1248" t="inlineStr">
        <is>
          <t>TR280</t>
        </is>
      </c>
      <c r="Q1248" s="114" t="n">
        <v>0</v>
      </c>
      <c r="R1248" s="114" t="n">
        <v>15</v>
      </c>
      <c r="S1248" s="114" t="n">
        <v>0</v>
      </c>
      <c r="T1248" t="n">
        <v>0</v>
      </c>
    </row>
    <row r="1249">
      <c r="A1249" t="inlineStr">
        <is>
          <t>ttJTrans</t>
        </is>
      </c>
      <c r="B1249" s="38" t="inlineStr">
        <is>
          <t>0-4006</t>
        </is>
      </c>
      <c r="C1249" t="inlineStr">
        <is>
          <t>EQ</t>
        </is>
      </c>
      <c r="E1249" t="inlineStr">
        <is>
          <t>EQ</t>
        </is>
      </c>
      <c r="G1249" s="42" t="inlineStr"/>
      <c r="H1249" s="127" t="n">
        <v>46152</v>
      </c>
      <c r="J1249" s="38" t="inlineStr">
        <is>
          <t>0-4006</t>
        </is>
      </c>
      <c r="K1249" t="inlineStr">
        <is>
          <t>TR280 20' BIG TEX PI-20 20' BIG TEX PI-20</t>
        </is>
      </c>
      <c r="L1249" t="n">
        <v>0</v>
      </c>
      <c r="M1249" t="n">
        <v>0</v>
      </c>
      <c r="O1249" t="inlineStr">
        <is>
          <t>TR280</t>
        </is>
      </c>
      <c r="Q1249" s="114" t="n">
        <v>0</v>
      </c>
      <c r="R1249" s="114" t="n">
        <v>15</v>
      </c>
      <c r="S1249" s="114" t="n">
        <v>0</v>
      </c>
      <c r="T1249" t="n">
        <v>0</v>
      </c>
    </row>
    <row r="1250">
      <c r="A1250" t="inlineStr">
        <is>
          <t>ttJTrans</t>
        </is>
      </c>
      <c r="B1250" s="38" t="inlineStr">
        <is>
          <t>0-4006</t>
        </is>
      </c>
      <c r="C1250" t="inlineStr">
        <is>
          <t>EQ</t>
        </is>
      </c>
      <c r="E1250" t="inlineStr">
        <is>
          <t>EQ</t>
        </is>
      </c>
      <c r="G1250" s="42" t="inlineStr"/>
      <c r="H1250" s="127" t="n">
        <v>46152</v>
      </c>
      <c r="J1250" s="38" t="inlineStr">
        <is>
          <t>0-4006</t>
        </is>
      </c>
      <c r="K1250" t="inlineStr">
        <is>
          <t>TR280 20' BIG TEX PI-20 20' BIG TEX PI-20</t>
        </is>
      </c>
      <c r="L1250" t="n">
        <v>0</v>
      </c>
      <c r="M1250" t="n">
        <v>0</v>
      </c>
      <c r="O1250" t="inlineStr">
        <is>
          <t>TR280</t>
        </is>
      </c>
      <c r="Q1250" s="114" t="n">
        <v>0</v>
      </c>
      <c r="R1250" s="114" t="n">
        <v>15</v>
      </c>
      <c r="S1250" s="114" t="n">
        <v>0</v>
      </c>
      <c r="T1250" t="n">
        <v>0</v>
      </c>
    </row>
    <row r="1251">
      <c r="A1251" t="inlineStr">
        <is>
          <t>ttJTrans</t>
        </is>
      </c>
      <c r="B1251" s="38" t="inlineStr">
        <is>
          <t>0-4006</t>
        </is>
      </c>
      <c r="C1251" t="inlineStr">
        <is>
          <t>EQ</t>
        </is>
      </c>
      <c r="E1251" t="inlineStr">
        <is>
          <t>EQ</t>
        </is>
      </c>
      <c r="G1251" s="42" t="inlineStr"/>
      <c r="H1251" s="127" t="n">
        <v>46152</v>
      </c>
      <c r="J1251" s="38" t="inlineStr">
        <is>
          <t>0-4006</t>
        </is>
      </c>
      <c r="K1251" t="inlineStr">
        <is>
          <t>TR280 20' BIG TEX PI-20 20' BIG TEX PI-20</t>
        </is>
      </c>
      <c r="L1251" t="n">
        <v>0</v>
      </c>
      <c r="M1251" t="n">
        <v>0</v>
      </c>
      <c r="O1251" t="inlineStr">
        <is>
          <t>TR280</t>
        </is>
      </c>
      <c r="Q1251" s="114" t="n">
        <v>0</v>
      </c>
      <c r="R1251" s="114" t="n">
        <v>15</v>
      </c>
      <c r="S1251" s="114" t="n">
        <v>0</v>
      </c>
      <c r="T1251" t="n">
        <v>0</v>
      </c>
    </row>
    <row r="1252">
      <c r="A1252" t="inlineStr">
        <is>
          <t>ttJTrans</t>
        </is>
      </c>
      <c r="B1252" s="38" t="inlineStr">
        <is>
          <t>0-4006</t>
        </is>
      </c>
      <c r="C1252" t="inlineStr">
        <is>
          <t>EQ</t>
        </is>
      </c>
      <c r="E1252" t="inlineStr">
        <is>
          <t>EQ</t>
        </is>
      </c>
      <c r="G1252" s="42" t="inlineStr"/>
      <c r="H1252" s="127" t="n">
        <v>46152</v>
      </c>
      <c r="J1252" s="38" t="inlineStr">
        <is>
          <t>0-4006</t>
        </is>
      </c>
      <c r="K1252" t="inlineStr">
        <is>
          <t>WHV001 2025 PETERBILT 589 SLEEPER CAB 2025 PETERBILT 589 SLEEPER CAB</t>
        </is>
      </c>
      <c r="L1252" t="n">
        <v>0</v>
      </c>
      <c r="M1252" t="n">
        <v>0</v>
      </c>
      <c r="O1252" t="inlineStr">
        <is>
          <t>WHV001</t>
        </is>
      </c>
      <c r="Q1252" s="114" t="n">
        <v>0</v>
      </c>
      <c r="R1252" s="114" t="n">
        <v>250</v>
      </c>
      <c r="S1252" s="114" t="n">
        <v>0</v>
      </c>
      <c r="T1252" t="n">
        <v>0</v>
      </c>
    </row>
    <row r="1253">
      <c r="A1253" t="inlineStr">
        <is>
          <t>ttJTrans</t>
        </is>
      </c>
      <c r="B1253" s="38" t="inlineStr">
        <is>
          <t>0-4006</t>
        </is>
      </c>
      <c r="C1253" t="inlineStr">
        <is>
          <t>EQ</t>
        </is>
      </c>
      <c r="E1253" t="inlineStr">
        <is>
          <t>EQ</t>
        </is>
      </c>
      <c r="G1253" s="42" t="inlineStr"/>
      <c r="H1253" s="127" t="n">
        <v>46152</v>
      </c>
      <c r="J1253" s="38" t="inlineStr">
        <is>
          <t>0-4006</t>
        </is>
      </c>
      <c r="K1253" t="inlineStr">
        <is>
          <t>WHV001 2025 PETERBILT 589 SLEEPER CAB 2025 PETERBILT 589 SLEEPER CAB</t>
        </is>
      </c>
      <c r="L1253" t="n">
        <v>0</v>
      </c>
      <c r="M1253" t="n">
        <v>0</v>
      </c>
      <c r="O1253" t="inlineStr">
        <is>
          <t>WHV001</t>
        </is>
      </c>
      <c r="Q1253" s="114" t="n">
        <v>0</v>
      </c>
      <c r="R1253" s="114" t="n">
        <v>250</v>
      </c>
      <c r="S1253" s="114" t="n">
        <v>0</v>
      </c>
      <c r="T1253" t="n">
        <v>0</v>
      </c>
    </row>
    <row r="1254">
      <c r="A1254" t="inlineStr">
        <is>
          <t>ttJTrans</t>
        </is>
      </c>
      <c r="B1254" s="38" t="inlineStr">
        <is>
          <t>0-4006</t>
        </is>
      </c>
      <c r="C1254" t="inlineStr">
        <is>
          <t>EQ</t>
        </is>
      </c>
      <c r="E1254" t="inlineStr">
        <is>
          <t>EQ</t>
        </is>
      </c>
      <c r="G1254" s="42" t="inlineStr"/>
      <c r="H1254" s="127" t="n">
        <v>46152</v>
      </c>
      <c r="J1254" s="38" t="inlineStr">
        <is>
          <t>0-4006</t>
        </is>
      </c>
      <c r="K1254" t="inlineStr">
        <is>
          <t>WHV001 2025 PETERBILT 589 SLEEPER CAB 2025 PETERBILT 589 SLEEPER CAB</t>
        </is>
      </c>
      <c r="L1254" t="n">
        <v>0</v>
      </c>
      <c r="M1254" t="n">
        <v>0</v>
      </c>
      <c r="O1254" t="inlineStr">
        <is>
          <t>WHV001</t>
        </is>
      </c>
      <c r="Q1254" s="114" t="n">
        <v>0</v>
      </c>
      <c r="R1254" s="114" t="n">
        <v>250</v>
      </c>
      <c r="S1254" s="114" t="n">
        <v>0</v>
      </c>
      <c r="T1254" t="n">
        <v>0</v>
      </c>
    </row>
    <row r="1255">
      <c r="A1255" t="inlineStr">
        <is>
          <t>ttJTrans</t>
        </is>
      </c>
      <c r="B1255" s="38" t="inlineStr">
        <is>
          <t>0-4006</t>
        </is>
      </c>
      <c r="C1255" t="inlineStr">
        <is>
          <t>EQ</t>
        </is>
      </c>
      <c r="E1255" t="inlineStr">
        <is>
          <t>EQ</t>
        </is>
      </c>
      <c r="G1255" s="42" t="inlineStr"/>
      <c r="H1255" s="127" t="n">
        <v>46152</v>
      </c>
      <c r="J1255" s="38" t="inlineStr">
        <is>
          <t>0-4006</t>
        </is>
      </c>
      <c r="K1255" t="inlineStr">
        <is>
          <t>WHV001 2025 PETERBILT 589 SLEEPER CAB 2025 PETERBILT 589 SLEEPER CAB</t>
        </is>
      </c>
      <c r="L1255" t="n">
        <v>0</v>
      </c>
      <c r="M1255" t="n">
        <v>0</v>
      </c>
      <c r="O1255" t="inlineStr">
        <is>
          <t>WHV001</t>
        </is>
      </c>
      <c r="Q1255" s="114" t="n">
        <v>0</v>
      </c>
      <c r="R1255" s="114" t="n">
        <v>250</v>
      </c>
      <c r="S1255" s="114" t="n">
        <v>0</v>
      </c>
      <c r="T1255" t="n">
        <v>0</v>
      </c>
    </row>
    <row r="1256">
      <c r="A1256" t="inlineStr">
        <is>
          <t>ttJTrans</t>
        </is>
      </c>
      <c r="B1256" s="38" t="inlineStr">
        <is>
          <t>0-4006</t>
        </is>
      </c>
      <c r="C1256" t="inlineStr">
        <is>
          <t>EQ</t>
        </is>
      </c>
      <c r="E1256" t="inlineStr">
        <is>
          <t>EQ</t>
        </is>
      </c>
      <c r="G1256" s="42" t="inlineStr"/>
      <c r="H1256" s="127" t="n">
        <v>46152</v>
      </c>
      <c r="J1256" s="38" t="inlineStr">
        <is>
          <t>0-4006</t>
        </is>
      </c>
      <c r="K1256" t="inlineStr">
        <is>
          <t>WHV001 2025 PETERBILT 589 SLEEPER CAB 2025 PETERBILT 589 SLEEPER CAB</t>
        </is>
      </c>
      <c r="L1256" t="n">
        <v>0</v>
      </c>
      <c r="M1256" t="n">
        <v>0</v>
      </c>
      <c r="O1256" t="inlineStr">
        <is>
          <t>WHV001</t>
        </is>
      </c>
      <c r="Q1256" s="114" t="n">
        <v>0</v>
      </c>
      <c r="R1256" s="114" t="n">
        <v>250</v>
      </c>
      <c r="S1256" s="114" t="n">
        <v>0</v>
      </c>
      <c r="T1256" t="n">
        <v>0</v>
      </c>
    </row>
    <row r="1257">
      <c r="A1257" t="inlineStr">
        <is>
          <t>ttJTrans</t>
        </is>
      </c>
      <c r="B1257" s="38" t="inlineStr">
        <is>
          <t>0-4006</t>
        </is>
      </c>
      <c r="C1257" t="inlineStr">
        <is>
          <t>EQ</t>
        </is>
      </c>
      <c r="E1257" t="inlineStr">
        <is>
          <t>EQ</t>
        </is>
      </c>
      <c r="G1257" s="42" t="inlineStr"/>
      <c r="H1257" s="127" t="n">
        <v>46152</v>
      </c>
      <c r="J1257" s="38" t="inlineStr">
        <is>
          <t>0-4006</t>
        </is>
      </c>
      <c r="K1257" t="inlineStr">
        <is>
          <t>WHV001 2025 PETERBILT 589 SLEEPER CAB 2025 PETERBILT 589 SLEEPER CAB</t>
        </is>
      </c>
      <c r="L1257" t="n">
        <v>0</v>
      </c>
      <c r="M1257" t="n">
        <v>0</v>
      </c>
      <c r="O1257" t="inlineStr">
        <is>
          <t>WHV001</t>
        </is>
      </c>
      <c r="Q1257" s="114" t="n">
        <v>0</v>
      </c>
      <c r="R1257" s="114" t="n">
        <v>250</v>
      </c>
      <c r="S1257" s="114" t="n">
        <v>0</v>
      </c>
      <c r="T1257" t="n">
        <v>0</v>
      </c>
    </row>
    <row r="1258">
      <c r="A1258" t="inlineStr">
        <is>
          <t>ttJTrans</t>
        </is>
      </c>
      <c r="B1258" s="38" t="inlineStr">
        <is>
          <t>0-4006</t>
        </is>
      </c>
      <c r="C1258" t="inlineStr">
        <is>
          <t>EQ</t>
        </is>
      </c>
      <c r="E1258" t="inlineStr">
        <is>
          <t>EQ</t>
        </is>
      </c>
      <c r="G1258" s="42" t="inlineStr"/>
      <c r="H1258" s="127" t="n">
        <v>46152</v>
      </c>
      <c r="J1258" s="38" t="inlineStr">
        <is>
          <t>0-4006</t>
        </is>
      </c>
      <c r="K1258" t="inlineStr">
        <is>
          <t>TR473 LANDOLL 53FT LOWBOY LANDOLL 53FT LOWBOY</t>
        </is>
      </c>
      <c r="L1258" t="n">
        <v>0</v>
      </c>
      <c r="M1258" t="n">
        <v>0</v>
      </c>
      <c r="O1258" t="inlineStr">
        <is>
          <t>TR473</t>
        </is>
      </c>
      <c r="Q1258" s="114" t="n">
        <v>0</v>
      </c>
      <c r="R1258" s="114" t="n">
        <v>0</v>
      </c>
      <c r="S1258" s="114" t="n">
        <v>0</v>
      </c>
      <c r="T1258" t="n">
        <v>0</v>
      </c>
    </row>
    <row r="1259">
      <c r="A1259" t="inlineStr">
        <is>
          <t>ttJTrans</t>
        </is>
      </c>
      <c r="B1259" s="38" t="inlineStr">
        <is>
          <t>0-4006</t>
        </is>
      </c>
      <c r="C1259" t="inlineStr">
        <is>
          <t>EQ</t>
        </is>
      </c>
      <c r="E1259" t="inlineStr">
        <is>
          <t>EQ</t>
        </is>
      </c>
      <c r="G1259" s="42" t="inlineStr"/>
      <c r="H1259" s="127" t="n">
        <v>46152</v>
      </c>
      <c r="J1259" s="38" t="inlineStr">
        <is>
          <t>0-4006</t>
        </is>
      </c>
      <c r="K1259" t="inlineStr">
        <is>
          <t>TR473 LANDOLL 53FT LOWBOY LANDOLL 53FT LOWBOY</t>
        </is>
      </c>
      <c r="L1259" t="n">
        <v>0</v>
      </c>
      <c r="M1259" t="n">
        <v>0</v>
      </c>
      <c r="O1259" t="inlineStr">
        <is>
          <t>TR473</t>
        </is>
      </c>
      <c r="Q1259" s="114" t="n">
        <v>0</v>
      </c>
      <c r="R1259" s="114" t="n">
        <v>0</v>
      </c>
      <c r="S1259" s="114" t="n">
        <v>0</v>
      </c>
      <c r="T1259" t="n">
        <v>0</v>
      </c>
    </row>
    <row r="1260">
      <c r="A1260" t="inlineStr">
        <is>
          <t>ttJTrans</t>
        </is>
      </c>
      <c r="B1260" s="38" t="inlineStr">
        <is>
          <t>0-4006</t>
        </is>
      </c>
      <c r="C1260" t="inlineStr">
        <is>
          <t>EQ</t>
        </is>
      </c>
      <c r="E1260" t="inlineStr">
        <is>
          <t>EQ</t>
        </is>
      </c>
      <c r="G1260" s="42" t="inlineStr"/>
      <c r="H1260" s="127" t="n">
        <v>46152</v>
      </c>
      <c r="J1260" s="38" t="inlineStr">
        <is>
          <t>0-4006</t>
        </is>
      </c>
      <c r="K1260" t="inlineStr">
        <is>
          <t>TR473 LANDOLL 53FT LOWBOY LANDOLL 53FT LOWBOY</t>
        </is>
      </c>
      <c r="L1260" t="n">
        <v>0</v>
      </c>
      <c r="M1260" t="n">
        <v>0</v>
      </c>
      <c r="O1260" t="inlineStr">
        <is>
          <t>TR473</t>
        </is>
      </c>
      <c r="Q1260" s="114" t="n">
        <v>0</v>
      </c>
      <c r="R1260" s="114" t="n">
        <v>0</v>
      </c>
      <c r="S1260" s="114" t="n">
        <v>0</v>
      </c>
      <c r="T1260" t="n">
        <v>0</v>
      </c>
    </row>
    <row r="1261">
      <c r="A1261" t="inlineStr">
        <is>
          <t>ttJTrans</t>
        </is>
      </c>
      <c r="B1261" s="38" t="inlineStr">
        <is>
          <t>0-4006</t>
        </is>
      </c>
      <c r="C1261" t="inlineStr">
        <is>
          <t>EQ</t>
        </is>
      </c>
      <c r="E1261" t="inlineStr">
        <is>
          <t>EQ</t>
        </is>
      </c>
      <c r="G1261" s="42" t="inlineStr"/>
      <c r="H1261" s="127" t="n">
        <v>46152</v>
      </c>
      <c r="J1261" s="38" t="inlineStr">
        <is>
          <t>0-4006</t>
        </is>
      </c>
      <c r="K1261" t="inlineStr">
        <is>
          <t>TR473 LANDOLL 53FT LOWBOY LANDOLL 53FT LOWBOY</t>
        </is>
      </c>
      <c r="L1261" t="n">
        <v>0</v>
      </c>
      <c r="M1261" t="n">
        <v>0</v>
      </c>
      <c r="O1261" t="inlineStr">
        <is>
          <t>TR473</t>
        </is>
      </c>
      <c r="Q1261" s="114" t="n">
        <v>0</v>
      </c>
      <c r="R1261" s="114" t="n">
        <v>0</v>
      </c>
      <c r="S1261" s="114" t="n">
        <v>0</v>
      </c>
      <c r="T1261" t="n">
        <v>0</v>
      </c>
    </row>
    <row r="1262">
      <c r="A1262" t="inlineStr">
        <is>
          <t>ttJTrans</t>
        </is>
      </c>
      <c r="B1262" s="38" t="inlineStr">
        <is>
          <t>0-4006</t>
        </is>
      </c>
      <c r="C1262" t="inlineStr">
        <is>
          <t>EQ</t>
        </is>
      </c>
      <c r="E1262" t="inlineStr">
        <is>
          <t>EQ</t>
        </is>
      </c>
      <c r="G1262" s="42" t="inlineStr"/>
      <c r="H1262" s="127" t="n">
        <v>46152</v>
      </c>
      <c r="J1262" s="38" t="inlineStr">
        <is>
          <t>0-4006</t>
        </is>
      </c>
      <c r="K1262" t="inlineStr">
        <is>
          <t>TR473 LANDOLL 53FT LOWBOY LANDOLL 53FT LOWBOY</t>
        </is>
      </c>
      <c r="L1262" t="n">
        <v>0</v>
      </c>
      <c r="M1262" t="n">
        <v>0</v>
      </c>
      <c r="O1262" t="inlineStr">
        <is>
          <t>TR473</t>
        </is>
      </c>
      <c r="Q1262" s="114" t="n">
        <v>0</v>
      </c>
      <c r="R1262" s="114" t="n">
        <v>0</v>
      </c>
      <c r="S1262" s="114" t="n">
        <v>0</v>
      </c>
      <c r="T1262" t="n">
        <v>0</v>
      </c>
    </row>
    <row r="1263">
      <c r="A1263" t="inlineStr">
        <is>
          <t>ttJTrans</t>
        </is>
      </c>
      <c r="B1263" s="38" t="inlineStr">
        <is>
          <t>0-4006</t>
        </is>
      </c>
      <c r="C1263" t="inlineStr">
        <is>
          <t>EQ</t>
        </is>
      </c>
      <c r="E1263" t="inlineStr">
        <is>
          <t>EQ</t>
        </is>
      </c>
      <c r="G1263" s="42" t="inlineStr"/>
      <c r="H1263" s="127" t="n">
        <v>46152</v>
      </c>
      <c r="J1263" s="38" t="inlineStr">
        <is>
          <t>0-4006</t>
        </is>
      </c>
      <c r="K1263" t="inlineStr">
        <is>
          <t>TR473 LANDOLL 53FT LOWBOY LANDOLL 53FT LOWBOY</t>
        </is>
      </c>
      <c r="L1263" t="n">
        <v>0</v>
      </c>
      <c r="M1263" t="n">
        <v>0</v>
      </c>
      <c r="O1263" t="inlineStr">
        <is>
          <t>TR473</t>
        </is>
      </c>
      <c r="Q1263" s="114" t="n">
        <v>0</v>
      </c>
      <c r="R1263" s="114" t="n">
        <v>0</v>
      </c>
      <c r="S1263" s="114" t="n">
        <v>0</v>
      </c>
      <c r="T1263" t="n">
        <v>0</v>
      </c>
    </row>
    <row r="1264">
      <c r="A1264" t="inlineStr">
        <is>
          <t>ttJTrans</t>
        </is>
      </c>
      <c r="B1264" s="38" t="inlineStr">
        <is>
          <t>0-4006</t>
        </is>
      </c>
      <c r="C1264" t="inlineStr">
        <is>
          <t>EQ</t>
        </is>
      </c>
      <c r="E1264" t="inlineStr">
        <is>
          <t>EQ</t>
        </is>
      </c>
      <c r="G1264" s="42" t="inlineStr"/>
      <c r="H1264" s="127" t="n">
        <v>46152</v>
      </c>
      <c r="J1264" s="38" t="inlineStr">
        <is>
          <t>0-4006</t>
        </is>
      </c>
      <c r="K1264" t="inlineStr">
        <is>
          <t>TR461 40' HIGH CUBE CONTAINERS 40' HIGH CUBE CONTAINERS</t>
        </is>
      </c>
      <c r="L1264" t="n">
        <v>0</v>
      </c>
      <c r="M1264" t="n">
        <v>0</v>
      </c>
      <c r="O1264" t="inlineStr">
        <is>
          <t>TR461</t>
        </is>
      </c>
      <c r="Q1264" s="114" t="n">
        <v>0</v>
      </c>
      <c r="R1264" s="114" t="n">
        <v>65</v>
      </c>
      <c r="S1264" s="114" t="n">
        <v>0</v>
      </c>
      <c r="T1264" t="n">
        <v>0</v>
      </c>
    </row>
    <row r="1265">
      <c r="A1265" t="inlineStr">
        <is>
          <t>ttJTrans</t>
        </is>
      </c>
      <c r="B1265" s="38" t="inlineStr">
        <is>
          <t>0-4006</t>
        </is>
      </c>
      <c r="C1265" t="inlineStr">
        <is>
          <t>EQ</t>
        </is>
      </c>
      <c r="E1265" t="inlineStr">
        <is>
          <t>EQ</t>
        </is>
      </c>
      <c r="G1265" s="42" t="inlineStr"/>
      <c r="H1265" s="127" t="n">
        <v>46152</v>
      </c>
      <c r="J1265" s="38" t="inlineStr">
        <is>
          <t>0-4006</t>
        </is>
      </c>
      <c r="K1265" t="inlineStr">
        <is>
          <t>TR461 40' HIGH CUBE CONTAINERS 40' HIGH CUBE CONTAINERS</t>
        </is>
      </c>
      <c r="L1265" t="n">
        <v>0</v>
      </c>
      <c r="M1265" t="n">
        <v>0</v>
      </c>
      <c r="O1265" t="inlineStr">
        <is>
          <t>TR461</t>
        </is>
      </c>
      <c r="Q1265" s="114" t="n">
        <v>0</v>
      </c>
      <c r="R1265" s="114" t="n">
        <v>65</v>
      </c>
      <c r="S1265" s="114" t="n">
        <v>0</v>
      </c>
      <c r="T1265" t="n">
        <v>0</v>
      </c>
    </row>
    <row r="1266">
      <c r="A1266" t="inlineStr">
        <is>
          <t>ttJTrans</t>
        </is>
      </c>
      <c r="B1266" s="38" t="inlineStr">
        <is>
          <t>0-4006</t>
        </is>
      </c>
      <c r="C1266" t="inlineStr">
        <is>
          <t>EQ</t>
        </is>
      </c>
      <c r="E1266" t="inlineStr">
        <is>
          <t>EQ</t>
        </is>
      </c>
      <c r="G1266" s="42" t="inlineStr"/>
      <c r="H1266" s="127" t="n">
        <v>46152</v>
      </c>
      <c r="J1266" s="38" t="inlineStr">
        <is>
          <t>0-4006</t>
        </is>
      </c>
      <c r="K1266" t="inlineStr">
        <is>
          <t>TR461 40' HIGH CUBE CONTAINERS 40' HIGH CUBE CONTAINERS</t>
        </is>
      </c>
      <c r="L1266" t="n">
        <v>0</v>
      </c>
      <c r="M1266" t="n">
        <v>0</v>
      </c>
      <c r="O1266" t="inlineStr">
        <is>
          <t>TR461</t>
        </is>
      </c>
      <c r="Q1266" s="114" t="n">
        <v>0</v>
      </c>
      <c r="R1266" s="114" t="n">
        <v>65</v>
      </c>
      <c r="S1266" s="114" t="n">
        <v>0</v>
      </c>
      <c r="T1266" t="n">
        <v>0</v>
      </c>
    </row>
    <row r="1267">
      <c r="A1267" t="inlineStr">
        <is>
          <t>ttJTrans</t>
        </is>
      </c>
      <c r="B1267" s="38" t="inlineStr">
        <is>
          <t>0-4006</t>
        </is>
      </c>
      <c r="C1267" t="inlineStr">
        <is>
          <t>EQ</t>
        </is>
      </c>
      <c r="E1267" t="inlineStr">
        <is>
          <t>EQ</t>
        </is>
      </c>
      <c r="G1267" s="42" t="inlineStr"/>
      <c r="H1267" s="127" t="n">
        <v>46152</v>
      </c>
      <c r="J1267" s="38" t="inlineStr">
        <is>
          <t>0-4006</t>
        </is>
      </c>
      <c r="K1267" t="inlineStr">
        <is>
          <t>TR461 40' HIGH CUBE CONTAINERS 40' HIGH CUBE CONTAINERS</t>
        </is>
      </c>
      <c r="L1267" t="n">
        <v>0</v>
      </c>
      <c r="M1267" t="n">
        <v>0</v>
      </c>
      <c r="O1267" t="inlineStr">
        <is>
          <t>TR461</t>
        </is>
      </c>
      <c r="Q1267" s="114" t="n">
        <v>0</v>
      </c>
      <c r="R1267" s="114" t="n">
        <v>65</v>
      </c>
      <c r="S1267" s="114" t="n">
        <v>0</v>
      </c>
      <c r="T1267" t="n">
        <v>0</v>
      </c>
    </row>
    <row r="1268">
      <c r="A1268" t="inlineStr">
        <is>
          <t>ttJTrans</t>
        </is>
      </c>
      <c r="B1268" s="38" t="inlineStr">
        <is>
          <t>0-4006</t>
        </is>
      </c>
      <c r="C1268" t="inlineStr">
        <is>
          <t>EQ</t>
        </is>
      </c>
      <c r="E1268" t="inlineStr">
        <is>
          <t>EQ</t>
        </is>
      </c>
      <c r="G1268" s="42" t="inlineStr"/>
      <c r="H1268" s="127" t="n">
        <v>46152</v>
      </c>
      <c r="J1268" s="38" t="inlineStr">
        <is>
          <t>0-4006</t>
        </is>
      </c>
      <c r="K1268" t="inlineStr">
        <is>
          <t>TR461 40' HIGH CUBE CONTAINERS 40' HIGH CUBE CONTAINERS</t>
        </is>
      </c>
      <c r="L1268" t="n">
        <v>0</v>
      </c>
      <c r="M1268" t="n">
        <v>0</v>
      </c>
      <c r="O1268" t="inlineStr">
        <is>
          <t>TR461</t>
        </is>
      </c>
      <c r="Q1268" s="114" t="n">
        <v>0</v>
      </c>
      <c r="R1268" s="114" t="n">
        <v>65</v>
      </c>
      <c r="S1268" s="114" t="n">
        <v>0</v>
      </c>
      <c r="T1268" t="n">
        <v>0</v>
      </c>
    </row>
    <row r="1269">
      <c r="A1269" t="inlineStr">
        <is>
          <t>ttJTrans</t>
        </is>
      </c>
      <c r="B1269" s="38" t="inlineStr">
        <is>
          <t>0-4006</t>
        </is>
      </c>
      <c r="C1269" t="inlineStr">
        <is>
          <t>EQ</t>
        </is>
      </c>
      <c r="E1269" t="inlineStr">
        <is>
          <t>EQ</t>
        </is>
      </c>
      <c r="G1269" s="42" t="inlineStr"/>
      <c r="H1269" s="127" t="n">
        <v>46152</v>
      </c>
      <c r="J1269" s="38" t="inlineStr">
        <is>
          <t>0-4006</t>
        </is>
      </c>
      <c r="K1269" t="inlineStr">
        <is>
          <t>TR461 40' HIGH CUBE CONTAINERS 40' HIGH CUBE CONTAINERS</t>
        </is>
      </c>
      <c r="L1269" t="n">
        <v>0</v>
      </c>
      <c r="M1269" t="n">
        <v>0</v>
      </c>
      <c r="O1269" t="inlineStr">
        <is>
          <t>TR461</t>
        </is>
      </c>
      <c r="Q1269" s="114" t="n">
        <v>0</v>
      </c>
      <c r="R1269" s="114" t="n">
        <v>65</v>
      </c>
      <c r="S1269" s="114" t="n">
        <v>0</v>
      </c>
      <c r="T1269" t="n">
        <v>0</v>
      </c>
    </row>
    <row r="1270">
      <c r="A1270" t="inlineStr">
        <is>
          <t>ttJTrans</t>
        </is>
      </c>
      <c r="B1270" s="38" t="inlineStr">
        <is>
          <t>0-4006</t>
        </is>
      </c>
      <c r="C1270" t="inlineStr">
        <is>
          <t>EQ</t>
        </is>
      </c>
      <c r="E1270" t="inlineStr">
        <is>
          <t>EQ</t>
        </is>
      </c>
      <c r="G1270" s="42" t="inlineStr"/>
      <c r="H1270" s="127" t="n">
        <v>46152</v>
      </c>
      <c r="J1270" s="38" t="inlineStr">
        <is>
          <t>0-4006</t>
        </is>
      </c>
      <c r="K1270" t="inlineStr">
        <is>
          <t>TR462 40' HIGH CUBE CONTAINERS 40' HIGH CUBE CONTAINERS</t>
        </is>
      </c>
      <c r="L1270" t="n">
        <v>0</v>
      </c>
      <c r="M1270" t="n">
        <v>0</v>
      </c>
      <c r="O1270" t="inlineStr">
        <is>
          <t>TR462</t>
        </is>
      </c>
      <c r="Q1270" s="114" t="n">
        <v>0</v>
      </c>
      <c r="R1270" s="114" t="n">
        <v>65</v>
      </c>
      <c r="S1270" s="114" t="n">
        <v>0</v>
      </c>
      <c r="T1270" t="n">
        <v>0</v>
      </c>
    </row>
    <row r="1271">
      <c r="A1271" t="inlineStr">
        <is>
          <t>ttJTrans</t>
        </is>
      </c>
      <c r="B1271" s="38" t="inlineStr">
        <is>
          <t>0-4006</t>
        </is>
      </c>
      <c r="C1271" t="inlineStr">
        <is>
          <t>EQ</t>
        </is>
      </c>
      <c r="E1271" t="inlineStr">
        <is>
          <t>EQ</t>
        </is>
      </c>
      <c r="G1271" s="42" t="inlineStr"/>
      <c r="H1271" s="127" t="n">
        <v>46152</v>
      </c>
      <c r="J1271" s="38" t="inlineStr">
        <is>
          <t>0-4006</t>
        </is>
      </c>
      <c r="K1271" t="inlineStr">
        <is>
          <t>TR462 40' HIGH CUBE CONTAINERS 40' HIGH CUBE CONTAINERS</t>
        </is>
      </c>
      <c r="L1271" t="n">
        <v>0</v>
      </c>
      <c r="M1271" t="n">
        <v>0</v>
      </c>
      <c r="O1271" t="inlineStr">
        <is>
          <t>TR462</t>
        </is>
      </c>
      <c r="Q1271" s="114" t="n">
        <v>0</v>
      </c>
      <c r="R1271" s="114" t="n">
        <v>65</v>
      </c>
      <c r="S1271" s="114" t="n">
        <v>0</v>
      </c>
      <c r="T1271" t="n">
        <v>0</v>
      </c>
    </row>
    <row r="1272">
      <c r="A1272" t="inlineStr">
        <is>
          <t>ttJTrans</t>
        </is>
      </c>
      <c r="B1272" s="38" t="inlineStr">
        <is>
          <t>0-4006</t>
        </is>
      </c>
      <c r="C1272" t="inlineStr">
        <is>
          <t>EQ</t>
        </is>
      </c>
      <c r="E1272" t="inlineStr">
        <is>
          <t>EQ</t>
        </is>
      </c>
      <c r="G1272" s="42" t="inlineStr"/>
      <c r="H1272" s="127" t="n">
        <v>46152</v>
      </c>
      <c r="J1272" s="38" t="inlineStr">
        <is>
          <t>0-4006</t>
        </is>
      </c>
      <c r="K1272" t="inlineStr">
        <is>
          <t>TR462 40' HIGH CUBE CONTAINERS 40' HIGH CUBE CONTAINERS</t>
        </is>
      </c>
      <c r="L1272" t="n">
        <v>0</v>
      </c>
      <c r="M1272" t="n">
        <v>0</v>
      </c>
      <c r="O1272" t="inlineStr">
        <is>
          <t>TR462</t>
        </is>
      </c>
      <c r="Q1272" s="114" t="n">
        <v>0</v>
      </c>
      <c r="R1272" s="114" t="n">
        <v>65</v>
      </c>
      <c r="S1272" s="114" t="n">
        <v>0</v>
      </c>
      <c r="T1272" t="n">
        <v>0</v>
      </c>
    </row>
    <row r="1273">
      <c r="A1273" t="inlineStr">
        <is>
          <t>ttJTrans</t>
        </is>
      </c>
      <c r="B1273" s="38" t="inlineStr">
        <is>
          <t>0-4006</t>
        </is>
      </c>
      <c r="C1273" t="inlineStr">
        <is>
          <t>EQ</t>
        </is>
      </c>
      <c r="E1273" t="inlineStr">
        <is>
          <t>EQ</t>
        </is>
      </c>
      <c r="G1273" s="42" t="inlineStr"/>
      <c r="H1273" s="127" t="n">
        <v>46152</v>
      </c>
      <c r="J1273" s="38" t="inlineStr">
        <is>
          <t>0-4006</t>
        </is>
      </c>
      <c r="K1273" t="inlineStr">
        <is>
          <t>TR462 40' HIGH CUBE CONTAINERS 40' HIGH CUBE CONTAINERS</t>
        </is>
      </c>
      <c r="L1273" t="n">
        <v>0</v>
      </c>
      <c r="M1273" t="n">
        <v>0</v>
      </c>
      <c r="O1273" t="inlineStr">
        <is>
          <t>TR462</t>
        </is>
      </c>
      <c r="Q1273" s="114" t="n">
        <v>0</v>
      </c>
      <c r="R1273" s="114" t="n">
        <v>65</v>
      </c>
      <c r="S1273" s="114" t="n">
        <v>0</v>
      </c>
      <c r="T1273" t="n">
        <v>0</v>
      </c>
    </row>
    <row r="1274">
      <c r="A1274" t="inlineStr">
        <is>
          <t>ttJTrans</t>
        </is>
      </c>
      <c r="B1274" s="38" t="inlineStr">
        <is>
          <t>0-4006</t>
        </is>
      </c>
      <c r="C1274" t="inlineStr">
        <is>
          <t>EQ</t>
        </is>
      </c>
      <c r="E1274" t="inlineStr">
        <is>
          <t>EQ</t>
        </is>
      </c>
      <c r="G1274" s="42" t="inlineStr"/>
      <c r="H1274" s="127" t="n">
        <v>46152</v>
      </c>
      <c r="J1274" s="38" t="inlineStr">
        <is>
          <t>0-4006</t>
        </is>
      </c>
      <c r="K1274" t="inlineStr">
        <is>
          <t>TR462 40' HIGH CUBE CONTAINERS 40' HIGH CUBE CONTAINERS</t>
        </is>
      </c>
      <c r="L1274" t="n">
        <v>0</v>
      </c>
      <c r="M1274" t="n">
        <v>0</v>
      </c>
      <c r="O1274" t="inlineStr">
        <is>
          <t>TR462</t>
        </is>
      </c>
      <c r="Q1274" s="114" t="n">
        <v>0</v>
      </c>
      <c r="R1274" s="114" t="n">
        <v>65</v>
      </c>
      <c r="S1274" s="114" t="n">
        <v>0</v>
      </c>
      <c r="T1274" t="n">
        <v>0</v>
      </c>
    </row>
    <row r="1275">
      <c r="A1275" t="inlineStr">
        <is>
          <t>ttJTrans</t>
        </is>
      </c>
      <c r="B1275" s="38" t="inlineStr">
        <is>
          <t>0-4006</t>
        </is>
      </c>
      <c r="C1275" t="inlineStr">
        <is>
          <t>EQ</t>
        </is>
      </c>
      <c r="E1275" t="inlineStr">
        <is>
          <t>EQ</t>
        </is>
      </c>
      <c r="G1275" s="42" t="inlineStr"/>
      <c r="H1275" s="127" t="n">
        <v>46152</v>
      </c>
      <c r="J1275" s="38" t="inlineStr">
        <is>
          <t>0-4006</t>
        </is>
      </c>
      <c r="K1275" t="inlineStr">
        <is>
          <t>TR462 40' HIGH CUBE CONTAINERS 40' HIGH CUBE CONTAINERS</t>
        </is>
      </c>
      <c r="L1275" t="n">
        <v>0</v>
      </c>
      <c r="M1275" t="n">
        <v>0</v>
      </c>
      <c r="O1275" t="inlineStr">
        <is>
          <t>TR462</t>
        </is>
      </c>
      <c r="Q1275" s="114" t="n">
        <v>0</v>
      </c>
      <c r="R1275" s="114" t="n">
        <v>65</v>
      </c>
      <c r="S1275" s="114" t="n">
        <v>0</v>
      </c>
      <c r="T1275" t="n">
        <v>0</v>
      </c>
    </row>
    <row r="1276">
      <c r="A1276" t="inlineStr">
        <is>
          <t>ttJTrans</t>
        </is>
      </c>
      <c r="B1276" s="38" t="inlineStr">
        <is>
          <t>0-4006</t>
        </is>
      </c>
      <c r="C1276" t="inlineStr">
        <is>
          <t>EQ</t>
        </is>
      </c>
      <c r="E1276" t="inlineStr">
        <is>
          <t>EQ</t>
        </is>
      </c>
      <c r="G1276" s="42" t="inlineStr"/>
      <c r="H1276" s="127" t="n">
        <v>46152</v>
      </c>
      <c r="J1276" s="38" t="inlineStr">
        <is>
          <t>0-4006</t>
        </is>
      </c>
      <c r="K1276" t="inlineStr">
        <is>
          <t>TR463 40' HIGH CUBE CONTAINERS 40' HIGH CUBE CONTAINERS</t>
        </is>
      </c>
      <c r="L1276" t="n">
        <v>0</v>
      </c>
      <c r="M1276" t="n">
        <v>0</v>
      </c>
      <c r="O1276" t="inlineStr">
        <is>
          <t>TR463</t>
        </is>
      </c>
      <c r="Q1276" s="114" t="n">
        <v>0</v>
      </c>
      <c r="R1276" s="114" t="n">
        <v>65</v>
      </c>
      <c r="S1276" s="114" t="n">
        <v>0</v>
      </c>
      <c r="T1276" t="n">
        <v>0</v>
      </c>
    </row>
    <row r="1277">
      <c r="A1277" t="inlineStr">
        <is>
          <t>ttJTrans</t>
        </is>
      </c>
      <c r="B1277" s="38" t="inlineStr">
        <is>
          <t>0-4006</t>
        </is>
      </c>
      <c r="C1277" t="inlineStr">
        <is>
          <t>EQ</t>
        </is>
      </c>
      <c r="E1277" t="inlineStr">
        <is>
          <t>EQ</t>
        </is>
      </c>
      <c r="G1277" s="42" t="inlineStr"/>
      <c r="H1277" s="127" t="n">
        <v>46152</v>
      </c>
      <c r="J1277" s="38" t="inlineStr">
        <is>
          <t>0-4006</t>
        </is>
      </c>
      <c r="K1277" t="inlineStr">
        <is>
          <t>TR463 40' HIGH CUBE CONTAINERS 40' HIGH CUBE CONTAINERS</t>
        </is>
      </c>
      <c r="L1277" t="n">
        <v>0</v>
      </c>
      <c r="M1277" t="n">
        <v>0</v>
      </c>
      <c r="O1277" t="inlineStr">
        <is>
          <t>TR463</t>
        </is>
      </c>
      <c r="Q1277" s="114" t="n">
        <v>0</v>
      </c>
      <c r="R1277" s="114" t="n">
        <v>65</v>
      </c>
      <c r="S1277" s="114" t="n">
        <v>0</v>
      </c>
      <c r="T1277" t="n">
        <v>0</v>
      </c>
    </row>
    <row r="1278">
      <c r="A1278" t="inlineStr">
        <is>
          <t>ttJTrans</t>
        </is>
      </c>
      <c r="B1278" s="38" t="inlineStr">
        <is>
          <t>0-4006</t>
        </is>
      </c>
      <c r="C1278" t="inlineStr">
        <is>
          <t>EQ</t>
        </is>
      </c>
      <c r="E1278" t="inlineStr">
        <is>
          <t>EQ</t>
        </is>
      </c>
      <c r="G1278" s="42" t="inlineStr"/>
      <c r="H1278" s="127" t="n">
        <v>46152</v>
      </c>
      <c r="J1278" s="38" t="inlineStr">
        <is>
          <t>0-4006</t>
        </is>
      </c>
      <c r="K1278" t="inlineStr">
        <is>
          <t>TR463 40' HIGH CUBE CONTAINERS 40' HIGH CUBE CONTAINERS</t>
        </is>
      </c>
      <c r="L1278" t="n">
        <v>0</v>
      </c>
      <c r="M1278" t="n">
        <v>0</v>
      </c>
      <c r="O1278" t="inlineStr">
        <is>
          <t>TR463</t>
        </is>
      </c>
      <c r="Q1278" s="114" t="n">
        <v>0</v>
      </c>
      <c r="R1278" s="114" t="n">
        <v>65</v>
      </c>
      <c r="S1278" s="114" t="n">
        <v>0</v>
      </c>
      <c r="T1278" t="n">
        <v>0</v>
      </c>
    </row>
    <row r="1279">
      <c r="A1279" t="inlineStr">
        <is>
          <t>ttJTrans</t>
        </is>
      </c>
      <c r="B1279" s="38" t="inlineStr">
        <is>
          <t>0-4006</t>
        </is>
      </c>
      <c r="C1279" t="inlineStr">
        <is>
          <t>EQ</t>
        </is>
      </c>
      <c r="E1279" t="inlineStr">
        <is>
          <t>EQ</t>
        </is>
      </c>
      <c r="G1279" s="42" t="inlineStr"/>
      <c r="H1279" s="127" t="n">
        <v>46152</v>
      </c>
      <c r="J1279" s="38" t="inlineStr">
        <is>
          <t>0-4006</t>
        </is>
      </c>
      <c r="K1279" t="inlineStr">
        <is>
          <t>TR463 40' HIGH CUBE CONTAINERS 40' HIGH CUBE CONTAINERS</t>
        </is>
      </c>
      <c r="L1279" t="n">
        <v>0</v>
      </c>
      <c r="M1279" t="n">
        <v>0</v>
      </c>
      <c r="O1279" t="inlineStr">
        <is>
          <t>TR463</t>
        </is>
      </c>
      <c r="Q1279" s="114" t="n">
        <v>0</v>
      </c>
      <c r="R1279" s="114" t="n">
        <v>65</v>
      </c>
      <c r="S1279" s="114" t="n">
        <v>0</v>
      </c>
      <c r="T1279" t="n">
        <v>0</v>
      </c>
    </row>
    <row r="1280">
      <c r="A1280" t="inlineStr">
        <is>
          <t>ttJTrans</t>
        </is>
      </c>
      <c r="B1280" s="38" t="inlineStr">
        <is>
          <t>0-4006</t>
        </is>
      </c>
      <c r="C1280" t="inlineStr">
        <is>
          <t>EQ</t>
        </is>
      </c>
      <c r="E1280" t="inlineStr">
        <is>
          <t>EQ</t>
        </is>
      </c>
      <c r="G1280" s="42" t="inlineStr"/>
      <c r="H1280" s="127" t="n">
        <v>46152</v>
      </c>
      <c r="J1280" s="38" t="inlineStr">
        <is>
          <t>0-4006</t>
        </is>
      </c>
      <c r="K1280" t="inlineStr">
        <is>
          <t>TR463 40' HIGH CUBE CONTAINERS 40' HIGH CUBE CONTAINERS</t>
        </is>
      </c>
      <c r="L1280" t="n">
        <v>0</v>
      </c>
      <c r="M1280" t="n">
        <v>0</v>
      </c>
      <c r="O1280" t="inlineStr">
        <is>
          <t>TR463</t>
        </is>
      </c>
      <c r="Q1280" s="114" t="n">
        <v>0</v>
      </c>
      <c r="R1280" s="114" t="n">
        <v>65</v>
      </c>
      <c r="S1280" s="114" t="n">
        <v>0</v>
      </c>
      <c r="T1280" t="n">
        <v>0</v>
      </c>
    </row>
    <row r="1281">
      <c r="A1281" t="inlineStr">
        <is>
          <t>ttJTrans</t>
        </is>
      </c>
      <c r="B1281" s="38" t="inlineStr">
        <is>
          <t>0-4006</t>
        </is>
      </c>
      <c r="C1281" t="inlineStr">
        <is>
          <t>EQ</t>
        </is>
      </c>
      <c r="E1281" t="inlineStr">
        <is>
          <t>EQ</t>
        </is>
      </c>
      <c r="G1281" s="42" t="inlineStr"/>
      <c r="H1281" s="127" t="n">
        <v>46152</v>
      </c>
      <c r="J1281" s="38" t="inlineStr">
        <is>
          <t>0-4006</t>
        </is>
      </c>
      <c r="K1281" t="inlineStr">
        <is>
          <t>TR463 40' HIGH CUBE CONTAINERS 40' HIGH CUBE CONTAINERS</t>
        </is>
      </c>
      <c r="L1281" t="n">
        <v>0</v>
      </c>
      <c r="M1281" t="n">
        <v>0</v>
      </c>
      <c r="O1281" t="inlineStr">
        <is>
          <t>TR463</t>
        </is>
      </c>
      <c r="Q1281" s="114" t="n">
        <v>0</v>
      </c>
      <c r="R1281" s="114" t="n">
        <v>65</v>
      </c>
      <c r="S1281" s="114" t="n">
        <v>0</v>
      </c>
      <c r="T1281" t="n">
        <v>0</v>
      </c>
    </row>
    <row r="1282">
      <c r="A1282" t="inlineStr">
        <is>
          <t>ttJTrans</t>
        </is>
      </c>
      <c r="B1282" s="38" t="inlineStr">
        <is>
          <t>0-4006</t>
        </is>
      </c>
      <c r="C1282" t="inlineStr">
        <is>
          <t>EQ</t>
        </is>
      </c>
      <c r="E1282" t="inlineStr">
        <is>
          <t>EQ</t>
        </is>
      </c>
      <c r="G1282" s="42" t="inlineStr"/>
      <c r="H1282" s="127" t="n">
        <v>46152</v>
      </c>
      <c r="J1282" s="38" t="inlineStr">
        <is>
          <t>0-4006</t>
        </is>
      </c>
      <c r="K1282" t="inlineStr">
        <is>
          <t>TR464 40' HIGH CUBE CONTAINERS 40' HIGH CUBE CONTAINERS</t>
        </is>
      </c>
      <c r="L1282" t="n">
        <v>0</v>
      </c>
      <c r="M1282" t="n">
        <v>0</v>
      </c>
      <c r="O1282" t="inlineStr">
        <is>
          <t>TR464</t>
        </is>
      </c>
      <c r="Q1282" s="114" t="n">
        <v>0</v>
      </c>
      <c r="R1282" s="114" t="n">
        <v>65</v>
      </c>
      <c r="S1282" s="114" t="n">
        <v>0</v>
      </c>
      <c r="T1282" t="n">
        <v>0</v>
      </c>
    </row>
    <row r="1283">
      <c r="A1283" t="inlineStr">
        <is>
          <t>ttJTrans</t>
        </is>
      </c>
      <c r="B1283" s="38" t="inlineStr">
        <is>
          <t>0-4006</t>
        </is>
      </c>
      <c r="C1283" t="inlineStr">
        <is>
          <t>EQ</t>
        </is>
      </c>
      <c r="E1283" t="inlineStr">
        <is>
          <t>EQ</t>
        </is>
      </c>
      <c r="G1283" s="42" t="inlineStr"/>
      <c r="H1283" s="127" t="n">
        <v>46152</v>
      </c>
      <c r="J1283" s="38" t="inlineStr">
        <is>
          <t>0-4006</t>
        </is>
      </c>
      <c r="K1283" t="inlineStr">
        <is>
          <t>TR464 40' HIGH CUBE CONTAINERS 40' HIGH CUBE CONTAINERS</t>
        </is>
      </c>
      <c r="L1283" t="n">
        <v>0</v>
      </c>
      <c r="M1283" t="n">
        <v>0</v>
      </c>
      <c r="O1283" t="inlineStr">
        <is>
          <t>TR464</t>
        </is>
      </c>
      <c r="Q1283" s="114" t="n">
        <v>0</v>
      </c>
      <c r="R1283" s="114" t="n">
        <v>65</v>
      </c>
      <c r="S1283" s="114" t="n">
        <v>0</v>
      </c>
      <c r="T1283" t="n">
        <v>0</v>
      </c>
    </row>
    <row r="1284">
      <c r="A1284" t="inlineStr">
        <is>
          <t>ttJTrans</t>
        </is>
      </c>
      <c r="B1284" s="38" t="inlineStr">
        <is>
          <t>0-4006</t>
        </is>
      </c>
      <c r="C1284" t="inlineStr">
        <is>
          <t>EQ</t>
        </is>
      </c>
      <c r="E1284" t="inlineStr">
        <is>
          <t>EQ</t>
        </is>
      </c>
      <c r="G1284" s="42" t="inlineStr"/>
      <c r="H1284" s="127" t="n">
        <v>46152</v>
      </c>
      <c r="J1284" s="38" t="inlineStr">
        <is>
          <t>0-4006</t>
        </is>
      </c>
      <c r="K1284" t="inlineStr">
        <is>
          <t>TR464 40' HIGH CUBE CONTAINERS 40' HIGH CUBE CONTAINERS</t>
        </is>
      </c>
      <c r="L1284" t="n">
        <v>0</v>
      </c>
      <c r="M1284" t="n">
        <v>0</v>
      </c>
      <c r="O1284" t="inlineStr">
        <is>
          <t>TR464</t>
        </is>
      </c>
      <c r="Q1284" s="114" t="n">
        <v>0</v>
      </c>
      <c r="R1284" s="114" t="n">
        <v>65</v>
      </c>
      <c r="S1284" s="114" t="n">
        <v>0</v>
      </c>
      <c r="T1284" t="n">
        <v>0</v>
      </c>
    </row>
    <row r="1285">
      <c r="A1285" t="inlineStr">
        <is>
          <t>ttJTrans</t>
        </is>
      </c>
      <c r="B1285" s="38" t="inlineStr">
        <is>
          <t>0-4006</t>
        </is>
      </c>
      <c r="C1285" t="inlineStr">
        <is>
          <t>EQ</t>
        </is>
      </c>
      <c r="E1285" t="inlineStr">
        <is>
          <t>EQ</t>
        </is>
      </c>
      <c r="G1285" s="42" t="inlineStr"/>
      <c r="H1285" s="127" t="n">
        <v>46152</v>
      </c>
      <c r="J1285" s="38" t="inlineStr">
        <is>
          <t>0-4006</t>
        </is>
      </c>
      <c r="K1285" t="inlineStr">
        <is>
          <t>TR464 40' HIGH CUBE CONTAINERS 40' HIGH CUBE CONTAINERS</t>
        </is>
      </c>
      <c r="L1285" t="n">
        <v>0</v>
      </c>
      <c r="M1285" t="n">
        <v>0</v>
      </c>
      <c r="O1285" t="inlineStr">
        <is>
          <t>TR464</t>
        </is>
      </c>
      <c r="Q1285" s="114" t="n">
        <v>0</v>
      </c>
      <c r="R1285" s="114" t="n">
        <v>65</v>
      </c>
      <c r="S1285" s="114" t="n">
        <v>0</v>
      </c>
      <c r="T1285" t="n">
        <v>0</v>
      </c>
    </row>
    <row r="1286">
      <c r="A1286" t="inlineStr">
        <is>
          <t>ttJTrans</t>
        </is>
      </c>
      <c r="B1286" s="38" t="inlineStr">
        <is>
          <t>0-4006</t>
        </is>
      </c>
      <c r="C1286" t="inlineStr">
        <is>
          <t>EQ</t>
        </is>
      </c>
      <c r="E1286" t="inlineStr">
        <is>
          <t>EQ</t>
        </is>
      </c>
      <c r="G1286" s="42" t="inlineStr"/>
      <c r="H1286" s="127" t="n">
        <v>46152</v>
      </c>
      <c r="J1286" s="38" t="inlineStr">
        <is>
          <t>0-4006</t>
        </is>
      </c>
      <c r="K1286" t="inlineStr">
        <is>
          <t>TR464 40' HIGH CUBE CONTAINERS 40' HIGH CUBE CONTAINERS</t>
        </is>
      </c>
      <c r="L1286" t="n">
        <v>0</v>
      </c>
      <c r="M1286" t="n">
        <v>0</v>
      </c>
      <c r="O1286" t="inlineStr">
        <is>
          <t>TR464</t>
        </is>
      </c>
      <c r="Q1286" s="114" t="n">
        <v>0</v>
      </c>
      <c r="R1286" s="114" t="n">
        <v>65</v>
      </c>
      <c r="S1286" s="114" t="n">
        <v>0</v>
      </c>
      <c r="T1286" t="n">
        <v>0</v>
      </c>
    </row>
    <row r="1287">
      <c r="A1287" t="inlineStr">
        <is>
          <t>ttJTrans</t>
        </is>
      </c>
      <c r="B1287" s="38" t="inlineStr">
        <is>
          <t>0-4006</t>
        </is>
      </c>
      <c r="C1287" t="inlineStr">
        <is>
          <t>EQ</t>
        </is>
      </c>
      <c r="E1287" t="inlineStr">
        <is>
          <t>EQ</t>
        </is>
      </c>
      <c r="G1287" s="42" t="inlineStr"/>
      <c r="H1287" s="127" t="n">
        <v>46152</v>
      </c>
      <c r="J1287" s="38" t="inlineStr">
        <is>
          <t>0-4006</t>
        </is>
      </c>
      <c r="K1287" t="inlineStr">
        <is>
          <t>TR464 40' HIGH CUBE CONTAINERS 40' HIGH CUBE CONTAINERS</t>
        </is>
      </c>
      <c r="L1287" t="n">
        <v>0</v>
      </c>
      <c r="M1287" t="n">
        <v>0</v>
      </c>
      <c r="O1287" t="inlineStr">
        <is>
          <t>TR464</t>
        </is>
      </c>
      <c r="Q1287" s="114" t="n">
        <v>0</v>
      </c>
      <c r="R1287" s="114" t="n">
        <v>65</v>
      </c>
      <c r="S1287" s="114" t="n">
        <v>0</v>
      </c>
      <c r="T1287" t="n">
        <v>0</v>
      </c>
    </row>
    <row r="1288">
      <c r="A1288" t="inlineStr">
        <is>
          <t>ttJTrans</t>
        </is>
      </c>
      <c r="B1288" s="38" t="inlineStr">
        <is>
          <t>0-4006</t>
        </is>
      </c>
      <c r="C1288" t="inlineStr">
        <is>
          <t>EQ</t>
        </is>
      </c>
      <c r="E1288" t="inlineStr">
        <is>
          <t>EQ</t>
        </is>
      </c>
      <c r="G1288" s="42" t="inlineStr"/>
      <c r="H1288" s="127" t="n">
        <v>46152</v>
      </c>
      <c r="J1288" s="38" t="inlineStr">
        <is>
          <t>0-4006</t>
        </is>
      </c>
      <c r="K1288" t="inlineStr">
        <is>
          <t>TR456 40' DOUBLE DOOR CONTAINER 40' DOUBLE DOOR CONTAINER</t>
        </is>
      </c>
      <c r="L1288" t="n">
        <v>0</v>
      </c>
      <c r="M1288" t="n">
        <v>0</v>
      </c>
      <c r="O1288" t="inlineStr">
        <is>
          <t>TR456</t>
        </is>
      </c>
      <c r="Q1288" s="114" t="n">
        <v>0</v>
      </c>
      <c r="R1288" s="114" t="n">
        <v>65</v>
      </c>
      <c r="S1288" s="114" t="n">
        <v>0</v>
      </c>
      <c r="T1288" t="n">
        <v>0</v>
      </c>
    </row>
    <row r="1289">
      <c r="A1289" t="inlineStr">
        <is>
          <t>ttJTrans</t>
        </is>
      </c>
      <c r="B1289" s="38" t="inlineStr">
        <is>
          <t>0-4006</t>
        </is>
      </c>
      <c r="C1289" t="inlineStr">
        <is>
          <t>EQ</t>
        </is>
      </c>
      <c r="E1289" t="inlineStr">
        <is>
          <t>EQ</t>
        </is>
      </c>
      <c r="G1289" s="42" t="inlineStr"/>
      <c r="H1289" s="127" t="n">
        <v>46152</v>
      </c>
      <c r="J1289" s="38" t="inlineStr">
        <is>
          <t>0-4006</t>
        </is>
      </c>
      <c r="K1289" t="inlineStr">
        <is>
          <t>TR456 40' DOUBLE DOOR CONTAINER 40' DOUBLE DOOR CONTAINER</t>
        </is>
      </c>
      <c r="L1289" t="n">
        <v>0</v>
      </c>
      <c r="M1289" t="n">
        <v>0</v>
      </c>
      <c r="O1289" t="inlineStr">
        <is>
          <t>TR456</t>
        </is>
      </c>
      <c r="Q1289" s="114" t="n">
        <v>0</v>
      </c>
      <c r="R1289" s="114" t="n">
        <v>65</v>
      </c>
      <c r="S1289" s="114" t="n">
        <v>0</v>
      </c>
      <c r="T1289" t="n">
        <v>0</v>
      </c>
    </row>
    <row r="1290">
      <c r="A1290" t="inlineStr">
        <is>
          <t>ttJTrans</t>
        </is>
      </c>
      <c r="B1290" s="38" t="inlineStr">
        <is>
          <t>0-4006</t>
        </is>
      </c>
      <c r="C1290" t="inlineStr">
        <is>
          <t>EQ</t>
        </is>
      </c>
      <c r="E1290" t="inlineStr">
        <is>
          <t>EQ</t>
        </is>
      </c>
      <c r="G1290" s="42" t="inlineStr"/>
      <c r="H1290" s="127" t="n">
        <v>46152</v>
      </c>
      <c r="J1290" s="38" t="inlineStr">
        <is>
          <t>0-4006</t>
        </is>
      </c>
      <c r="K1290" t="inlineStr">
        <is>
          <t>TR456 40' DOUBLE DOOR CONTAINER 40' DOUBLE DOOR CONTAINER</t>
        </is>
      </c>
      <c r="L1290" t="n">
        <v>0</v>
      </c>
      <c r="M1290" t="n">
        <v>0</v>
      </c>
      <c r="O1290" t="inlineStr">
        <is>
          <t>TR456</t>
        </is>
      </c>
      <c r="Q1290" s="114" t="n">
        <v>0</v>
      </c>
      <c r="R1290" s="114" t="n">
        <v>65</v>
      </c>
      <c r="S1290" s="114" t="n">
        <v>0</v>
      </c>
      <c r="T1290" t="n">
        <v>0</v>
      </c>
    </row>
    <row r="1291">
      <c r="A1291" t="inlineStr">
        <is>
          <t>ttJTrans</t>
        </is>
      </c>
      <c r="B1291" s="38" t="inlineStr">
        <is>
          <t>0-4006</t>
        </is>
      </c>
      <c r="C1291" t="inlineStr">
        <is>
          <t>EQ</t>
        </is>
      </c>
      <c r="E1291" t="inlineStr">
        <is>
          <t>EQ</t>
        </is>
      </c>
      <c r="G1291" s="42" t="inlineStr"/>
      <c r="H1291" s="127" t="n">
        <v>46152</v>
      </c>
      <c r="J1291" s="38" t="inlineStr">
        <is>
          <t>0-4006</t>
        </is>
      </c>
      <c r="K1291" t="inlineStr">
        <is>
          <t>TR456 40' DOUBLE DOOR CONTAINER 40' DOUBLE DOOR CONTAINER</t>
        </is>
      </c>
      <c r="L1291" t="n">
        <v>0</v>
      </c>
      <c r="M1291" t="n">
        <v>0</v>
      </c>
      <c r="O1291" t="inlineStr">
        <is>
          <t>TR456</t>
        </is>
      </c>
      <c r="Q1291" s="114" t="n">
        <v>0</v>
      </c>
      <c r="R1291" s="114" t="n">
        <v>65</v>
      </c>
      <c r="S1291" s="114" t="n">
        <v>0</v>
      </c>
      <c r="T1291" t="n">
        <v>0</v>
      </c>
    </row>
    <row r="1292">
      <c r="A1292" t="inlineStr">
        <is>
          <t>ttJTrans</t>
        </is>
      </c>
      <c r="B1292" s="38" t="inlineStr">
        <is>
          <t>0-4006</t>
        </is>
      </c>
      <c r="C1292" t="inlineStr">
        <is>
          <t>EQ</t>
        </is>
      </c>
      <c r="E1292" t="inlineStr">
        <is>
          <t>EQ</t>
        </is>
      </c>
      <c r="G1292" s="42" t="inlineStr"/>
      <c r="H1292" s="127" t="n">
        <v>46152</v>
      </c>
      <c r="J1292" s="38" t="inlineStr">
        <is>
          <t>0-4006</t>
        </is>
      </c>
      <c r="K1292" t="inlineStr">
        <is>
          <t>TR456 40' DOUBLE DOOR CONTAINER 40' DOUBLE DOOR CONTAINER</t>
        </is>
      </c>
      <c r="L1292" t="n">
        <v>0</v>
      </c>
      <c r="M1292" t="n">
        <v>0</v>
      </c>
      <c r="O1292" t="inlineStr">
        <is>
          <t>TR456</t>
        </is>
      </c>
      <c r="Q1292" s="114" t="n">
        <v>0</v>
      </c>
      <c r="R1292" s="114" t="n">
        <v>65</v>
      </c>
      <c r="S1292" s="114" t="n">
        <v>0</v>
      </c>
      <c r="T1292" t="n">
        <v>0</v>
      </c>
    </row>
    <row r="1293">
      <c r="A1293" t="inlineStr">
        <is>
          <t>ttJTrans</t>
        </is>
      </c>
      <c r="B1293" s="38" t="inlineStr">
        <is>
          <t>0-4006</t>
        </is>
      </c>
      <c r="C1293" t="inlineStr">
        <is>
          <t>EQ</t>
        </is>
      </c>
      <c r="E1293" t="inlineStr">
        <is>
          <t>EQ</t>
        </is>
      </c>
      <c r="G1293" s="42" t="inlineStr"/>
      <c r="H1293" s="127" t="n">
        <v>46152</v>
      </c>
      <c r="J1293" s="38" t="inlineStr">
        <is>
          <t>0-4006</t>
        </is>
      </c>
      <c r="K1293" t="inlineStr">
        <is>
          <t>TR456 40' DOUBLE DOOR CONTAINER 40' DOUBLE DOOR CONTAINER</t>
        </is>
      </c>
      <c r="L1293" t="n">
        <v>0</v>
      </c>
      <c r="M1293" t="n">
        <v>0</v>
      </c>
      <c r="O1293" t="inlineStr">
        <is>
          <t>TR456</t>
        </is>
      </c>
      <c r="Q1293" s="114" t="n">
        <v>0</v>
      </c>
      <c r="R1293" s="114" t="n">
        <v>65</v>
      </c>
      <c r="S1293" s="114" t="n">
        <v>0</v>
      </c>
      <c r="T1293" t="n">
        <v>0</v>
      </c>
    </row>
    <row r="1294">
      <c r="A1294" t="inlineStr">
        <is>
          <t>ttJTrans</t>
        </is>
      </c>
      <c r="B1294" s="38" t="inlineStr">
        <is>
          <t>0-4006</t>
        </is>
      </c>
      <c r="C1294" t="inlineStr">
        <is>
          <t>EQ</t>
        </is>
      </c>
      <c r="E1294" t="inlineStr">
        <is>
          <t>EQ</t>
        </is>
      </c>
      <c r="H1294" s="127" t="n">
        <v>46152</v>
      </c>
      <c r="J1294" s="38" t="inlineStr">
        <is>
          <t>0-4006</t>
        </is>
      </c>
      <c r="K1294" t="inlineStr">
        <is>
          <t>WTL002 2025 55 TON GOOSENECK EAGER BEAVER LOWBOY 2025 55 TON GOOSENECK EAGER BEAVER LOWBOY</t>
        </is>
      </c>
      <c r="L1294" t="n">
        <v>0</v>
      </c>
      <c r="M1294" t="n">
        <v>0</v>
      </c>
      <c r="O1294" t="inlineStr">
        <is>
          <t>WTL002</t>
        </is>
      </c>
      <c r="Q1294" s="114" t="n">
        <v>0</v>
      </c>
      <c r="R1294" s="114" t="n">
        <v>55</v>
      </c>
      <c r="S1294" s="114" t="n">
        <v>0</v>
      </c>
      <c r="T1294" t="n">
        <v>0</v>
      </c>
    </row>
    <row r="1295">
      <c r="A1295" t="inlineStr">
        <is>
          <t>ttJTrans</t>
        </is>
      </c>
      <c r="B1295" s="38" t="inlineStr">
        <is>
          <t>0-4006</t>
        </is>
      </c>
      <c r="C1295" t="inlineStr">
        <is>
          <t>EQ</t>
        </is>
      </c>
      <c r="E1295" t="inlineStr">
        <is>
          <t>EQ</t>
        </is>
      </c>
      <c r="H1295" s="127" t="n">
        <v>46152</v>
      </c>
      <c r="J1295" s="38" t="inlineStr">
        <is>
          <t>0-4006</t>
        </is>
      </c>
      <c r="K1295" t="inlineStr">
        <is>
          <t>WTL002 2025 55 TON GOOSENECK EAGER BEAVER LOWBOY 2025 55 TON GOOSENECK EAGER BEAVER LOWBOY</t>
        </is>
      </c>
      <c r="L1295" t="n">
        <v>0</v>
      </c>
      <c r="M1295" t="n">
        <v>0</v>
      </c>
      <c r="O1295" t="inlineStr">
        <is>
          <t>WTL002</t>
        </is>
      </c>
      <c r="Q1295" s="114" t="n">
        <v>0</v>
      </c>
      <c r="R1295" s="114" t="n">
        <v>55</v>
      </c>
      <c r="S1295" s="114" t="n">
        <v>0</v>
      </c>
      <c r="T1295" t="n">
        <v>0</v>
      </c>
    </row>
    <row r="1296">
      <c r="A1296" t="inlineStr">
        <is>
          <t>ttJTrans</t>
        </is>
      </c>
      <c r="B1296" s="38" t="inlineStr">
        <is>
          <t>0-4006</t>
        </is>
      </c>
      <c r="C1296" t="inlineStr">
        <is>
          <t>EQ</t>
        </is>
      </c>
      <c r="E1296" t="inlineStr">
        <is>
          <t>EQ</t>
        </is>
      </c>
      <c r="H1296" s="127" t="n">
        <v>46152</v>
      </c>
      <c r="J1296" s="38" t="inlineStr">
        <is>
          <t>0-4006</t>
        </is>
      </c>
      <c r="K1296" t="inlineStr">
        <is>
          <t>WTL002 2025 55 TON GOOSENECK EAGER BEAVER LOWBOY 2025 55 TON GOOSENECK EAGER BEAVER LOWBOY</t>
        </is>
      </c>
      <c r="L1296" t="n">
        <v>0</v>
      </c>
      <c r="M1296" t="n">
        <v>0</v>
      </c>
      <c r="O1296" t="inlineStr">
        <is>
          <t>WTL002</t>
        </is>
      </c>
      <c r="Q1296" s="114" t="n">
        <v>0</v>
      </c>
      <c r="R1296" s="114" t="n">
        <v>55</v>
      </c>
      <c r="S1296" s="114" t="n">
        <v>0</v>
      </c>
      <c r="T1296" t="n">
        <v>0</v>
      </c>
    </row>
    <row r="1297">
      <c r="A1297" t="inlineStr">
        <is>
          <t>ttJTrans</t>
        </is>
      </c>
      <c r="B1297" s="38" t="inlineStr">
        <is>
          <t>0-4006</t>
        </is>
      </c>
      <c r="C1297" t="inlineStr">
        <is>
          <t>EQ</t>
        </is>
      </c>
      <c r="E1297" t="inlineStr">
        <is>
          <t>EQ</t>
        </is>
      </c>
      <c r="H1297" s="127" t="n">
        <v>46152</v>
      </c>
      <c r="J1297" s="38" t="inlineStr">
        <is>
          <t>0-4006</t>
        </is>
      </c>
      <c r="K1297" t="inlineStr">
        <is>
          <t>WTL002 2025 55 TON GOOSENECK EAGER BEAVER LOWBOY 2025 55 TON GOOSENECK EAGER BEAVER LOWBOY</t>
        </is>
      </c>
      <c r="L1297" t="n">
        <v>0</v>
      </c>
      <c r="M1297" t="n">
        <v>0</v>
      </c>
      <c r="O1297" t="inlineStr">
        <is>
          <t>WTL002</t>
        </is>
      </c>
      <c r="Q1297" s="114" t="n">
        <v>0</v>
      </c>
      <c r="R1297" s="114" t="n">
        <v>55</v>
      </c>
      <c r="S1297" s="114" t="n">
        <v>0</v>
      </c>
      <c r="T1297" t="n">
        <v>0</v>
      </c>
    </row>
    <row r="1298">
      <c r="A1298" t="inlineStr">
        <is>
          <t>ttJTrans</t>
        </is>
      </c>
      <c r="B1298" s="38" t="inlineStr">
        <is>
          <t>0-4006</t>
        </is>
      </c>
      <c r="C1298" t="inlineStr">
        <is>
          <t>EQ</t>
        </is>
      </c>
      <c r="E1298" t="inlineStr">
        <is>
          <t>EQ</t>
        </is>
      </c>
      <c r="H1298" s="127" t="n">
        <v>46152</v>
      </c>
      <c r="J1298" s="38" t="inlineStr">
        <is>
          <t>0-4006</t>
        </is>
      </c>
      <c r="K1298" t="inlineStr">
        <is>
          <t>WTL002 2025 55 TON GOOSENECK EAGER BEAVER LOWBOY 2025 55 TON GOOSENECK EAGER BEAVER LOWBOY</t>
        </is>
      </c>
      <c r="L1298" t="n">
        <v>0</v>
      </c>
      <c r="M1298" t="n">
        <v>0</v>
      </c>
      <c r="O1298" t="inlineStr">
        <is>
          <t>WTL002</t>
        </is>
      </c>
      <c r="Q1298" s="114" t="n">
        <v>0</v>
      </c>
      <c r="R1298" s="114" t="n">
        <v>55</v>
      </c>
      <c r="S1298" s="114" t="n">
        <v>0</v>
      </c>
      <c r="T1298" t="n">
        <v>0</v>
      </c>
    </row>
    <row r="1299">
      <c r="A1299" t="inlineStr">
        <is>
          <t>ttJTrans</t>
        </is>
      </c>
      <c r="B1299" s="38" t="inlineStr">
        <is>
          <t>0-4006</t>
        </is>
      </c>
      <c r="C1299" t="inlineStr">
        <is>
          <t>EQ</t>
        </is>
      </c>
      <c r="E1299" t="inlineStr">
        <is>
          <t>EQ</t>
        </is>
      </c>
      <c r="H1299" s="127" t="n">
        <v>46152</v>
      </c>
      <c r="J1299" s="38" t="inlineStr">
        <is>
          <t>0-4006</t>
        </is>
      </c>
      <c r="K1299" t="inlineStr">
        <is>
          <t>WTL002 2025 55 TON GOOSENECK EAGER BEAVER LOWBOY 2025 55 TON GOOSENECK EAGER BEAVER LOWBOY</t>
        </is>
      </c>
      <c r="L1299" t="n">
        <v>0</v>
      </c>
      <c r="M1299" t="n">
        <v>0</v>
      </c>
      <c r="O1299" t="inlineStr">
        <is>
          <t>WTL002</t>
        </is>
      </c>
      <c r="Q1299" s="114" t="n">
        <v>0</v>
      </c>
      <c r="R1299" s="114" t="n">
        <v>55</v>
      </c>
      <c r="S1299" s="114" t="n">
        <v>0</v>
      </c>
      <c r="T1299" t="n">
        <v>0</v>
      </c>
    </row>
    <row r="1300">
      <c r="A1300" t="inlineStr">
        <is>
          <t>ttJTrans</t>
        </is>
      </c>
      <c r="B1300" s="38" t="inlineStr">
        <is>
          <t>0-4006</t>
        </is>
      </c>
      <c r="C1300" t="inlineStr">
        <is>
          <t>EQ</t>
        </is>
      </c>
      <c r="E1300" t="inlineStr">
        <is>
          <t>EQ</t>
        </is>
      </c>
      <c r="H1300" s="127" t="n">
        <v>46152</v>
      </c>
      <c r="J1300" s="38" t="inlineStr">
        <is>
          <t>0-4006</t>
        </is>
      </c>
      <c r="K1300" t="inlineStr">
        <is>
          <t>WLD133 JCB 512-56 12K TELEHANDLER W/ 96" PALLET FORKS 	JCB 512-56 12K TELEHANDLER W/ 96" PALLET FORKS</t>
        </is>
      </c>
      <c r="L1300" t="n">
        <v>0</v>
      </c>
      <c r="M1300" t="n">
        <v>0</v>
      </c>
      <c r="O1300" t="inlineStr">
        <is>
          <t>WLD133</t>
        </is>
      </c>
      <c r="Q1300" s="114" t="n">
        <v>0</v>
      </c>
      <c r="R1300" s="114" t="n">
        <v>259.22</v>
      </c>
      <c r="S1300" s="114" t="n">
        <v>0</v>
      </c>
      <c r="T1300" t="n">
        <v>0</v>
      </c>
    </row>
    <row r="1301">
      <c r="A1301" t="inlineStr">
        <is>
          <t>ttJTrans</t>
        </is>
      </c>
      <c r="B1301" s="38" t="inlineStr">
        <is>
          <t>0-4006</t>
        </is>
      </c>
      <c r="C1301" t="inlineStr">
        <is>
          <t>EQ</t>
        </is>
      </c>
      <c r="E1301" t="inlineStr">
        <is>
          <t>EQ</t>
        </is>
      </c>
      <c r="H1301" s="127" t="n">
        <v>46152</v>
      </c>
      <c r="J1301" s="38" t="inlineStr">
        <is>
          <t>0-4006</t>
        </is>
      </c>
      <c r="K1301" t="inlineStr">
        <is>
          <t>WLD133 JCB 512-56 12K TELEHANDLER W/ 96" PALLET FORKS 	JCB 512-56 12K TELEHANDLER W/ 96" PALLET FORKS</t>
        </is>
      </c>
      <c r="L1301" t="n">
        <v>0</v>
      </c>
      <c r="M1301" t="n">
        <v>0</v>
      </c>
      <c r="O1301" t="inlineStr">
        <is>
          <t>WLD133</t>
        </is>
      </c>
      <c r="Q1301" s="114" t="n">
        <v>0</v>
      </c>
      <c r="R1301" s="114" t="n">
        <v>259.22</v>
      </c>
      <c r="S1301" s="114" t="n">
        <v>0</v>
      </c>
      <c r="T1301" t="n">
        <v>0</v>
      </c>
    </row>
    <row r="1302">
      <c r="A1302" t="inlineStr">
        <is>
          <t>ttJTrans</t>
        </is>
      </c>
      <c r="B1302" s="38" t="inlineStr">
        <is>
          <t>0-4006</t>
        </is>
      </c>
      <c r="C1302" t="inlineStr">
        <is>
          <t>EQ</t>
        </is>
      </c>
      <c r="E1302" t="inlineStr">
        <is>
          <t>EQ</t>
        </is>
      </c>
      <c r="H1302" s="127" t="n">
        <v>46152</v>
      </c>
      <c r="J1302" s="38" t="inlineStr">
        <is>
          <t>0-4006</t>
        </is>
      </c>
      <c r="K1302" t="inlineStr">
        <is>
          <t>WLD133 JCB 512-56 12K TELEHANDLER W/ 96" PALLET FORKS 	JCB 512-56 12K TELEHANDLER W/ 96" PALLET FORKS</t>
        </is>
      </c>
      <c r="L1302" t="n">
        <v>0</v>
      </c>
      <c r="M1302" t="n">
        <v>0</v>
      </c>
      <c r="O1302" t="inlineStr">
        <is>
          <t>WLD133</t>
        </is>
      </c>
      <c r="Q1302" s="114" t="n">
        <v>0</v>
      </c>
      <c r="R1302" s="114" t="n">
        <v>259.22</v>
      </c>
      <c r="S1302" s="114" t="n">
        <v>0</v>
      </c>
      <c r="T1302" t="n">
        <v>0</v>
      </c>
    </row>
    <row r="1303">
      <c r="A1303" t="inlineStr">
        <is>
          <t>ttJTrans</t>
        </is>
      </c>
      <c r="B1303" s="38" t="inlineStr">
        <is>
          <t>0-4006</t>
        </is>
      </c>
      <c r="C1303" t="inlineStr">
        <is>
          <t>EQ</t>
        </is>
      </c>
      <c r="E1303" t="inlineStr">
        <is>
          <t>EQ</t>
        </is>
      </c>
      <c r="H1303" s="127" t="n">
        <v>46152</v>
      </c>
      <c r="J1303" s="38" t="inlineStr">
        <is>
          <t>0-4006</t>
        </is>
      </c>
      <c r="K1303" t="inlineStr">
        <is>
          <t>WLD133 JCB 512-56 12K TELEHANDLER W/ 96" PALLET FORKS 	JCB 512-56 12K TELEHANDLER W/ 96" PALLET FORKS</t>
        </is>
      </c>
      <c r="L1303" t="n">
        <v>0</v>
      </c>
      <c r="M1303" t="n">
        <v>0</v>
      </c>
      <c r="O1303" t="inlineStr">
        <is>
          <t>WLD133</t>
        </is>
      </c>
      <c r="Q1303" s="114" t="n">
        <v>0</v>
      </c>
      <c r="R1303" s="114" t="n">
        <v>259.22</v>
      </c>
      <c r="S1303" s="114" t="n">
        <v>0</v>
      </c>
      <c r="T1303" t="n">
        <v>0</v>
      </c>
    </row>
    <row r="1304">
      <c r="A1304" t="inlineStr">
        <is>
          <t>ttJTrans</t>
        </is>
      </c>
      <c r="B1304" s="38" t="inlineStr">
        <is>
          <t>0-4006</t>
        </is>
      </c>
      <c r="C1304" t="inlineStr">
        <is>
          <t>EQ</t>
        </is>
      </c>
      <c r="E1304" t="inlineStr">
        <is>
          <t>EQ</t>
        </is>
      </c>
      <c r="H1304" s="127" t="n">
        <v>46152</v>
      </c>
      <c r="J1304" s="38" t="inlineStr">
        <is>
          <t>0-4006</t>
        </is>
      </c>
      <c r="K1304" t="inlineStr">
        <is>
          <t>WLD133 JCB 512-56 12K TELEHANDLER W/ 96" PALLET FORKS 	JCB 512-56 12K TELEHANDLER W/ 96" PALLET FORKS</t>
        </is>
      </c>
      <c r="L1304" t="n">
        <v>0</v>
      </c>
      <c r="M1304" t="n">
        <v>0</v>
      </c>
      <c r="O1304" t="inlineStr">
        <is>
          <t>WLD133</t>
        </is>
      </c>
      <c r="Q1304" s="114" t="n">
        <v>0</v>
      </c>
      <c r="R1304" s="114" t="n">
        <v>259.22</v>
      </c>
      <c r="S1304" s="114" t="n">
        <v>0</v>
      </c>
      <c r="T1304" t="n">
        <v>0</v>
      </c>
    </row>
    <row r="1305">
      <c r="A1305" t="inlineStr">
        <is>
          <t>ttJTrans</t>
        </is>
      </c>
      <c r="B1305" s="38" t="inlineStr">
        <is>
          <t>0-4006</t>
        </is>
      </c>
      <c r="C1305" t="inlineStr">
        <is>
          <t>EQ</t>
        </is>
      </c>
      <c r="E1305" t="inlineStr">
        <is>
          <t>EQ</t>
        </is>
      </c>
      <c r="H1305" s="127" t="n">
        <v>46152</v>
      </c>
      <c r="J1305" s="38" t="inlineStr">
        <is>
          <t>0-4006</t>
        </is>
      </c>
      <c r="K1305" t="inlineStr">
        <is>
          <t>WLD133 JCB 512-56 12K TELEHANDLER W/ 96" PALLET FORKS 	JCB 512-56 12K TELEHANDLER W/ 96" PALLET FORKS</t>
        </is>
      </c>
      <c r="L1305" t="n">
        <v>0</v>
      </c>
      <c r="M1305" t="n">
        <v>0</v>
      </c>
      <c r="O1305" t="inlineStr">
        <is>
          <t>WLD133</t>
        </is>
      </c>
      <c r="Q1305" s="114" t="n">
        <v>0</v>
      </c>
      <c r="R1305" s="114" t="n">
        <v>259.22</v>
      </c>
      <c r="S1305" s="114" t="n">
        <v>0</v>
      </c>
      <c r="T1305" t="n">
        <v>0</v>
      </c>
    </row>
    <row r="1306">
      <c r="A1306" t="inlineStr">
        <is>
          <t>ttJTrans</t>
        </is>
      </c>
      <c r="B1306" s="38" t="inlineStr">
        <is>
          <t>0-4006</t>
        </is>
      </c>
      <c r="C1306" t="inlineStr">
        <is>
          <t>EQ</t>
        </is>
      </c>
      <c r="E1306" t="inlineStr">
        <is>
          <t>EQ</t>
        </is>
      </c>
      <c r="H1306" s="127" t="n">
        <v>46152</v>
      </c>
      <c r="J1306" s="38" t="inlineStr">
        <is>
          <t>0-4006</t>
        </is>
      </c>
      <c r="K1306" t="inlineStr">
        <is>
          <t>RT1242 2022 RAM 2500 TRADESMAN 4X4 CREW 8FT BED GAS 2022 RAM 2500 TRADESMAN 4X4 CREW 8FT BED GAS</t>
        </is>
      </c>
      <c r="L1306" t="n">
        <v>0</v>
      </c>
      <c r="M1306" t="n">
        <v>0</v>
      </c>
      <c r="O1306" t="inlineStr">
        <is>
          <t>RT1242</t>
        </is>
      </c>
      <c r="Q1306" s="114" t="n">
        <v>0</v>
      </c>
      <c r="R1306" s="114" t="n">
        <v>79.14</v>
      </c>
      <c r="S1306" s="114" t="n">
        <v>0</v>
      </c>
      <c r="T1306" t="n">
        <v>0</v>
      </c>
    </row>
    <row r="1307">
      <c r="A1307" t="inlineStr">
        <is>
          <t>ttJTrans</t>
        </is>
      </c>
      <c r="B1307" s="38" t="inlineStr">
        <is>
          <t>0-4006</t>
        </is>
      </c>
      <c r="C1307" t="inlineStr">
        <is>
          <t>EQ</t>
        </is>
      </c>
      <c r="E1307" t="inlineStr">
        <is>
          <t>EQ</t>
        </is>
      </c>
      <c r="H1307" s="127" t="n">
        <v>46152</v>
      </c>
      <c r="J1307" s="38" t="inlineStr">
        <is>
          <t>0-4006</t>
        </is>
      </c>
      <c r="K1307" t="inlineStr">
        <is>
          <t>RT1242 2022 RAM 2500 TRADESMAN 4X4 CREW 8FT BED GAS 2022 RAM 2500 TRADESMAN 4X4 CREW 8FT BED GAS</t>
        </is>
      </c>
      <c r="L1307" t="n">
        <v>0</v>
      </c>
      <c r="M1307" t="n">
        <v>0</v>
      </c>
      <c r="O1307" t="inlineStr">
        <is>
          <t>RT1242</t>
        </is>
      </c>
      <c r="Q1307" s="114" t="n">
        <v>0</v>
      </c>
      <c r="R1307" s="114" t="n">
        <v>79.14</v>
      </c>
      <c r="S1307" s="114" t="n">
        <v>0</v>
      </c>
      <c r="T1307" t="n">
        <v>0</v>
      </c>
    </row>
    <row r="1308">
      <c r="A1308" t="inlineStr">
        <is>
          <t>ttJTrans</t>
        </is>
      </c>
      <c r="B1308" s="38" t="inlineStr">
        <is>
          <t>0-4006</t>
        </is>
      </c>
      <c r="C1308" t="inlineStr">
        <is>
          <t>EQ</t>
        </is>
      </c>
      <c r="E1308" t="inlineStr">
        <is>
          <t>EQ</t>
        </is>
      </c>
      <c r="H1308" s="127" t="n">
        <v>46152</v>
      </c>
      <c r="J1308" s="38" t="inlineStr">
        <is>
          <t>0-4006</t>
        </is>
      </c>
      <c r="K1308" t="inlineStr">
        <is>
          <t>RT1242 2022 RAM 2500 TRADESMAN 4X4 CREW 8FT BED GAS 2022 RAM 2500 TRADESMAN 4X4 CREW 8FT BED GAS</t>
        </is>
      </c>
      <c r="L1308" t="n">
        <v>0</v>
      </c>
      <c r="M1308" t="n">
        <v>0</v>
      </c>
      <c r="O1308" t="inlineStr">
        <is>
          <t>RT1242</t>
        </is>
      </c>
      <c r="Q1308" s="114" t="n">
        <v>0</v>
      </c>
      <c r="R1308" s="114" t="n">
        <v>79.14</v>
      </c>
      <c r="S1308" s="114" t="n">
        <v>0</v>
      </c>
      <c r="T1308" t="n">
        <v>0</v>
      </c>
    </row>
    <row r="1309">
      <c r="A1309" t="inlineStr">
        <is>
          <t>ttJTrans</t>
        </is>
      </c>
      <c r="B1309" s="38" t="inlineStr">
        <is>
          <t>0-4006</t>
        </is>
      </c>
      <c r="C1309" t="inlineStr">
        <is>
          <t>EQ</t>
        </is>
      </c>
      <c r="E1309" t="inlineStr">
        <is>
          <t>EQ</t>
        </is>
      </c>
      <c r="H1309" s="127" t="n">
        <v>46152</v>
      </c>
      <c r="J1309" s="38" t="inlineStr">
        <is>
          <t>0-4006</t>
        </is>
      </c>
      <c r="K1309" t="inlineStr">
        <is>
          <t>RT1242 2022 RAM 2500 TRADESMAN 4X4 CREW 8FT BED GAS 2022 RAM 2500 TRADESMAN 4X4 CREW 8FT BED GAS</t>
        </is>
      </c>
      <c r="L1309" t="n">
        <v>0</v>
      </c>
      <c r="M1309" t="n">
        <v>0</v>
      </c>
      <c r="O1309" t="inlineStr">
        <is>
          <t>RT1242</t>
        </is>
      </c>
      <c r="Q1309" s="114" t="n">
        <v>0</v>
      </c>
      <c r="R1309" s="114" t="n">
        <v>79.14</v>
      </c>
      <c r="S1309" s="114" t="n">
        <v>0</v>
      </c>
      <c r="T1309" t="n">
        <v>0</v>
      </c>
    </row>
    <row r="1310">
      <c r="A1310" t="inlineStr">
        <is>
          <t>ttJTrans</t>
        </is>
      </c>
      <c r="B1310" s="38" t="inlineStr">
        <is>
          <t>0-4006</t>
        </is>
      </c>
      <c r="C1310" t="inlineStr">
        <is>
          <t>EQ</t>
        </is>
      </c>
      <c r="E1310" t="inlineStr">
        <is>
          <t>EQ</t>
        </is>
      </c>
      <c r="H1310" s="127" t="n">
        <v>46152</v>
      </c>
      <c r="J1310" s="38" t="inlineStr">
        <is>
          <t>0-4006</t>
        </is>
      </c>
      <c r="K1310" t="inlineStr">
        <is>
          <t>RT1242 2022 RAM 2500 TRADESMAN 4X4 CREW 8FT BED GAS 2022 RAM 2500 TRADESMAN 4X4 CREW 8FT BED GAS</t>
        </is>
      </c>
      <c r="L1310" t="n">
        <v>0</v>
      </c>
      <c r="M1310" t="n">
        <v>0</v>
      </c>
      <c r="O1310" t="inlineStr">
        <is>
          <t>RT1242</t>
        </is>
      </c>
      <c r="Q1310" s="114" t="n">
        <v>0</v>
      </c>
      <c r="R1310" s="114" t="n">
        <v>79.14</v>
      </c>
      <c r="S1310" s="114" t="n">
        <v>0</v>
      </c>
      <c r="T1310" t="n">
        <v>0</v>
      </c>
    </row>
    <row r="1311">
      <c r="A1311" t="inlineStr">
        <is>
          <t>ttJTrans</t>
        </is>
      </c>
      <c r="B1311" s="38" t="inlineStr">
        <is>
          <t>0-4006</t>
        </is>
      </c>
      <c r="C1311" t="inlineStr">
        <is>
          <t>EQ</t>
        </is>
      </c>
      <c r="E1311" t="inlineStr">
        <is>
          <t>EQ</t>
        </is>
      </c>
      <c r="H1311" s="127" t="n">
        <v>46152</v>
      </c>
      <c r="J1311" s="38" t="inlineStr">
        <is>
          <t>0-4006</t>
        </is>
      </c>
      <c r="K1311" t="inlineStr">
        <is>
          <t>TR436 40' CONTAINER 40' CONTAINER</t>
        </is>
      </c>
      <c r="L1311" t="n">
        <v>0</v>
      </c>
      <c r="M1311" t="n">
        <v>0</v>
      </c>
      <c r="O1311" t="inlineStr">
        <is>
          <t>TR436</t>
        </is>
      </c>
      <c r="Q1311" s="114" t="n">
        <v>0</v>
      </c>
      <c r="R1311" s="114" t="n">
        <v>65</v>
      </c>
      <c r="S1311" s="114" t="n">
        <v>0</v>
      </c>
      <c r="T1311" t="n">
        <v>0</v>
      </c>
    </row>
    <row r="1312">
      <c r="A1312" t="inlineStr">
        <is>
          <t>ttJTrans</t>
        </is>
      </c>
      <c r="B1312" s="38" t="inlineStr">
        <is>
          <t>0-4006</t>
        </is>
      </c>
      <c r="C1312" t="inlineStr">
        <is>
          <t>EQ</t>
        </is>
      </c>
      <c r="E1312" t="inlineStr">
        <is>
          <t>EQ</t>
        </is>
      </c>
      <c r="H1312" s="127" t="n">
        <v>46152</v>
      </c>
      <c r="J1312" s="38" t="inlineStr">
        <is>
          <t>0-4006</t>
        </is>
      </c>
      <c r="K1312" t="inlineStr">
        <is>
          <t>TR436 40' CONTAINER 40' CONTAINER</t>
        </is>
      </c>
      <c r="L1312" t="n">
        <v>0</v>
      </c>
      <c r="M1312" t="n">
        <v>0</v>
      </c>
      <c r="O1312" t="inlineStr">
        <is>
          <t>TR436</t>
        </is>
      </c>
      <c r="Q1312" s="114" t="n">
        <v>0</v>
      </c>
      <c r="R1312" s="114" t="n">
        <v>65</v>
      </c>
      <c r="S1312" s="114" t="n">
        <v>0</v>
      </c>
      <c r="T1312" t="n">
        <v>0</v>
      </c>
    </row>
    <row r="1313">
      <c r="A1313" t="inlineStr">
        <is>
          <t>ttJTrans</t>
        </is>
      </c>
      <c r="B1313" s="38" t="inlineStr">
        <is>
          <t>0-4006</t>
        </is>
      </c>
      <c r="C1313" t="inlineStr">
        <is>
          <t>EQ</t>
        </is>
      </c>
      <c r="E1313" t="inlineStr">
        <is>
          <t>EQ</t>
        </is>
      </c>
      <c r="H1313" s="127" t="n">
        <v>46152</v>
      </c>
      <c r="J1313" s="38" t="inlineStr">
        <is>
          <t>0-4006</t>
        </is>
      </c>
      <c r="K1313" t="inlineStr">
        <is>
          <t>TR436 40' CONTAINER 40' CONTAINER</t>
        </is>
      </c>
      <c r="L1313" t="n">
        <v>0</v>
      </c>
      <c r="M1313" t="n">
        <v>0</v>
      </c>
      <c r="O1313" t="inlineStr">
        <is>
          <t>TR436</t>
        </is>
      </c>
      <c r="Q1313" s="114" t="n">
        <v>0</v>
      </c>
      <c r="R1313" s="114" t="n">
        <v>65</v>
      </c>
      <c r="S1313" s="114" t="n">
        <v>0</v>
      </c>
      <c r="T1313" t="n">
        <v>0</v>
      </c>
    </row>
    <row r="1314">
      <c r="A1314" t="inlineStr">
        <is>
          <t>ttJTrans</t>
        </is>
      </c>
      <c r="B1314" s="38" t="inlineStr">
        <is>
          <t>0-4006</t>
        </is>
      </c>
      <c r="C1314" t="inlineStr">
        <is>
          <t>EQ</t>
        </is>
      </c>
      <c r="E1314" t="inlineStr">
        <is>
          <t>EQ</t>
        </is>
      </c>
      <c r="H1314" s="127" t="n">
        <v>46152</v>
      </c>
      <c r="J1314" s="38" t="inlineStr">
        <is>
          <t>0-4006</t>
        </is>
      </c>
      <c r="K1314" t="inlineStr">
        <is>
          <t>TR436 40' CONTAINER 40' CONTAINER</t>
        </is>
      </c>
      <c r="L1314" t="n">
        <v>0</v>
      </c>
      <c r="M1314" t="n">
        <v>0</v>
      </c>
      <c r="O1314" t="inlineStr">
        <is>
          <t>TR436</t>
        </is>
      </c>
      <c r="Q1314" s="114" t="n">
        <v>0</v>
      </c>
      <c r="R1314" s="114" t="n">
        <v>65</v>
      </c>
      <c r="S1314" s="114" t="n">
        <v>0</v>
      </c>
      <c r="T1314" t="n">
        <v>0</v>
      </c>
    </row>
    <row r="1315">
      <c r="A1315" t="inlineStr">
        <is>
          <t>ttJTrans</t>
        </is>
      </c>
      <c r="B1315" s="38" t="inlineStr">
        <is>
          <t>0-4006</t>
        </is>
      </c>
      <c r="C1315" t="inlineStr">
        <is>
          <t>EQ</t>
        </is>
      </c>
      <c r="E1315" t="inlineStr">
        <is>
          <t>EQ</t>
        </is>
      </c>
      <c r="H1315" s="127" t="n">
        <v>46152</v>
      </c>
      <c r="J1315" s="38" t="inlineStr">
        <is>
          <t>0-4006</t>
        </is>
      </c>
      <c r="K1315" t="inlineStr">
        <is>
          <t>TR436 40' CONTAINER 40' CONTAINER</t>
        </is>
      </c>
      <c r="L1315" t="n">
        <v>0</v>
      </c>
      <c r="M1315" t="n">
        <v>0</v>
      </c>
      <c r="O1315" t="inlineStr">
        <is>
          <t>TR436</t>
        </is>
      </c>
      <c r="Q1315" s="114" t="n">
        <v>0</v>
      </c>
      <c r="R1315" s="114" t="n">
        <v>65</v>
      </c>
      <c r="S1315" s="114" t="n">
        <v>0</v>
      </c>
      <c r="T1315" t="n">
        <v>0</v>
      </c>
    </row>
    <row r="1316">
      <c r="A1316" t="inlineStr">
        <is>
          <t>ttJTrans</t>
        </is>
      </c>
      <c r="B1316" s="38" t="inlineStr">
        <is>
          <t>0-4006</t>
        </is>
      </c>
      <c r="C1316" t="inlineStr">
        <is>
          <t>EQ</t>
        </is>
      </c>
      <c r="E1316" t="inlineStr">
        <is>
          <t>EQ</t>
        </is>
      </c>
      <c r="H1316" s="127" t="n">
        <v>46152</v>
      </c>
      <c r="J1316" s="38" t="inlineStr">
        <is>
          <t>0-4006</t>
        </is>
      </c>
      <c r="K1316" t="inlineStr">
        <is>
          <t>TR436 40' CONTAINER 40' CONTAINER</t>
        </is>
      </c>
      <c r="L1316" t="n">
        <v>0</v>
      </c>
      <c r="M1316" t="n">
        <v>0</v>
      </c>
      <c r="O1316" t="inlineStr">
        <is>
          <t>TR436</t>
        </is>
      </c>
      <c r="Q1316" s="114" t="n">
        <v>0</v>
      </c>
      <c r="R1316" s="114" t="n">
        <v>65</v>
      </c>
      <c r="S1316" s="114" t="n">
        <v>0</v>
      </c>
      <c r="T1316" t="n">
        <v>0</v>
      </c>
    </row>
    <row r="1317">
      <c r="A1317" t="inlineStr">
        <is>
          <t>ttJTrans</t>
        </is>
      </c>
      <c r="B1317" s="38" t="inlineStr">
        <is>
          <t>0-4006</t>
        </is>
      </c>
      <c r="C1317" t="inlineStr">
        <is>
          <t>EQ</t>
        </is>
      </c>
      <c r="E1317" t="inlineStr">
        <is>
          <t>EQ</t>
        </is>
      </c>
      <c r="G1317" s="42" t="inlineStr"/>
      <c r="H1317" s="127" t="n">
        <v>46159</v>
      </c>
      <c r="J1317" s="38" t="inlineStr">
        <is>
          <t>0-4006</t>
        </is>
      </c>
      <c r="K1317" t="inlineStr">
        <is>
          <t>TR436 40' CONTAINER 40' CONTAINER</t>
        </is>
      </c>
      <c r="L1317" t="n">
        <v>0</v>
      </c>
      <c r="M1317" t="n">
        <v>0</v>
      </c>
      <c r="O1317" t="inlineStr">
        <is>
          <t>TR436</t>
        </is>
      </c>
      <c r="Q1317" s="114" t="n">
        <v>0</v>
      </c>
      <c r="R1317" s="114" t="n">
        <v>65</v>
      </c>
      <c r="S1317" s="114" t="n">
        <v>0</v>
      </c>
      <c r="T1317" t="n">
        <v>0</v>
      </c>
    </row>
    <row r="1318">
      <c r="A1318" t="inlineStr">
        <is>
          <t>ttJTrans</t>
        </is>
      </c>
      <c r="B1318" s="38" t="inlineStr">
        <is>
          <t>0-4006</t>
        </is>
      </c>
      <c r="C1318" t="inlineStr">
        <is>
          <t>EQ</t>
        </is>
      </c>
      <c r="E1318" t="inlineStr">
        <is>
          <t>EQ</t>
        </is>
      </c>
      <c r="G1318" s="42" t="inlineStr"/>
      <c r="H1318" s="127" t="n">
        <v>46159</v>
      </c>
      <c r="J1318" s="38" t="inlineStr">
        <is>
          <t>0-4006</t>
        </is>
      </c>
      <c r="K1318" t="inlineStr">
        <is>
          <t>TR436 40' CONTAINER 40' CONTAINER</t>
        </is>
      </c>
      <c r="L1318" t="n">
        <v>0</v>
      </c>
      <c r="M1318" t="n">
        <v>0</v>
      </c>
      <c r="O1318" t="inlineStr">
        <is>
          <t>TR436</t>
        </is>
      </c>
      <c r="Q1318" s="114" t="n">
        <v>0</v>
      </c>
      <c r="R1318" s="114" t="n">
        <v>65</v>
      </c>
      <c r="S1318" s="114" t="n">
        <v>0</v>
      </c>
      <c r="T1318" t="n">
        <v>0</v>
      </c>
    </row>
    <row r="1319">
      <c r="A1319" t="inlineStr">
        <is>
          <t>ttJTrans</t>
        </is>
      </c>
      <c r="B1319" s="38" t="inlineStr">
        <is>
          <t>0-4006</t>
        </is>
      </c>
      <c r="C1319" t="inlineStr">
        <is>
          <t>EQ</t>
        </is>
      </c>
      <c r="E1319" t="inlineStr">
        <is>
          <t>EQ</t>
        </is>
      </c>
      <c r="G1319" s="42" t="inlineStr"/>
      <c r="H1319" s="127" t="n">
        <v>46159</v>
      </c>
      <c r="J1319" s="38" t="inlineStr">
        <is>
          <t>0-4006</t>
        </is>
      </c>
      <c r="K1319" t="inlineStr">
        <is>
          <t>TR436 40' CONTAINER 40' CONTAINER</t>
        </is>
      </c>
      <c r="L1319" t="n">
        <v>0</v>
      </c>
      <c r="M1319" t="n">
        <v>0</v>
      </c>
      <c r="O1319" t="inlineStr">
        <is>
          <t>TR436</t>
        </is>
      </c>
      <c r="Q1319" s="114" t="n">
        <v>0</v>
      </c>
      <c r="R1319" s="114" t="n">
        <v>65</v>
      </c>
      <c r="S1319" s="114" t="n">
        <v>0</v>
      </c>
      <c r="T1319" t="n">
        <v>0</v>
      </c>
    </row>
    <row r="1320">
      <c r="A1320" t="inlineStr">
        <is>
          <t>ttJTrans</t>
        </is>
      </c>
      <c r="B1320" s="38" t="inlineStr">
        <is>
          <t>0-4006</t>
        </is>
      </c>
      <c r="C1320" t="inlineStr">
        <is>
          <t>EQ</t>
        </is>
      </c>
      <c r="E1320" t="inlineStr">
        <is>
          <t>EQ</t>
        </is>
      </c>
      <c r="G1320" s="42" t="inlineStr"/>
      <c r="H1320" s="127" t="n">
        <v>46159</v>
      </c>
      <c r="J1320" s="38" t="inlineStr">
        <is>
          <t>0-4006</t>
        </is>
      </c>
      <c r="K1320" t="inlineStr">
        <is>
          <t>TR419 LONESTAR 6.5X16' ENCLOSED CARGO TRAILER LONESTAR 6.5X16' ENCLOSED CARGO TRAILER</t>
        </is>
      </c>
      <c r="L1320" t="n">
        <v>0</v>
      </c>
      <c r="M1320" t="n">
        <v>0</v>
      </c>
      <c r="O1320" t="inlineStr">
        <is>
          <t>TR419</t>
        </is>
      </c>
      <c r="Q1320" s="114" t="n">
        <v>0</v>
      </c>
      <c r="R1320" s="114" t="n">
        <v>65</v>
      </c>
      <c r="S1320" s="114" t="n">
        <v>0</v>
      </c>
      <c r="T1320" t="n">
        <v>0</v>
      </c>
    </row>
    <row r="1321">
      <c r="A1321" t="inlineStr">
        <is>
          <t>ttJTrans</t>
        </is>
      </c>
      <c r="B1321" s="38" t="inlineStr">
        <is>
          <t>0-4006</t>
        </is>
      </c>
      <c r="C1321" t="inlineStr">
        <is>
          <t>EQ</t>
        </is>
      </c>
      <c r="E1321" t="inlineStr">
        <is>
          <t>EQ</t>
        </is>
      </c>
      <c r="H1321" s="127" t="n">
        <v>46159</v>
      </c>
      <c r="J1321" s="38" t="inlineStr">
        <is>
          <t>0-4006</t>
        </is>
      </c>
      <c r="K1321" t="inlineStr">
        <is>
          <t>TR419 LONESTAR 6.5X16' ENCLOSED CARGO TRAILER LONESTAR 6.5X16' ENCLOSED CARGO TRAILER</t>
        </is>
      </c>
      <c r="L1321" t="n">
        <v>0</v>
      </c>
      <c r="M1321" t="n">
        <v>0</v>
      </c>
      <c r="O1321" t="inlineStr">
        <is>
          <t>TR419</t>
        </is>
      </c>
      <c r="Q1321" s="114" t="n">
        <v>0</v>
      </c>
      <c r="R1321" s="114" t="n">
        <v>65</v>
      </c>
      <c r="S1321" s="114" t="n">
        <v>0</v>
      </c>
      <c r="T1321" t="n">
        <v>0</v>
      </c>
    </row>
    <row r="1322">
      <c r="A1322" t="inlineStr">
        <is>
          <t>ttJTrans</t>
        </is>
      </c>
      <c r="B1322" s="38" t="inlineStr">
        <is>
          <t>0-4006</t>
        </is>
      </c>
      <c r="C1322" t="inlineStr">
        <is>
          <t>EQ</t>
        </is>
      </c>
      <c r="E1322" t="inlineStr">
        <is>
          <t>EQ</t>
        </is>
      </c>
      <c r="H1322" s="127" t="n">
        <v>46159</v>
      </c>
      <c r="J1322" s="38" t="inlineStr">
        <is>
          <t>0-4006</t>
        </is>
      </c>
      <c r="K1322" t="inlineStr">
        <is>
          <t>TR419 LONESTAR 6.5X16' ENCLOSED CARGO TRAILER LONESTAR 6.5X16' ENCLOSED CARGO TRAILER</t>
        </is>
      </c>
      <c r="L1322" t="n">
        <v>0</v>
      </c>
      <c r="M1322" t="n">
        <v>0</v>
      </c>
      <c r="O1322" t="inlineStr">
        <is>
          <t>TR419</t>
        </is>
      </c>
      <c r="Q1322" s="114" t="n">
        <v>0</v>
      </c>
      <c r="R1322" s="114" t="n">
        <v>65</v>
      </c>
      <c r="S1322" s="114" t="n">
        <v>0</v>
      </c>
      <c r="T1322" t="n">
        <v>0</v>
      </c>
    </row>
    <row r="1323">
      <c r="A1323" t="inlineStr">
        <is>
          <t>ttJTrans</t>
        </is>
      </c>
      <c r="B1323" s="38" t="inlineStr">
        <is>
          <t>0-4006</t>
        </is>
      </c>
      <c r="C1323" t="inlineStr">
        <is>
          <t>EQ</t>
        </is>
      </c>
      <c r="E1323" t="inlineStr">
        <is>
          <t>EQ</t>
        </is>
      </c>
      <c r="H1323" s="127" t="n">
        <v>46159</v>
      </c>
      <c r="J1323" s="38" t="inlineStr">
        <is>
          <t>0-4006</t>
        </is>
      </c>
      <c r="K1323" t="inlineStr">
        <is>
          <t>TR419 LONESTAR 6.5X16' ENCLOSED CARGO TRAILER LONESTAR 6.5X16' ENCLOSED CARGO TRAILER</t>
        </is>
      </c>
      <c r="L1323" t="n">
        <v>0</v>
      </c>
      <c r="M1323" t="n">
        <v>0</v>
      </c>
      <c r="O1323" t="inlineStr">
        <is>
          <t>TR419</t>
        </is>
      </c>
      <c r="Q1323" s="114" t="n">
        <v>0</v>
      </c>
      <c r="R1323" s="114" t="n">
        <v>65</v>
      </c>
      <c r="S1323" s="114" t="n">
        <v>0</v>
      </c>
      <c r="T1323" t="n">
        <v>0</v>
      </c>
    </row>
    <row r="1324">
      <c r="A1324" t="inlineStr">
        <is>
          <t>ttJTrans</t>
        </is>
      </c>
      <c r="B1324" s="38" t="inlineStr">
        <is>
          <t>0-4006</t>
        </is>
      </c>
      <c r="C1324" t="inlineStr">
        <is>
          <t>EQ</t>
        </is>
      </c>
      <c r="E1324" t="inlineStr">
        <is>
          <t>EQ</t>
        </is>
      </c>
      <c r="H1324" s="127" t="n">
        <v>46159</v>
      </c>
      <c r="J1324" s="38" t="inlineStr">
        <is>
          <t>0-4006</t>
        </is>
      </c>
      <c r="K1324" t="inlineStr">
        <is>
          <t>TR419 LONESTAR 6.5X16' ENCLOSED CARGO TRAILER LONESTAR 6.5X16' ENCLOSED CARGO TRAILER</t>
        </is>
      </c>
      <c r="L1324" t="n">
        <v>0</v>
      </c>
      <c r="M1324" t="n">
        <v>0</v>
      </c>
      <c r="O1324" t="inlineStr">
        <is>
          <t>TR419</t>
        </is>
      </c>
      <c r="Q1324" s="114" t="n">
        <v>0</v>
      </c>
      <c r="R1324" s="114" t="n">
        <v>65</v>
      </c>
      <c r="S1324" s="114" t="n">
        <v>0</v>
      </c>
      <c r="T1324" t="n">
        <v>0</v>
      </c>
    </row>
    <row r="1325">
      <c r="A1325" t="inlineStr">
        <is>
          <t>ttJTrans</t>
        </is>
      </c>
      <c r="B1325" s="38" t="inlineStr">
        <is>
          <t>0-4006</t>
        </is>
      </c>
      <c r="C1325" t="inlineStr">
        <is>
          <t>EQ</t>
        </is>
      </c>
      <c r="E1325" t="inlineStr">
        <is>
          <t>EQ</t>
        </is>
      </c>
      <c r="H1325" s="127" t="n">
        <v>46159</v>
      </c>
      <c r="J1325" s="38" t="inlineStr">
        <is>
          <t>0-4006</t>
        </is>
      </c>
      <c r="K1325" t="inlineStr">
        <is>
          <t>TR419 LONESTAR 6.5X16' ENCLOSED CARGO TRAILER LONESTAR 6.5X16' ENCLOSED CARGO TRAILER</t>
        </is>
      </c>
      <c r="L1325" t="n">
        <v>0</v>
      </c>
      <c r="M1325" t="n">
        <v>0</v>
      </c>
      <c r="O1325" t="inlineStr">
        <is>
          <t>TR419</t>
        </is>
      </c>
      <c r="Q1325" s="114" t="n">
        <v>0</v>
      </c>
      <c r="R1325" s="114" t="n">
        <v>65</v>
      </c>
      <c r="S1325" s="114" t="n">
        <v>0</v>
      </c>
      <c r="T1325" t="n">
        <v>0</v>
      </c>
    </row>
    <row r="1326">
      <c r="A1326" t="inlineStr">
        <is>
          <t>ttJTrans</t>
        </is>
      </c>
      <c r="B1326" s="38" t="inlineStr">
        <is>
          <t>0-4006</t>
        </is>
      </c>
      <c r="C1326" t="inlineStr">
        <is>
          <t>EQ</t>
        </is>
      </c>
      <c r="E1326" t="inlineStr">
        <is>
          <t>EQ</t>
        </is>
      </c>
      <c r="H1326" s="127" t="n">
        <v>46159</v>
      </c>
      <c r="J1326" s="38" t="inlineStr">
        <is>
          <t>0-4006</t>
        </is>
      </c>
      <c r="K1326" t="inlineStr">
        <is>
          <t>RT1344 2023 FORD F250 XL STX 4X4 DIESEL 2023 FORD F250 XL STX 4X4 DIESEL</t>
        </is>
      </c>
      <c r="L1326" t="n">
        <v>0</v>
      </c>
      <c r="M1326" t="n">
        <v>0</v>
      </c>
      <c r="O1326" t="inlineStr">
        <is>
          <t>RT1344</t>
        </is>
      </c>
      <c r="Q1326" s="114" t="n">
        <v>0</v>
      </c>
      <c r="R1326" s="114" t="n">
        <v>79.14</v>
      </c>
      <c r="S1326" s="114" t="n">
        <v>0</v>
      </c>
      <c r="T1326" t="n">
        <v>0</v>
      </c>
    </row>
    <row r="1327">
      <c r="A1327" t="inlineStr">
        <is>
          <t>ttJTrans</t>
        </is>
      </c>
      <c r="B1327" s="38" t="inlineStr">
        <is>
          <t>0-4006</t>
        </is>
      </c>
      <c r="C1327" t="inlineStr">
        <is>
          <t>EQ</t>
        </is>
      </c>
      <c r="E1327" t="inlineStr">
        <is>
          <t>EQ</t>
        </is>
      </c>
      <c r="H1327" s="127" t="n">
        <v>46159</v>
      </c>
      <c r="J1327" s="38" t="inlineStr">
        <is>
          <t>0-4006</t>
        </is>
      </c>
      <c r="K1327" t="inlineStr">
        <is>
          <t>RT1344 2023 FORD F250 XL STX 4X4 DIESEL 2023 FORD F250 XL STX 4X4 DIESEL</t>
        </is>
      </c>
      <c r="L1327" t="n">
        <v>0</v>
      </c>
      <c r="M1327" t="n">
        <v>0</v>
      </c>
      <c r="O1327" t="inlineStr">
        <is>
          <t>RT1344</t>
        </is>
      </c>
      <c r="Q1327" s="114" t="n">
        <v>0</v>
      </c>
      <c r="R1327" s="114" t="n">
        <v>79.14</v>
      </c>
      <c r="S1327" s="114" t="n">
        <v>0</v>
      </c>
      <c r="T1327" t="n">
        <v>0</v>
      </c>
    </row>
    <row r="1328">
      <c r="A1328" t="inlineStr">
        <is>
          <t>ttJTrans</t>
        </is>
      </c>
      <c r="B1328" s="38" t="inlineStr">
        <is>
          <t>0-4006</t>
        </is>
      </c>
      <c r="C1328" t="inlineStr">
        <is>
          <t>EQ</t>
        </is>
      </c>
      <c r="E1328" t="inlineStr">
        <is>
          <t>EQ</t>
        </is>
      </c>
      <c r="H1328" s="127" t="n">
        <v>46159</v>
      </c>
      <c r="J1328" s="38" t="inlineStr">
        <is>
          <t>0-4006</t>
        </is>
      </c>
      <c r="K1328" t="inlineStr">
        <is>
          <t>RT1344 2023 FORD F250 XL STX 4X4 DIESEL 2023 FORD F250 XL STX 4X4 DIESEL</t>
        </is>
      </c>
      <c r="L1328" t="n">
        <v>0</v>
      </c>
      <c r="M1328" t="n">
        <v>0</v>
      </c>
      <c r="O1328" t="inlineStr">
        <is>
          <t>RT1344</t>
        </is>
      </c>
      <c r="Q1328" s="114" t="n">
        <v>0</v>
      </c>
      <c r="R1328" s="114" t="n">
        <v>79.14</v>
      </c>
      <c r="S1328" s="114" t="n">
        <v>0</v>
      </c>
      <c r="T1328" t="n">
        <v>0</v>
      </c>
    </row>
    <row r="1329">
      <c r="A1329" t="inlineStr">
        <is>
          <t>ttJTrans</t>
        </is>
      </c>
      <c r="B1329" s="38" t="inlineStr">
        <is>
          <t>0-4006</t>
        </is>
      </c>
      <c r="C1329" t="inlineStr">
        <is>
          <t>EQ</t>
        </is>
      </c>
      <c r="E1329" t="inlineStr">
        <is>
          <t>EQ</t>
        </is>
      </c>
      <c r="H1329" s="127" t="n">
        <v>46159</v>
      </c>
      <c r="J1329" s="38" t="inlineStr">
        <is>
          <t>0-4006</t>
        </is>
      </c>
      <c r="K1329" t="inlineStr">
        <is>
          <t>RT1344 2023 FORD F250 XL STX 4X4 DIESEL 2023 FORD F250 XL STX 4X4 DIESEL</t>
        </is>
      </c>
      <c r="L1329" t="n">
        <v>0</v>
      </c>
      <c r="M1329" t="n">
        <v>0</v>
      </c>
      <c r="O1329" t="inlineStr">
        <is>
          <t>RT1344</t>
        </is>
      </c>
      <c r="Q1329" s="114" t="n">
        <v>0</v>
      </c>
      <c r="R1329" s="114" t="n">
        <v>79.14</v>
      </c>
      <c r="S1329" s="114" t="n">
        <v>0</v>
      </c>
      <c r="T1329" t="n">
        <v>0</v>
      </c>
    </row>
    <row r="1330">
      <c r="A1330" t="inlineStr">
        <is>
          <t>ttJTrans</t>
        </is>
      </c>
      <c r="B1330" s="38" t="inlineStr">
        <is>
          <t>0-4006</t>
        </is>
      </c>
      <c r="C1330" t="inlineStr">
        <is>
          <t>EQ</t>
        </is>
      </c>
      <c r="E1330" t="inlineStr">
        <is>
          <t>EQ</t>
        </is>
      </c>
      <c r="H1330" s="127" t="n">
        <v>46159</v>
      </c>
      <c r="J1330" s="38" t="inlineStr">
        <is>
          <t>0-4006</t>
        </is>
      </c>
      <c r="K1330" t="inlineStr">
        <is>
          <t>RT1344 2023 FORD F250 XL STX 4X4 DIESEL 2023 FORD F250 XL STX 4X4 DIESEL</t>
        </is>
      </c>
      <c r="L1330" t="n">
        <v>0</v>
      </c>
      <c r="M1330" t="n">
        <v>0</v>
      </c>
      <c r="O1330" t="inlineStr">
        <is>
          <t>RT1344</t>
        </is>
      </c>
      <c r="Q1330" s="114" t="n">
        <v>0</v>
      </c>
      <c r="R1330" s="114" t="n">
        <v>79.14</v>
      </c>
      <c r="S1330" s="114" t="n">
        <v>0</v>
      </c>
      <c r="T1330" t="n">
        <v>0</v>
      </c>
    </row>
    <row r="1331">
      <c r="A1331" t="inlineStr">
        <is>
          <t>ttJTrans</t>
        </is>
      </c>
      <c r="B1331" s="38" t="inlineStr">
        <is>
          <t>0-4006</t>
        </is>
      </c>
      <c r="C1331" t="inlineStr">
        <is>
          <t>EQ</t>
        </is>
      </c>
      <c r="E1331" t="inlineStr">
        <is>
          <t>EQ</t>
        </is>
      </c>
      <c r="H1331" s="127" t="n">
        <v>46159</v>
      </c>
      <c r="J1331" s="38" t="inlineStr">
        <is>
          <t>0-4006</t>
        </is>
      </c>
      <c r="K1331" t="inlineStr">
        <is>
          <t>SSAUGKIT1 SKIDPRO SP300 PLANETARY AUGER DRIVE KIT W/ CRADLE &amp; MOUNT SKIDPRO SP300 PLANETARY AUGER DRIVE KIT W/ CRADLE &amp; MOUNT</t>
        </is>
      </c>
      <c r="L1331" t="n">
        <v>0</v>
      </c>
      <c r="M1331" t="n">
        <v>0</v>
      </c>
      <c r="O1331" t="inlineStr">
        <is>
          <t>SSAUGKIT1</t>
        </is>
      </c>
      <c r="Q1331" s="114" t="n">
        <v>0</v>
      </c>
      <c r="R1331" s="114" t="n">
        <v>35</v>
      </c>
      <c r="S1331" s="114" t="n">
        <v>0</v>
      </c>
      <c r="T1331" t="n">
        <v>0</v>
      </c>
    </row>
    <row r="1332">
      <c r="A1332" t="inlineStr">
        <is>
          <t>ttJTrans</t>
        </is>
      </c>
      <c r="B1332" s="38" t="inlineStr">
        <is>
          <t>0-4006</t>
        </is>
      </c>
      <c r="C1332" t="inlineStr">
        <is>
          <t>EQ</t>
        </is>
      </c>
      <c r="E1332" t="inlineStr">
        <is>
          <t>EQ</t>
        </is>
      </c>
      <c r="H1332" s="127" t="n">
        <v>46159</v>
      </c>
      <c r="J1332" s="38" t="inlineStr">
        <is>
          <t>0-4006</t>
        </is>
      </c>
      <c r="K1332" t="inlineStr">
        <is>
          <t>SSAUGKIT1 SKIDPRO SP300 PLANETARY AUGER DRIVE KIT W/ CRADLE &amp; MOUNT SKIDPRO SP300 PLANETARY AUGER DRIVE KIT W/ CRADLE &amp; MOUNT</t>
        </is>
      </c>
      <c r="L1332" t="n">
        <v>0</v>
      </c>
      <c r="M1332" t="n">
        <v>0</v>
      </c>
      <c r="O1332" t="inlineStr">
        <is>
          <t>SSAUGKIT1</t>
        </is>
      </c>
      <c r="Q1332" s="114" t="n">
        <v>0</v>
      </c>
      <c r="R1332" s="114" t="n">
        <v>35</v>
      </c>
      <c r="S1332" s="114" t="n">
        <v>0</v>
      </c>
      <c r="T1332" t="n">
        <v>0</v>
      </c>
    </row>
    <row r="1333">
      <c r="A1333" t="inlineStr">
        <is>
          <t>ttJTrans</t>
        </is>
      </c>
      <c r="B1333" s="38" t="inlineStr">
        <is>
          <t>0-4006</t>
        </is>
      </c>
      <c r="C1333" t="inlineStr">
        <is>
          <t>EQ</t>
        </is>
      </c>
      <c r="E1333" t="inlineStr">
        <is>
          <t>EQ</t>
        </is>
      </c>
      <c r="H1333" s="127" t="n">
        <v>46159</v>
      </c>
      <c r="J1333" s="38" t="inlineStr">
        <is>
          <t>0-4006</t>
        </is>
      </c>
      <c r="K1333" t="inlineStr">
        <is>
          <t>TR260 2005 UTILITY BRAND TOOL VAN 2005 UTILITY BRAND TOOL VAN</t>
        </is>
      </c>
      <c r="L1333" t="n">
        <v>0</v>
      </c>
      <c r="M1333" t="n">
        <v>0</v>
      </c>
      <c r="O1333" t="inlineStr">
        <is>
          <t>TR260</t>
        </is>
      </c>
      <c r="Q1333" s="114" t="n">
        <v>0</v>
      </c>
      <c r="R1333" s="114" t="n">
        <v>75</v>
      </c>
      <c r="S1333" s="114" t="n">
        <v>0</v>
      </c>
      <c r="T1333" t="n">
        <v>0</v>
      </c>
    </row>
    <row r="1334">
      <c r="A1334" t="inlineStr">
        <is>
          <t>ttJTrans</t>
        </is>
      </c>
      <c r="B1334" s="38" t="inlineStr">
        <is>
          <t>0-4006</t>
        </is>
      </c>
      <c r="C1334" t="inlineStr">
        <is>
          <t>EQ</t>
        </is>
      </c>
      <c r="E1334" t="inlineStr">
        <is>
          <t>EQ</t>
        </is>
      </c>
      <c r="H1334" s="127" t="n">
        <v>46159</v>
      </c>
      <c r="J1334" s="38" t="inlineStr">
        <is>
          <t>0-4006</t>
        </is>
      </c>
      <c r="K1334" t="inlineStr">
        <is>
          <t>TR260 2005 UTILITY BRAND TOOL VAN 2005 UTILITY BRAND TOOL VAN</t>
        </is>
      </c>
      <c r="L1334" t="n">
        <v>0</v>
      </c>
      <c r="M1334" t="n">
        <v>0</v>
      </c>
      <c r="O1334" t="inlineStr">
        <is>
          <t>TR260</t>
        </is>
      </c>
      <c r="Q1334" s="114" t="n">
        <v>0</v>
      </c>
      <c r="R1334" s="114" t="n">
        <v>75</v>
      </c>
      <c r="S1334" s="114" t="n">
        <v>0</v>
      </c>
      <c r="T1334" t="n">
        <v>0</v>
      </c>
    </row>
    <row r="1335">
      <c r="A1335" t="inlineStr">
        <is>
          <t>ttJTrans</t>
        </is>
      </c>
      <c r="B1335" s="38" t="inlineStr">
        <is>
          <t>0-4006</t>
        </is>
      </c>
      <c r="C1335" t="inlineStr">
        <is>
          <t>EQ</t>
        </is>
      </c>
      <c r="E1335" t="inlineStr">
        <is>
          <t>EQ</t>
        </is>
      </c>
      <c r="H1335" s="127" t="n">
        <v>46159</v>
      </c>
      <c r="J1335" s="38" t="inlineStr">
        <is>
          <t>0-4006</t>
        </is>
      </c>
      <c r="K1335" t="inlineStr">
        <is>
          <t>TR260 2005 UTILITY BRAND TOOL VAN 2005 UTILITY BRAND TOOL VAN</t>
        </is>
      </c>
      <c r="L1335" t="n">
        <v>0</v>
      </c>
      <c r="M1335" t="n">
        <v>0</v>
      </c>
      <c r="O1335" t="inlineStr">
        <is>
          <t>TR260</t>
        </is>
      </c>
      <c r="Q1335" s="114" t="n">
        <v>0</v>
      </c>
      <c r="R1335" s="114" t="n">
        <v>75</v>
      </c>
      <c r="S1335" s="114" t="n">
        <v>0</v>
      </c>
      <c r="T1335" t="n">
        <v>0</v>
      </c>
    </row>
    <row r="1336">
      <c r="A1336" t="inlineStr">
        <is>
          <t>ttJTrans</t>
        </is>
      </c>
      <c r="B1336" s="38" t="inlineStr">
        <is>
          <t>0-4006</t>
        </is>
      </c>
      <c r="C1336" t="inlineStr">
        <is>
          <t>EQ</t>
        </is>
      </c>
      <c r="E1336" t="inlineStr">
        <is>
          <t>EQ</t>
        </is>
      </c>
      <c r="H1336" s="127" t="n">
        <v>46159</v>
      </c>
      <c r="J1336" s="38" t="inlineStr">
        <is>
          <t>0-4006</t>
        </is>
      </c>
      <c r="K1336" t="inlineStr">
        <is>
          <t>TR260 2005 UTILITY BRAND TOOL VAN 2005 UTILITY BRAND TOOL VAN</t>
        </is>
      </c>
      <c r="L1336" t="n">
        <v>0</v>
      </c>
      <c r="M1336" t="n">
        <v>0</v>
      </c>
      <c r="O1336" t="inlineStr">
        <is>
          <t>TR260</t>
        </is>
      </c>
      <c r="Q1336" s="114" t="n">
        <v>0</v>
      </c>
      <c r="R1336" s="114" t="n">
        <v>75</v>
      </c>
      <c r="S1336" s="114" t="n">
        <v>0</v>
      </c>
      <c r="T1336" t="n">
        <v>0</v>
      </c>
    </row>
    <row r="1337">
      <c r="A1337" t="inlineStr">
        <is>
          <t>ttJTrans</t>
        </is>
      </c>
      <c r="B1337" s="38" t="inlineStr">
        <is>
          <t>0-4006</t>
        </is>
      </c>
      <c r="C1337" t="inlineStr">
        <is>
          <t>EQ</t>
        </is>
      </c>
      <c r="E1337" t="inlineStr">
        <is>
          <t>EQ</t>
        </is>
      </c>
      <c r="H1337" s="127" t="n">
        <v>46159</v>
      </c>
      <c r="J1337" s="38" t="inlineStr">
        <is>
          <t>0-4006</t>
        </is>
      </c>
      <c r="K1337" t="inlineStr">
        <is>
          <t>TR260 2005 UTILITY BRAND TOOL VAN 2005 UTILITY BRAND TOOL VAN</t>
        </is>
      </c>
      <c r="L1337" t="n">
        <v>0</v>
      </c>
      <c r="M1337" t="n">
        <v>0</v>
      </c>
      <c r="O1337" t="inlineStr">
        <is>
          <t>TR260</t>
        </is>
      </c>
      <c r="Q1337" s="114" t="n">
        <v>0</v>
      </c>
      <c r="R1337" s="114" t="n">
        <v>75</v>
      </c>
      <c r="S1337" s="114" t="n">
        <v>0</v>
      </c>
      <c r="T1337" t="n">
        <v>0</v>
      </c>
    </row>
    <row r="1338">
      <c r="A1338" t="inlineStr">
        <is>
          <t>ttJTrans</t>
        </is>
      </c>
      <c r="B1338" s="38" t="inlineStr">
        <is>
          <t>0-4006</t>
        </is>
      </c>
      <c r="C1338" t="inlineStr">
        <is>
          <t>EQ</t>
        </is>
      </c>
      <c r="E1338" t="inlineStr">
        <is>
          <t>EQ</t>
        </is>
      </c>
      <c r="H1338" s="127" t="n">
        <v>46159</v>
      </c>
      <c r="J1338" s="38" t="inlineStr">
        <is>
          <t>0-4006</t>
        </is>
      </c>
      <c r="K1338" t="inlineStr">
        <is>
          <t>TR260 2005 UTILITY BRAND TOOL VAN 2005 UTILITY BRAND TOOL VAN</t>
        </is>
      </c>
      <c r="L1338" t="n">
        <v>0</v>
      </c>
      <c r="M1338" t="n">
        <v>0</v>
      </c>
      <c r="O1338" t="inlineStr">
        <is>
          <t>TR260</t>
        </is>
      </c>
      <c r="Q1338" s="114" t="n">
        <v>0</v>
      </c>
      <c r="R1338" s="114" t="n">
        <v>75</v>
      </c>
      <c r="S1338" s="114" t="n">
        <v>0</v>
      </c>
      <c r="T1338" t="n">
        <v>0</v>
      </c>
    </row>
    <row r="1339">
      <c r="A1339" t="inlineStr">
        <is>
          <t>ttJTrans</t>
        </is>
      </c>
      <c r="B1339" s="38" t="inlineStr">
        <is>
          <t>0-4006</t>
        </is>
      </c>
      <c r="C1339" t="inlineStr">
        <is>
          <t>EQ</t>
        </is>
      </c>
      <c r="E1339" t="inlineStr">
        <is>
          <t>EQ</t>
        </is>
      </c>
      <c r="H1339" s="127" t="n">
        <v>46159</v>
      </c>
      <c r="J1339" s="38" t="inlineStr">
        <is>
          <t>0-4006</t>
        </is>
      </c>
      <c r="K1339" t="inlineStr">
        <is>
          <t>TR463 40' HIGH CUBE CONTAINERS 40' HIGH CUBE CONTAINERS</t>
        </is>
      </c>
      <c r="L1339" t="n">
        <v>0</v>
      </c>
      <c r="M1339" t="n">
        <v>0</v>
      </c>
      <c r="O1339" t="inlineStr">
        <is>
          <t>TR463</t>
        </is>
      </c>
      <c r="Q1339" s="114" t="n">
        <v>0</v>
      </c>
      <c r="R1339" s="114" t="n">
        <v>65</v>
      </c>
      <c r="S1339" s="114" t="n">
        <v>0</v>
      </c>
      <c r="T1339" t="n">
        <v>0</v>
      </c>
    </row>
    <row r="1340">
      <c r="A1340" t="inlineStr">
        <is>
          <t>ttJTrans</t>
        </is>
      </c>
      <c r="B1340" s="38" t="inlineStr">
        <is>
          <t>0-4006</t>
        </is>
      </c>
      <c r="C1340" t="inlineStr">
        <is>
          <t>EQ</t>
        </is>
      </c>
      <c r="E1340" t="inlineStr">
        <is>
          <t>EQ</t>
        </is>
      </c>
      <c r="H1340" s="127" t="n">
        <v>46159</v>
      </c>
      <c r="J1340" s="38" t="inlineStr">
        <is>
          <t>0-4006</t>
        </is>
      </c>
      <c r="K1340" t="inlineStr">
        <is>
          <t>TR463 40' HIGH CUBE CONTAINERS 40' HIGH CUBE CONTAINERS</t>
        </is>
      </c>
      <c r="L1340" t="n">
        <v>0</v>
      </c>
      <c r="M1340" t="n">
        <v>0</v>
      </c>
      <c r="O1340" t="inlineStr">
        <is>
          <t>TR463</t>
        </is>
      </c>
      <c r="Q1340" s="114" t="n">
        <v>0</v>
      </c>
      <c r="R1340" s="114" t="n">
        <v>65</v>
      </c>
      <c r="S1340" s="114" t="n">
        <v>0</v>
      </c>
      <c r="T1340" t="n">
        <v>0</v>
      </c>
    </row>
    <row r="1341">
      <c r="A1341" t="inlineStr">
        <is>
          <t>ttJTrans</t>
        </is>
      </c>
      <c r="B1341" s="38" t="inlineStr">
        <is>
          <t>0-4006</t>
        </is>
      </c>
      <c r="C1341" t="inlineStr">
        <is>
          <t>EQ</t>
        </is>
      </c>
      <c r="E1341" t="inlineStr">
        <is>
          <t>EQ</t>
        </is>
      </c>
      <c r="H1341" s="127" t="n">
        <v>46159</v>
      </c>
      <c r="J1341" s="38" t="inlineStr">
        <is>
          <t>0-4006</t>
        </is>
      </c>
      <c r="K1341" t="inlineStr">
        <is>
          <t>TR154 20' PARKER TRAILER #1000277 20' PARKER TRAILER #1000277</t>
        </is>
      </c>
      <c r="L1341" t="n">
        <v>0</v>
      </c>
      <c r="M1341" t="n">
        <v>0</v>
      </c>
      <c r="O1341" t="inlineStr">
        <is>
          <t>TR154</t>
        </is>
      </c>
      <c r="Q1341" s="114" t="n">
        <v>0</v>
      </c>
      <c r="R1341" s="114" t="n">
        <v>15</v>
      </c>
      <c r="S1341" s="114" t="n">
        <v>0</v>
      </c>
      <c r="T1341" t="n">
        <v>0</v>
      </c>
    </row>
    <row r="1342">
      <c r="A1342" t="inlineStr">
        <is>
          <t>ttJTrans</t>
        </is>
      </c>
      <c r="B1342" s="38" t="inlineStr">
        <is>
          <t>0-4006</t>
        </is>
      </c>
      <c r="C1342" t="inlineStr">
        <is>
          <t>EQ</t>
        </is>
      </c>
      <c r="E1342" t="inlineStr">
        <is>
          <t>EQ</t>
        </is>
      </c>
      <c r="H1342" s="127" t="n">
        <v>46159</v>
      </c>
      <c r="J1342" s="38" t="inlineStr">
        <is>
          <t>0-4006</t>
        </is>
      </c>
      <c r="K1342" t="inlineStr">
        <is>
          <t>TR154 20' PARKER TRAILER #1000277 20' PARKER TRAILER #1000277</t>
        </is>
      </c>
      <c r="L1342" t="n">
        <v>0</v>
      </c>
      <c r="M1342" t="n">
        <v>0</v>
      </c>
      <c r="O1342" t="inlineStr">
        <is>
          <t>TR154</t>
        </is>
      </c>
      <c r="Q1342" s="114" t="n">
        <v>0</v>
      </c>
      <c r="R1342" s="114" t="n">
        <v>15</v>
      </c>
      <c r="S1342" s="114" t="n">
        <v>0</v>
      </c>
      <c r="T1342" t="n">
        <v>0</v>
      </c>
    </row>
    <row r="1343">
      <c r="A1343" t="inlineStr">
        <is>
          <t>ttJTrans</t>
        </is>
      </c>
      <c r="B1343" s="38" t="inlineStr">
        <is>
          <t>0-4006</t>
        </is>
      </c>
      <c r="C1343" t="inlineStr">
        <is>
          <t>EQ</t>
        </is>
      </c>
      <c r="E1343" t="inlineStr">
        <is>
          <t>EQ</t>
        </is>
      </c>
      <c r="H1343" s="127" t="n">
        <v>46159</v>
      </c>
      <c r="J1343" s="38" t="inlineStr">
        <is>
          <t>0-4006</t>
        </is>
      </c>
      <c r="K1343" t="inlineStr">
        <is>
          <t>TR154 20' PARKER TRAILER #1000277 20' PARKER TRAILER #1000277</t>
        </is>
      </c>
      <c r="L1343" t="n">
        <v>0</v>
      </c>
      <c r="M1343" t="n">
        <v>0</v>
      </c>
      <c r="O1343" t="inlineStr">
        <is>
          <t>TR154</t>
        </is>
      </c>
      <c r="Q1343" s="114" t="n">
        <v>0</v>
      </c>
      <c r="R1343" s="114" t="n">
        <v>15</v>
      </c>
      <c r="S1343" s="114" t="n">
        <v>0</v>
      </c>
      <c r="T1343" t="n">
        <v>0</v>
      </c>
    </row>
    <row r="1344">
      <c r="A1344" t="inlineStr">
        <is>
          <t>ttJTrans</t>
        </is>
      </c>
      <c r="B1344" s="38" t="inlineStr">
        <is>
          <t>0-4006</t>
        </is>
      </c>
      <c r="C1344" t="inlineStr">
        <is>
          <t>EQ</t>
        </is>
      </c>
      <c r="E1344" t="inlineStr">
        <is>
          <t>EQ</t>
        </is>
      </c>
      <c r="H1344" s="127" t="n">
        <v>46159</v>
      </c>
      <c r="J1344" s="38" t="inlineStr">
        <is>
          <t>0-4006</t>
        </is>
      </c>
      <c r="K1344" t="inlineStr">
        <is>
          <t>TR154 20' PARKER TRAILER #1000277 20' PARKER TRAILER #1000277</t>
        </is>
      </c>
      <c r="L1344" t="n">
        <v>0</v>
      </c>
      <c r="M1344" t="n">
        <v>0</v>
      </c>
      <c r="O1344" t="inlineStr">
        <is>
          <t>TR154</t>
        </is>
      </c>
      <c r="Q1344" s="114" t="n">
        <v>0</v>
      </c>
      <c r="R1344" s="114" t="n">
        <v>15</v>
      </c>
      <c r="S1344" s="114" t="n">
        <v>0</v>
      </c>
      <c r="T1344" t="n">
        <v>0</v>
      </c>
    </row>
    <row r="1345">
      <c r="A1345" t="inlineStr">
        <is>
          <t>ttJTrans</t>
        </is>
      </c>
      <c r="B1345" s="38" t="inlineStr">
        <is>
          <t>0-4006</t>
        </is>
      </c>
      <c r="C1345" t="inlineStr">
        <is>
          <t>EQ</t>
        </is>
      </c>
      <c r="E1345" t="inlineStr">
        <is>
          <t>EQ</t>
        </is>
      </c>
      <c r="H1345" s="127" t="n">
        <v>46159</v>
      </c>
      <c r="J1345" s="38" t="inlineStr">
        <is>
          <t>0-4006</t>
        </is>
      </c>
      <c r="K1345" t="inlineStr">
        <is>
          <t>TR154 20' PARKER TRAILER #1000277 20' PARKER TRAILER #1000277</t>
        </is>
      </c>
      <c r="L1345" t="n">
        <v>0</v>
      </c>
      <c r="M1345" t="n">
        <v>0</v>
      </c>
      <c r="O1345" t="inlineStr">
        <is>
          <t>TR154</t>
        </is>
      </c>
      <c r="Q1345" s="114" t="n">
        <v>0</v>
      </c>
      <c r="R1345" s="114" t="n">
        <v>15</v>
      </c>
      <c r="S1345" s="114" t="n">
        <v>0</v>
      </c>
      <c r="T1345" t="n">
        <v>0</v>
      </c>
    </row>
    <row r="1346">
      <c r="A1346" t="inlineStr">
        <is>
          <t>ttJTrans</t>
        </is>
      </c>
      <c r="B1346" s="38" t="inlineStr">
        <is>
          <t>0-4006</t>
        </is>
      </c>
      <c r="C1346" t="inlineStr">
        <is>
          <t>EQ</t>
        </is>
      </c>
      <c r="E1346" t="inlineStr">
        <is>
          <t>EQ</t>
        </is>
      </c>
      <c r="H1346" s="127" t="n">
        <v>46159</v>
      </c>
      <c r="J1346" s="38" t="inlineStr">
        <is>
          <t>0-4006</t>
        </is>
      </c>
      <c r="K1346" t="inlineStr">
        <is>
          <t>TR154 20' PARKER TRAILER #1000277 20' PARKER TRAILER #1000277</t>
        </is>
      </c>
      <c r="L1346" t="n">
        <v>0</v>
      </c>
      <c r="M1346" t="n">
        <v>0</v>
      </c>
      <c r="O1346" t="inlineStr">
        <is>
          <t>TR154</t>
        </is>
      </c>
      <c r="Q1346" s="114" t="n">
        <v>0</v>
      </c>
      <c r="R1346" s="114" t="n">
        <v>15</v>
      </c>
      <c r="S1346" s="114" t="n">
        <v>0</v>
      </c>
      <c r="T1346" t="n">
        <v>0</v>
      </c>
    </row>
    <row r="1347">
      <c r="A1347" t="inlineStr">
        <is>
          <t>ttJTrans</t>
        </is>
      </c>
      <c r="B1347" s="38" t="inlineStr">
        <is>
          <t>0-4006</t>
        </is>
      </c>
      <c r="C1347" t="inlineStr">
        <is>
          <t>EQ</t>
        </is>
      </c>
      <c r="E1347" t="inlineStr">
        <is>
          <t>EQ</t>
        </is>
      </c>
      <c r="H1347" s="127" t="n">
        <v>46159</v>
      </c>
      <c r="J1347" s="38" t="inlineStr">
        <is>
          <t>0-4006</t>
        </is>
      </c>
      <c r="K1347" t="inlineStr">
        <is>
          <t>TR280 20' BIG TEX PI-20 20' BIG TEX PI-20</t>
        </is>
      </c>
      <c r="L1347" t="n">
        <v>0</v>
      </c>
      <c r="M1347" t="n">
        <v>0</v>
      </c>
      <c r="O1347" t="inlineStr">
        <is>
          <t>TR280</t>
        </is>
      </c>
      <c r="Q1347" s="114" t="n">
        <v>0</v>
      </c>
      <c r="R1347" s="114" t="n">
        <v>15</v>
      </c>
      <c r="S1347" s="114" t="n">
        <v>0</v>
      </c>
      <c r="T1347" t="n">
        <v>0</v>
      </c>
    </row>
    <row r="1348">
      <c r="A1348" t="inlineStr">
        <is>
          <t>ttJTrans</t>
        </is>
      </c>
      <c r="B1348" s="38" t="inlineStr">
        <is>
          <t>0-4006</t>
        </is>
      </c>
      <c r="C1348" t="inlineStr">
        <is>
          <t>EQ</t>
        </is>
      </c>
      <c r="E1348" t="inlineStr">
        <is>
          <t>EQ</t>
        </is>
      </c>
      <c r="H1348" s="127" t="n">
        <v>46159</v>
      </c>
      <c r="J1348" s="38" t="inlineStr">
        <is>
          <t>0-4006</t>
        </is>
      </c>
      <c r="K1348" t="inlineStr">
        <is>
          <t>TR280 20' BIG TEX PI-20 20' BIG TEX PI-20</t>
        </is>
      </c>
      <c r="L1348" t="n">
        <v>0</v>
      </c>
      <c r="M1348" t="n">
        <v>0</v>
      </c>
      <c r="O1348" t="inlineStr">
        <is>
          <t>TR280</t>
        </is>
      </c>
      <c r="Q1348" s="114" t="n">
        <v>0</v>
      </c>
      <c r="R1348" s="114" t="n">
        <v>15</v>
      </c>
      <c r="S1348" s="114" t="n">
        <v>0</v>
      </c>
      <c r="T1348" t="n">
        <v>0</v>
      </c>
    </row>
    <row r="1349">
      <c r="A1349" t="inlineStr">
        <is>
          <t>ttJTrans</t>
        </is>
      </c>
      <c r="B1349" s="38" t="inlineStr">
        <is>
          <t>0-4006</t>
        </is>
      </c>
      <c r="C1349" t="inlineStr">
        <is>
          <t>EQ</t>
        </is>
      </c>
      <c r="E1349" t="inlineStr">
        <is>
          <t>EQ</t>
        </is>
      </c>
      <c r="H1349" s="127" t="n">
        <v>46159</v>
      </c>
      <c r="J1349" s="38" t="inlineStr">
        <is>
          <t>0-4006</t>
        </is>
      </c>
      <c r="K1349" t="inlineStr">
        <is>
          <t>TR280 20' BIG TEX PI-20 20' BIG TEX PI-20</t>
        </is>
      </c>
      <c r="L1349" t="n">
        <v>0</v>
      </c>
      <c r="M1349" t="n">
        <v>0</v>
      </c>
      <c r="O1349" t="inlineStr">
        <is>
          <t>TR280</t>
        </is>
      </c>
      <c r="Q1349" s="114" t="n">
        <v>0</v>
      </c>
      <c r="R1349" s="114" t="n">
        <v>15</v>
      </c>
      <c r="S1349" s="114" t="n">
        <v>0</v>
      </c>
      <c r="T1349" t="n">
        <v>0</v>
      </c>
    </row>
    <row r="1350">
      <c r="A1350" t="inlineStr">
        <is>
          <t>ttJTrans</t>
        </is>
      </c>
      <c r="B1350" s="38" t="inlineStr">
        <is>
          <t>0-4006</t>
        </is>
      </c>
      <c r="C1350" t="inlineStr">
        <is>
          <t>EQ</t>
        </is>
      </c>
      <c r="E1350" t="inlineStr">
        <is>
          <t>EQ</t>
        </is>
      </c>
      <c r="H1350" s="127" t="n">
        <v>46159</v>
      </c>
      <c r="J1350" s="38" t="inlineStr">
        <is>
          <t>0-4006</t>
        </is>
      </c>
      <c r="K1350" t="inlineStr">
        <is>
          <t>TR280 20' BIG TEX PI-20 20' BIG TEX PI-20</t>
        </is>
      </c>
      <c r="L1350" t="n">
        <v>0</v>
      </c>
      <c r="M1350" t="n">
        <v>0</v>
      </c>
      <c r="O1350" t="inlineStr">
        <is>
          <t>TR280</t>
        </is>
      </c>
      <c r="Q1350" s="114" t="n">
        <v>0</v>
      </c>
      <c r="R1350" s="114" t="n">
        <v>15</v>
      </c>
      <c r="S1350" s="114" t="n">
        <v>0</v>
      </c>
      <c r="T1350" t="n">
        <v>0</v>
      </c>
    </row>
    <row r="1351">
      <c r="A1351" t="inlineStr">
        <is>
          <t>ttJTrans</t>
        </is>
      </c>
      <c r="B1351" s="38" t="inlineStr">
        <is>
          <t>0-4006</t>
        </is>
      </c>
      <c r="C1351" t="inlineStr">
        <is>
          <t>EQ</t>
        </is>
      </c>
      <c r="E1351" t="inlineStr">
        <is>
          <t>EQ</t>
        </is>
      </c>
      <c r="H1351" s="127" t="n">
        <v>46159</v>
      </c>
      <c r="J1351" s="38" t="inlineStr">
        <is>
          <t>0-4006</t>
        </is>
      </c>
      <c r="K1351" t="inlineStr">
        <is>
          <t>TR280 20' BIG TEX PI-20 20' BIG TEX PI-20</t>
        </is>
      </c>
      <c r="L1351" t="n">
        <v>0</v>
      </c>
      <c r="M1351" t="n">
        <v>0</v>
      </c>
      <c r="O1351" t="inlineStr">
        <is>
          <t>TR280</t>
        </is>
      </c>
      <c r="Q1351" s="114" t="n">
        <v>0</v>
      </c>
      <c r="R1351" s="114" t="n">
        <v>15</v>
      </c>
      <c r="S1351" s="114" t="n">
        <v>0</v>
      </c>
      <c r="T1351" t="n">
        <v>0</v>
      </c>
    </row>
    <row r="1352">
      <c r="A1352" t="inlineStr">
        <is>
          <t>ttJTrans</t>
        </is>
      </c>
      <c r="B1352" s="38" t="inlineStr">
        <is>
          <t>0-4006</t>
        </is>
      </c>
      <c r="C1352" t="inlineStr">
        <is>
          <t>EQ</t>
        </is>
      </c>
      <c r="E1352" t="inlineStr">
        <is>
          <t>EQ</t>
        </is>
      </c>
      <c r="H1352" s="127" t="n">
        <v>46159</v>
      </c>
      <c r="J1352" s="38" t="inlineStr">
        <is>
          <t>0-4006</t>
        </is>
      </c>
      <c r="K1352" t="inlineStr">
        <is>
          <t>TR280 20' BIG TEX PI-20 20' BIG TEX PI-20</t>
        </is>
      </c>
      <c r="L1352" t="n">
        <v>0</v>
      </c>
      <c r="M1352" t="n">
        <v>0</v>
      </c>
      <c r="O1352" t="inlineStr">
        <is>
          <t>TR280</t>
        </is>
      </c>
      <c r="Q1352" s="114" t="n">
        <v>0</v>
      </c>
      <c r="R1352" s="114" t="n">
        <v>15</v>
      </c>
      <c r="S1352" s="114" t="n">
        <v>0</v>
      </c>
      <c r="T1352" t="n">
        <v>0</v>
      </c>
    </row>
    <row r="1353">
      <c r="A1353" t="inlineStr">
        <is>
          <t>ttJTrans</t>
        </is>
      </c>
      <c r="B1353" s="38" t="inlineStr">
        <is>
          <t>0-4006</t>
        </is>
      </c>
      <c r="C1353" t="inlineStr">
        <is>
          <t>EQ</t>
        </is>
      </c>
      <c r="E1353" t="inlineStr">
        <is>
          <t>EQ</t>
        </is>
      </c>
      <c r="H1353" s="127" t="n">
        <v>46159</v>
      </c>
      <c r="J1353" s="38" t="inlineStr">
        <is>
          <t>0-4006</t>
        </is>
      </c>
      <c r="K1353" t="inlineStr">
        <is>
          <t>WHV001 2025 PETERBILT 589 SLEEPER CAB 2025 PETERBILT 589 SLEEPER CAB</t>
        </is>
      </c>
      <c r="L1353" t="n">
        <v>0</v>
      </c>
      <c r="M1353" t="n">
        <v>0</v>
      </c>
      <c r="O1353" t="inlineStr">
        <is>
          <t>WHV001</t>
        </is>
      </c>
      <c r="Q1353" s="114" t="n">
        <v>0</v>
      </c>
      <c r="R1353" s="114" t="n">
        <v>250</v>
      </c>
      <c r="S1353" s="114" t="n">
        <v>0</v>
      </c>
      <c r="T1353" t="n">
        <v>0</v>
      </c>
    </row>
    <row r="1354">
      <c r="A1354" t="inlineStr">
        <is>
          <t>ttJTrans</t>
        </is>
      </c>
      <c r="B1354" s="38" t="inlineStr">
        <is>
          <t>0-4006</t>
        </is>
      </c>
      <c r="C1354" t="inlineStr">
        <is>
          <t>EQ</t>
        </is>
      </c>
      <c r="E1354" t="inlineStr">
        <is>
          <t>EQ</t>
        </is>
      </c>
      <c r="H1354" s="127" t="n">
        <v>46159</v>
      </c>
      <c r="J1354" s="38" t="inlineStr">
        <is>
          <t>0-4006</t>
        </is>
      </c>
      <c r="K1354" t="inlineStr">
        <is>
          <t>WHV001 2025 PETERBILT 589 SLEEPER CAB 2025 PETERBILT 589 SLEEPER CAB</t>
        </is>
      </c>
      <c r="L1354" t="n">
        <v>0</v>
      </c>
      <c r="M1354" t="n">
        <v>0</v>
      </c>
      <c r="O1354" t="inlineStr">
        <is>
          <t>WHV001</t>
        </is>
      </c>
      <c r="Q1354" s="114" t="n">
        <v>0</v>
      </c>
      <c r="R1354" s="114" t="n">
        <v>250</v>
      </c>
      <c r="S1354" s="114" t="n">
        <v>0</v>
      </c>
      <c r="T1354" t="n">
        <v>0</v>
      </c>
    </row>
    <row r="1355">
      <c r="A1355" t="inlineStr">
        <is>
          <t>ttJTrans</t>
        </is>
      </c>
      <c r="B1355" s="38" t="inlineStr">
        <is>
          <t>0-4006</t>
        </is>
      </c>
      <c r="C1355" t="inlineStr">
        <is>
          <t>EQ</t>
        </is>
      </c>
      <c r="E1355" t="inlineStr">
        <is>
          <t>EQ</t>
        </is>
      </c>
      <c r="H1355" s="127" t="n">
        <v>46159</v>
      </c>
      <c r="J1355" s="38" t="inlineStr">
        <is>
          <t>0-4006</t>
        </is>
      </c>
      <c r="K1355" t="inlineStr">
        <is>
          <t>WHV001 2025 PETERBILT 589 SLEEPER CAB 2025 PETERBILT 589 SLEEPER CAB</t>
        </is>
      </c>
      <c r="L1355" t="n">
        <v>0</v>
      </c>
      <c r="M1355" t="n">
        <v>0</v>
      </c>
      <c r="O1355" t="inlineStr">
        <is>
          <t>WHV001</t>
        </is>
      </c>
      <c r="Q1355" s="114" t="n">
        <v>0</v>
      </c>
      <c r="R1355" s="114" t="n">
        <v>250</v>
      </c>
      <c r="S1355" s="114" t="n">
        <v>0</v>
      </c>
      <c r="T1355" t="n">
        <v>0</v>
      </c>
    </row>
    <row r="1356">
      <c r="A1356" t="inlineStr">
        <is>
          <t>ttJTrans</t>
        </is>
      </c>
      <c r="B1356" s="38" t="inlineStr">
        <is>
          <t>0-4006</t>
        </is>
      </c>
      <c r="C1356" t="inlineStr">
        <is>
          <t>EQ</t>
        </is>
      </c>
      <c r="E1356" t="inlineStr">
        <is>
          <t>EQ</t>
        </is>
      </c>
      <c r="H1356" s="127" t="n">
        <v>46159</v>
      </c>
      <c r="J1356" s="38" t="inlineStr">
        <is>
          <t>0-4006</t>
        </is>
      </c>
      <c r="K1356" t="inlineStr">
        <is>
          <t>WHV001 2025 PETERBILT 589 SLEEPER CAB 2025 PETERBILT 589 SLEEPER CAB</t>
        </is>
      </c>
      <c r="L1356" t="n">
        <v>0</v>
      </c>
      <c r="M1356" t="n">
        <v>0</v>
      </c>
      <c r="O1356" t="inlineStr">
        <is>
          <t>WHV001</t>
        </is>
      </c>
      <c r="Q1356" s="114" t="n">
        <v>0</v>
      </c>
      <c r="R1356" s="114" t="n">
        <v>250</v>
      </c>
      <c r="S1356" s="114" t="n">
        <v>0</v>
      </c>
      <c r="T1356" t="n">
        <v>0</v>
      </c>
    </row>
    <row r="1357">
      <c r="A1357" t="inlineStr">
        <is>
          <t>ttJTrans</t>
        </is>
      </c>
      <c r="B1357" s="38" t="inlineStr">
        <is>
          <t>0-4006</t>
        </is>
      </c>
      <c r="C1357" t="inlineStr">
        <is>
          <t>EQ</t>
        </is>
      </c>
      <c r="E1357" t="inlineStr">
        <is>
          <t>EQ</t>
        </is>
      </c>
      <c r="H1357" s="127" t="n">
        <v>46159</v>
      </c>
      <c r="J1357" s="38" t="inlineStr">
        <is>
          <t>0-4006</t>
        </is>
      </c>
      <c r="K1357" t="inlineStr">
        <is>
          <t>WHV001 2025 PETERBILT 589 SLEEPER CAB 2025 PETERBILT 589 SLEEPER CAB</t>
        </is>
      </c>
      <c r="L1357" t="n">
        <v>0</v>
      </c>
      <c r="M1357" t="n">
        <v>0</v>
      </c>
      <c r="O1357" t="inlineStr">
        <is>
          <t>WHV001</t>
        </is>
      </c>
      <c r="Q1357" s="114" t="n">
        <v>0</v>
      </c>
      <c r="R1357" s="114" t="n">
        <v>250</v>
      </c>
      <c r="S1357" s="114" t="n">
        <v>0</v>
      </c>
      <c r="T1357" t="n">
        <v>0</v>
      </c>
    </row>
    <row r="1358">
      <c r="A1358" t="inlineStr">
        <is>
          <t>ttJTrans</t>
        </is>
      </c>
      <c r="B1358" s="38" t="inlineStr">
        <is>
          <t>0-4006</t>
        </is>
      </c>
      <c r="C1358" t="inlineStr">
        <is>
          <t>EQ</t>
        </is>
      </c>
      <c r="E1358" t="inlineStr">
        <is>
          <t>EQ</t>
        </is>
      </c>
      <c r="H1358" s="127" t="n">
        <v>46159</v>
      </c>
      <c r="J1358" s="38" t="inlineStr">
        <is>
          <t>0-4006</t>
        </is>
      </c>
      <c r="K1358" t="inlineStr">
        <is>
          <t>WHV001 2025 PETERBILT 589 SLEEPER CAB 2025 PETERBILT 589 SLEEPER CAB</t>
        </is>
      </c>
      <c r="L1358" t="n">
        <v>0</v>
      </c>
      <c r="M1358" t="n">
        <v>0</v>
      </c>
      <c r="O1358" t="inlineStr">
        <is>
          <t>WHV001</t>
        </is>
      </c>
      <c r="Q1358" s="114" t="n">
        <v>0</v>
      </c>
      <c r="R1358" s="114" t="n">
        <v>250</v>
      </c>
      <c r="S1358" s="114" t="n">
        <v>0</v>
      </c>
      <c r="T1358" t="n">
        <v>0</v>
      </c>
    </row>
    <row r="1359">
      <c r="A1359" t="inlineStr">
        <is>
          <t>ttJTrans</t>
        </is>
      </c>
      <c r="B1359" s="38" t="inlineStr">
        <is>
          <t>0-4006</t>
        </is>
      </c>
      <c r="C1359" t="inlineStr">
        <is>
          <t>EQ</t>
        </is>
      </c>
      <c r="E1359" t="inlineStr">
        <is>
          <t>EQ</t>
        </is>
      </c>
      <c r="H1359" s="127" t="n">
        <v>46159</v>
      </c>
      <c r="J1359" s="38" t="inlineStr">
        <is>
          <t>0-4006</t>
        </is>
      </c>
      <c r="K1359" t="inlineStr">
        <is>
          <t>TR473 LANDOLL 53FT LOWBOY LANDOLL 53FT LOWBOY</t>
        </is>
      </c>
      <c r="L1359" t="n">
        <v>0</v>
      </c>
      <c r="M1359" t="n">
        <v>0</v>
      </c>
      <c r="O1359" t="inlineStr">
        <is>
          <t>TR473</t>
        </is>
      </c>
      <c r="Q1359" s="114" t="n">
        <v>0</v>
      </c>
      <c r="R1359" s="114" t="n">
        <v>0</v>
      </c>
      <c r="S1359" s="114" t="n">
        <v>0</v>
      </c>
      <c r="T1359" t="n">
        <v>0</v>
      </c>
    </row>
    <row r="1360">
      <c r="A1360" t="inlineStr">
        <is>
          <t>ttJTrans</t>
        </is>
      </c>
      <c r="B1360" s="38" t="inlineStr">
        <is>
          <t>0-4006</t>
        </is>
      </c>
      <c r="C1360" t="inlineStr">
        <is>
          <t>EQ</t>
        </is>
      </c>
      <c r="E1360" t="inlineStr">
        <is>
          <t>EQ</t>
        </is>
      </c>
      <c r="H1360" s="127" t="n">
        <v>46159</v>
      </c>
      <c r="J1360" s="38" t="inlineStr">
        <is>
          <t>0-4006</t>
        </is>
      </c>
      <c r="K1360" t="inlineStr">
        <is>
          <t>TR473 LANDOLL 53FT LOWBOY LANDOLL 53FT LOWBOY</t>
        </is>
      </c>
      <c r="L1360" t="n">
        <v>0</v>
      </c>
      <c r="M1360" t="n">
        <v>0</v>
      </c>
      <c r="O1360" t="inlineStr">
        <is>
          <t>TR473</t>
        </is>
      </c>
      <c r="Q1360" s="114" t="n">
        <v>0</v>
      </c>
      <c r="R1360" s="114" t="n">
        <v>0</v>
      </c>
      <c r="S1360" s="114" t="n">
        <v>0</v>
      </c>
      <c r="T1360" t="n">
        <v>0</v>
      </c>
    </row>
    <row r="1361">
      <c r="A1361" t="inlineStr">
        <is>
          <t>ttJTrans</t>
        </is>
      </c>
      <c r="B1361" s="38" t="inlineStr">
        <is>
          <t>0-4006</t>
        </is>
      </c>
      <c r="C1361" t="inlineStr">
        <is>
          <t>EQ</t>
        </is>
      </c>
      <c r="E1361" t="inlineStr">
        <is>
          <t>EQ</t>
        </is>
      </c>
      <c r="H1361" s="127" t="n">
        <v>46159</v>
      </c>
      <c r="J1361" s="38" t="inlineStr">
        <is>
          <t>0-4006</t>
        </is>
      </c>
      <c r="K1361" t="inlineStr">
        <is>
          <t>TR473 LANDOLL 53FT LOWBOY LANDOLL 53FT LOWBOY</t>
        </is>
      </c>
      <c r="L1361" t="n">
        <v>0</v>
      </c>
      <c r="M1361" t="n">
        <v>0</v>
      </c>
      <c r="O1361" t="inlineStr">
        <is>
          <t>TR473</t>
        </is>
      </c>
      <c r="Q1361" s="114" t="n">
        <v>0</v>
      </c>
      <c r="R1361" s="114" t="n">
        <v>0</v>
      </c>
      <c r="S1361" s="114" t="n">
        <v>0</v>
      </c>
      <c r="T1361" t="n">
        <v>0</v>
      </c>
    </row>
    <row r="1362">
      <c r="A1362" t="inlineStr">
        <is>
          <t>ttJTrans</t>
        </is>
      </c>
      <c r="B1362" s="38" t="inlineStr">
        <is>
          <t>0-4006</t>
        </is>
      </c>
      <c r="C1362" t="inlineStr">
        <is>
          <t>EQ</t>
        </is>
      </c>
      <c r="E1362" t="inlineStr">
        <is>
          <t>EQ</t>
        </is>
      </c>
      <c r="H1362" s="127" t="n">
        <v>46159</v>
      </c>
      <c r="J1362" s="38" t="inlineStr">
        <is>
          <t>0-4006</t>
        </is>
      </c>
      <c r="K1362" t="inlineStr">
        <is>
          <t>TR473 LANDOLL 53FT LOWBOY LANDOLL 53FT LOWBOY</t>
        </is>
      </c>
      <c r="L1362" t="n">
        <v>0</v>
      </c>
      <c r="M1362" t="n">
        <v>0</v>
      </c>
      <c r="O1362" t="inlineStr">
        <is>
          <t>TR473</t>
        </is>
      </c>
      <c r="Q1362" s="114" t="n">
        <v>0</v>
      </c>
      <c r="R1362" s="114" t="n">
        <v>0</v>
      </c>
      <c r="S1362" s="114" t="n">
        <v>0</v>
      </c>
      <c r="T1362" t="n">
        <v>0</v>
      </c>
    </row>
    <row r="1363">
      <c r="A1363" t="inlineStr">
        <is>
          <t>ttJTrans</t>
        </is>
      </c>
      <c r="B1363" s="38" t="inlineStr">
        <is>
          <t>0-4006</t>
        </is>
      </c>
      <c r="C1363" t="inlineStr">
        <is>
          <t>EQ</t>
        </is>
      </c>
      <c r="E1363" t="inlineStr">
        <is>
          <t>EQ</t>
        </is>
      </c>
      <c r="H1363" s="127" t="n">
        <v>46159</v>
      </c>
      <c r="J1363" s="38" t="inlineStr">
        <is>
          <t>0-4006</t>
        </is>
      </c>
      <c r="K1363" t="inlineStr">
        <is>
          <t>TR473 LANDOLL 53FT LOWBOY LANDOLL 53FT LOWBOY</t>
        </is>
      </c>
      <c r="L1363" t="n">
        <v>0</v>
      </c>
      <c r="M1363" t="n">
        <v>0</v>
      </c>
      <c r="O1363" t="inlineStr">
        <is>
          <t>TR473</t>
        </is>
      </c>
      <c r="Q1363" s="114" t="n">
        <v>0</v>
      </c>
      <c r="R1363" s="114" t="n">
        <v>0</v>
      </c>
      <c r="S1363" s="114" t="n">
        <v>0</v>
      </c>
      <c r="T1363" t="n">
        <v>0</v>
      </c>
    </row>
    <row r="1364">
      <c r="A1364" t="inlineStr">
        <is>
          <t>ttJTrans</t>
        </is>
      </c>
      <c r="B1364" s="38" t="inlineStr">
        <is>
          <t>0-4006</t>
        </is>
      </c>
      <c r="C1364" t="inlineStr">
        <is>
          <t>EQ</t>
        </is>
      </c>
      <c r="E1364" t="inlineStr">
        <is>
          <t>EQ</t>
        </is>
      </c>
      <c r="H1364" s="127" t="n">
        <v>46159</v>
      </c>
      <c r="J1364" s="38" t="inlineStr">
        <is>
          <t>0-4006</t>
        </is>
      </c>
      <c r="K1364" t="inlineStr">
        <is>
          <t>TR473 LANDOLL 53FT LOWBOY LANDOLL 53FT LOWBOY</t>
        </is>
      </c>
      <c r="L1364" t="n">
        <v>0</v>
      </c>
      <c r="M1364" t="n">
        <v>0</v>
      </c>
      <c r="O1364" t="inlineStr">
        <is>
          <t>TR473</t>
        </is>
      </c>
      <c r="Q1364" s="114" t="n">
        <v>0</v>
      </c>
      <c r="R1364" s="114" t="n">
        <v>0</v>
      </c>
      <c r="S1364" s="114" t="n">
        <v>0</v>
      </c>
      <c r="T1364" t="n">
        <v>0</v>
      </c>
    </row>
    <row r="1365">
      <c r="A1365" t="inlineStr">
        <is>
          <t>ttJTrans</t>
        </is>
      </c>
      <c r="B1365" s="38" t="inlineStr">
        <is>
          <t>0-4006</t>
        </is>
      </c>
      <c r="C1365" t="inlineStr">
        <is>
          <t>EQ</t>
        </is>
      </c>
      <c r="E1365" t="inlineStr">
        <is>
          <t>EQ</t>
        </is>
      </c>
      <c r="H1365" s="127" t="n">
        <v>46159</v>
      </c>
      <c r="J1365" s="38" t="inlineStr">
        <is>
          <t>0-4006</t>
        </is>
      </c>
      <c r="K1365" t="inlineStr">
        <is>
          <t>TR461 40' HIGH CUBE CONTAINERS 40' HIGH CUBE CONTAINERS</t>
        </is>
      </c>
      <c r="L1365" t="n">
        <v>0</v>
      </c>
      <c r="M1365" t="n">
        <v>0</v>
      </c>
      <c r="O1365" t="inlineStr">
        <is>
          <t>TR461</t>
        </is>
      </c>
      <c r="Q1365" s="114" t="n">
        <v>0</v>
      </c>
      <c r="R1365" s="114" t="n">
        <v>65</v>
      </c>
      <c r="S1365" s="114" t="n">
        <v>0</v>
      </c>
      <c r="T1365" t="n">
        <v>0</v>
      </c>
    </row>
    <row r="1366">
      <c r="A1366" t="inlineStr">
        <is>
          <t>ttJTrans</t>
        </is>
      </c>
      <c r="B1366" s="38" t="inlineStr">
        <is>
          <t>0-4006</t>
        </is>
      </c>
      <c r="C1366" t="inlineStr">
        <is>
          <t>EQ</t>
        </is>
      </c>
      <c r="E1366" t="inlineStr">
        <is>
          <t>EQ</t>
        </is>
      </c>
      <c r="H1366" s="127" t="n">
        <v>46159</v>
      </c>
      <c r="J1366" s="38" t="inlineStr">
        <is>
          <t>0-4006</t>
        </is>
      </c>
      <c r="K1366" t="inlineStr">
        <is>
          <t>TR461 40' HIGH CUBE CONTAINERS 40' HIGH CUBE CONTAINERS</t>
        </is>
      </c>
      <c r="L1366" t="n">
        <v>0</v>
      </c>
      <c r="M1366" t="n">
        <v>0</v>
      </c>
      <c r="O1366" t="inlineStr">
        <is>
          <t>TR461</t>
        </is>
      </c>
      <c r="Q1366" s="114" t="n">
        <v>0</v>
      </c>
      <c r="R1366" s="114" t="n">
        <v>65</v>
      </c>
      <c r="S1366" s="114" t="n">
        <v>0</v>
      </c>
      <c r="T1366" t="n">
        <v>0</v>
      </c>
    </row>
    <row r="1367">
      <c r="A1367" t="inlineStr">
        <is>
          <t>ttJTrans</t>
        </is>
      </c>
      <c r="B1367" s="38" t="inlineStr">
        <is>
          <t>0-4006</t>
        </is>
      </c>
      <c r="C1367" t="inlineStr">
        <is>
          <t>EQ</t>
        </is>
      </c>
      <c r="E1367" t="inlineStr">
        <is>
          <t>EQ</t>
        </is>
      </c>
      <c r="H1367" s="127" t="n">
        <v>46159</v>
      </c>
      <c r="J1367" s="38" t="inlineStr">
        <is>
          <t>0-4006</t>
        </is>
      </c>
      <c r="K1367" t="inlineStr">
        <is>
          <t>TR461 40' HIGH CUBE CONTAINERS 40' HIGH CUBE CONTAINERS</t>
        </is>
      </c>
      <c r="L1367" t="n">
        <v>0</v>
      </c>
      <c r="M1367" t="n">
        <v>0</v>
      </c>
      <c r="O1367" t="inlineStr">
        <is>
          <t>TR461</t>
        </is>
      </c>
      <c r="Q1367" s="114" t="n">
        <v>0</v>
      </c>
      <c r="R1367" s="114" t="n">
        <v>65</v>
      </c>
      <c r="S1367" s="114" t="n">
        <v>0</v>
      </c>
      <c r="T1367" t="n">
        <v>0</v>
      </c>
    </row>
    <row r="1368">
      <c r="A1368" t="inlineStr">
        <is>
          <t>ttJTrans</t>
        </is>
      </c>
      <c r="B1368" s="38" t="inlineStr">
        <is>
          <t>0-4006</t>
        </is>
      </c>
      <c r="C1368" t="inlineStr">
        <is>
          <t>EQ</t>
        </is>
      </c>
      <c r="E1368" t="inlineStr">
        <is>
          <t>EQ</t>
        </is>
      </c>
      <c r="H1368" s="127" t="n">
        <v>46159</v>
      </c>
      <c r="J1368" s="38" t="inlineStr">
        <is>
          <t>0-4006</t>
        </is>
      </c>
      <c r="K1368" t="inlineStr">
        <is>
          <t>TR461 40' HIGH CUBE CONTAINERS 40' HIGH CUBE CONTAINERS</t>
        </is>
      </c>
      <c r="L1368" t="n">
        <v>0</v>
      </c>
      <c r="M1368" t="n">
        <v>0</v>
      </c>
      <c r="O1368" t="inlineStr">
        <is>
          <t>TR461</t>
        </is>
      </c>
      <c r="Q1368" s="114" t="n">
        <v>0</v>
      </c>
      <c r="R1368" s="114" t="n">
        <v>65</v>
      </c>
      <c r="S1368" s="114" t="n">
        <v>0</v>
      </c>
      <c r="T1368" t="n">
        <v>0</v>
      </c>
    </row>
    <row r="1369">
      <c r="A1369" t="inlineStr">
        <is>
          <t>ttJTrans</t>
        </is>
      </c>
      <c r="B1369" s="38" t="inlineStr">
        <is>
          <t>0-4006</t>
        </is>
      </c>
      <c r="C1369" t="inlineStr">
        <is>
          <t>EQ</t>
        </is>
      </c>
      <c r="E1369" t="inlineStr">
        <is>
          <t>EQ</t>
        </is>
      </c>
      <c r="H1369" s="127" t="n">
        <v>46159</v>
      </c>
      <c r="J1369" s="38" t="inlineStr">
        <is>
          <t>0-4006</t>
        </is>
      </c>
      <c r="K1369" t="inlineStr">
        <is>
          <t>TR461 40' HIGH CUBE CONTAINERS 40' HIGH CUBE CONTAINERS</t>
        </is>
      </c>
      <c r="L1369" t="n">
        <v>0</v>
      </c>
      <c r="M1369" t="n">
        <v>0</v>
      </c>
      <c r="O1369" t="inlineStr">
        <is>
          <t>TR461</t>
        </is>
      </c>
      <c r="Q1369" s="114" t="n">
        <v>0</v>
      </c>
      <c r="R1369" s="114" t="n">
        <v>65</v>
      </c>
      <c r="S1369" s="114" t="n">
        <v>0</v>
      </c>
      <c r="T1369" t="n">
        <v>0</v>
      </c>
    </row>
    <row r="1370">
      <c r="A1370" t="inlineStr">
        <is>
          <t>ttJTrans</t>
        </is>
      </c>
      <c r="B1370" s="38" t="inlineStr">
        <is>
          <t>0-4006</t>
        </is>
      </c>
      <c r="C1370" t="inlineStr">
        <is>
          <t>EQ</t>
        </is>
      </c>
      <c r="E1370" t="inlineStr">
        <is>
          <t>EQ</t>
        </is>
      </c>
      <c r="H1370" s="127" t="n">
        <v>46159</v>
      </c>
      <c r="J1370" s="38" t="inlineStr">
        <is>
          <t>0-4006</t>
        </is>
      </c>
      <c r="K1370" t="inlineStr">
        <is>
          <t>TR461 40' HIGH CUBE CONTAINERS 40' HIGH CUBE CONTAINERS</t>
        </is>
      </c>
      <c r="L1370" t="n">
        <v>0</v>
      </c>
      <c r="M1370" t="n">
        <v>0</v>
      </c>
      <c r="O1370" t="inlineStr">
        <is>
          <t>TR461</t>
        </is>
      </c>
      <c r="Q1370" s="114" t="n">
        <v>0</v>
      </c>
      <c r="R1370" s="114" t="n">
        <v>65</v>
      </c>
      <c r="S1370" s="114" t="n">
        <v>0</v>
      </c>
      <c r="T1370" t="n">
        <v>0</v>
      </c>
    </row>
    <row r="1371">
      <c r="A1371" t="inlineStr">
        <is>
          <t>ttJTrans</t>
        </is>
      </c>
      <c r="B1371" s="38" t="inlineStr">
        <is>
          <t>0-4006</t>
        </is>
      </c>
      <c r="C1371" t="inlineStr">
        <is>
          <t>EQ</t>
        </is>
      </c>
      <c r="E1371" t="inlineStr">
        <is>
          <t>EQ</t>
        </is>
      </c>
      <c r="H1371" s="127" t="n">
        <v>46159</v>
      </c>
      <c r="J1371" s="38" t="inlineStr">
        <is>
          <t>0-4006</t>
        </is>
      </c>
      <c r="K1371" t="inlineStr">
        <is>
          <t>TR462 40' HIGH CUBE CONTAINERS 40' HIGH CUBE CONTAINERS</t>
        </is>
      </c>
      <c r="L1371" t="n">
        <v>0</v>
      </c>
      <c r="M1371" t="n">
        <v>0</v>
      </c>
      <c r="O1371" t="inlineStr">
        <is>
          <t>TR462</t>
        </is>
      </c>
      <c r="Q1371" s="114" t="n">
        <v>0</v>
      </c>
      <c r="R1371" s="114" t="n">
        <v>65</v>
      </c>
      <c r="S1371" s="114" t="n">
        <v>0</v>
      </c>
      <c r="T1371" t="n">
        <v>0</v>
      </c>
    </row>
    <row r="1372">
      <c r="A1372" t="inlineStr">
        <is>
          <t>ttJTrans</t>
        </is>
      </c>
      <c r="B1372" s="38" t="inlineStr">
        <is>
          <t>0-4006</t>
        </is>
      </c>
      <c r="C1372" t="inlineStr">
        <is>
          <t>EQ</t>
        </is>
      </c>
      <c r="E1372" t="inlineStr">
        <is>
          <t>EQ</t>
        </is>
      </c>
      <c r="H1372" s="127" t="n">
        <v>46159</v>
      </c>
      <c r="J1372" s="38" t="inlineStr">
        <is>
          <t>0-4006</t>
        </is>
      </c>
      <c r="K1372" t="inlineStr">
        <is>
          <t>TR462 40' HIGH CUBE CONTAINERS 40' HIGH CUBE CONTAINERS</t>
        </is>
      </c>
      <c r="L1372" t="n">
        <v>0</v>
      </c>
      <c r="M1372" t="n">
        <v>0</v>
      </c>
      <c r="O1372" t="inlineStr">
        <is>
          <t>TR462</t>
        </is>
      </c>
      <c r="Q1372" s="114" t="n">
        <v>0</v>
      </c>
      <c r="R1372" s="114" t="n">
        <v>65</v>
      </c>
      <c r="S1372" s="114" t="n">
        <v>0</v>
      </c>
      <c r="T1372" t="n">
        <v>0</v>
      </c>
    </row>
    <row r="1373">
      <c r="A1373" t="inlineStr">
        <is>
          <t>ttJTrans</t>
        </is>
      </c>
      <c r="B1373" s="38" t="inlineStr">
        <is>
          <t>0-4006</t>
        </is>
      </c>
      <c r="C1373" t="inlineStr">
        <is>
          <t>EQ</t>
        </is>
      </c>
      <c r="E1373" t="inlineStr">
        <is>
          <t>EQ</t>
        </is>
      </c>
      <c r="H1373" s="127" t="n">
        <v>46159</v>
      </c>
      <c r="J1373" s="38" t="inlineStr">
        <is>
          <t>0-4006</t>
        </is>
      </c>
      <c r="K1373" t="inlineStr">
        <is>
          <t>TR462 40' HIGH CUBE CONTAINERS 40' HIGH CUBE CONTAINERS</t>
        </is>
      </c>
      <c r="L1373" t="n">
        <v>0</v>
      </c>
      <c r="M1373" t="n">
        <v>0</v>
      </c>
      <c r="O1373" t="inlineStr">
        <is>
          <t>TR462</t>
        </is>
      </c>
      <c r="Q1373" s="114" t="n">
        <v>0</v>
      </c>
      <c r="R1373" s="114" t="n">
        <v>65</v>
      </c>
      <c r="S1373" s="114" t="n">
        <v>0</v>
      </c>
      <c r="T1373" t="n">
        <v>0</v>
      </c>
    </row>
    <row r="1374">
      <c r="A1374" t="inlineStr">
        <is>
          <t>ttJTrans</t>
        </is>
      </c>
      <c r="B1374" s="38" t="inlineStr">
        <is>
          <t>0-4006</t>
        </is>
      </c>
      <c r="C1374" t="inlineStr">
        <is>
          <t>EQ</t>
        </is>
      </c>
      <c r="E1374" t="inlineStr">
        <is>
          <t>EQ</t>
        </is>
      </c>
      <c r="H1374" s="127" t="n">
        <v>46159</v>
      </c>
      <c r="J1374" s="38" t="inlineStr">
        <is>
          <t>0-4006</t>
        </is>
      </c>
      <c r="K1374" t="inlineStr">
        <is>
          <t>TR462 40' HIGH CUBE CONTAINERS 40' HIGH CUBE CONTAINERS</t>
        </is>
      </c>
      <c r="L1374" t="n">
        <v>0</v>
      </c>
      <c r="M1374" t="n">
        <v>0</v>
      </c>
      <c r="O1374" t="inlineStr">
        <is>
          <t>TR462</t>
        </is>
      </c>
      <c r="Q1374" s="114" t="n">
        <v>0</v>
      </c>
      <c r="R1374" s="114" t="n">
        <v>65</v>
      </c>
      <c r="S1374" s="114" t="n">
        <v>0</v>
      </c>
      <c r="T1374" t="n">
        <v>0</v>
      </c>
    </row>
    <row r="1375">
      <c r="A1375" t="inlineStr">
        <is>
          <t>ttJTrans</t>
        </is>
      </c>
      <c r="B1375" s="38" t="inlineStr">
        <is>
          <t>0-4006</t>
        </is>
      </c>
      <c r="C1375" t="inlineStr">
        <is>
          <t>EQ</t>
        </is>
      </c>
      <c r="E1375" t="inlineStr">
        <is>
          <t>EQ</t>
        </is>
      </c>
      <c r="H1375" s="127" t="n">
        <v>46159</v>
      </c>
      <c r="J1375" s="38" t="inlineStr">
        <is>
          <t>0-4006</t>
        </is>
      </c>
      <c r="K1375" t="inlineStr">
        <is>
          <t>TR462 40' HIGH CUBE CONTAINERS 40' HIGH CUBE CONTAINERS</t>
        </is>
      </c>
      <c r="L1375" t="n">
        <v>0</v>
      </c>
      <c r="M1375" t="n">
        <v>0</v>
      </c>
      <c r="O1375" t="inlineStr">
        <is>
          <t>TR462</t>
        </is>
      </c>
      <c r="Q1375" s="114" t="n">
        <v>0</v>
      </c>
      <c r="R1375" s="114" t="n">
        <v>65</v>
      </c>
      <c r="S1375" s="114" t="n">
        <v>0</v>
      </c>
      <c r="T1375" t="n">
        <v>0</v>
      </c>
    </row>
    <row r="1376">
      <c r="A1376" t="inlineStr">
        <is>
          <t>ttJTrans</t>
        </is>
      </c>
      <c r="B1376" s="38" t="inlineStr">
        <is>
          <t>0-4006</t>
        </is>
      </c>
      <c r="C1376" t="inlineStr">
        <is>
          <t>EQ</t>
        </is>
      </c>
      <c r="E1376" t="inlineStr">
        <is>
          <t>EQ</t>
        </is>
      </c>
      <c r="H1376" s="127" t="n">
        <v>46159</v>
      </c>
      <c r="J1376" s="38" t="inlineStr">
        <is>
          <t>0-4006</t>
        </is>
      </c>
      <c r="K1376" t="inlineStr">
        <is>
          <t>TR462 40' HIGH CUBE CONTAINERS 40' HIGH CUBE CONTAINERS</t>
        </is>
      </c>
      <c r="L1376" t="n">
        <v>0</v>
      </c>
      <c r="M1376" t="n">
        <v>0</v>
      </c>
      <c r="O1376" t="inlineStr">
        <is>
          <t>TR462</t>
        </is>
      </c>
      <c r="Q1376" s="114" t="n">
        <v>0</v>
      </c>
      <c r="R1376" s="114" t="n">
        <v>65</v>
      </c>
      <c r="S1376" s="114" t="n">
        <v>0</v>
      </c>
      <c r="T1376" t="n">
        <v>0</v>
      </c>
    </row>
    <row r="1377">
      <c r="A1377" t="inlineStr">
        <is>
          <t>ttJTrans</t>
        </is>
      </c>
      <c r="B1377" s="38" t="inlineStr">
        <is>
          <t>0-4006</t>
        </is>
      </c>
      <c r="C1377" t="inlineStr">
        <is>
          <t>EQ</t>
        </is>
      </c>
      <c r="E1377" t="inlineStr">
        <is>
          <t>EQ</t>
        </is>
      </c>
      <c r="H1377" s="127" t="n">
        <v>46159</v>
      </c>
      <c r="J1377" s="38" t="inlineStr">
        <is>
          <t>0-4006</t>
        </is>
      </c>
      <c r="K1377" t="inlineStr">
        <is>
          <t>TR463 40' HIGH CUBE CONTAINERS 40' HIGH CUBE CONTAINERS</t>
        </is>
      </c>
      <c r="L1377" t="n">
        <v>0</v>
      </c>
      <c r="M1377" t="n">
        <v>0</v>
      </c>
      <c r="O1377" t="inlineStr">
        <is>
          <t>TR463</t>
        </is>
      </c>
      <c r="Q1377" s="114" t="n">
        <v>0</v>
      </c>
      <c r="R1377" s="114" t="n">
        <v>65</v>
      </c>
      <c r="S1377" s="114" t="n">
        <v>0</v>
      </c>
      <c r="T1377" t="n">
        <v>0</v>
      </c>
    </row>
    <row r="1378">
      <c r="A1378" t="inlineStr">
        <is>
          <t>ttJTrans</t>
        </is>
      </c>
      <c r="B1378" s="38" t="inlineStr">
        <is>
          <t>0-4006</t>
        </is>
      </c>
      <c r="C1378" t="inlineStr">
        <is>
          <t>EQ</t>
        </is>
      </c>
      <c r="E1378" t="inlineStr">
        <is>
          <t>EQ</t>
        </is>
      </c>
      <c r="H1378" s="127" t="n">
        <v>46159</v>
      </c>
      <c r="J1378" s="38" t="inlineStr">
        <is>
          <t>0-4006</t>
        </is>
      </c>
      <c r="K1378" t="inlineStr">
        <is>
          <t>TR463 40' HIGH CUBE CONTAINERS 40' HIGH CUBE CONTAINERS</t>
        </is>
      </c>
      <c r="L1378" t="n">
        <v>0</v>
      </c>
      <c r="M1378" t="n">
        <v>0</v>
      </c>
      <c r="O1378" t="inlineStr">
        <is>
          <t>TR463</t>
        </is>
      </c>
      <c r="Q1378" s="114" t="n">
        <v>0</v>
      </c>
      <c r="R1378" s="114" t="n">
        <v>65</v>
      </c>
      <c r="S1378" s="114" t="n">
        <v>0</v>
      </c>
      <c r="T1378" t="n">
        <v>0</v>
      </c>
    </row>
    <row r="1379">
      <c r="A1379" t="inlineStr">
        <is>
          <t>ttJTrans</t>
        </is>
      </c>
      <c r="B1379" s="38" t="inlineStr">
        <is>
          <t>0-4006</t>
        </is>
      </c>
      <c r="C1379" t="inlineStr">
        <is>
          <t>EQ</t>
        </is>
      </c>
      <c r="E1379" t="inlineStr">
        <is>
          <t>EQ</t>
        </is>
      </c>
      <c r="H1379" s="127" t="n">
        <v>46159</v>
      </c>
      <c r="J1379" s="38" t="inlineStr">
        <is>
          <t>0-4006</t>
        </is>
      </c>
      <c r="K1379" t="inlineStr">
        <is>
          <t>TR463 40' HIGH CUBE CONTAINERS 40' HIGH CUBE CONTAINERS</t>
        </is>
      </c>
      <c r="L1379" t="n">
        <v>0</v>
      </c>
      <c r="M1379" t="n">
        <v>0</v>
      </c>
      <c r="O1379" t="inlineStr">
        <is>
          <t>TR463</t>
        </is>
      </c>
      <c r="Q1379" s="114" t="n">
        <v>0</v>
      </c>
      <c r="R1379" s="114" t="n">
        <v>65</v>
      </c>
      <c r="S1379" s="114" t="n">
        <v>0</v>
      </c>
      <c r="T1379" t="n">
        <v>0</v>
      </c>
    </row>
    <row r="1380">
      <c r="A1380" t="inlineStr">
        <is>
          <t>ttJTrans</t>
        </is>
      </c>
      <c r="B1380" s="38" t="inlineStr">
        <is>
          <t>0-4006</t>
        </is>
      </c>
      <c r="C1380" t="inlineStr">
        <is>
          <t>EQ</t>
        </is>
      </c>
      <c r="E1380" t="inlineStr">
        <is>
          <t>EQ</t>
        </is>
      </c>
      <c r="H1380" s="127" t="n">
        <v>46159</v>
      </c>
      <c r="J1380" s="38" t="inlineStr">
        <is>
          <t>0-4006</t>
        </is>
      </c>
      <c r="K1380" t="inlineStr">
        <is>
          <t>TR463 40' HIGH CUBE CONTAINERS 40' HIGH CUBE CONTAINERS</t>
        </is>
      </c>
      <c r="L1380" t="n">
        <v>0</v>
      </c>
      <c r="M1380" t="n">
        <v>0</v>
      </c>
      <c r="O1380" t="inlineStr">
        <is>
          <t>TR463</t>
        </is>
      </c>
      <c r="Q1380" s="114" t="n">
        <v>0</v>
      </c>
      <c r="R1380" s="114" t="n">
        <v>65</v>
      </c>
      <c r="S1380" s="114" t="n">
        <v>0</v>
      </c>
      <c r="T1380" t="n">
        <v>0</v>
      </c>
    </row>
    <row r="1381">
      <c r="A1381" t="inlineStr">
        <is>
          <t>ttJTrans</t>
        </is>
      </c>
      <c r="B1381" s="38" t="inlineStr">
        <is>
          <t>0-4006</t>
        </is>
      </c>
      <c r="C1381" t="inlineStr">
        <is>
          <t>EQ</t>
        </is>
      </c>
      <c r="E1381" t="inlineStr">
        <is>
          <t>EQ</t>
        </is>
      </c>
      <c r="H1381" s="127" t="n">
        <v>46159</v>
      </c>
      <c r="J1381" s="38" t="inlineStr">
        <is>
          <t>0-4006</t>
        </is>
      </c>
      <c r="K1381" t="inlineStr">
        <is>
          <t>TR464 40' HIGH CUBE CONTAINERS 40' HIGH CUBE CONTAINERS</t>
        </is>
      </c>
      <c r="L1381" t="n">
        <v>0</v>
      </c>
      <c r="M1381" t="n">
        <v>0</v>
      </c>
      <c r="O1381" t="inlineStr">
        <is>
          <t>TR464</t>
        </is>
      </c>
      <c r="Q1381" s="114" t="n">
        <v>0</v>
      </c>
      <c r="R1381" s="114" t="n">
        <v>65</v>
      </c>
      <c r="S1381" s="114" t="n">
        <v>0</v>
      </c>
      <c r="T1381" t="n">
        <v>0</v>
      </c>
    </row>
    <row r="1382">
      <c r="A1382" t="inlineStr">
        <is>
          <t>ttJTrans</t>
        </is>
      </c>
      <c r="B1382" s="38" t="inlineStr">
        <is>
          <t>0-4006</t>
        </is>
      </c>
      <c r="C1382" t="inlineStr">
        <is>
          <t>EQ</t>
        </is>
      </c>
      <c r="E1382" t="inlineStr">
        <is>
          <t>EQ</t>
        </is>
      </c>
      <c r="H1382" s="127" t="n">
        <v>46159</v>
      </c>
      <c r="J1382" s="38" t="inlineStr">
        <is>
          <t>0-4006</t>
        </is>
      </c>
      <c r="K1382" t="inlineStr">
        <is>
          <t>TR464 40' HIGH CUBE CONTAINERS 40' HIGH CUBE CONTAINERS</t>
        </is>
      </c>
      <c r="L1382" t="n">
        <v>0</v>
      </c>
      <c r="M1382" t="n">
        <v>0</v>
      </c>
      <c r="O1382" t="inlineStr">
        <is>
          <t>TR464</t>
        </is>
      </c>
      <c r="Q1382" s="114" t="n">
        <v>0</v>
      </c>
      <c r="R1382" s="114" t="n">
        <v>65</v>
      </c>
      <c r="S1382" s="114" t="n">
        <v>0</v>
      </c>
      <c r="T1382" t="n">
        <v>0</v>
      </c>
    </row>
    <row r="1383">
      <c r="A1383" t="inlineStr">
        <is>
          <t>ttJTrans</t>
        </is>
      </c>
      <c r="B1383" s="38" t="inlineStr">
        <is>
          <t>0-4006</t>
        </is>
      </c>
      <c r="C1383" t="inlineStr">
        <is>
          <t>EQ</t>
        </is>
      </c>
      <c r="E1383" t="inlineStr">
        <is>
          <t>EQ</t>
        </is>
      </c>
      <c r="H1383" s="127" t="n">
        <v>46159</v>
      </c>
      <c r="J1383" s="38" t="inlineStr">
        <is>
          <t>0-4006</t>
        </is>
      </c>
      <c r="K1383" t="inlineStr">
        <is>
          <t>TR464 40' HIGH CUBE CONTAINERS 40' HIGH CUBE CONTAINERS</t>
        </is>
      </c>
      <c r="L1383" t="n">
        <v>0</v>
      </c>
      <c r="M1383" t="n">
        <v>0</v>
      </c>
      <c r="O1383" t="inlineStr">
        <is>
          <t>TR464</t>
        </is>
      </c>
      <c r="Q1383" s="114" t="n">
        <v>0</v>
      </c>
      <c r="R1383" s="114" t="n">
        <v>65</v>
      </c>
      <c r="S1383" s="114" t="n">
        <v>0</v>
      </c>
      <c r="T1383" t="n">
        <v>0</v>
      </c>
    </row>
    <row r="1384">
      <c r="A1384" t="inlineStr">
        <is>
          <t>ttJTrans</t>
        </is>
      </c>
      <c r="B1384" s="38" t="inlineStr">
        <is>
          <t>0-4006</t>
        </is>
      </c>
      <c r="C1384" t="inlineStr">
        <is>
          <t>EQ</t>
        </is>
      </c>
      <c r="E1384" t="inlineStr">
        <is>
          <t>EQ</t>
        </is>
      </c>
      <c r="H1384" s="127" t="n">
        <v>46159</v>
      </c>
      <c r="J1384" s="38" t="inlineStr">
        <is>
          <t>0-4006</t>
        </is>
      </c>
      <c r="K1384" t="inlineStr">
        <is>
          <t>TR464 40' HIGH CUBE CONTAINERS 40' HIGH CUBE CONTAINERS</t>
        </is>
      </c>
      <c r="L1384" t="n">
        <v>0</v>
      </c>
      <c r="M1384" t="n">
        <v>0</v>
      </c>
      <c r="O1384" t="inlineStr">
        <is>
          <t>TR464</t>
        </is>
      </c>
      <c r="Q1384" s="114" t="n">
        <v>0</v>
      </c>
      <c r="R1384" s="114" t="n">
        <v>65</v>
      </c>
      <c r="S1384" s="114" t="n">
        <v>0</v>
      </c>
      <c r="T1384" t="n">
        <v>0</v>
      </c>
    </row>
    <row r="1385">
      <c r="A1385" t="inlineStr">
        <is>
          <t>ttJTrans</t>
        </is>
      </c>
      <c r="B1385" s="38" t="inlineStr">
        <is>
          <t>0-4006</t>
        </is>
      </c>
      <c r="C1385" t="inlineStr">
        <is>
          <t>EQ</t>
        </is>
      </c>
      <c r="E1385" t="inlineStr">
        <is>
          <t>EQ</t>
        </is>
      </c>
      <c r="H1385" s="127" t="n">
        <v>46159</v>
      </c>
      <c r="J1385" s="38" t="inlineStr">
        <is>
          <t>0-4006</t>
        </is>
      </c>
      <c r="K1385" t="inlineStr">
        <is>
          <t>TR464 40' HIGH CUBE CONTAINERS 40' HIGH CUBE CONTAINERS</t>
        </is>
      </c>
      <c r="L1385" t="n">
        <v>0</v>
      </c>
      <c r="M1385" t="n">
        <v>0</v>
      </c>
      <c r="O1385" t="inlineStr">
        <is>
          <t>TR464</t>
        </is>
      </c>
      <c r="Q1385" s="114" t="n">
        <v>0</v>
      </c>
      <c r="R1385" s="114" t="n">
        <v>65</v>
      </c>
      <c r="S1385" s="114" t="n">
        <v>0</v>
      </c>
      <c r="T1385" t="n">
        <v>0</v>
      </c>
    </row>
    <row r="1386">
      <c r="A1386" t="inlineStr">
        <is>
          <t>ttJTrans</t>
        </is>
      </c>
      <c r="B1386" s="38" t="inlineStr">
        <is>
          <t>0-4006</t>
        </is>
      </c>
      <c r="C1386" t="inlineStr">
        <is>
          <t>EQ</t>
        </is>
      </c>
      <c r="E1386" t="inlineStr">
        <is>
          <t>EQ</t>
        </is>
      </c>
      <c r="H1386" s="127" t="n">
        <v>46159</v>
      </c>
      <c r="J1386" s="38" t="inlineStr">
        <is>
          <t>0-4006</t>
        </is>
      </c>
      <c r="K1386" t="inlineStr">
        <is>
          <t>TR464 40' HIGH CUBE CONTAINERS 40' HIGH CUBE CONTAINERS</t>
        </is>
      </c>
      <c r="L1386" t="n">
        <v>0</v>
      </c>
      <c r="M1386" t="n">
        <v>0</v>
      </c>
      <c r="O1386" t="inlineStr">
        <is>
          <t>TR464</t>
        </is>
      </c>
      <c r="Q1386" s="114" t="n">
        <v>0</v>
      </c>
      <c r="R1386" s="114" t="n">
        <v>65</v>
      </c>
      <c r="S1386" s="114" t="n">
        <v>0</v>
      </c>
      <c r="T1386" t="n">
        <v>0</v>
      </c>
    </row>
    <row r="1387">
      <c r="A1387" t="inlineStr">
        <is>
          <t>ttJTrans</t>
        </is>
      </c>
      <c r="B1387" s="38" t="inlineStr">
        <is>
          <t>0-4006</t>
        </is>
      </c>
      <c r="C1387" t="inlineStr">
        <is>
          <t>EQ</t>
        </is>
      </c>
      <c r="E1387" t="inlineStr">
        <is>
          <t>EQ</t>
        </is>
      </c>
      <c r="H1387" s="127" t="n">
        <v>46159</v>
      </c>
      <c r="J1387" s="38" t="inlineStr">
        <is>
          <t>0-4006</t>
        </is>
      </c>
      <c r="K1387" t="inlineStr">
        <is>
          <t>TR456 40' DOUBLE DOOR CONTAINER 40' DOUBLE DOOR CONTAINER</t>
        </is>
      </c>
      <c r="L1387" t="n">
        <v>0</v>
      </c>
      <c r="M1387" t="n">
        <v>0</v>
      </c>
      <c r="O1387" t="inlineStr">
        <is>
          <t>TR456</t>
        </is>
      </c>
      <c r="Q1387" s="114" t="n">
        <v>0</v>
      </c>
      <c r="R1387" s="114" t="n">
        <v>65</v>
      </c>
      <c r="S1387" s="114" t="n">
        <v>0</v>
      </c>
      <c r="T1387" t="n">
        <v>0</v>
      </c>
    </row>
    <row r="1388">
      <c r="A1388" t="inlineStr">
        <is>
          <t>ttJTrans</t>
        </is>
      </c>
      <c r="B1388" s="38" t="inlineStr">
        <is>
          <t>0-4006</t>
        </is>
      </c>
      <c r="C1388" t="inlineStr">
        <is>
          <t>EQ</t>
        </is>
      </c>
      <c r="E1388" t="inlineStr">
        <is>
          <t>EQ</t>
        </is>
      </c>
      <c r="H1388" s="127" t="n">
        <v>46159</v>
      </c>
      <c r="J1388" s="38" t="inlineStr">
        <is>
          <t>0-4006</t>
        </is>
      </c>
      <c r="K1388" t="inlineStr">
        <is>
          <t>TR456 40' DOUBLE DOOR CONTAINER 40' DOUBLE DOOR CONTAINER</t>
        </is>
      </c>
      <c r="L1388" t="n">
        <v>0</v>
      </c>
      <c r="M1388" t="n">
        <v>0</v>
      </c>
      <c r="O1388" t="inlineStr">
        <is>
          <t>TR456</t>
        </is>
      </c>
      <c r="Q1388" s="114" t="n">
        <v>0</v>
      </c>
      <c r="R1388" s="114" t="n">
        <v>65</v>
      </c>
      <c r="S1388" s="114" t="n">
        <v>0</v>
      </c>
      <c r="T1388" t="n">
        <v>0</v>
      </c>
    </row>
    <row r="1389">
      <c r="A1389" t="inlineStr">
        <is>
          <t>ttJTrans</t>
        </is>
      </c>
      <c r="B1389" s="38" t="inlineStr">
        <is>
          <t>0-4006</t>
        </is>
      </c>
      <c r="C1389" t="inlineStr">
        <is>
          <t>EQ</t>
        </is>
      </c>
      <c r="E1389" t="inlineStr">
        <is>
          <t>EQ</t>
        </is>
      </c>
      <c r="H1389" s="127" t="n">
        <v>46159</v>
      </c>
      <c r="J1389" s="38" t="inlineStr">
        <is>
          <t>0-4006</t>
        </is>
      </c>
      <c r="K1389" t="inlineStr">
        <is>
          <t>TR456 40' DOUBLE DOOR CONTAINER 40' DOUBLE DOOR CONTAINER</t>
        </is>
      </c>
      <c r="L1389" t="n">
        <v>0</v>
      </c>
      <c r="M1389" t="n">
        <v>0</v>
      </c>
      <c r="O1389" t="inlineStr">
        <is>
          <t>TR456</t>
        </is>
      </c>
      <c r="Q1389" s="114" t="n">
        <v>0</v>
      </c>
      <c r="R1389" s="114" t="n">
        <v>65</v>
      </c>
      <c r="S1389" s="114" t="n">
        <v>0</v>
      </c>
      <c r="T1389" t="n">
        <v>0</v>
      </c>
    </row>
    <row r="1390">
      <c r="A1390" t="inlineStr">
        <is>
          <t>ttJTrans</t>
        </is>
      </c>
      <c r="B1390" s="38" t="inlineStr">
        <is>
          <t>0-4006</t>
        </is>
      </c>
      <c r="C1390" t="inlineStr">
        <is>
          <t>EQ</t>
        </is>
      </c>
      <c r="E1390" t="inlineStr">
        <is>
          <t>EQ</t>
        </is>
      </c>
      <c r="H1390" s="127" t="n">
        <v>46159</v>
      </c>
      <c r="J1390" s="38" t="inlineStr">
        <is>
          <t>0-4006</t>
        </is>
      </c>
      <c r="K1390" t="inlineStr">
        <is>
          <t>TR456 40' DOUBLE DOOR CONTAINER 40' DOUBLE DOOR CONTAINER</t>
        </is>
      </c>
      <c r="L1390" t="n">
        <v>0</v>
      </c>
      <c r="M1390" t="n">
        <v>0</v>
      </c>
      <c r="O1390" t="inlineStr">
        <is>
          <t>TR456</t>
        </is>
      </c>
      <c r="Q1390" s="114" t="n">
        <v>0</v>
      </c>
      <c r="R1390" s="114" t="n">
        <v>65</v>
      </c>
      <c r="S1390" s="114" t="n">
        <v>0</v>
      </c>
      <c r="T1390" t="n">
        <v>0</v>
      </c>
    </row>
    <row r="1391">
      <c r="A1391" t="inlineStr">
        <is>
          <t>ttJTrans</t>
        </is>
      </c>
      <c r="B1391" s="38" t="inlineStr">
        <is>
          <t>0-4006</t>
        </is>
      </c>
      <c r="C1391" t="inlineStr">
        <is>
          <t>EQ</t>
        </is>
      </c>
      <c r="E1391" t="inlineStr">
        <is>
          <t>EQ</t>
        </is>
      </c>
      <c r="H1391" s="127" t="n">
        <v>46159</v>
      </c>
      <c r="J1391" s="38" t="inlineStr">
        <is>
          <t>0-4006</t>
        </is>
      </c>
      <c r="K1391" t="inlineStr">
        <is>
          <t>TR456 40' DOUBLE DOOR CONTAINER 40' DOUBLE DOOR CONTAINER</t>
        </is>
      </c>
      <c r="L1391" t="n">
        <v>0</v>
      </c>
      <c r="M1391" t="n">
        <v>0</v>
      </c>
      <c r="O1391" t="inlineStr">
        <is>
          <t>TR456</t>
        </is>
      </c>
      <c r="Q1391" s="114" t="n">
        <v>0</v>
      </c>
      <c r="R1391" s="114" t="n">
        <v>65</v>
      </c>
      <c r="S1391" s="114" t="n">
        <v>0</v>
      </c>
      <c r="T1391" t="n">
        <v>0</v>
      </c>
    </row>
    <row r="1392">
      <c r="A1392" t="inlineStr">
        <is>
          <t>ttJTrans</t>
        </is>
      </c>
      <c r="B1392" s="38" t="inlineStr">
        <is>
          <t>0-4006</t>
        </is>
      </c>
      <c r="C1392" t="inlineStr">
        <is>
          <t>EQ</t>
        </is>
      </c>
      <c r="E1392" t="inlineStr">
        <is>
          <t>EQ</t>
        </is>
      </c>
      <c r="H1392" s="127" t="n">
        <v>46159</v>
      </c>
      <c r="J1392" s="38" t="inlineStr">
        <is>
          <t>0-4006</t>
        </is>
      </c>
      <c r="K1392" t="inlineStr">
        <is>
          <t>TR456 40' DOUBLE DOOR CONTAINER 40' DOUBLE DOOR CONTAINER</t>
        </is>
      </c>
      <c r="L1392" t="n">
        <v>0</v>
      </c>
      <c r="M1392" t="n">
        <v>0</v>
      </c>
      <c r="O1392" t="inlineStr">
        <is>
          <t>TR456</t>
        </is>
      </c>
      <c r="Q1392" s="114" t="n">
        <v>0</v>
      </c>
      <c r="R1392" s="114" t="n">
        <v>65</v>
      </c>
      <c r="S1392" s="114" t="n">
        <v>0</v>
      </c>
      <c r="T1392" t="n">
        <v>0</v>
      </c>
    </row>
    <row r="1393">
      <c r="A1393" t="inlineStr">
        <is>
          <t>ttJTrans</t>
        </is>
      </c>
      <c r="B1393" s="38" t="inlineStr">
        <is>
          <t>0-4006</t>
        </is>
      </c>
      <c r="C1393" t="inlineStr">
        <is>
          <t>EQ</t>
        </is>
      </c>
      <c r="E1393" t="inlineStr">
        <is>
          <t>EQ</t>
        </is>
      </c>
      <c r="H1393" s="127" t="n">
        <v>46159</v>
      </c>
      <c r="J1393" s="38" t="inlineStr">
        <is>
          <t>0-4006</t>
        </is>
      </c>
      <c r="K1393" t="inlineStr">
        <is>
          <t>WTL002 2025 55 TON GOOSENECK EAGER BEAVER LOWBOY 2025 55 TON GOOSENECK EAGER BEAVER LOWBOY</t>
        </is>
      </c>
      <c r="L1393" t="n">
        <v>0</v>
      </c>
      <c r="M1393" t="n">
        <v>0</v>
      </c>
      <c r="O1393" t="inlineStr">
        <is>
          <t>WTL002</t>
        </is>
      </c>
      <c r="Q1393" s="114" t="n">
        <v>0</v>
      </c>
      <c r="R1393" s="114" t="n">
        <v>55</v>
      </c>
      <c r="S1393" s="114" t="n">
        <v>0</v>
      </c>
      <c r="T1393" t="n">
        <v>0</v>
      </c>
    </row>
    <row r="1394">
      <c r="A1394" t="inlineStr">
        <is>
          <t>ttJTrans</t>
        </is>
      </c>
      <c r="B1394" s="38" t="inlineStr">
        <is>
          <t>0-4006</t>
        </is>
      </c>
      <c r="C1394" t="inlineStr">
        <is>
          <t>EQ</t>
        </is>
      </c>
      <c r="E1394" t="inlineStr">
        <is>
          <t>EQ</t>
        </is>
      </c>
      <c r="H1394" s="127" t="n">
        <v>46159</v>
      </c>
      <c r="J1394" s="38" t="inlineStr">
        <is>
          <t>0-4006</t>
        </is>
      </c>
      <c r="K1394" t="inlineStr">
        <is>
          <t>WTL002 2025 55 TON GOOSENECK EAGER BEAVER LOWBOY 2025 55 TON GOOSENECK EAGER BEAVER LOWBOY</t>
        </is>
      </c>
      <c r="L1394" t="n">
        <v>0</v>
      </c>
      <c r="M1394" t="n">
        <v>0</v>
      </c>
      <c r="O1394" t="inlineStr">
        <is>
          <t>WTL002</t>
        </is>
      </c>
      <c r="Q1394" s="114" t="n">
        <v>0</v>
      </c>
      <c r="R1394" s="114" t="n">
        <v>55</v>
      </c>
      <c r="S1394" s="114" t="n">
        <v>0</v>
      </c>
      <c r="T1394" t="n">
        <v>0</v>
      </c>
    </row>
    <row r="1395">
      <c r="A1395" t="inlineStr">
        <is>
          <t>ttJTrans</t>
        </is>
      </c>
      <c r="B1395" s="38" t="inlineStr">
        <is>
          <t>0-4006</t>
        </is>
      </c>
      <c r="C1395" t="inlineStr">
        <is>
          <t>EQ</t>
        </is>
      </c>
      <c r="E1395" t="inlineStr">
        <is>
          <t>EQ</t>
        </is>
      </c>
      <c r="H1395" s="127" t="n">
        <v>46159</v>
      </c>
      <c r="J1395" s="38" t="inlineStr">
        <is>
          <t>0-4006</t>
        </is>
      </c>
      <c r="K1395" t="inlineStr">
        <is>
          <t>WTL002 2025 55 TON GOOSENECK EAGER BEAVER LOWBOY 2025 55 TON GOOSENECK EAGER BEAVER LOWBOY</t>
        </is>
      </c>
      <c r="L1395" t="n">
        <v>0</v>
      </c>
      <c r="M1395" t="n">
        <v>0</v>
      </c>
      <c r="O1395" t="inlineStr">
        <is>
          <t>WTL002</t>
        </is>
      </c>
      <c r="Q1395" s="114" t="n">
        <v>0</v>
      </c>
      <c r="R1395" s="114" t="n">
        <v>55</v>
      </c>
      <c r="S1395" s="114" t="n">
        <v>0</v>
      </c>
      <c r="T1395" t="n">
        <v>0</v>
      </c>
    </row>
    <row r="1396">
      <c r="A1396" t="inlineStr">
        <is>
          <t>ttJTrans</t>
        </is>
      </c>
      <c r="B1396" s="38" t="inlineStr">
        <is>
          <t>0-4006</t>
        </is>
      </c>
      <c r="C1396" t="inlineStr">
        <is>
          <t>EQ</t>
        </is>
      </c>
      <c r="E1396" t="inlineStr">
        <is>
          <t>EQ</t>
        </is>
      </c>
      <c r="H1396" s="127" t="n">
        <v>46159</v>
      </c>
      <c r="J1396" s="38" t="inlineStr">
        <is>
          <t>0-4006</t>
        </is>
      </c>
      <c r="K1396" t="inlineStr">
        <is>
          <t>WTL002 2025 55 TON GOOSENECK EAGER BEAVER LOWBOY 2025 55 TON GOOSENECK EAGER BEAVER LOWBOY</t>
        </is>
      </c>
      <c r="L1396" t="n">
        <v>0</v>
      </c>
      <c r="M1396" t="n">
        <v>0</v>
      </c>
      <c r="O1396" t="inlineStr">
        <is>
          <t>WTL002</t>
        </is>
      </c>
      <c r="Q1396" s="114" t="n">
        <v>0</v>
      </c>
      <c r="R1396" s="114" t="n">
        <v>55</v>
      </c>
      <c r="S1396" s="114" t="n">
        <v>0</v>
      </c>
      <c r="T1396" t="n">
        <v>0</v>
      </c>
    </row>
    <row r="1397">
      <c r="A1397" t="inlineStr">
        <is>
          <t>ttJTrans</t>
        </is>
      </c>
      <c r="B1397" s="38" t="inlineStr">
        <is>
          <t>0-4006</t>
        </is>
      </c>
      <c r="C1397" t="inlineStr">
        <is>
          <t>EQ</t>
        </is>
      </c>
      <c r="E1397" t="inlineStr">
        <is>
          <t>EQ</t>
        </is>
      </c>
      <c r="H1397" s="127" t="n">
        <v>46159</v>
      </c>
      <c r="J1397" s="38" t="inlineStr">
        <is>
          <t>0-4006</t>
        </is>
      </c>
      <c r="K1397" t="inlineStr">
        <is>
          <t>WTL002 2025 55 TON GOOSENECK EAGER BEAVER LOWBOY 2025 55 TON GOOSENECK EAGER BEAVER LOWBOY</t>
        </is>
      </c>
      <c r="L1397" t="n">
        <v>0</v>
      </c>
      <c r="M1397" t="n">
        <v>0</v>
      </c>
      <c r="O1397" t="inlineStr">
        <is>
          <t>WTL002</t>
        </is>
      </c>
      <c r="Q1397" s="114" t="n">
        <v>0</v>
      </c>
      <c r="R1397" s="114" t="n">
        <v>55</v>
      </c>
      <c r="S1397" s="114" t="n">
        <v>0</v>
      </c>
      <c r="T1397" t="n">
        <v>0</v>
      </c>
    </row>
    <row r="1398">
      <c r="A1398" t="inlineStr">
        <is>
          <t>ttJTrans</t>
        </is>
      </c>
      <c r="B1398" s="38" t="inlineStr">
        <is>
          <t>0-4006</t>
        </is>
      </c>
      <c r="C1398" t="inlineStr">
        <is>
          <t>EQ</t>
        </is>
      </c>
      <c r="E1398" t="inlineStr">
        <is>
          <t>EQ</t>
        </is>
      </c>
      <c r="H1398" s="127" t="n">
        <v>46159</v>
      </c>
      <c r="J1398" s="38" t="inlineStr">
        <is>
          <t>0-4006</t>
        </is>
      </c>
      <c r="K1398" t="inlineStr">
        <is>
          <t>WTL002 2025 55 TON GOOSENECK EAGER BEAVER LOWBOY 2025 55 TON GOOSENECK EAGER BEAVER LOWBOY</t>
        </is>
      </c>
      <c r="L1398" t="n">
        <v>0</v>
      </c>
      <c r="M1398" t="n">
        <v>0</v>
      </c>
      <c r="O1398" t="inlineStr">
        <is>
          <t>WTL002</t>
        </is>
      </c>
      <c r="Q1398" s="114" t="n">
        <v>0</v>
      </c>
      <c r="R1398" s="114" t="n">
        <v>55</v>
      </c>
      <c r="S1398" s="114" t="n">
        <v>0</v>
      </c>
      <c r="T1398" t="n">
        <v>0</v>
      </c>
    </row>
    <row r="1399">
      <c r="A1399" t="inlineStr">
        <is>
          <t>ttJTrans</t>
        </is>
      </c>
      <c r="B1399" s="38" t="inlineStr">
        <is>
          <t>0-4006</t>
        </is>
      </c>
      <c r="C1399" t="inlineStr">
        <is>
          <t>EQ</t>
        </is>
      </c>
      <c r="E1399" t="inlineStr">
        <is>
          <t>EQ</t>
        </is>
      </c>
      <c r="H1399" s="127" t="n">
        <v>46159</v>
      </c>
      <c r="J1399" s="38" t="inlineStr">
        <is>
          <t>0-4006</t>
        </is>
      </c>
      <c r="K1399" t="inlineStr">
        <is>
          <t>WLD133 JCB 512-56 12K TELEHANDLER W/ 96" PALLET FORKS 	JCB 512-56 12K TELEHANDLER W/ 96" PALLET FORKS</t>
        </is>
      </c>
      <c r="L1399" t="n">
        <v>0</v>
      </c>
      <c r="M1399" t="n">
        <v>0</v>
      </c>
      <c r="O1399" t="inlineStr">
        <is>
          <t>WLD133</t>
        </is>
      </c>
      <c r="Q1399" s="114" t="n">
        <v>0</v>
      </c>
      <c r="R1399" s="114" t="n">
        <v>259.22</v>
      </c>
      <c r="S1399" s="114" t="n">
        <v>0</v>
      </c>
      <c r="T1399" t="n">
        <v>0</v>
      </c>
    </row>
    <row r="1400">
      <c r="A1400" t="inlineStr">
        <is>
          <t>ttJTrans</t>
        </is>
      </c>
      <c r="B1400" s="38" t="inlineStr">
        <is>
          <t>0-4006</t>
        </is>
      </c>
      <c r="C1400" t="inlineStr">
        <is>
          <t>EQ</t>
        </is>
      </c>
      <c r="E1400" t="inlineStr">
        <is>
          <t>EQ</t>
        </is>
      </c>
      <c r="H1400" s="127" t="n">
        <v>46159</v>
      </c>
      <c r="J1400" s="38" t="inlineStr">
        <is>
          <t>0-4006</t>
        </is>
      </c>
      <c r="K1400" t="inlineStr">
        <is>
          <t>WLD133 JCB 512-56 12K TELEHANDLER W/ 96" PALLET FORKS 	JCB 512-56 12K TELEHANDLER W/ 96" PALLET FORKS</t>
        </is>
      </c>
      <c r="L1400" t="n">
        <v>0</v>
      </c>
      <c r="M1400" t="n">
        <v>0</v>
      </c>
      <c r="O1400" t="inlineStr">
        <is>
          <t>WLD133</t>
        </is>
      </c>
      <c r="Q1400" s="114" t="n">
        <v>0</v>
      </c>
      <c r="R1400" s="114" t="n">
        <v>259.22</v>
      </c>
      <c r="S1400" s="114" t="n">
        <v>0</v>
      </c>
      <c r="T1400" t="n">
        <v>0</v>
      </c>
    </row>
    <row r="1401">
      <c r="A1401" t="inlineStr">
        <is>
          <t>ttJTrans</t>
        </is>
      </c>
      <c r="B1401" s="38" t="inlineStr">
        <is>
          <t>0-4006</t>
        </is>
      </c>
      <c r="C1401" t="inlineStr">
        <is>
          <t>EQ</t>
        </is>
      </c>
      <c r="E1401" t="inlineStr">
        <is>
          <t>EQ</t>
        </is>
      </c>
      <c r="H1401" s="127" t="n">
        <v>46159</v>
      </c>
      <c r="J1401" s="38" t="inlineStr">
        <is>
          <t>0-4006</t>
        </is>
      </c>
      <c r="K1401" t="inlineStr">
        <is>
          <t>WLD133 JCB 512-56 12K TELEHANDLER W/ 96" PALLET FORKS 	JCB 512-56 12K TELEHANDLER W/ 96" PALLET FORKS</t>
        </is>
      </c>
      <c r="L1401" t="n">
        <v>0</v>
      </c>
      <c r="M1401" t="n">
        <v>0</v>
      </c>
      <c r="O1401" t="inlineStr">
        <is>
          <t>WLD133</t>
        </is>
      </c>
      <c r="Q1401" s="114" t="n">
        <v>0</v>
      </c>
      <c r="R1401" s="114" t="n">
        <v>259.22</v>
      </c>
      <c r="S1401" s="114" t="n">
        <v>0</v>
      </c>
      <c r="T1401" t="n">
        <v>0</v>
      </c>
    </row>
    <row r="1402">
      <c r="A1402" t="inlineStr">
        <is>
          <t>ttJTrans</t>
        </is>
      </c>
      <c r="B1402" s="38" t="inlineStr">
        <is>
          <t>0-4006</t>
        </is>
      </c>
      <c r="C1402" t="inlineStr">
        <is>
          <t>EQ</t>
        </is>
      </c>
      <c r="E1402" t="inlineStr">
        <is>
          <t>EQ</t>
        </is>
      </c>
      <c r="H1402" s="127" t="n">
        <v>46159</v>
      </c>
      <c r="J1402" s="38" t="inlineStr">
        <is>
          <t>0-4006</t>
        </is>
      </c>
      <c r="K1402" t="inlineStr">
        <is>
          <t>WLD133 JCB 512-56 12K TELEHANDLER W/ 96" PALLET FORKS 	JCB 512-56 12K TELEHANDLER W/ 96" PALLET FORKS</t>
        </is>
      </c>
      <c r="L1402" t="n">
        <v>0</v>
      </c>
      <c r="M1402" t="n">
        <v>0</v>
      </c>
      <c r="O1402" t="inlineStr">
        <is>
          <t>WLD133</t>
        </is>
      </c>
      <c r="Q1402" s="114" t="n">
        <v>0</v>
      </c>
      <c r="R1402" s="114" t="n">
        <v>259.22</v>
      </c>
      <c r="S1402" s="114" t="n">
        <v>0</v>
      </c>
      <c r="T1402" t="n">
        <v>0</v>
      </c>
    </row>
    <row r="1403">
      <c r="A1403" t="inlineStr">
        <is>
          <t>ttJTrans</t>
        </is>
      </c>
      <c r="B1403" s="38" t="inlineStr">
        <is>
          <t>0-4006</t>
        </is>
      </c>
      <c r="C1403" t="inlineStr">
        <is>
          <t>EQ</t>
        </is>
      </c>
      <c r="E1403" t="inlineStr">
        <is>
          <t>EQ</t>
        </is>
      </c>
      <c r="H1403" s="127" t="n">
        <v>46159</v>
      </c>
      <c r="J1403" s="38" t="inlineStr">
        <is>
          <t>0-4006</t>
        </is>
      </c>
      <c r="K1403" t="inlineStr">
        <is>
          <t>WLD133 JCB 512-56 12K TELEHANDLER W/ 96" PALLET FORKS 	JCB 512-56 12K TELEHANDLER W/ 96" PALLET FORKS</t>
        </is>
      </c>
      <c r="L1403" t="n">
        <v>0</v>
      </c>
      <c r="M1403" t="n">
        <v>0</v>
      </c>
      <c r="O1403" t="inlineStr">
        <is>
          <t>WLD133</t>
        </is>
      </c>
      <c r="Q1403" s="114" t="n">
        <v>0</v>
      </c>
      <c r="R1403" s="114" t="n">
        <v>259.22</v>
      </c>
      <c r="S1403" s="114" t="n">
        <v>0</v>
      </c>
      <c r="T1403" t="n">
        <v>0</v>
      </c>
    </row>
    <row r="1404">
      <c r="A1404" t="inlineStr">
        <is>
          <t>ttJTrans</t>
        </is>
      </c>
      <c r="B1404" s="38" t="inlineStr">
        <is>
          <t>0-4006</t>
        </is>
      </c>
      <c r="C1404" t="inlineStr">
        <is>
          <t>EQ</t>
        </is>
      </c>
      <c r="E1404" t="inlineStr">
        <is>
          <t>EQ</t>
        </is>
      </c>
      <c r="H1404" s="127" t="n">
        <v>46159</v>
      </c>
      <c r="J1404" s="38" t="inlineStr">
        <is>
          <t>0-4006</t>
        </is>
      </c>
      <c r="K1404" t="inlineStr">
        <is>
          <t>WLD133 JCB 512-56 12K TELEHANDLER W/ 96" PALLET FORKS 	JCB 512-56 12K TELEHANDLER W/ 96" PALLET FORKS</t>
        </is>
      </c>
      <c r="L1404" t="n">
        <v>0</v>
      </c>
      <c r="M1404" t="n">
        <v>0</v>
      </c>
      <c r="O1404" t="inlineStr">
        <is>
          <t>WLD133</t>
        </is>
      </c>
      <c r="Q1404" s="114" t="n">
        <v>0</v>
      </c>
      <c r="R1404" s="114" t="n">
        <v>259.22</v>
      </c>
      <c r="S1404" s="114" t="n">
        <v>0</v>
      </c>
      <c r="T1404" t="n">
        <v>0</v>
      </c>
    </row>
    <row r="1405">
      <c r="A1405" t="inlineStr">
        <is>
          <t>ttJTrans</t>
        </is>
      </c>
      <c r="B1405" s="38" t="inlineStr">
        <is>
          <t>0-4006</t>
        </is>
      </c>
      <c r="C1405" t="inlineStr">
        <is>
          <t>EQ</t>
        </is>
      </c>
      <c r="E1405" t="inlineStr">
        <is>
          <t>EQ</t>
        </is>
      </c>
      <c r="H1405" s="127" t="n">
        <v>46159</v>
      </c>
      <c r="J1405" s="38" t="inlineStr">
        <is>
          <t>0-4006</t>
        </is>
      </c>
      <c r="K1405" t="inlineStr">
        <is>
          <t>RT1242 2022 RAM 2500 TRADESMAN 4X4 CREW 8FT BED GAS 2022 RAM 2500 TRADESMAN 4X4 CREW 8FT BED GAS</t>
        </is>
      </c>
      <c r="L1405" t="n">
        <v>0</v>
      </c>
      <c r="M1405" t="n">
        <v>0</v>
      </c>
      <c r="O1405" t="inlineStr">
        <is>
          <t>RT1242</t>
        </is>
      </c>
      <c r="Q1405" s="114" t="n">
        <v>0</v>
      </c>
      <c r="R1405" s="114" t="n">
        <v>79.14</v>
      </c>
      <c r="S1405" s="114" t="n">
        <v>0</v>
      </c>
      <c r="T1405" t="n">
        <v>0</v>
      </c>
    </row>
    <row r="1406">
      <c r="A1406" t="inlineStr">
        <is>
          <t>ttJTrans</t>
        </is>
      </c>
      <c r="B1406" s="38" t="inlineStr">
        <is>
          <t>0-4006</t>
        </is>
      </c>
      <c r="C1406" t="inlineStr">
        <is>
          <t>EQ</t>
        </is>
      </c>
      <c r="E1406" t="inlineStr">
        <is>
          <t>EQ</t>
        </is>
      </c>
      <c r="H1406" s="127" t="n">
        <v>46159</v>
      </c>
      <c r="J1406" s="38" t="inlineStr">
        <is>
          <t>0-4006</t>
        </is>
      </c>
      <c r="K1406" t="inlineStr">
        <is>
          <t>RT1242 2022 RAM 2500 TRADESMAN 4X4 CREW 8FT BED GAS 2022 RAM 2500 TRADESMAN 4X4 CREW 8FT BED GAS</t>
        </is>
      </c>
      <c r="L1406" t="n">
        <v>0</v>
      </c>
      <c r="M1406" t="n">
        <v>0</v>
      </c>
      <c r="O1406" t="inlineStr">
        <is>
          <t>RT1242</t>
        </is>
      </c>
      <c r="Q1406" s="114" t="n">
        <v>0</v>
      </c>
      <c r="R1406" s="114" t="n">
        <v>79.14</v>
      </c>
      <c r="S1406" s="114" t="n">
        <v>0</v>
      </c>
      <c r="T1406" t="n">
        <v>0</v>
      </c>
    </row>
    <row r="1407">
      <c r="A1407" t="inlineStr">
        <is>
          <t>ttJTrans</t>
        </is>
      </c>
      <c r="B1407" s="38" t="inlineStr">
        <is>
          <t>0-4006</t>
        </is>
      </c>
      <c r="C1407" t="inlineStr">
        <is>
          <t>EQ</t>
        </is>
      </c>
      <c r="E1407" t="inlineStr">
        <is>
          <t>EQ</t>
        </is>
      </c>
      <c r="H1407" s="127" t="n">
        <v>46159</v>
      </c>
      <c r="J1407" s="38" t="inlineStr">
        <is>
          <t>0-4006</t>
        </is>
      </c>
      <c r="K1407" t="inlineStr">
        <is>
          <t>RT1242 2022 RAM 2500 TRADESMAN 4X4 CREW 8FT BED GAS 2022 RAM 2500 TRADESMAN 4X4 CREW 8FT BED GAS</t>
        </is>
      </c>
      <c r="L1407" t="n">
        <v>0</v>
      </c>
      <c r="M1407" t="n">
        <v>0</v>
      </c>
      <c r="O1407" t="inlineStr">
        <is>
          <t>RT1242</t>
        </is>
      </c>
      <c r="Q1407" s="114" t="n">
        <v>0</v>
      </c>
      <c r="R1407" s="114" t="n">
        <v>79.14</v>
      </c>
      <c r="S1407" s="114" t="n">
        <v>0</v>
      </c>
      <c r="T1407" t="n">
        <v>0</v>
      </c>
    </row>
    <row r="1408">
      <c r="A1408" t="inlineStr">
        <is>
          <t>ttJTrans</t>
        </is>
      </c>
      <c r="B1408" s="38" t="inlineStr">
        <is>
          <t>0-4006</t>
        </is>
      </c>
      <c r="C1408" t="inlineStr">
        <is>
          <t>EQ</t>
        </is>
      </c>
      <c r="E1408" t="inlineStr">
        <is>
          <t>EQ</t>
        </is>
      </c>
      <c r="H1408" s="127" t="n">
        <v>46159</v>
      </c>
      <c r="J1408" s="38" t="inlineStr">
        <is>
          <t>0-4006</t>
        </is>
      </c>
      <c r="K1408" t="inlineStr">
        <is>
          <t>RT1242 2022 RAM 2500 TRADESMAN 4X4 CREW 8FT BED GAS 2022 RAM 2500 TRADESMAN 4X4 CREW 8FT BED GAS</t>
        </is>
      </c>
      <c r="L1408" t="n">
        <v>0</v>
      </c>
      <c r="M1408" t="n">
        <v>0</v>
      </c>
      <c r="O1408" t="inlineStr">
        <is>
          <t>RT1242</t>
        </is>
      </c>
      <c r="Q1408" s="114" t="n">
        <v>0</v>
      </c>
      <c r="R1408" s="114" t="n">
        <v>79.14</v>
      </c>
      <c r="S1408" s="114" t="n">
        <v>0</v>
      </c>
      <c r="T1408" t="n">
        <v>0</v>
      </c>
    </row>
    <row r="1409">
      <c r="A1409" t="inlineStr">
        <is>
          <t>ttJTrans</t>
        </is>
      </c>
      <c r="B1409" s="38" t="inlineStr">
        <is>
          <t>0-4006</t>
        </is>
      </c>
      <c r="C1409" t="inlineStr">
        <is>
          <t>EQ</t>
        </is>
      </c>
      <c r="E1409" t="inlineStr">
        <is>
          <t>EQ</t>
        </is>
      </c>
      <c r="H1409" s="127" t="n">
        <v>46159</v>
      </c>
      <c r="J1409" s="38" t="inlineStr">
        <is>
          <t>0-4006</t>
        </is>
      </c>
      <c r="K1409" t="inlineStr">
        <is>
          <t>TR436 40' CONTAINER 40' CONTAINER</t>
        </is>
      </c>
      <c r="L1409" t="n">
        <v>0</v>
      </c>
      <c r="M1409" t="n">
        <v>0</v>
      </c>
      <c r="O1409" t="inlineStr">
        <is>
          <t>TR436</t>
        </is>
      </c>
      <c r="Q1409" s="114" t="n">
        <v>0</v>
      </c>
      <c r="R1409" s="114" t="n">
        <v>65</v>
      </c>
      <c r="S1409" s="114" t="n">
        <v>0</v>
      </c>
      <c r="T1409" t="n">
        <v>0</v>
      </c>
    </row>
    <row r="1410">
      <c r="A1410" t="inlineStr">
        <is>
          <t>ttJTrans</t>
        </is>
      </c>
      <c r="B1410" s="38" t="inlineStr">
        <is>
          <t>0-4006</t>
        </is>
      </c>
      <c r="C1410" t="inlineStr">
        <is>
          <t>EQ</t>
        </is>
      </c>
      <c r="E1410" t="inlineStr">
        <is>
          <t>EQ</t>
        </is>
      </c>
      <c r="H1410" s="127" t="n">
        <v>46159</v>
      </c>
      <c r="J1410" s="38" t="inlineStr">
        <is>
          <t>0-4006</t>
        </is>
      </c>
      <c r="K1410" t="inlineStr">
        <is>
          <t>TR436 40' CONTAINER 40' CONTAINER</t>
        </is>
      </c>
      <c r="L1410" t="n">
        <v>0</v>
      </c>
      <c r="M1410" t="n">
        <v>0</v>
      </c>
      <c r="O1410" t="inlineStr">
        <is>
          <t>TR436</t>
        </is>
      </c>
      <c r="Q1410" s="114" t="n">
        <v>0</v>
      </c>
      <c r="R1410" s="114" t="n">
        <v>65</v>
      </c>
      <c r="S1410" s="114" t="n">
        <v>0</v>
      </c>
      <c r="T1410" t="n">
        <v>0</v>
      </c>
    </row>
    <row r="1411">
      <c r="A1411" t="inlineStr">
        <is>
          <t>ttJTrans</t>
        </is>
      </c>
      <c r="B1411" s="38" t="inlineStr">
        <is>
          <t>0-4006</t>
        </is>
      </c>
      <c r="C1411" t="inlineStr">
        <is>
          <t>EQ</t>
        </is>
      </c>
      <c r="E1411" t="inlineStr">
        <is>
          <t>EQ</t>
        </is>
      </c>
      <c r="H1411" s="127" t="n">
        <v>46159</v>
      </c>
      <c r="J1411" s="38" t="inlineStr">
        <is>
          <t>0-4006</t>
        </is>
      </c>
      <c r="K1411" t="inlineStr">
        <is>
          <t>TR436 40' CONTAINER 40' CONTAINER</t>
        </is>
      </c>
      <c r="L1411" t="n">
        <v>0</v>
      </c>
      <c r="M1411" t="n">
        <v>0</v>
      </c>
      <c r="O1411" t="inlineStr">
        <is>
          <t>TR436</t>
        </is>
      </c>
      <c r="Q1411" s="114" t="n">
        <v>0</v>
      </c>
      <c r="R1411" s="114" t="n">
        <v>65</v>
      </c>
      <c r="S1411" s="114" t="n">
        <v>0</v>
      </c>
      <c r="T1411" t="n">
        <v>0</v>
      </c>
    </row>
    <row r="1412">
      <c r="A1412" t="inlineStr">
        <is>
          <t>ttJTrans</t>
        </is>
      </c>
      <c r="B1412" s="38" t="inlineStr">
        <is>
          <t>0-4006</t>
        </is>
      </c>
      <c r="C1412" t="inlineStr">
        <is>
          <t>EQ</t>
        </is>
      </c>
      <c r="E1412" t="inlineStr">
        <is>
          <t>EQ</t>
        </is>
      </c>
      <c r="H1412" s="127" t="n">
        <v>46166</v>
      </c>
      <c r="J1412" s="38" t="inlineStr">
        <is>
          <t>0-4006</t>
        </is>
      </c>
      <c r="K1412" t="inlineStr">
        <is>
          <t>TR436 40' CONTAINER 40' CONTAINER</t>
        </is>
      </c>
      <c r="L1412" t="n">
        <v>0</v>
      </c>
      <c r="M1412" t="n">
        <v>0</v>
      </c>
      <c r="O1412" t="inlineStr">
        <is>
          <t>TR436</t>
        </is>
      </c>
      <c r="Q1412" s="114" t="n">
        <v>0</v>
      </c>
      <c r="R1412" s="114" t="n">
        <v>65</v>
      </c>
      <c r="S1412" s="114" t="n">
        <v>0</v>
      </c>
      <c r="T1412" t="n">
        <v>0</v>
      </c>
    </row>
    <row r="1413">
      <c r="A1413" t="inlineStr">
        <is>
          <t>ttJTrans</t>
        </is>
      </c>
      <c r="B1413" s="38" t="inlineStr">
        <is>
          <t>0-4006</t>
        </is>
      </c>
      <c r="C1413" t="inlineStr">
        <is>
          <t>EQ</t>
        </is>
      </c>
      <c r="E1413" t="inlineStr">
        <is>
          <t>EQ</t>
        </is>
      </c>
      <c r="H1413" s="127" t="n">
        <v>46166</v>
      </c>
      <c r="J1413" s="38" t="inlineStr">
        <is>
          <t>0-4006</t>
        </is>
      </c>
      <c r="K1413" t="inlineStr">
        <is>
          <t>TR436 40' CONTAINER 40' CONTAINER</t>
        </is>
      </c>
      <c r="L1413" t="n">
        <v>0</v>
      </c>
      <c r="M1413" t="n">
        <v>0</v>
      </c>
      <c r="O1413" t="inlineStr">
        <is>
          <t>TR436</t>
        </is>
      </c>
      <c r="Q1413" s="114" t="n">
        <v>0</v>
      </c>
      <c r="R1413" s="114" t="n">
        <v>65</v>
      </c>
      <c r="S1413" s="114" t="n">
        <v>0</v>
      </c>
      <c r="T1413" t="n">
        <v>0</v>
      </c>
    </row>
    <row r="1414">
      <c r="A1414" t="inlineStr">
        <is>
          <t>ttJTrans</t>
        </is>
      </c>
      <c r="B1414" s="38" t="inlineStr">
        <is>
          <t>0-4006</t>
        </is>
      </c>
      <c r="C1414" t="inlineStr">
        <is>
          <t>EQ</t>
        </is>
      </c>
      <c r="E1414" t="inlineStr">
        <is>
          <t>EQ</t>
        </is>
      </c>
      <c r="H1414" s="127" t="n">
        <v>46166</v>
      </c>
      <c r="J1414" s="38" t="inlineStr">
        <is>
          <t>0-4006</t>
        </is>
      </c>
      <c r="K1414" t="inlineStr">
        <is>
          <t>TR436 40' CONTAINER 40' CONTAINER</t>
        </is>
      </c>
      <c r="L1414" t="n">
        <v>0</v>
      </c>
      <c r="M1414" t="n">
        <v>0</v>
      </c>
      <c r="O1414" t="inlineStr">
        <is>
          <t>TR436</t>
        </is>
      </c>
      <c r="Q1414" s="114" t="n">
        <v>0</v>
      </c>
      <c r="R1414" s="114" t="n">
        <v>65</v>
      </c>
      <c r="S1414" s="114" t="n">
        <v>0</v>
      </c>
      <c r="T1414" t="n">
        <v>0</v>
      </c>
    </row>
    <row r="1415">
      <c r="A1415" t="inlineStr">
        <is>
          <t>ttJTrans</t>
        </is>
      </c>
      <c r="B1415" s="38" t="inlineStr">
        <is>
          <t>0-4006</t>
        </is>
      </c>
      <c r="C1415" t="inlineStr">
        <is>
          <t>EQ</t>
        </is>
      </c>
      <c r="E1415" t="inlineStr">
        <is>
          <t>EQ</t>
        </is>
      </c>
      <c r="H1415" s="127" t="n">
        <v>46166</v>
      </c>
      <c r="J1415" s="38" t="inlineStr">
        <is>
          <t>0-4006</t>
        </is>
      </c>
      <c r="K1415" t="inlineStr">
        <is>
          <t>TR436 40' CONTAINER 40' CONTAINER</t>
        </is>
      </c>
      <c r="L1415" t="n">
        <v>0</v>
      </c>
      <c r="M1415" t="n">
        <v>0</v>
      </c>
      <c r="O1415" t="inlineStr">
        <is>
          <t>TR436</t>
        </is>
      </c>
      <c r="Q1415" s="114" t="n">
        <v>0</v>
      </c>
      <c r="R1415" s="114" t="n">
        <v>65</v>
      </c>
      <c r="S1415" s="114" t="n">
        <v>0</v>
      </c>
      <c r="T1415" t="n">
        <v>0</v>
      </c>
    </row>
    <row r="1416">
      <c r="A1416" t="inlineStr">
        <is>
          <t>ttJTrans</t>
        </is>
      </c>
      <c r="B1416" s="38" t="inlineStr">
        <is>
          <t>0-4006</t>
        </is>
      </c>
      <c r="C1416" t="inlineStr">
        <is>
          <t>EQ</t>
        </is>
      </c>
      <c r="E1416" t="inlineStr">
        <is>
          <t>EQ</t>
        </is>
      </c>
      <c r="H1416" s="127" t="n">
        <v>46166</v>
      </c>
      <c r="J1416" s="38" t="inlineStr">
        <is>
          <t>0-4006</t>
        </is>
      </c>
      <c r="K1416" t="inlineStr">
        <is>
          <t>TR436 40' CONTAINER 40' CONTAINER</t>
        </is>
      </c>
      <c r="L1416" t="n">
        <v>0</v>
      </c>
      <c r="M1416" t="n">
        <v>0</v>
      </c>
      <c r="O1416" t="inlineStr">
        <is>
          <t>TR436</t>
        </is>
      </c>
      <c r="Q1416" s="114" t="n">
        <v>0</v>
      </c>
      <c r="R1416" s="114" t="n">
        <v>65</v>
      </c>
      <c r="S1416" s="114" t="n">
        <v>0</v>
      </c>
      <c r="T1416" t="n">
        <v>0</v>
      </c>
    </row>
    <row r="1417">
      <c r="A1417" t="inlineStr">
        <is>
          <t>ttJTrans</t>
        </is>
      </c>
      <c r="B1417" s="38" t="inlineStr">
        <is>
          <t>0-4006</t>
        </is>
      </c>
      <c r="C1417" t="inlineStr">
        <is>
          <t>EQ</t>
        </is>
      </c>
      <c r="E1417" t="inlineStr">
        <is>
          <t>EQ</t>
        </is>
      </c>
      <c r="H1417" s="127" t="n">
        <v>46166</v>
      </c>
      <c r="J1417" s="38" t="inlineStr">
        <is>
          <t>0-4006</t>
        </is>
      </c>
      <c r="K1417" t="inlineStr">
        <is>
          <t>TR436 40' CONTAINER 40' CONTAINER</t>
        </is>
      </c>
      <c r="L1417" t="n">
        <v>0</v>
      </c>
      <c r="M1417" t="n">
        <v>0</v>
      </c>
      <c r="O1417" t="inlineStr">
        <is>
          <t>TR436</t>
        </is>
      </c>
      <c r="Q1417" s="114" t="n">
        <v>0</v>
      </c>
      <c r="R1417" s="114" t="n">
        <v>65</v>
      </c>
      <c r="S1417" s="114" t="n">
        <v>0</v>
      </c>
      <c r="T1417" t="n">
        <v>0</v>
      </c>
    </row>
    <row r="1418">
      <c r="A1418" t="inlineStr">
        <is>
          <t>ttJTrans</t>
        </is>
      </c>
      <c r="B1418" s="38" t="inlineStr">
        <is>
          <t>0-4006</t>
        </is>
      </c>
      <c r="C1418" t="inlineStr">
        <is>
          <t>EQ</t>
        </is>
      </c>
      <c r="E1418" t="inlineStr">
        <is>
          <t>EQ</t>
        </is>
      </c>
      <c r="H1418" s="127" t="n">
        <v>46166</v>
      </c>
      <c r="J1418" s="38" t="inlineStr">
        <is>
          <t>0-4006</t>
        </is>
      </c>
      <c r="K1418" t="inlineStr">
        <is>
          <t>TR419 LONESTAR 6.5X16' ENCLOSED CARGO TRAILER LONESTAR 6.5X16' ENCLOSED CARGO TRAILER</t>
        </is>
      </c>
      <c r="L1418" t="n">
        <v>0</v>
      </c>
      <c r="M1418" t="n">
        <v>0</v>
      </c>
      <c r="O1418" t="inlineStr">
        <is>
          <t>TR419</t>
        </is>
      </c>
      <c r="Q1418" s="114" t="n">
        <v>0</v>
      </c>
      <c r="R1418" s="114" t="n">
        <v>65</v>
      </c>
      <c r="S1418" s="114" t="n">
        <v>0</v>
      </c>
      <c r="T1418" t="n">
        <v>0</v>
      </c>
    </row>
    <row r="1419">
      <c r="A1419" t="inlineStr">
        <is>
          <t>ttJTrans</t>
        </is>
      </c>
      <c r="B1419" s="38" t="inlineStr">
        <is>
          <t>0-4006</t>
        </is>
      </c>
      <c r="C1419" t="inlineStr">
        <is>
          <t>EQ</t>
        </is>
      </c>
      <c r="E1419" t="inlineStr">
        <is>
          <t>EQ</t>
        </is>
      </c>
      <c r="H1419" s="127" t="n">
        <v>46166</v>
      </c>
      <c r="J1419" s="38" t="inlineStr">
        <is>
          <t>0-4006</t>
        </is>
      </c>
      <c r="K1419" t="inlineStr">
        <is>
          <t>TR419 LONESTAR 6.5X16' ENCLOSED CARGO TRAILER LONESTAR 6.5X16' ENCLOSED CARGO TRAILER</t>
        </is>
      </c>
      <c r="L1419" t="n">
        <v>0</v>
      </c>
      <c r="M1419" t="n">
        <v>0</v>
      </c>
      <c r="O1419" t="inlineStr">
        <is>
          <t>TR419</t>
        </is>
      </c>
      <c r="Q1419" s="114" t="n">
        <v>0</v>
      </c>
      <c r="R1419" s="114" t="n">
        <v>65</v>
      </c>
      <c r="S1419" s="114" t="n">
        <v>0</v>
      </c>
      <c r="T1419" t="n">
        <v>0</v>
      </c>
    </row>
    <row r="1420">
      <c r="A1420" t="inlineStr">
        <is>
          <t>ttJTrans</t>
        </is>
      </c>
      <c r="B1420" s="38" t="inlineStr">
        <is>
          <t>0-4006</t>
        </is>
      </c>
      <c r="C1420" t="inlineStr">
        <is>
          <t>EQ</t>
        </is>
      </c>
      <c r="E1420" t="inlineStr">
        <is>
          <t>EQ</t>
        </is>
      </c>
      <c r="H1420" s="127" t="n">
        <v>46166</v>
      </c>
      <c r="J1420" s="38" t="inlineStr">
        <is>
          <t>0-4006</t>
        </is>
      </c>
      <c r="K1420" t="inlineStr">
        <is>
          <t>TR419 LONESTAR 6.5X16' ENCLOSED CARGO TRAILER LONESTAR 6.5X16' ENCLOSED CARGO TRAILER</t>
        </is>
      </c>
      <c r="L1420" t="n">
        <v>0</v>
      </c>
      <c r="M1420" t="n">
        <v>0</v>
      </c>
      <c r="O1420" t="inlineStr">
        <is>
          <t>TR419</t>
        </is>
      </c>
      <c r="Q1420" s="114" t="n">
        <v>0</v>
      </c>
      <c r="R1420" s="114" t="n">
        <v>65</v>
      </c>
      <c r="S1420" s="114" t="n">
        <v>0</v>
      </c>
      <c r="T1420" t="n">
        <v>0</v>
      </c>
    </row>
    <row r="1421">
      <c r="A1421" t="inlineStr">
        <is>
          <t>ttJTrans</t>
        </is>
      </c>
      <c r="B1421" s="38" t="inlineStr">
        <is>
          <t>0-4006</t>
        </is>
      </c>
      <c r="C1421" t="inlineStr">
        <is>
          <t>EQ</t>
        </is>
      </c>
      <c r="E1421" t="inlineStr">
        <is>
          <t>EQ</t>
        </is>
      </c>
      <c r="H1421" s="127" t="n">
        <v>46166</v>
      </c>
      <c r="J1421" s="38" t="inlineStr">
        <is>
          <t>0-4006</t>
        </is>
      </c>
      <c r="K1421" t="inlineStr">
        <is>
          <t>TR419 LONESTAR 6.5X16' ENCLOSED CARGO TRAILER LONESTAR 6.5X16' ENCLOSED CARGO TRAILER</t>
        </is>
      </c>
      <c r="L1421" t="n">
        <v>0</v>
      </c>
      <c r="M1421" t="n">
        <v>0</v>
      </c>
      <c r="O1421" t="inlineStr">
        <is>
          <t>TR419</t>
        </is>
      </c>
      <c r="Q1421" s="114" t="n">
        <v>0</v>
      </c>
      <c r="R1421" s="114" t="n">
        <v>65</v>
      </c>
      <c r="S1421" s="114" t="n">
        <v>0</v>
      </c>
      <c r="T1421" t="n">
        <v>0</v>
      </c>
    </row>
    <row r="1422">
      <c r="A1422" t="inlineStr">
        <is>
          <t>ttJTrans</t>
        </is>
      </c>
      <c r="B1422" s="38" t="inlineStr">
        <is>
          <t>0-4006</t>
        </is>
      </c>
      <c r="C1422" t="inlineStr">
        <is>
          <t>EQ</t>
        </is>
      </c>
      <c r="E1422" t="inlineStr">
        <is>
          <t>EQ</t>
        </is>
      </c>
      <c r="H1422" s="127" t="n">
        <v>46166</v>
      </c>
      <c r="J1422" s="38" t="inlineStr">
        <is>
          <t>0-4006</t>
        </is>
      </c>
      <c r="K1422" t="inlineStr">
        <is>
          <t>TR419 LONESTAR 6.5X16' ENCLOSED CARGO TRAILER LONESTAR 6.5X16' ENCLOSED CARGO TRAILER</t>
        </is>
      </c>
      <c r="L1422" t="n">
        <v>0</v>
      </c>
      <c r="M1422" t="n">
        <v>0</v>
      </c>
      <c r="O1422" t="inlineStr">
        <is>
          <t>TR419</t>
        </is>
      </c>
      <c r="Q1422" s="114" t="n">
        <v>0</v>
      </c>
      <c r="R1422" s="114" t="n">
        <v>65</v>
      </c>
      <c r="S1422" s="114" t="n">
        <v>0</v>
      </c>
      <c r="T1422" t="n">
        <v>0</v>
      </c>
    </row>
    <row r="1423">
      <c r="A1423" t="inlineStr">
        <is>
          <t>ttJTrans</t>
        </is>
      </c>
      <c r="B1423" s="38" t="inlineStr">
        <is>
          <t>0-4006</t>
        </is>
      </c>
      <c r="C1423" t="inlineStr">
        <is>
          <t>EQ</t>
        </is>
      </c>
      <c r="E1423" t="inlineStr">
        <is>
          <t>EQ</t>
        </is>
      </c>
      <c r="H1423" s="127" t="n">
        <v>46166</v>
      </c>
      <c r="J1423" s="38" t="inlineStr">
        <is>
          <t>0-4006</t>
        </is>
      </c>
      <c r="K1423" t="inlineStr">
        <is>
          <t>TR419 LONESTAR 6.5X16' ENCLOSED CARGO TRAILER LONESTAR 6.5X16' ENCLOSED CARGO TRAILER</t>
        </is>
      </c>
      <c r="L1423" t="n">
        <v>0</v>
      </c>
      <c r="M1423" t="n">
        <v>0</v>
      </c>
      <c r="O1423" t="inlineStr">
        <is>
          <t>TR419</t>
        </is>
      </c>
      <c r="Q1423" s="114" t="n">
        <v>0</v>
      </c>
      <c r="R1423" s="114" t="n">
        <v>65</v>
      </c>
      <c r="S1423" s="114" t="n">
        <v>0</v>
      </c>
      <c r="T1423" t="n">
        <v>0</v>
      </c>
    </row>
    <row r="1424">
      <c r="A1424" t="inlineStr">
        <is>
          <t>ttJTrans</t>
        </is>
      </c>
      <c r="B1424" s="38" t="inlineStr">
        <is>
          <t>0-4006</t>
        </is>
      </c>
      <c r="C1424" t="inlineStr">
        <is>
          <t>EQ</t>
        </is>
      </c>
      <c r="E1424" t="inlineStr">
        <is>
          <t>EQ</t>
        </is>
      </c>
      <c r="H1424" s="127" t="n">
        <v>46166</v>
      </c>
      <c r="J1424" s="38" t="inlineStr">
        <is>
          <t>0-4006</t>
        </is>
      </c>
      <c r="K1424" t="inlineStr">
        <is>
          <t>RT1344 2023 FORD F250 XL STX 4X4 DIESEL 2023 FORD F250 XL STX 4X4 DIESEL</t>
        </is>
      </c>
      <c r="L1424" t="n">
        <v>0</v>
      </c>
      <c r="M1424" t="n">
        <v>0</v>
      </c>
      <c r="O1424" t="inlineStr">
        <is>
          <t>RT1344</t>
        </is>
      </c>
      <c r="Q1424" s="114" t="n">
        <v>0</v>
      </c>
      <c r="R1424" s="114" t="n">
        <v>79.14</v>
      </c>
      <c r="S1424" s="114" t="n">
        <v>0</v>
      </c>
      <c r="T1424" t="n">
        <v>0</v>
      </c>
    </row>
    <row r="1425">
      <c r="A1425" t="inlineStr">
        <is>
          <t>ttJTrans</t>
        </is>
      </c>
      <c r="B1425" s="38" t="inlineStr">
        <is>
          <t>0-4006</t>
        </is>
      </c>
      <c r="C1425" t="inlineStr">
        <is>
          <t>EQ</t>
        </is>
      </c>
      <c r="E1425" t="inlineStr">
        <is>
          <t>EQ</t>
        </is>
      </c>
      <c r="H1425" s="127" t="n">
        <v>46166</v>
      </c>
      <c r="J1425" s="38" t="inlineStr">
        <is>
          <t>0-4006</t>
        </is>
      </c>
      <c r="K1425" t="inlineStr">
        <is>
          <t>RT1344 2023 FORD F250 XL STX 4X4 DIESEL 2023 FORD F250 XL STX 4X4 DIESEL</t>
        </is>
      </c>
      <c r="L1425" t="n">
        <v>0</v>
      </c>
      <c r="M1425" t="n">
        <v>0</v>
      </c>
      <c r="O1425" t="inlineStr">
        <is>
          <t>RT1344</t>
        </is>
      </c>
      <c r="Q1425" s="114" t="n">
        <v>0</v>
      </c>
      <c r="R1425" s="114" t="n">
        <v>79.14</v>
      </c>
      <c r="S1425" s="114" t="n">
        <v>0</v>
      </c>
      <c r="T1425" t="n">
        <v>0</v>
      </c>
    </row>
    <row r="1426">
      <c r="A1426" t="inlineStr">
        <is>
          <t>ttJTrans</t>
        </is>
      </c>
      <c r="B1426" s="38" t="inlineStr">
        <is>
          <t>0-4006</t>
        </is>
      </c>
      <c r="C1426" t="inlineStr">
        <is>
          <t>EQ</t>
        </is>
      </c>
      <c r="E1426" t="inlineStr">
        <is>
          <t>EQ</t>
        </is>
      </c>
      <c r="H1426" s="127" t="n">
        <v>46166</v>
      </c>
      <c r="J1426" s="38" t="inlineStr">
        <is>
          <t>0-4006</t>
        </is>
      </c>
      <c r="K1426" t="inlineStr">
        <is>
          <t>RT1344 2023 FORD F250 XL STX 4X4 DIESEL 2023 FORD F250 XL STX 4X4 DIESEL</t>
        </is>
      </c>
      <c r="L1426" t="n">
        <v>0</v>
      </c>
      <c r="M1426" t="n">
        <v>0</v>
      </c>
      <c r="O1426" t="inlineStr">
        <is>
          <t>RT1344</t>
        </is>
      </c>
      <c r="Q1426" s="114" t="n">
        <v>0</v>
      </c>
      <c r="R1426" s="114" t="n">
        <v>79.14</v>
      </c>
      <c r="S1426" s="114" t="n">
        <v>0</v>
      </c>
      <c r="T1426" t="n">
        <v>0</v>
      </c>
    </row>
    <row r="1427">
      <c r="A1427" t="inlineStr">
        <is>
          <t>ttJTrans</t>
        </is>
      </c>
      <c r="B1427" s="38" t="inlineStr">
        <is>
          <t>0-4006</t>
        </is>
      </c>
      <c r="C1427" t="inlineStr">
        <is>
          <t>EQ</t>
        </is>
      </c>
      <c r="E1427" t="inlineStr">
        <is>
          <t>EQ</t>
        </is>
      </c>
      <c r="H1427" s="127" t="n">
        <v>46166</v>
      </c>
      <c r="J1427" s="38" t="inlineStr">
        <is>
          <t>0-4006</t>
        </is>
      </c>
      <c r="K1427" t="inlineStr">
        <is>
          <t>RT1344 2023 FORD F250 XL STX 4X4 DIESEL 2023 FORD F250 XL STX 4X4 DIESEL</t>
        </is>
      </c>
      <c r="L1427" t="n">
        <v>0</v>
      </c>
      <c r="M1427" t="n">
        <v>0</v>
      </c>
      <c r="O1427" t="inlineStr">
        <is>
          <t>RT1344</t>
        </is>
      </c>
      <c r="Q1427" s="114" t="n">
        <v>0</v>
      </c>
      <c r="R1427" s="114" t="n">
        <v>79.14</v>
      </c>
      <c r="S1427" s="114" t="n">
        <v>0</v>
      </c>
      <c r="T1427" t="n">
        <v>0</v>
      </c>
    </row>
    <row r="1428">
      <c r="A1428" t="inlineStr">
        <is>
          <t>ttJTrans</t>
        </is>
      </c>
      <c r="B1428" s="38" t="inlineStr">
        <is>
          <t>0-4006</t>
        </is>
      </c>
      <c r="C1428" t="inlineStr">
        <is>
          <t>EQ</t>
        </is>
      </c>
      <c r="E1428" t="inlineStr">
        <is>
          <t>EQ</t>
        </is>
      </c>
      <c r="H1428" s="127" t="n">
        <v>46166</v>
      </c>
      <c r="J1428" s="38" t="inlineStr">
        <is>
          <t>0-4006</t>
        </is>
      </c>
      <c r="K1428" t="inlineStr">
        <is>
          <t>RT1344 2023 FORD F250 XL STX 4X4 DIESEL 2023 FORD F250 XL STX 4X4 DIESEL</t>
        </is>
      </c>
      <c r="L1428" t="n">
        <v>0</v>
      </c>
      <c r="M1428" t="n">
        <v>0</v>
      </c>
      <c r="O1428" t="inlineStr">
        <is>
          <t>RT1344</t>
        </is>
      </c>
      <c r="Q1428" s="114" t="n">
        <v>0</v>
      </c>
      <c r="R1428" s="114" t="n">
        <v>79.14</v>
      </c>
      <c r="S1428" s="114" t="n">
        <v>0</v>
      </c>
      <c r="T1428" t="n">
        <v>0</v>
      </c>
    </row>
    <row r="1429">
      <c r="A1429" t="inlineStr">
        <is>
          <t>ttJTrans</t>
        </is>
      </c>
      <c r="B1429" s="38" t="inlineStr">
        <is>
          <t>0-4006</t>
        </is>
      </c>
      <c r="C1429" t="inlineStr">
        <is>
          <t>EQ</t>
        </is>
      </c>
      <c r="E1429" t="inlineStr">
        <is>
          <t>EQ</t>
        </is>
      </c>
      <c r="H1429" s="127" t="n">
        <v>46166</v>
      </c>
      <c r="J1429" s="38" t="inlineStr">
        <is>
          <t>0-4006</t>
        </is>
      </c>
      <c r="K1429" t="inlineStr">
        <is>
          <t>TR260 2005 UTILITY BRAND TOOL VAN 2005 UTILITY BRAND TOOL VAN</t>
        </is>
      </c>
      <c r="L1429" t="n">
        <v>0</v>
      </c>
      <c r="M1429" t="n">
        <v>0</v>
      </c>
      <c r="O1429" t="inlineStr">
        <is>
          <t>TR260</t>
        </is>
      </c>
      <c r="Q1429" s="114" t="n">
        <v>0</v>
      </c>
      <c r="R1429" s="114" t="n">
        <v>75</v>
      </c>
      <c r="S1429" s="114" t="n">
        <v>0</v>
      </c>
      <c r="T1429" t="n">
        <v>0</v>
      </c>
    </row>
    <row r="1430">
      <c r="A1430" t="inlineStr">
        <is>
          <t>ttJTrans</t>
        </is>
      </c>
      <c r="B1430" s="38" t="inlineStr">
        <is>
          <t>0-4006</t>
        </is>
      </c>
      <c r="C1430" t="inlineStr">
        <is>
          <t>EQ</t>
        </is>
      </c>
      <c r="E1430" t="inlineStr">
        <is>
          <t>EQ</t>
        </is>
      </c>
      <c r="H1430" s="127" t="n">
        <v>46166</v>
      </c>
      <c r="J1430" s="38" t="inlineStr">
        <is>
          <t>0-4006</t>
        </is>
      </c>
      <c r="K1430" t="inlineStr">
        <is>
          <t>TR260 2005 UTILITY BRAND TOOL VAN 2005 UTILITY BRAND TOOL VAN</t>
        </is>
      </c>
      <c r="L1430" t="n">
        <v>0</v>
      </c>
      <c r="M1430" t="n">
        <v>0</v>
      </c>
      <c r="O1430" t="inlineStr">
        <is>
          <t>TR260</t>
        </is>
      </c>
      <c r="Q1430" s="114" t="n">
        <v>0</v>
      </c>
      <c r="R1430" s="114" t="n">
        <v>75</v>
      </c>
      <c r="S1430" s="114" t="n">
        <v>0</v>
      </c>
      <c r="T1430" t="n">
        <v>0</v>
      </c>
    </row>
    <row r="1431">
      <c r="A1431" t="inlineStr">
        <is>
          <t>ttJTrans</t>
        </is>
      </c>
      <c r="B1431" s="38" t="inlineStr">
        <is>
          <t>0-4006</t>
        </is>
      </c>
      <c r="C1431" t="inlineStr">
        <is>
          <t>EQ</t>
        </is>
      </c>
      <c r="E1431" t="inlineStr">
        <is>
          <t>EQ</t>
        </is>
      </c>
      <c r="H1431" s="127" t="n">
        <v>46166</v>
      </c>
      <c r="J1431" s="38" t="inlineStr">
        <is>
          <t>0-4006</t>
        </is>
      </c>
      <c r="K1431" t="inlineStr">
        <is>
          <t>TR260 2005 UTILITY BRAND TOOL VAN 2005 UTILITY BRAND TOOL VAN</t>
        </is>
      </c>
      <c r="L1431" t="n">
        <v>0</v>
      </c>
      <c r="M1431" t="n">
        <v>0</v>
      </c>
      <c r="O1431" t="inlineStr">
        <is>
          <t>TR260</t>
        </is>
      </c>
      <c r="Q1431" s="114" t="n">
        <v>0</v>
      </c>
      <c r="R1431" s="114" t="n">
        <v>75</v>
      </c>
      <c r="S1431" s="114" t="n">
        <v>0</v>
      </c>
      <c r="T1431" t="n">
        <v>0</v>
      </c>
    </row>
    <row r="1432">
      <c r="A1432" t="inlineStr">
        <is>
          <t>ttJTrans</t>
        </is>
      </c>
      <c r="B1432" s="38" t="inlineStr">
        <is>
          <t>0-4006</t>
        </is>
      </c>
      <c r="C1432" t="inlineStr">
        <is>
          <t>EQ</t>
        </is>
      </c>
      <c r="E1432" t="inlineStr">
        <is>
          <t>EQ</t>
        </is>
      </c>
      <c r="H1432" s="127" t="n">
        <v>46166</v>
      </c>
      <c r="J1432" s="38" t="inlineStr">
        <is>
          <t>0-4006</t>
        </is>
      </c>
      <c r="K1432" t="inlineStr">
        <is>
          <t>TR260 2005 UTILITY BRAND TOOL VAN 2005 UTILITY BRAND TOOL VAN</t>
        </is>
      </c>
      <c r="L1432" t="n">
        <v>0</v>
      </c>
      <c r="M1432" t="n">
        <v>0</v>
      </c>
      <c r="O1432" t="inlineStr">
        <is>
          <t>TR260</t>
        </is>
      </c>
      <c r="Q1432" s="114" t="n">
        <v>0</v>
      </c>
      <c r="R1432" s="114" t="n">
        <v>75</v>
      </c>
      <c r="S1432" s="114" t="n">
        <v>0</v>
      </c>
      <c r="T1432" t="n">
        <v>0</v>
      </c>
    </row>
    <row r="1433">
      <c r="A1433" t="inlineStr">
        <is>
          <t>ttJTrans</t>
        </is>
      </c>
      <c r="B1433" s="38" t="inlineStr">
        <is>
          <t>0-4006</t>
        </is>
      </c>
      <c r="C1433" t="inlineStr">
        <is>
          <t>EQ</t>
        </is>
      </c>
      <c r="E1433" t="inlineStr">
        <is>
          <t>EQ</t>
        </is>
      </c>
      <c r="H1433" s="127" t="n">
        <v>46166</v>
      </c>
      <c r="J1433" s="38" t="inlineStr">
        <is>
          <t>0-4006</t>
        </is>
      </c>
      <c r="K1433" t="inlineStr">
        <is>
          <t>TR260 2005 UTILITY BRAND TOOL VAN 2005 UTILITY BRAND TOOL VAN</t>
        </is>
      </c>
      <c r="L1433" t="n">
        <v>0</v>
      </c>
      <c r="M1433" t="n">
        <v>0</v>
      </c>
      <c r="O1433" t="inlineStr">
        <is>
          <t>TR260</t>
        </is>
      </c>
      <c r="Q1433" s="114" t="n">
        <v>0</v>
      </c>
      <c r="R1433" s="114" t="n">
        <v>75</v>
      </c>
      <c r="S1433" s="114" t="n">
        <v>0</v>
      </c>
      <c r="T1433" t="n">
        <v>0</v>
      </c>
    </row>
    <row r="1434">
      <c r="A1434" t="inlineStr">
        <is>
          <t>ttJTrans</t>
        </is>
      </c>
      <c r="B1434" s="38" t="inlineStr">
        <is>
          <t>0-4006</t>
        </is>
      </c>
      <c r="C1434" t="inlineStr">
        <is>
          <t>EQ</t>
        </is>
      </c>
      <c r="E1434" t="inlineStr">
        <is>
          <t>EQ</t>
        </is>
      </c>
      <c r="H1434" s="127" t="n">
        <v>46166</v>
      </c>
      <c r="J1434" s="38" t="inlineStr">
        <is>
          <t>0-4006</t>
        </is>
      </c>
      <c r="K1434" t="inlineStr">
        <is>
          <t>TR260 2005 UTILITY BRAND TOOL VAN 2005 UTILITY BRAND TOOL VAN</t>
        </is>
      </c>
      <c r="L1434" t="n">
        <v>0</v>
      </c>
      <c r="M1434" t="n">
        <v>0</v>
      </c>
      <c r="O1434" t="inlineStr">
        <is>
          <t>TR260</t>
        </is>
      </c>
      <c r="Q1434" s="114" t="n">
        <v>0</v>
      </c>
      <c r="R1434" s="114" t="n">
        <v>75</v>
      </c>
      <c r="S1434" s="114" t="n">
        <v>0</v>
      </c>
      <c r="T1434" t="n">
        <v>0</v>
      </c>
    </row>
    <row r="1435">
      <c r="A1435" t="inlineStr">
        <is>
          <t>ttJTrans</t>
        </is>
      </c>
      <c r="B1435" s="38" t="inlineStr">
        <is>
          <t>0-4006</t>
        </is>
      </c>
      <c r="C1435" t="inlineStr">
        <is>
          <t>EQ</t>
        </is>
      </c>
      <c r="E1435" t="inlineStr">
        <is>
          <t>EQ</t>
        </is>
      </c>
      <c r="H1435" s="127" t="n">
        <v>46166</v>
      </c>
      <c r="J1435" s="38" t="inlineStr">
        <is>
          <t>0-4006</t>
        </is>
      </c>
      <c r="K1435" t="inlineStr">
        <is>
          <t>TR154 20' PARKER TRAILER #1000277 20' PARKER TRAILER #1000277</t>
        </is>
      </c>
      <c r="L1435" t="n">
        <v>0</v>
      </c>
      <c r="M1435" t="n">
        <v>0</v>
      </c>
      <c r="O1435" t="inlineStr">
        <is>
          <t>TR154</t>
        </is>
      </c>
      <c r="Q1435" s="114" t="n">
        <v>0</v>
      </c>
      <c r="R1435" s="114" t="n">
        <v>15</v>
      </c>
      <c r="S1435" s="114" t="n">
        <v>0</v>
      </c>
      <c r="T1435" t="n">
        <v>0</v>
      </c>
    </row>
    <row r="1436">
      <c r="A1436" t="inlineStr">
        <is>
          <t>ttJTrans</t>
        </is>
      </c>
      <c r="B1436" s="38" t="inlineStr">
        <is>
          <t>0-4006</t>
        </is>
      </c>
      <c r="C1436" t="inlineStr">
        <is>
          <t>EQ</t>
        </is>
      </c>
      <c r="E1436" t="inlineStr">
        <is>
          <t>EQ</t>
        </is>
      </c>
      <c r="H1436" s="127" t="n">
        <v>46166</v>
      </c>
      <c r="J1436" s="38" t="inlineStr">
        <is>
          <t>0-4006</t>
        </is>
      </c>
      <c r="K1436" t="inlineStr">
        <is>
          <t>TR154 20' PARKER TRAILER #1000277 20' PARKER TRAILER #1000277</t>
        </is>
      </c>
      <c r="L1436" t="n">
        <v>0</v>
      </c>
      <c r="M1436" t="n">
        <v>0</v>
      </c>
      <c r="O1436" t="inlineStr">
        <is>
          <t>TR154</t>
        </is>
      </c>
      <c r="Q1436" s="114" t="n">
        <v>0</v>
      </c>
      <c r="R1436" s="114" t="n">
        <v>15</v>
      </c>
      <c r="S1436" s="114" t="n">
        <v>0</v>
      </c>
      <c r="T1436" t="n">
        <v>0</v>
      </c>
    </row>
    <row r="1437">
      <c r="A1437" t="inlineStr">
        <is>
          <t>ttJTrans</t>
        </is>
      </c>
      <c r="B1437" s="38" t="inlineStr">
        <is>
          <t>0-4006</t>
        </is>
      </c>
      <c r="C1437" t="inlineStr">
        <is>
          <t>EQ</t>
        </is>
      </c>
      <c r="E1437" t="inlineStr">
        <is>
          <t>EQ</t>
        </is>
      </c>
      <c r="H1437" s="127" t="n">
        <v>46166</v>
      </c>
      <c r="J1437" s="38" t="inlineStr">
        <is>
          <t>0-4006</t>
        </is>
      </c>
      <c r="K1437" t="inlineStr">
        <is>
          <t>TR154 20' PARKER TRAILER #1000277 20' PARKER TRAILER #1000277</t>
        </is>
      </c>
      <c r="L1437" t="n">
        <v>0</v>
      </c>
      <c r="M1437" t="n">
        <v>0</v>
      </c>
      <c r="O1437" t="inlineStr">
        <is>
          <t>TR154</t>
        </is>
      </c>
      <c r="Q1437" s="114" t="n">
        <v>0</v>
      </c>
      <c r="R1437" s="114" t="n">
        <v>15</v>
      </c>
      <c r="S1437" s="114" t="n">
        <v>0</v>
      </c>
      <c r="T1437" t="n">
        <v>0</v>
      </c>
    </row>
    <row r="1438">
      <c r="A1438" t="inlineStr">
        <is>
          <t>ttJTrans</t>
        </is>
      </c>
      <c r="B1438" s="38" t="inlineStr">
        <is>
          <t>0-4006</t>
        </is>
      </c>
      <c r="C1438" t="inlineStr">
        <is>
          <t>EQ</t>
        </is>
      </c>
      <c r="E1438" t="inlineStr">
        <is>
          <t>EQ</t>
        </is>
      </c>
      <c r="H1438" s="127" t="n">
        <v>46166</v>
      </c>
      <c r="J1438" s="38" t="inlineStr">
        <is>
          <t>0-4006</t>
        </is>
      </c>
      <c r="K1438" t="inlineStr">
        <is>
          <t>TR280 20' BIG TEX PI-20 20' BIG TEX PI-20</t>
        </is>
      </c>
      <c r="L1438" t="n">
        <v>0</v>
      </c>
      <c r="M1438" t="n">
        <v>0</v>
      </c>
      <c r="O1438" t="inlineStr">
        <is>
          <t>TR280</t>
        </is>
      </c>
      <c r="Q1438" s="114" t="n">
        <v>0</v>
      </c>
      <c r="R1438" s="114" t="n">
        <v>15</v>
      </c>
      <c r="S1438" s="114" t="n">
        <v>0</v>
      </c>
      <c r="T1438" t="n">
        <v>0</v>
      </c>
    </row>
    <row r="1439">
      <c r="A1439" t="inlineStr">
        <is>
          <t>ttJTrans</t>
        </is>
      </c>
      <c r="B1439" s="38" t="inlineStr">
        <is>
          <t>0-4006</t>
        </is>
      </c>
      <c r="C1439" t="inlineStr">
        <is>
          <t>EQ</t>
        </is>
      </c>
      <c r="E1439" t="inlineStr">
        <is>
          <t>EQ</t>
        </is>
      </c>
      <c r="H1439" s="127" t="n">
        <v>46166</v>
      </c>
      <c r="J1439" s="38" t="inlineStr">
        <is>
          <t>0-4006</t>
        </is>
      </c>
      <c r="K1439" t="inlineStr">
        <is>
          <t>TR280 20' BIG TEX PI-20 20' BIG TEX PI-20</t>
        </is>
      </c>
      <c r="L1439" t="n">
        <v>0</v>
      </c>
      <c r="M1439" t="n">
        <v>0</v>
      </c>
      <c r="O1439" t="inlineStr">
        <is>
          <t>TR280</t>
        </is>
      </c>
      <c r="Q1439" s="114" t="n">
        <v>0</v>
      </c>
      <c r="R1439" s="114" t="n">
        <v>15</v>
      </c>
      <c r="S1439" s="114" t="n">
        <v>0</v>
      </c>
      <c r="T1439" t="n">
        <v>0</v>
      </c>
    </row>
    <row r="1440">
      <c r="A1440" t="inlineStr">
        <is>
          <t>ttJTrans</t>
        </is>
      </c>
      <c r="B1440" s="38" t="inlineStr">
        <is>
          <t>0-4006</t>
        </is>
      </c>
      <c r="C1440" t="inlineStr">
        <is>
          <t>EQ</t>
        </is>
      </c>
      <c r="E1440" t="inlineStr">
        <is>
          <t>EQ</t>
        </is>
      </c>
      <c r="H1440" s="127" t="n">
        <v>46166</v>
      </c>
      <c r="J1440" s="38" t="inlineStr">
        <is>
          <t>0-4006</t>
        </is>
      </c>
      <c r="K1440" t="inlineStr">
        <is>
          <t>TR280 20' BIG TEX PI-20 20' BIG TEX PI-20</t>
        </is>
      </c>
      <c r="L1440" t="n">
        <v>0</v>
      </c>
      <c r="M1440" t="n">
        <v>0</v>
      </c>
      <c r="O1440" t="inlineStr">
        <is>
          <t>TR280</t>
        </is>
      </c>
      <c r="Q1440" s="114" t="n">
        <v>0</v>
      </c>
      <c r="R1440" s="114" t="n">
        <v>15</v>
      </c>
      <c r="S1440" s="114" t="n">
        <v>0</v>
      </c>
      <c r="T1440" t="n">
        <v>0</v>
      </c>
    </row>
    <row r="1441">
      <c r="A1441" t="inlineStr">
        <is>
          <t>ttJTrans</t>
        </is>
      </c>
      <c r="B1441" s="38" t="inlineStr">
        <is>
          <t>0-4006</t>
        </is>
      </c>
      <c r="C1441" t="inlineStr">
        <is>
          <t>EQ</t>
        </is>
      </c>
      <c r="E1441" t="inlineStr">
        <is>
          <t>EQ</t>
        </is>
      </c>
      <c r="H1441" s="127" t="n">
        <v>46166</v>
      </c>
      <c r="J1441" s="38" t="inlineStr">
        <is>
          <t>0-4006</t>
        </is>
      </c>
      <c r="K1441" t="inlineStr">
        <is>
          <t>TR280 20' BIG TEX PI-20 20' BIG TEX PI-20</t>
        </is>
      </c>
      <c r="L1441" t="n">
        <v>0</v>
      </c>
      <c r="M1441" t="n">
        <v>0</v>
      </c>
      <c r="O1441" t="inlineStr">
        <is>
          <t>TR280</t>
        </is>
      </c>
      <c r="Q1441" s="114" t="n">
        <v>0</v>
      </c>
      <c r="R1441" s="114" t="n">
        <v>15</v>
      </c>
      <c r="S1441" s="114" t="n">
        <v>0</v>
      </c>
      <c r="T1441" t="n">
        <v>0</v>
      </c>
    </row>
    <row r="1442">
      <c r="A1442" t="inlineStr">
        <is>
          <t>ttJTrans</t>
        </is>
      </c>
      <c r="B1442" s="38" t="inlineStr">
        <is>
          <t>0-4006</t>
        </is>
      </c>
      <c r="C1442" t="inlineStr">
        <is>
          <t>EQ</t>
        </is>
      </c>
      <c r="E1442" t="inlineStr">
        <is>
          <t>EQ</t>
        </is>
      </c>
      <c r="H1442" s="127" t="n">
        <v>46166</v>
      </c>
      <c r="J1442" s="38" t="inlineStr">
        <is>
          <t>0-4006</t>
        </is>
      </c>
      <c r="K1442" t="inlineStr">
        <is>
          <t>TR280 20' BIG TEX PI-20 20' BIG TEX PI-20</t>
        </is>
      </c>
      <c r="L1442" t="n">
        <v>0</v>
      </c>
      <c r="M1442" t="n">
        <v>0</v>
      </c>
      <c r="O1442" t="inlineStr">
        <is>
          <t>TR280</t>
        </is>
      </c>
      <c r="Q1442" s="114" t="n">
        <v>0</v>
      </c>
      <c r="R1442" s="114" t="n">
        <v>15</v>
      </c>
      <c r="S1442" s="114" t="n">
        <v>0</v>
      </c>
      <c r="T1442" t="n">
        <v>0</v>
      </c>
    </row>
    <row r="1443">
      <c r="A1443" t="inlineStr">
        <is>
          <t>ttJTrans</t>
        </is>
      </c>
      <c r="B1443" s="38" t="inlineStr">
        <is>
          <t>0-4006</t>
        </is>
      </c>
      <c r="C1443" t="inlineStr">
        <is>
          <t>EQ</t>
        </is>
      </c>
      <c r="E1443" t="inlineStr">
        <is>
          <t>EQ</t>
        </is>
      </c>
      <c r="H1443" s="127" t="n">
        <v>46166</v>
      </c>
      <c r="J1443" s="38" t="inlineStr">
        <is>
          <t>0-4006</t>
        </is>
      </c>
      <c r="K1443" t="inlineStr">
        <is>
          <t>TR280 20' BIG TEX PI-20 20' BIG TEX PI-20</t>
        </is>
      </c>
      <c r="L1443" t="n">
        <v>0</v>
      </c>
      <c r="M1443" t="n">
        <v>0</v>
      </c>
      <c r="O1443" t="inlineStr">
        <is>
          <t>TR280</t>
        </is>
      </c>
      <c r="Q1443" s="114" t="n">
        <v>0</v>
      </c>
      <c r="R1443" s="114" t="n">
        <v>15</v>
      </c>
      <c r="S1443" s="114" t="n">
        <v>0</v>
      </c>
      <c r="T1443" t="n">
        <v>0</v>
      </c>
    </row>
    <row r="1444">
      <c r="A1444" t="inlineStr">
        <is>
          <t>ttJTrans</t>
        </is>
      </c>
      <c r="B1444" s="38" t="inlineStr">
        <is>
          <t>0-4006</t>
        </is>
      </c>
      <c r="C1444" t="inlineStr">
        <is>
          <t>EQ</t>
        </is>
      </c>
      <c r="E1444" t="inlineStr">
        <is>
          <t>EQ</t>
        </is>
      </c>
      <c r="H1444" s="127" t="n">
        <v>46166</v>
      </c>
      <c r="J1444" s="38" t="inlineStr">
        <is>
          <t>0-4006</t>
        </is>
      </c>
      <c r="K1444" t="inlineStr">
        <is>
          <t>WHV001 2025 PETERBILT 589 SLEEPER CAB 2025 PETERBILT 589 SLEEPER CAB</t>
        </is>
      </c>
      <c r="L1444" t="n">
        <v>0</v>
      </c>
      <c r="M1444" t="n">
        <v>0</v>
      </c>
      <c r="O1444" t="inlineStr">
        <is>
          <t>WHV001</t>
        </is>
      </c>
      <c r="Q1444" s="114" t="n">
        <v>0</v>
      </c>
      <c r="R1444" s="114" t="n">
        <v>250</v>
      </c>
      <c r="S1444" s="114" t="n">
        <v>0</v>
      </c>
      <c r="T1444" t="n">
        <v>0</v>
      </c>
    </row>
    <row r="1445">
      <c r="A1445" t="inlineStr">
        <is>
          <t>ttJTrans</t>
        </is>
      </c>
      <c r="B1445" s="38" t="inlineStr">
        <is>
          <t>0-4006</t>
        </is>
      </c>
      <c r="C1445" t="inlineStr">
        <is>
          <t>EQ</t>
        </is>
      </c>
      <c r="E1445" t="inlineStr">
        <is>
          <t>EQ</t>
        </is>
      </c>
      <c r="H1445" s="127" t="n">
        <v>46166</v>
      </c>
      <c r="J1445" s="38" t="inlineStr">
        <is>
          <t>0-4006</t>
        </is>
      </c>
      <c r="K1445" t="inlineStr">
        <is>
          <t>WHV001 2025 PETERBILT 589 SLEEPER CAB 2025 PETERBILT 589 SLEEPER CAB</t>
        </is>
      </c>
      <c r="L1445" t="n">
        <v>0</v>
      </c>
      <c r="M1445" t="n">
        <v>0</v>
      </c>
      <c r="O1445" t="inlineStr">
        <is>
          <t>WHV001</t>
        </is>
      </c>
      <c r="Q1445" s="114" t="n">
        <v>0</v>
      </c>
      <c r="R1445" s="114" t="n">
        <v>250</v>
      </c>
      <c r="S1445" s="114" t="n">
        <v>0</v>
      </c>
      <c r="T1445" t="n">
        <v>0</v>
      </c>
    </row>
    <row r="1446">
      <c r="A1446" t="inlineStr">
        <is>
          <t>ttJTrans</t>
        </is>
      </c>
      <c r="B1446" s="38" t="inlineStr">
        <is>
          <t>0-4006</t>
        </is>
      </c>
      <c r="C1446" t="inlineStr">
        <is>
          <t>EQ</t>
        </is>
      </c>
      <c r="E1446" t="inlineStr">
        <is>
          <t>EQ</t>
        </is>
      </c>
      <c r="H1446" s="127" t="n">
        <v>46166</v>
      </c>
      <c r="J1446" s="38" t="inlineStr">
        <is>
          <t>0-4006</t>
        </is>
      </c>
      <c r="K1446" t="inlineStr">
        <is>
          <t>WHV001 2025 PETERBILT 589 SLEEPER CAB 2025 PETERBILT 589 SLEEPER CAB</t>
        </is>
      </c>
      <c r="L1446" t="n">
        <v>0</v>
      </c>
      <c r="M1446" t="n">
        <v>0</v>
      </c>
      <c r="O1446" t="inlineStr">
        <is>
          <t>WHV001</t>
        </is>
      </c>
      <c r="Q1446" s="114" t="n">
        <v>0</v>
      </c>
      <c r="R1446" s="114" t="n">
        <v>250</v>
      </c>
      <c r="S1446" s="114" t="n">
        <v>0</v>
      </c>
      <c r="T1446" t="n">
        <v>0</v>
      </c>
    </row>
    <row r="1447">
      <c r="A1447" t="inlineStr">
        <is>
          <t>ttJTrans</t>
        </is>
      </c>
      <c r="B1447" s="38" t="inlineStr">
        <is>
          <t>0-4006</t>
        </is>
      </c>
      <c r="C1447" t="inlineStr">
        <is>
          <t>EQ</t>
        </is>
      </c>
      <c r="E1447" t="inlineStr">
        <is>
          <t>EQ</t>
        </is>
      </c>
      <c r="H1447" s="127" t="n">
        <v>46166</v>
      </c>
      <c r="J1447" s="38" t="inlineStr">
        <is>
          <t>0-4006</t>
        </is>
      </c>
      <c r="K1447" t="inlineStr">
        <is>
          <t>WHV001 2025 PETERBILT 589 SLEEPER CAB 2025 PETERBILT 589 SLEEPER CAB</t>
        </is>
      </c>
      <c r="L1447" t="n">
        <v>0</v>
      </c>
      <c r="M1447" t="n">
        <v>0</v>
      </c>
      <c r="O1447" t="inlineStr">
        <is>
          <t>WHV001</t>
        </is>
      </c>
      <c r="Q1447" s="114" t="n">
        <v>0</v>
      </c>
      <c r="R1447" s="114" t="n">
        <v>250</v>
      </c>
      <c r="S1447" s="114" t="n">
        <v>0</v>
      </c>
      <c r="T1447" t="n">
        <v>0</v>
      </c>
    </row>
    <row r="1448">
      <c r="A1448" t="inlineStr">
        <is>
          <t>ttJTrans</t>
        </is>
      </c>
      <c r="B1448" s="38" t="inlineStr">
        <is>
          <t>0-4006</t>
        </is>
      </c>
      <c r="C1448" t="inlineStr">
        <is>
          <t>EQ</t>
        </is>
      </c>
      <c r="E1448" t="inlineStr">
        <is>
          <t>EQ</t>
        </is>
      </c>
      <c r="H1448" s="127" t="n">
        <v>46166</v>
      </c>
      <c r="J1448" s="38" t="inlineStr">
        <is>
          <t>0-4006</t>
        </is>
      </c>
      <c r="K1448" t="inlineStr">
        <is>
          <t>WHV001 2025 PETERBILT 589 SLEEPER CAB 2025 PETERBILT 589 SLEEPER CAB</t>
        </is>
      </c>
      <c r="L1448" t="n">
        <v>0</v>
      </c>
      <c r="M1448" t="n">
        <v>0</v>
      </c>
      <c r="O1448" t="inlineStr">
        <is>
          <t>WHV001</t>
        </is>
      </c>
      <c r="Q1448" s="114" t="n">
        <v>0</v>
      </c>
      <c r="R1448" s="114" t="n">
        <v>250</v>
      </c>
      <c r="S1448" s="114" t="n">
        <v>0</v>
      </c>
      <c r="T1448" t="n">
        <v>0</v>
      </c>
    </row>
    <row r="1449">
      <c r="A1449" t="inlineStr">
        <is>
          <t>ttJTrans</t>
        </is>
      </c>
      <c r="B1449" s="38" t="inlineStr">
        <is>
          <t>0-4006</t>
        </is>
      </c>
      <c r="C1449" t="inlineStr">
        <is>
          <t>EQ</t>
        </is>
      </c>
      <c r="E1449" t="inlineStr">
        <is>
          <t>EQ</t>
        </is>
      </c>
      <c r="H1449" s="127" t="n">
        <v>46166</v>
      </c>
      <c r="J1449" s="38" t="inlineStr">
        <is>
          <t>0-4006</t>
        </is>
      </c>
      <c r="K1449" t="inlineStr">
        <is>
          <t>WHV001 2025 PETERBILT 589 SLEEPER CAB 2025 PETERBILT 589 SLEEPER CAB</t>
        </is>
      </c>
      <c r="L1449" t="n">
        <v>0</v>
      </c>
      <c r="M1449" t="n">
        <v>0</v>
      </c>
      <c r="O1449" t="inlineStr">
        <is>
          <t>WHV001</t>
        </is>
      </c>
      <c r="Q1449" s="114" t="n">
        <v>0</v>
      </c>
      <c r="R1449" s="114" t="n">
        <v>250</v>
      </c>
      <c r="S1449" s="114" t="n">
        <v>0</v>
      </c>
      <c r="T1449" t="n">
        <v>0</v>
      </c>
    </row>
    <row r="1450">
      <c r="A1450" t="inlineStr">
        <is>
          <t>ttJTrans</t>
        </is>
      </c>
      <c r="B1450" s="38" t="inlineStr">
        <is>
          <t>0-4006</t>
        </is>
      </c>
      <c r="C1450" t="inlineStr">
        <is>
          <t>EQ</t>
        </is>
      </c>
      <c r="E1450" t="inlineStr">
        <is>
          <t>EQ</t>
        </is>
      </c>
      <c r="H1450" s="127" t="n">
        <v>46166</v>
      </c>
      <c r="J1450" s="38" t="inlineStr">
        <is>
          <t>0-4006</t>
        </is>
      </c>
      <c r="K1450" t="inlineStr">
        <is>
          <t>TR473 LANDOLL 53FT LOWBOY LANDOLL 53FT LOWBOY</t>
        </is>
      </c>
      <c r="L1450" t="n">
        <v>0</v>
      </c>
      <c r="M1450" t="n">
        <v>0</v>
      </c>
      <c r="O1450" t="inlineStr">
        <is>
          <t>TR473</t>
        </is>
      </c>
      <c r="Q1450" s="114" t="n">
        <v>0</v>
      </c>
      <c r="R1450" s="114" t="n">
        <v>0</v>
      </c>
      <c r="S1450" s="114" t="n">
        <v>0</v>
      </c>
      <c r="T1450" t="n">
        <v>0</v>
      </c>
    </row>
    <row r="1451">
      <c r="A1451" t="inlineStr">
        <is>
          <t>ttJTrans</t>
        </is>
      </c>
      <c r="B1451" s="38" t="inlineStr">
        <is>
          <t>0-4006</t>
        </is>
      </c>
      <c r="C1451" t="inlineStr">
        <is>
          <t>EQ</t>
        </is>
      </c>
      <c r="E1451" t="inlineStr">
        <is>
          <t>EQ</t>
        </is>
      </c>
      <c r="H1451" s="127" t="n">
        <v>46166</v>
      </c>
      <c r="J1451" s="38" t="inlineStr">
        <is>
          <t>0-4006</t>
        </is>
      </c>
      <c r="K1451" t="inlineStr">
        <is>
          <t>TR473 LANDOLL 53FT LOWBOY LANDOLL 53FT LOWBOY</t>
        </is>
      </c>
      <c r="L1451" t="n">
        <v>0</v>
      </c>
      <c r="M1451" t="n">
        <v>0</v>
      </c>
      <c r="O1451" t="inlineStr">
        <is>
          <t>TR473</t>
        </is>
      </c>
      <c r="Q1451" s="114" t="n">
        <v>0</v>
      </c>
      <c r="R1451" s="114" t="n">
        <v>0</v>
      </c>
      <c r="S1451" s="114" t="n">
        <v>0</v>
      </c>
      <c r="T1451" t="n">
        <v>0</v>
      </c>
    </row>
    <row r="1452">
      <c r="A1452" t="inlineStr">
        <is>
          <t>ttJTrans</t>
        </is>
      </c>
      <c r="B1452" s="38" t="inlineStr">
        <is>
          <t>0-4006</t>
        </is>
      </c>
      <c r="C1452" t="inlineStr">
        <is>
          <t>EQ</t>
        </is>
      </c>
      <c r="E1452" t="inlineStr">
        <is>
          <t>EQ</t>
        </is>
      </c>
      <c r="H1452" s="127" t="n">
        <v>46166</v>
      </c>
      <c r="J1452" s="38" t="inlineStr">
        <is>
          <t>0-4006</t>
        </is>
      </c>
      <c r="K1452" t="inlineStr">
        <is>
          <t>TR473 LANDOLL 53FT LOWBOY LANDOLL 53FT LOWBOY</t>
        </is>
      </c>
      <c r="L1452" t="n">
        <v>0</v>
      </c>
      <c r="M1452" t="n">
        <v>0</v>
      </c>
      <c r="O1452" t="inlineStr">
        <is>
          <t>TR473</t>
        </is>
      </c>
      <c r="Q1452" s="114" t="n">
        <v>0</v>
      </c>
      <c r="R1452" s="114" t="n">
        <v>0</v>
      </c>
      <c r="S1452" s="114" t="n">
        <v>0</v>
      </c>
      <c r="T1452" t="n">
        <v>0</v>
      </c>
    </row>
    <row r="1453">
      <c r="A1453" t="inlineStr">
        <is>
          <t>ttJTrans</t>
        </is>
      </c>
      <c r="B1453" s="38" t="inlineStr">
        <is>
          <t>0-4006</t>
        </is>
      </c>
      <c r="C1453" t="inlineStr">
        <is>
          <t>EQ</t>
        </is>
      </c>
      <c r="E1453" t="inlineStr">
        <is>
          <t>EQ</t>
        </is>
      </c>
      <c r="H1453" s="127" t="n">
        <v>46166</v>
      </c>
      <c r="J1453" s="38" t="inlineStr">
        <is>
          <t>0-4006</t>
        </is>
      </c>
      <c r="K1453" t="inlineStr">
        <is>
          <t>TR473 LANDOLL 53FT LOWBOY LANDOLL 53FT LOWBOY</t>
        </is>
      </c>
      <c r="L1453" t="n">
        <v>0</v>
      </c>
      <c r="M1453" t="n">
        <v>0</v>
      </c>
      <c r="O1453" t="inlineStr">
        <is>
          <t>TR473</t>
        </is>
      </c>
      <c r="Q1453" s="114" t="n">
        <v>0</v>
      </c>
      <c r="R1453" s="114" t="n">
        <v>0</v>
      </c>
      <c r="S1453" s="114" t="n">
        <v>0</v>
      </c>
      <c r="T1453" t="n">
        <v>0</v>
      </c>
    </row>
    <row r="1454">
      <c r="A1454" t="inlineStr">
        <is>
          <t>ttJTrans</t>
        </is>
      </c>
      <c r="B1454" s="38" t="inlineStr">
        <is>
          <t>0-4006</t>
        </is>
      </c>
      <c r="C1454" t="inlineStr">
        <is>
          <t>EQ</t>
        </is>
      </c>
      <c r="E1454" t="inlineStr">
        <is>
          <t>EQ</t>
        </is>
      </c>
      <c r="H1454" s="127" t="n">
        <v>46166</v>
      </c>
      <c r="J1454" s="38" t="inlineStr">
        <is>
          <t>0-4006</t>
        </is>
      </c>
      <c r="K1454" t="inlineStr">
        <is>
          <t>TR473 LANDOLL 53FT LOWBOY LANDOLL 53FT LOWBOY</t>
        </is>
      </c>
      <c r="L1454" t="n">
        <v>0</v>
      </c>
      <c r="M1454" t="n">
        <v>0</v>
      </c>
      <c r="O1454" t="inlineStr">
        <is>
          <t>TR473</t>
        </is>
      </c>
      <c r="Q1454" s="114" t="n">
        <v>0</v>
      </c>
      <c r="R1454" s="114" t="n">
        <v>0</v>
      </c>
      <c r="S1454" s="114" t="n">
        <v>0</v>
      </c>
      <c r="T1454" t="n">
        <v>0</v>
      </c>
    </row>
    <row r="1455">
      <c r="A1455" t="inlineStr">
        <is>
          <t>ttJTrans</t>
        </is>
      </c>
      <c r="B1455" s="38" t="inlineStr">
        <is>
          <t>0-4006</t>
        </is>
      </c>
      <c r="C1455" t="inlineStr">
        <is>
          <t>EQ</t>
        </is>
      </c>
      <c r="E1455" t="inlineStr">
        <is>
          <t>EQ</t>
        </is>
      </c>
      <c r="H1455" s="127" t="n">
        <v>46166</v>
      </c>
      <c r="J1455" s="38" t="inlineStr">
        <is>
          <t>0-4006</t>
        </is>
      </c>
      <c r="K1455" t="inlineStr">
        <is>
          <t>TR473 LANDOLL 53FT LOWBOY LANDOLL 53FT LOWBOY</t>
        </is>
      </c>
      <c r="L1455" t="n">
        <v>0</v>
      </c>
      <c r="M1455" t="n">
        <v>0</v>
      </c>
      <c r="O1455" t="inlineStr">
        <is>
          <t>TR473</t>
        </is>
      </c>
      <c r="Q1455" s="114" t="n">
        <v>0</v>
      </c>
      <c r="R1455" s="114" t="n">
        <v>0</v>
      </c>
      <c r="S1455" s="114" t="n">
        <v>0</v>
      </c>
      <c r="T1455" t="n">
        <v>0</v>
      </c>
    </row>
    <row r="1456">
      <c r="A1456" t="inlineStr">
        <is>
          <t>ttJTrans</t>
        </is>
      </c>
      <c r="B1456" s="38" t="inlineStr">
        <is>
          <t>0-4006</t>
        </is>
      </c>
      <c r="C1456" t="inlineStr">
        <is>
          <t>EQ</t>
        </is>
      </c>
      <c r="E1456" t="inlineStr">
        <is>
          <t>EQ</t>
        </is>
      </c>
      <c r="H1456" s="127" t="n">
        <v>46166</v>
      </c>
      <c r="J1456" s="38" t="inlineStr">
        <is>
          <t>0-4006</t>
        </is>
      </c>
      <c r="K1456" t="inlineStr">
        <is>
          <t>TR461 40' HIGH CUBE CONTAINERS 40' HIGH CUBE CONTAINERS</t>
        </is>
      </c>
      <c r="L1456" t="n">
        <v>0</v>
      </c>
      <c r="M1456" t="n">
        <v>0</v>
      </c>
      <c r="O1456" t="inlineStr">
        <is>
          <t>TR461</t>
        </is>
      </c>
      <c r="Q1456" s="114" t="n">
        <v>0</v>
      </c>
      <c r="R1456" s="114" t="n">
        <v>65</v>
      </c>
      <c r="S1456" s="114" t="n">
        <v>0</v>
      </c>
      <c r="T1456" t="n">
        <v>0</v>
      </c>
    </row>
    <row r="1457">
      <c r="A1457" t="inlineStr">
        <is>
          <t>ttJTrans</t>
        </is>
      </c>
      <c r="B1457" s="38" t="inlineStr">
        <is>
          <t>0-4006</t>
        </is>
      </c>
      <c r="C1457" t="inlineStr">
        <is>
          <t>EQ</t>
        </is>
      </c>
      <c r="E1457" t="inlineStr">
        <is>
          <t>EQ</t>
        </is>
      </c>
      <c r="H1457" s="127" t="n">
        <v>46166</v>
      </c>
      <c r="J1457" s="38" t="inlineStr">
        <is>
          <t>0-4006</t>
        </is>
      </c>
      <c r="K1457" t="inlineStr">
        <is>
          <t>TR461 40' HIGH CUBE CONTAINERS 40' HIGH CUBE CONTAINERS</t>
        </is>
      </c>
      <c r="L1457" t="n">
        <v>0</v>
      </c>
      <c r="M1457" t="n">
        <v>0</v>
      </c>
      <c r="O1457" t="inlineStr">
        <is>
          <t>TR461</t>
        </is>
      </c>
      <c r="Q1457" s="114" t="n">
        <v>0</v>
      </c>
      <c r="R1457" s="114" t="n">
        <v>65</v>
      </c>
      <c r="S1457" s="114" t="n">
        <v>0</v>
      </c>
      <c r="T1457" t="n">
        <v>0</v>
      </c>
    </row>
    <row r="1458">
      <c r="A1458" t="inlineStr">
        <is>
          <t>ttJTrans</t>
        </is>
      </c>
      <c r="B1458" s="38" t="inlineStr">
        <is>
          <t>0-4006</t>
        </is>
      </c>
      <c r="C1458" t="inlineStr">
        <is>
          <t>EQ</t>
        </is>
      </c>
      <c r="E1458" t="inlineStr">
        <is>
          <t>EQ</t>
        </is>
      </c>
      <c r="H1458" s="127" t="n">
        <v>46166</v>
      </c>
      <c r="J1458" s="38" t="inlineStr">
        <is>
          <t>0-4006</t>
        </is>
      </c>
      <c r="K1458" t="inlineStr">
        <is>
          <t>TR461 40' HIGH CUBE CONTAINERS 40' HIGH CUBE CONTAINERS</t>
        </is>
      </c>
      <c r="L1458" t="n">
        <v>0</v>
      </c>
      <c r="M1458" t="n">
        <v>0</v>
      </c>
      <c r="O1458" t="inlineStr">
        <is>
          <t>TR461</t>
        </is>
      </c>
      <c r="Q1458" s="114" t="n">
        <v>0</v>
      </c>
      <c r="R1458" s="114" t="n">
        <v>65</v>
      </c>
      <c r="S1458" s="114" t="n">
        <v>0</v>
      </c>
      <c r="T1458" t="n">
        <v>0</v>
      </c>
    </row>
    <row r="1459">
      <c r="A1459" t="inlineStr">
        <is>
          <t>ttJTrans</t>
        </is>
      </c>
      <c r="B1459" s="38" t="inlineStr">
        <is>
          <t>0-4006</t>
        </is>
      </c>
      <c r="C1459" t="inlineStr">
        <is>
          <t>EQ</t>
        </is>
      </c>
      <c r="E1459" t="inlineStr">
        <is>
          <t>EQ</t>
        </is>
      </c>
      <c r="H1459" s="127" t="n">
        <v>46166</v>
      </c>
      <c r="J1459" s="38" t="inlineStr">
        <is>
          <t>0-4006</t>
        </is>
      </c>
      <c r="K1459" t="inlineStr">
        <is>
          <t>TR461 40' HIGH CUBE CONTAINERS 40' HIGH CUBE CONTAINERS</t>
        </is>
      </c>
      <c r="L1459" t="n">
        <v>0</v>
      </c>
      <c r="M1459" t="n">
        <v>0</v>
      </c>
      <c r="O1459" t="inlineStr">
        <is>
          <t>TR461</t>
        </is>
      </c>
      <c r="Q1459" s="114" t="n">
        <v>0</v>
      </c>
      <c r="R1459" s="114" t="n">
        <v>65</v>
      </c>
      <c r="S1459" s="114" t="n">
        <v>0</v>
      </c>
      <c r="T1459" t="n">
        <v>0</v>
      </c>
    </row>
    <row r="1460">
      <c r="A1460" t="inlineStr">
        <is>
          <t>ttJTrans</t>
        </is>
      </c>
      <c r="B1460" s="38" t="inlineStr">
        <is>
          <t>0-4006</t>
        </is>
      </c>
      <c r="C1460" t="inlineStr">
        <is>
          <t>EQ</t>
        </is>
      </c>
      <c r="E1460" t="inlineStr">
        <is>
          <t>EQ</t>
        </is>
      </c>
      <c r="H1460" s="127" t="n">
        <v>46166</v>
      </c>
      <c r="J1460" s="38" t="inlineStr">
        <is>
          <t>0-4006</t>
        </is>
      </c>
      <c r="K1460" t="inlineStr">
        <is>
          <t>TR461 40' HIGH CUBE CONTAINERS 40' HIGH CUBE CONTAINERS</t>
        </is>
      </c>
      <c r="L1460" t="n">
        <v>0</v>
      </c>
      <c r="M1460" t="n">
        <v>0</v>
      </c>
      <c r="O1460" t="inlineStr">
        <is>
          <t>TR461</t>
        </is>
      </c>
      <c r="Q1460" s="114" t="n">
        <v>0</v>
      </c>
      <c r="R1460" s="114" t="n">
        <v>65</v>
      </c>
      <c r="S1460" s="114" t="n">
        <v>0</v>
      </c>
      <c r="T1460" t="n">
        <v>0</v>
      </c>
    </row>
    <row r="1461">
      <c r="A1461" t="inlineStr">
        <is>
          <t>ttJTrans</t>
        </is>
      </c>
      <c r="B1461" s="38" t="inlineStr">
        <is>
          <t>0-4006</t>
        </is>
      </c>
      <c r="C1461" t="inlineStr">
        <is>
          <t>EQ</t>
        </is>
      </c>
      <c r="E1461" t="inlineStr">
        <is>
          <t>EQ</t>
        </is>
      </c>
      <c r="H1461" s="127" t="n">
        <v>46166</v>
      </c>
      <c r="J1461" s="38" t="inlineStr">
        <is>
          <t>0-4006</t>
        </is>
      </c>
      <c r="K1461" t="inlineStr">
        <is>
          <t>TR461 40' HIGH CUBE CONTAINERS 40' HIGH CUBE CONTAINERS</t>
        </is>
      </c>
      <c r="L1461" t="n">
        <v>0</v>
      </c>
      <c r="M1461" t="n">
        <v>0</v>
      </c>
      <c r="O1461" t="inlineStr">
        <is>
          <t>TR461</t>
        </is>
      </c>
      <c r="Q1461" s="114" t="n">
        <v>0</v>
      </c>
      <c r="R1461" s="114" t="n">
        <v>65</v>
      </c>
      <c r="S1461" s="114" t="n">
        <v>0</v>
      </c>
      <c r="T1461" t="n">
        <v>0</v>
      </c>
    </row>
    <row r="1462">
      <c r="A1462" t="inlineStr">
        <is>
          <t>ttJTrans</t>
        </is>
      </c>
      <c r="B1462" s="38" t="inlineStr">
        <is>
          <t>0-4006</t>
        </is>
      </c>
      <c r="C1462" t="inlineStr">
        <is>
          <t>EQ</t>
        </is>
      </c>
      <c r="E1462" t="inlineStr">
        <is>
          <t>EQ</t>
        </is>
      </c>
      <c r="H1462" s="127" t="n">
        <v>46166</v>
      </c>
      <c r="J1462" s="38" t="inlineStr">
        <is>
          <t>0-4006</t>
        </is>
      </c>
      <c r="K1462" t="inlineStr">
        <is>
          <t>TR462 40' HIGH CUBE CONTAINERS 40' HIGH CUBE CONTAINERS</t>
        </is>
      </c>
      <c r="L1462" t="n">
        <v>0</v>
      </c>
      <c r="M1462" t="n">
        <v>0</v>
      </c>
      <c r="O1462" t="inlineStr">
        <is>
          <t>TR462</t>
        </is>
      </c>
      <c r="Q1462" s="114" t="n">
        <v>0</v>
      </c>
      <c r="R1462" s="114" t="n">
        <v>65</v>
      </c>
      <c r="S1462" s="114" t="n">
        <v>0</v>
      </c>
      <c r="T1462" t="n">
        <v>0</v>
      </c>
    </row>
    <row r="1463">
      <c r="A1463" t="inlineStr">
        <is>
          <t>ttJTrans</t>
        </is>
      </c>
      <c r="B1463" s="38" t="inlineStr">
        <is>
          <t>0-4006</t>
        </is>
      </c>
      <c r="C1463" t="inlineStr">
        <is>
          <t>EQ</t>
        </is>
      </c>
      <c r="E1463" t="inlineStr">
        <is>
          <t>EQ</t>
        </is>
      </c>
      <c r="H1463" s="127" t="n">
        <v>46166</v>
      </c>
      <c r="J1463" s="38" t="inlineStr">
        <is>
          <t>0-4006</t>
        </is>
      </c>
      <c r="K1463" t="inlineStr">
        <is>
          <t>TR462 40' HIGH CUBE CONTAINERS 40' HIGH CUBE CONTAINERS</t>
        </is>
      </c>
      <c r="L1463" t="n">
        <v>0</v>
      </c>
      <c r="M1463" t="n">
        <v>0</v>
      </c>
      <c r="O1463" t="inlineStr">
        <is>
          <t>TR462</t>
        </is>
      </c>
      <c r="Q1463" s="114" t="n">
        <v>0</v>
      </c>
      <c r="R1463" s="114" t="n">
        <v>65</v>
      </c>
      <c r="S1463" s="114" t="n">
        <v>0</v>
      </c>
      <c r="T1463" t="n">
        <v>0</v>
      </c>
    </row>
    <row r="1464">
      <c r="A1464" t="inlineStr">
        <is>
          <t>ttJTrans</t>
        </is>
      </c>
      <c r="B1464" s="38" t="inlineStr">
        <is>
          <t>0-4006</t>
        </is>
      </c>
      <c r="C1464" t="inlineStr">
        <is>
          <t>EQ</t>
        </is>
      </c>
      <c r="E1464" t="inlineStr">
        <is>
          <t>EQ</t>
        </is>
      </c>
      <c r="H1464" s="127" t="n">
        <v>46166</v>
      </c>
      <c r="J1464" s="38" t="inlineStr">
        <is>
          <t>0-4006</t>
        </is>
      </c>
      <c r="K1464" t="inlineStr">
        <is>
          <t>TR462 40' HIGH CUBE CONTAINERS 40' HIGH CUBE CONTAINERS</t>
        </is>
      </c>
      <c r="L1464" t="n">
        <v>0</v>
      </c>
      <c r="M1464" t="n">
        <v>0</v>
      </c>
      <c r="O1464" t="inlineStr">
        <is>
          <t>TR462</t>
        </is>
      </c>
      <c r="Q1464" s="114" t="n">
        <v>0</v>
      </c>
      <c r="R1464" s="114" t="n">
        <v>65</v>
      </c>
      <c r="S1464" s="114" t="n">
        <v>0</v>
      </c>
      <c r="T1464" t="n">
        <v>0</v>
      </c>
    </row>
    <row r="1465">
      <c r="A1465" t="inlineStr">
        <is>
          <t>ttJTrans</t>
        </is>
      </c>
      <c r="B1465" s="38" t="inlineStr">
        <is>
          <t>0-4006</t>
        </is>
      </c>
      <c r="C1465" t="inlineStr">
        <is>
          <t>EQ</t>
        </is>
      </c>
      <c r="E1465" t="inlineStr">
        <is>
          <t>EQ</t>
        </is>
      </c>
      <c r="H1465" s="127" t="n">
        <v>46166</v>
      </c>
      <c r="J1465" s="38" t="inlineStr">
        <is>
          <t>0-4006</t>
        </is>
      </c>
      <c r="K1465" t="inlineStr">
        <is>
          <t>TR462 40' HIGH CUBE CONTAINERS 40' HIGH CUBE CONTAINERS</t>
        </is>
      </c>
      <c r="L1465" t="n">
        <v>0</v>
      </c>
      <c r="M1465" t="n">
        <v>0</v>
      </c>
      <c r="O1465" t="inlineStr">
        <is>
          <t>TR462</t>
        </is>
      </c>
      <c r="Q1465" s="114" t="n">
        <v>0</v>
      </c>
      <c r="R1465" s="114" t="n">
        <v>65</v>
      </c>
      <c r="S1465" s="114" t="n">
        <v>0</v>
      </c>
      <c r="T1465" t="n">
        <v>0</v>
      </c>
    </row>
    <row r="1466">
      <c r="A1466" t="inlineStr">
        <is>
          <t>ttJTrans</t>
        </is>
      </c>
      <c r="B1466" s="38" t="inlineStr">
        <is>
          <t>0-4006</t>
        </is>
      </c>
      <c r="C1466" t="inlineStr">
        <is>
          <t>EQ</t>
        </is>
      </c>
      <c r="E1466" t="inlineStr">
        <is>
          <t>EQ</t>
        </is>
      </c>
      <c r="H1466" s="127" t="n">
        <v>46166</v>
      </c>
      <c r="J1466" s="38" t="inlineStr">
        <is>
          <t>0-4006</t>
        </is>
      </c>
      <c r="K1466" t="inlineStr">
        <is>
          <t>TR462 40' HIGH CUBE CONTAINERS 40' HIGH CUBE CONTAINERS</t>
        </is>
      </c>
      <c r="L1466" t="n">
        <v>0</v>
      </c>
      <c r="M1466" t="n">
        <v>0</v>
      </c>
      <c r="O1466" t="inlineStr">
        <is>
          <t>TR462</t>
        </is>
      </c>
      <c r="Q1466" s="114" t="n">
        <v>0</v>
      </c>
      <c r="R1466" s="114" t="n">
        <v>65</v>
      </c>
      <c r="S1466" s="114" t="n">
        <v>0</v>
      </c>
      <c r="T1466" t="n">
        <v>0</v>
      </c>
    </row>
    <row r="1467">
      <c r="A1467" t="inlineStr">
        <is>
          <t>ttJTrans</t>
        </is>
      </c>
      <c r="B1467" s="38" t="inlineStr">
        <is>
          <t>0-4006</t>
        </is>
      </c>
      <c r="C1467" t="inlineStr">
        <is>
          <t>EQ</t>
        </is>
      </c>
      <c r="E1467" t="inlineStr">
        <is>
          <t>EQ</t>
        </is>
      </c>
      <c r="H1467" s="127" t="n">
        <v>46166</v>
      </c>
      <c r="J1467" s="38" t="inlineStr">
        <is>
          <t>0-4006</t>
        </is>
      </c>
      <c r="K1467" t="inlineStr">
        <is>
          <t>TR462 40' HIGH CUBE CONTAINERS 40' HIGH CUBE CONTAINERS</t>
        </is>
      </c>
      <c r="L1467" t="n">
        <v>0</v>
      </c>
      <c r="M1467" t="n">
        <v>0</v>
      </c>
      <c r="O1467" t="inlineStr">
        <is>
          <t>TR462</t>
        </is>
      </c>
      <c r="Q1467" s="114" t="n">
        <v>0</v>
      </c>
      <c r="R1467" s="114" t="n">
        <v>65</v>
      </c>
      <c r="S1467" s="114" t="n">
        <v>0</v>
      </c>
      <c r="T1467" t="n">
        <v>0</v>
      </c>
    </row>
    <row r="1468">
      <c r="A1468" t="inlineStr">
        <is>
          <t>ttJTrans</t>
        </is>
      </c>
      <c r="B1468" s="38" t="inlineStr">
        <is>
          <t>0-4006</t>
        </is>
      </c>
      <c r="C1468" t="inlineStr">
        <is>
          <t>EQ</t>
        </is>
      </c>
      <c r="E1468" t="inlineStr">
        <is>
          <t>EQ</t>
        </is>
      </c>
      <c r="H1468" s="127" t="n">
        <v>46166</v>
      </c>
      <c r="J1468" s="38" t="inlineStr">
        <is>
          <t>0-4006</t>
        </is>
      </c>
      <c r="K1468" t="inlineStr">
        <is>
          <t>TR463 40' HIGH CUBE CONTAINERS 40' HIGH CUBE CONTAINERS</t>
        </is>
      </c>
      <c r="L1468" t="n">
        <v>0</v>
      </c>
      <c r="M1468" t="n">
        <v>0</v>
      </c>
      <c r="O1468" t="inlineStr">
        <is>
          <t>TR463</t>
        </is>
      </c>
      <c r="Q1468" s="114" t="n">
        <v>0</v>
      </c>
      <c r="R1468" s="114" t="n">
        <v>65</v>
      </c>
      <c r="S1468" s="114" t="n">
        <v>0</v>
      </c>
      <c r="T1468" t="n">
        <v>0</v>
      </c>
    </row>
    <row r="1469">
      <c r="A1469" t="inlineStr">
        <is>
          <t>ttJTrans</t>
        </is>
      </c>
      <c r="B1469" s="38" t="inlineStr">
        <is>
          <t>0-4006</t>
        </is>
      </c>
      <c r="C1469" t="inlineStr">
        <is>
          <t>EQ</t>
        </is>
      </c>
      <c r="E1469" t="inlineStr">
        <is>
          <t>EQ</t>
        </is>
      </c>
      <c r="H1469" s="127" t="n">
        <v>46166</v>
      </c>
      <c r="J1469" s="38" t="inlineStr">
        <is>
          <t>0-4006</t>
        </is>
      </c>
      <c r="K1469" t="inlineStr">
        <is>
          <t>TR463 40' HIGH CUBE CONTAINERS 40' HIGH CUBE CONTAINERS</t>
        </is>
      </c>
      <c r="L1469" t="n">
        <v>0</v>
      </c>
      <c r="M1469" t="n">
        <v>0</v>
      </c>
      <c r="O1469" t="inlineStr">
        <is>
          <t>TR463</t>
        </is>
      </c>
      <c r="Q1469" s="114" t="n">
        <v>0</v>
      </c>
      <c r="R1469" s="114" t="n">
        <v>65</v>
      </c>
      <c r="S1469" s="114" t="n">
        <v>0</v>
      </c>
      <c r="T1469" t="n">
        <v>0</v>
      </c>
    </row>
    <row r="1470">
      <c r="A1470" t="inlineStr">
        <is>
          <t>ttJTrans</t>
        </is>
      </c>
      <c r="B1470" s="38" t="inlineStr">
        <is>
          <t>0-4006</t>
        </is>
      </c>
      <c r="C1470" t="inlineStr">
        <is>
          <t>EQ</t>
        </is>
      </c>
      <c r="E1470" t="inlineStr">
        <is>
          <t>EQ</t>
        </is>
      </c>
      <c r="H1470" s="127" t="n">
        <v>46166</v>
      </c>
      <c r="J1470" s="38" t="inlineStr">
        <is>
          <t>0-4006</t>
        </is>
      </c>
      <c r="K1470" t="inlineStr">
        <is>
          <t>TR463 40' HIGH CUBE CONTAINERS 40' HIGH CUBE CONTAINERS</t>
        </is>
      </c>
      <c r="L1470" t="n">
        <v>0</v>
      </c>
      <c r="M1470" t="n">
        <v>0</v>
      </c>
      <c r="O1470" t="inlineStr">
        <is>
          <t>TR463</t>
        </is>
      </c>
      <c r="Q1470" s="114" t="n">
        <v>0</v>
      </c>
      <c r="R1470" s="114" t="n">
        <v>65</v>
      </c>
      <c r="S1470" s="114" t="n">
        <v>0</v>
      </c>
      <c r="T1470" t="n">
        <v>0</v>
      </c>
    </row>
    <row r="1471">
      <c r="A1471" t="inlineStr">
        <is>
          <t>ttJTrans</t>
        </is>
      </c>
      <c r="B1471" s="38" t="inlineStr">
        <is>
          <t>0-4006</t>
        </is>
      </c>
      <c r="C1471" t="inlineStr">
        <is>
          <t>EQ</t>
        </is>
      </c>
      <c r="E1471" t="inlineStr">
        <is>
          <t>EQ</t>
        </is>
      </c>
      <c r="H1471" s="127" t="n">
        <v>46166</v>
      </c>
      <c r="J1471" s="38" t="inlineStr">
        <is>
          <t>0-4006</t>
        </is>
      </c>
      <c r="K1471" t="inlineStr">
        <is>
          <t>TR463 40' HIGH CUBE CONTAINERS 40' HIGH CUBE CONTAINERS</t>
        </is>
      </c>
      <c r="L1471" t="n">
        <v>0</v>
      </c>
      <c r="M1471" t="n">
        <v>0</v>
      </c>
      <c r="O1471" t="inlineStr">
        <is>
          <t>TR463</t>
        </is>
      </c>
      <c r="Q1471" s="114" t="n">
        <v>0</v>
      </c>
      <c r="R1471" s="114" t="n">
        <v>65</v>
      </c>
      <c r="S1471" s="114" t="n">
        <v>0</v>
      </c>
      <c r="T1471" t="n">
        <v>0</v>
      </c>
    </row>
    <row r="1472">
      <c r="A1472" t="inlineStr">
        <is>
          <t>ttJTrans</t>
        </is>
      </c>
      <c r="B1472" s="38" t="inlineStr">
        <is>
          <t>0-4006</t>
        </is>
      </c>
      <c r="C1472" t="inlineStr">
        <is>
          <t>EQ</t>
        </is>
      </c>
      <c r="E1472" t="inlineStr">
        <is>
          <t>EQ</t>
        </is>
      </c>
      <c r="H1472" s="127" t="n">
        <v>46166</v>
      </c>
      <c r="J1472" s="38" t="inlineStr">
        <is>
          <t>0-4006</t>
        </is>
      </c>
      <c r="K1472" t="inlineStr">
        <is>
          <t>TR463 40' HIGH CUBE CONTAINERS 40' HIGH CUBE CONTAINERS</t>
        </is>
      </c>
      <c r="L1472" t="n">
        <v>0</v>
      </c>
      <c r="M1472" t="n">
        <v>0</v>
      </c>
      <c r="O1472" t="inlineStr">
        <is>
          <t>TR463</t>
        </is>
      </c>
      <c r="Q1472" s="114" t="n">
        <v>0</v>
      </c>
      <c r="R1472" s="114" t="n">
        <v>65</v>
      </c>
      <c r="S1472" s="114" t="n">
        <v>0</v>
      </c>
      <c r="T1472" t="n">
        <v>0</v>
      </c>
    </row>
    <row r="1473">
      <c r="A1473" t="inlineStr">
        <is>
          <t>ttJTrans</t>
        </is>
      </c>
      <c r="B1473" s="38" t="inlineStr">
        <is>
          <t>0-4006</t>
        </is>
      </c>
      <c r="C1473" t="inlineStr">
        <is>
          <t>EQ</t>
        </is>
      </c>
      <c r="E1473" t="inlineStr">
        <is>
          <t>EQ</t>
        </is>
      </c>
      <c r="H1473" s="127" t="n">
        <v>46166</v>
      </c>
      <c r="J1473" s="38" t="inlineStr">
        <is>
          <t>0-4006</t>
        </is>
      </c>
      <c r="K1473" t="inlineStr">
        <is>
          <t>TR463 40' HIGH CUBE CONTAINERS 40' HIGH CUBE CONTAINERS</t>
        </is>
      </c>
      <c r="L1473" t="n">
        <v>0</v>
      </c>
      <c r="M1473" t="n">
        <v>0</v>
      </c>
      <c r="O1473" t="inlineStr">
        <is>
          <t>TR463</t>
        </is>
      </c>
      <c r="Q1473" s="114" t="n">
        <v>0</v>
      </c>
      <c r="R1473" s="114" t="n">
        <v>65</v>
      </c>
      <c r="S1473" s="114" t="n">
        <v>0</v>
      </c>
      <c r="T1473" t="n">
        <v>0</v>
      </c>
    </row>
    <row r="1474">
      <c r="A1474" t="inlineStr">
        <is>
          <t>ttJTrans</t>
        </is>
      </c>
      <c r="B1474" s="38" t="inlineStr">
        <is>
          <t>0-4006</t>
        </is>
      </c>
      <c r="C1474" t="inlineStr">
        <is>
          <t>EQ</t>
        </is>
      </c>
      <c r="E1474" t="inlineStr">
        <is>
          <t>EQ</t>
        </is>
      </c>
      <c r="H1474" s="127" t="n">
        <v>46166</v>
      </c>
      <c r="J1474" s="38" t="inlineStr">
        <is>
          <t>0-4006</t>
        </is>
      </c>
      <c r="K1474" t="inlineStr">
        <is>
          <t>TR464 40' HIGH CUBE CONTAINERS 40' HIGH CUBE CONTAINERS</t>
        </is>
      </c>
      <c r="L1474" t="n">
        <v>0</v>
      </c>
      <c r="M1474" t="n">
        <v>0</v>
      </c>
      <c r="O1474" t="inlineStr">
        <is>
          <t>TR464</t>
        </is>
      </c>
      <c r="Q1474" s="114" t="n">
        <v>0</v>
      </c>
      <c r="R1474" s="114" t="n">
        <v>65</v>
      </c>
      <c r="S1474" s="114" t="n">
        <v>0</v>
      </c>
      <c r="T1474" t="n">
        <v>0</v>
      </c>
    </row>
    <row r="1475">
      <c r="A1475" t="inlineStr">
        <is>
          <t>ttJTrans</t>
        </is>
      </c>
      <c r="B1475" s="38" t="inlineStr">
        <is>
          <t>0-4006</t>
        </is>
      </c>
      <c r="C1475" t="inlineStr">
        <is>
          <t>EQ</t>
        </is>
      </c>
      <c r="E1475" t="inlineStr">
        <is>
          <t>EQ</t>
        </is>
      </c>
      <c r="H1475" s="127" t="n">
        <v>46166</v>
      </c>
      <c r="J1475" s="38" t="inlineStr">
        <is>
          <t>0-4006</t>
        </is>
      </c>
      <c r="K1475" t="inlineStr">
        <is>
          <t>TR464 40' HIGH CUBE CONTAINERS 40' HIGH CUBE CONTAINERS</t>
        </is>
      </c>
      <c r="L1475" t="n">
        <v>0</v>
      </c>
      <c r="M1475" t="n">
        <v>0</v>
      </c>
      <c r="O1475" t="inlineStr">
        <is>
          <t>TR464</t>
        </is>
      </c>
      <c r="Q1475" s="114" t="n">
        <v>0</v>
      </c>
      <c r="R1475" s="114" t="n">
        <v>65</v>
      </c>
      <c r="S1475" s="114" t="n">
        <v>0</v>
      </c>
      <c r="T1475" t="n">
        <v>0</v>
      </c>
    </row>
    <row r="1476">
      <c r="A1476" t="inlineStr">
        <is>
          <t>ttJTrans</t>
        </is>
      </c>
      <c r="B1476" s="38" t="inlineStr">
        <is>
          <t>0-4006</t>
        </is>
      </c>
      <c r="C1476" t="inlineStr">
        <is>
          <t>EQ</t>
        </is>
      </c>
      <c r="E1476" t="inlineStr">
        <is>
          <t>EQ</t>
        </is>
      </c>
      <c r="H1476" s="127" t="n">
        <v>46166</v>
      </c>
      <c r="J1476" s="38" t="inlineStr">
        <is>
          <t>0-4006</t>
        </is>
      </c>
      <c r="K1476" t="inlineStr">
        <is>
          <t>TR464 40' HIGH CUBE CONTAINERS 40' HIGH CUBE CONTAINERS</t>
        </is>
      </c>
      <c r="L1476" t="n">
        <v>0</v>
      </c>
      <c r="M1476" t="n">
        <v>0</v>
      </c>
      <c r="O1476" t="inlineStr">
        <is>
          <t>TR464</t>
        </is>
      </c>
      <c r="Q1476" s="114" t="n">
        <v>0</v>
      </c>
      <c r="R1476" s="114" t="n">
        <v>65</v>
      </c>
      <c r="S1476" s="114" t="n">
        <v>0</v>
      </c>
      <c r="T1476" t="n">
        <v>0</v>
      </c>
    </row>
    <row r="1477">
      <c r="A1477" t="inlineStr">
        <is>
          <t>ttJTrans</t>
        </is>
      </c>
      <c r="B1477" s="38" t="inlineStr">
        <is>
          <t>0-4006</t>
        </is>
      </c>
      <c r="C1477" t="inlineStr">
        <is>
          <t>EQ</t>
        </is>
      </c>
      <c r="E1477" t="inlineStr">
        <is>
          <t>EQ</t>
        </is>
      </c>
      <c r="H1477" s="127" t="n">
        <v>46166</v>
      </c>
      <c r="J1477" s="44" t="inlineStr">
        <is>
          <t>0-4006</t>
        </is>
      </c>
      <c r="K1477" t="inlineStr">
        <is>
          <t>TR464 40' HIGH CUBE CONTAINERS 40' HIGH CUBE CONTAINERS</t>
        </is>
      </c>
      <c r="L1477" t="n">
        <v>0</v>
      </c>
      <c r="M1477" t="n">
        <v>0</v>
      </c>
      <c r="O1477" t="inlineStr">
        <is>
          <t>TR464</t>
        </is>
      </c>
      <c r="Q1477" s="114" t="n">
        <v>0</v>
      </c>
      <c r="R1477" s="114" t="n">
        <v>65</v>
      </c>
      <c r="S1477" s="114" t="n">
        <v>0</v>
      </c>
      <c r="T1477" t="n">
        <v>0</v>
      </c>
    </row>
    <row r="1478">
      <c r="A1478" t="inlineStr">
        <is>
          <t>ttJTrans</t>
        </is>
      </c>
      <c r="B1478" s="38" t="inlineStr">
        <is>
          <t>0-4006</t>
        </is>
      </c>
      <c r="C1478" t="inlineStr">
        <is>
          <t>EQ</t>
        </is>
      </c>
      <c r="E1478" t="inlineStr">
        <is>
          <t>EQ</t>
        </is>
      </c>
      <c r="H1478" s="127" t="n">
        <v>46166</v>
      </c>
      <c r="J1478" s="38" t="inlineStr">
        <is>
          <t>0-4006</t>
        </is>
      </c>
      <c r="K1478" t="inlineStr">
        <is>
          <t>TR464 40' HIGH CUBE CONTAINERS 40' HIGH CUBE CONTAINERS</t>
        </is>
      </c>
      <c r="L1478" t="n">
        <v>0</v>
      </c>
      <c r="M1478" t="n">
        <v>0</v>
      </c>
      <c r="O1478" t="inlineStr">
        <is>
          <t>TR464</t>
        </is>
      </c>
      <c r="Q1478" s="114" t="n">
        <v>0</v>
      </c>
      <c r="R1478" s="114" t="n">
        <v>65</v>
      </c>
      <c r="S1478" s="114" t="n">
        <v>0</v>
      </c>
      <c r="T1478" t="n">
        <v>0</v>
      </c>
    </row>
    <row r="1479">
      <c r="A1479" t="inlineStr">
        <is>
          <t>ttJTrans</t>
        </is>
      </c>
      <c r="B1479" s="38" t="inlineStr">
        <is>
          <t>0-4006</t>
        </is>
      </c>
      <c r="C1479" t="inlineStr">
        <is>
          <t>EQ</t>
        </is>
      </c>
      <c r="E1479" t="inlineStr">
        <is>
          <t>EQ</t>
        </is>
      </c>
      <c r="H1479" s="127" t="n">
        <v>46166</v>
      </c>
      <c r="J1479" s="38" t="inlineStr">
        <is>
          <t>0-4006</t>
        </is>
      </c>
      <c r="K1479" t="inlineStr">
        <is>
          <t>TR464 40' HIGH CUBE CONTAINERS 40' HIGH CUBE CONTAINERS</t>
        </is>
      </c>
      <c r="L1479" t="n">
        <v>0</v>
      </c>
      <c r="M1479" t="n">
        <v>0</v>
      </c>
      <c r="O1479" t="inlineStr">
        <is>
          <t>TR464</t>
        </is>
      </c>
      <c r="Q1479" s="114" t="n">
        <v>0</v>
      </c>
      <c r="R1479" s="114" t="n">
        <v>65</v>
      </c>
      <c r="S1479" s="114" t="n">
        <v>0</v>
      </c>
      <c r="T1479" t="n">
        <v>0</v>
      </c>
    </row>
    <row r="1480">
      <c r="A1480" t="inlineStr">
        <is>
          <t>ttJTrans</t>
        </is>
      </c>
      <c r="B1480" s="38" t="inlineStr">
        <is>
          <t>0-4006</t>
        </is>
      </c>
      <c r="C1480" t="inlineStr">
        <is>
          <t>EQ</t>
        </is>
      </c>
      <c r="E1480" t="inlineStr">
        <is>
          <t>EQ</t>
        </is>
      </c>
      <c r="H1480" s="127" t="n">
        <v>46166</v>
      </c>
      <c r="J1480" s="38" t="inlineStr">
        <is>
          <t>0-4006</t>
        </is>
      </c>
      <c r="K1480" t="inlineStr">
        <is>
          <t>TR456 40' DOUBLE DOOR CONTAINER 40' DOUBLE DOOR CONTAINER</t>
        </is>
      </c>
      <c r="L1480" t="n">
        <v>0</v>
      </c>
      <c r="M1480" t="n">
        <v>0</v>
      </c>
      <c r="O1480" t="inlineStr">
        <is>
          <t>TR456</t>
        </is>
      </c>
      <c r="Q1480" s="114" t="n">
        <v>0</v>
      </c>
      <c r="R1480" s="114" t="n">
        <v>65</v>
      </c>
      <c r="S1480" s="114" t="n">
        <v>0</v>
      </c>
      <c r="T1480" t="n">
        <v>0</v>
      </c>
    </row>
    <row r="1481">
      <c r="A1481" t="inlineStr">
        <is>
          <t>ttJTrans</t>
        </is>
      </c>
      <c r="B1481" s="38" t="inlineStr">
        <is>
          <t>0-4006</t>
        </is>
      </c>
      <c r="C1481" t="inlineStr">
        <is>
          <t>EQ</t>
        </is>
      </c>
      <c r="E1481" t="inlineStr">
        <is>
          <t>EQ</t>
        </is>
      </c>
      <c r="H1481" s="127" t="n">
        <v>46166</v>
      </c>
      <c r="J1481" s="38" t="inlineStr">
        <is>
          <t>0-4006</t>
        </is>
      </c>
      <c r="K1481" t="inlineStr">
        <is>
          <t>TR456 40' DOUBLE DOOR CONTAINER 40' DOUBLE DOOR CONTAINER</t>
        </is>
      </c>
      <c r="L1481" t="n">
        <v>0</v>
      </c>
      <c r="M1481" t="n">
        <v>0</v>
      </c>
      <c r="O1481" t="inlineStr">
        <is>
          <t>TR456</t>
        </is>
      </c>
      <c r="Q1481" s="114" t="n">
        <v>0</v>
      </c>
      <c r="R1481" s="114" t="n">
        <v>65</v>
      </c>
      <c r="S1481" s="114" t="n">
        <v>0</v>
      </c>
      <c r="T1481" t="n">
        <v>0</v>
      </c>
    </row>
    <row r="1482">
      <c r="A1482" t="inlineStr">
        <is>
          <t>ttJTrans</t>
        </is>
      </c>
      <c r="B1482" s="38" t="inlineStr">
        <is>
          <t>0-4006</t>
        </is>
      </c>
      <c r="C1482" t="inlineStr">
        <is>
          <t>EQ</t>
        </is>
      </c>
      <c r="E1482" t="inlineStr">
        <is>
          <t>EQ</t>
        </is>
      </c>
      <c r="H1482" s="127" t="n">
        <v>46166</v>
      </c>
      <c r="J1482" s="38" t="inlineStr">
        <is>
          <t>0-4006</t>
        </is>
      </c>
      <c r="K1482" t="inlineStr">
        <is>
          <t>TR456 40' DOUBLE DOOR CONTAINER 40' DOUBLE DOOR CONTAINER</t>
        </is>
      </c>
      <c r="L1482" t="n">
        <v>0</v>
      </c>
      <c r="M1482" t="n">
        <v>0</v>
      </c>
      <c r="O1482" t="inlineStr">
        <is>
          <t>TR456</t>
        </is>
      </c>
      <c r="Q1482" s="114" t="n">
        <v>0</v>
      </c>
      <c r="R1482" s="114" t="n">
        <v>65</v>
      </c>
      <c r="S1482" s="114" t="n">
        <v>0</v>
      </c>
      <c r="T1482" t="n">
        <v>0</v>
      </c>
    </row>
    <row r="1483">
      <c r="A1483" t="inlineStr">
        <is>
          <t>ttJTrans</t>
        </is>
      </c>
      <c r="B1483" s="38" t="inlineStr">
        <is>
          <t>0-4006</t>
        </is>
      </c>
      <c r="C1483" t="inlineStr">
        <is>
          <t>EQ</t>
        </is>
      </c>
      <c r="E1483" t="inlineStr">
        <is>
          <t>EQ</t>
        </is>
      </c>
      <c r="H1483" s="127" t="n">
        <v>46166</v>
      </c>
      <c r="J1483" s="38" t="inlineStr">
        <is>
          <t>0-4006</t>
        </is>
      </c>
      <c r="K1483" t="inlineStr">
        <is>
          <t>TR456 40' DOUBLE DOOR CONTAINER 40' DOUBLE DOOR CONTAINER</t>
        </is>
      </c>
      <c r="L1483" t="n">
        <v>0</v>
      </c>
      <c r="M1483" t="n">
        <v>0</v>
      </c>
      <c r="O1483" t="inlineStr">
        <is>
          <t>TR456</t>
        </is>
      </c>
      <c r="Q1483" s="114" t="n">
        <v>0</v>
      </c>
      <c r="R1483" s="114" t="n">
        <v>65</v>
      </c>
      <c r="S1483" s="114" t="n">
        <v>0</v>
      </c>
      <c r="T1483" t="n">
        <v>0</v>
      </c>
    </row>
    <row r="1484">
      <c r="A1484" t="inlineStr">
        <is>
          <t>ttJTrans</t>
        </is>
      </c>
      <c r="B1484" s="38" t="inlineStr">
        <is>
          <t>0-4006</t>
        </is>
      </c>
      <c r="C1484" t="inlineStr">
        <is>
          <t>EQ</t>
        </is>
      </c>
      <c r="E1484" t="inlineStr">
        <is>
          <t>EQ</t>
        </is>
      </c>
      <c r="H1484" s="127" t="n">
        <v>46166</v>
      </c>
      <c r="J1484" s="38" t="inlineStr">
        <is>
          <t>0-4006</t>
        </is>
      </c>
      <c r="K1484" t="inlineStr">
        <is>
          <t>TR456 40' DOUBLE DOOR CONTAINER 40' DOUBLE DOOR CONTAINER</t>
        </is>
      </c>
      <c r="L1484" t="n">
        <v>0</v>
      </c>
      <c r="M1484" t="n">
        <v>0</v>
      </c>
      <c r="O1484" t="inlineStr">
        <is>
          <t>TR456</t>
        </is>
      </c>
      <c r="Q1484" s="114" t="n">
        <v>0</v>
      </c>
      <c r="R1484" s="114" t="n">
        <v>65</v>
      </c>
      <c r="S1484" s="114" t="n">
        <v>0</v>
      </c>
      <c r="T1484" t="n">
        <v>0</v>
      </c>
    </row>
    <row r="1485">
      <c r="A1485" t="inlineStr">
        <is>
          <t>ttJTrans</t>
        </is>
      </c>
      <c r="B1485" s="38" t="inlineStr">
        <is>
          <t>0-4006</t>
        </is>
      </c>
      <c r="C1485" t="inlineStr">
        <is>
          <t>EQ</t>
        </is>
      </c>
      <c r="E1485" t="inlineStr">
        <is>
          <t>EQ</t>
        </is>
      </c>
      <c r="H1485" s="127" t="n">
        <v>46166</v>
      </c>
      <c r="J1485" s="38" t="inlineStr">
        <is>
          <t>0-4006</t>
        </is>
      </c>
      <c r="K1485" t="inlineStr">
        <is>
          <t>TR456 40' DOUBLE DOOR CONTAINER 40' DOUBLE DOOR CONTAINER</t>
        </is>
      </c>
      <c r="L1485" t="n">
        <v>0</v>
      </c>
      <c r="M1485" t="n">
        <v>0</v>
      </c>
      <c r="O1485" t="inlineStr">
        <is>
          <t>TR456</t>
        </is>
      </c>
      <c r="Q1485" s="114" t="n">
        <v>0</v>
      </c>
      <c r="R1485" s="114" t="n">
        <v>65</v>
      </c>
      <c r="S1485" s="114" t="n">
        <v>0</v>
      </c>
      <c r="T1485" t="n">
        <v>0</v>
      </c>
    </row>
    <row r="1486">
      <c r="A1486" t="inlineStr">
        <is>
          <t>ttJTrans</t>
        </is>
      </c>
      <c r="B1486" s="38" t="inlineStr">
        <is>
          <t>0-4006</t>
        </is>
      </c>
      <c r="C1486" t="inlineStr">
        <is>
          <t>EQ</t>
        </is>
      </c>
      <c r="E1486" t="inlineStr">
        <is>
          <t>EQ</t>
        </is>
      </c>
      <c r="H1486" s="127" t="n">
        <v>46166</v>
      </c>
      <c r="J1486" s="38" t="inlineStr">
        <is>
          <t>0-4006</t>
        </is>
      </c>
      <c r="K1486" t="inlineStr">
        <is>
          <t>WTL002 2025 55 TON GOOSENECK EAGER BEAVER LOWBOY 2025 55 TON GOOSENECK EAGER BEAVER LOWBOY</t>
        </is>
      </c>
      <c r="L1486" t="n">
        <v>0</v>
      </c>
      <c r="M1486" t="n">
        <v>0</v>
      </c>
      <c r="O1486" t="inlineStr">
        <is>
          <t>WTL002</t>
        </is>
      </c>
      <c r="Q1486" s="114" t="n">
        <v>0</v>
      </c>
      <c r="R1486" s="114" t="n">
        <v>55</v>
      </c>
      <c r="S1486" s="114" t="n">
        <v>0</v>
      </c>
      <c r="T1486" t="n">
        <v>0</v>
      </c>
    </row>
    <row r="1487">
      <c r="A1487" t="inlineStr">
        <is>
          <t>ttJTrans</t>
        </is>
      </c>
      <c r="B1487" s="38" t="inlineStr">
        <is>
          <t>0-4006</t>
        </is>
      </c>
      <c r="C1487" t="inlineStr">
        <is>
          <t>EQ</t>
        </is>
      </c>
      <c r="E1487" t="inlineStr">
        <is>
          <t>EQ</t>
        </is>
      </c>
      <c r="H1487" s="127" t="n">
        <v>46166</v>
      </c>
      <c r="J1487" s="38" t="inlineStr">
        <is>
          <t>0-4006</t>
        </is>
      </c>
      <c r="K1487" t="inlineStr">
        <is>
          <t>WTL002 2025 55 TON GOOSENECK EAGER BEAVER LOWBOY 2025 55 TON GOOSENECK EAGER BEAVER LOWBOY</t>
        </is>
      </c>
      <c r="L1487" t="n">
        <v>0</v>
      </c>
      <c r="M1487" t="n">
        <v>0</v>
      </c>
      <c r="O1487" t="inlineStr">
        <is>
          <t>WTL002</t>
        </is>
      </c>
      <c r="Q1487" s="114" t="n">
        <v>0</v>
      </c>
      <c r="R1487" s="114" t="n">
        <v>55</v>
      </c>
      <c r="S1487" s="114" t="n">
        <v>0</v>
      </c>
      <c r="T1487" t="n">
        <v>0</v>
      </c>
    </row>
    <row r="1488">
      <c r="A1488" t="inlineStr">
        <is>
          <t>ttJTrans</t>
        </is>
      </c>
      <c r="B1488" s="38" t="inlineStr">
        <is>
          <t>0-4006</t>
        </is>
      </c>
      <c r="C1488" t="inlineStr">
        <is>
          <t>EQ</t>
        </is>
      </c>
      <c r="E1488" t="inlineStr">
        <is>
          <t>EQ</t>
        </is>
      </c>
      <c r="H1488" s="127" t="n">
        <v>46166</v>
      </c>
      <c r="J1488" s="38" t="inlineStr">
        <is>
          <t>0-4006</t>
        </is>
      </c>
      <c r="K1488" t="inlineStr">
        <is>
          <t>WTL002 2025 55 TON GOOSENECK EAGER BEAVER LOWBOY 2025 55 TON GOOSENECK EAGER BEAVER LOWBOY</t>
        </is>
      </c>
      <c r="L1488" t="n">
        <v>0</v>
      </c>
      <c r="M1488" t="n">
        <v>0</v>
      </c>
      <c r="O1488" t="inlineStr">
        <is>
          <t>WTL002</t>
        </is>
      </c>
      <c r="Q1488" s="114" t="n">
        <v>0</v>
      </c>
      <c r="R1488" s="114" t="n">
        <v>55</v>
      </c>
      <c r="S1488" s="114" t="n">
        <v>0</v>
      </c>
      <c r="T1488" t="n">
        <v>0</v>
      </c>
    </row>
    <row r="1489">
      <c r="A1489" t="inlineStr">
        <is>
          <t>ttJTrans</t>
        </is>
      </c>
      <c r="B1489" s="38" t="inlineStr">
        <is>
          <t>0-4006</t>
        </is>
      </c>
      <c r="C1489" t="inlineStr">
        <is>
          <t>EQ</t>
        </is>
      </c>
      <c r="E1489" t="inlineStr">
        <is>
          <t>EQ</t>
        </is>
      </c>
      <c r="H1489" s="127" t="n">
        <v>46166</v>
      </c>
      <c r="J1489" s="38" t="inlineStr">
        <is>
          <t>0-4006</t>
        </is>
      </c>
      <c r="K1489" t="inlineStr">
        <is>
          <t>WTL002 2025 55 TON GOOSENECK EAGER BEAVER LOWBOY 2025 55 TON GOOSENECK EAGER BEAVER LOWBOY</t>
        </is>
      </c>
      <c r="L1489" t="n">
        <v>0</v>
      </c>
      <c r="M1489" t="n">
        <v>0</v>
      </c>
      <c r="O1489" t="inlineStr">
        <is>
          <t>WTL002</t>
        </is>
      </c>
      <c r="Q1489" s="114" t="n">
        <v>0</v>
      </c>
      <c r="R1489" s="114" t="n">
        <v>55</v>
      </c>
      <c r="S1489" s="114" t="n">
        <v>0</v>
      </c>
      <c r="T1489" t="n">
        <v>0</v>
      </c>
    </row>
    <row r="1490">
      <c r="A1490" t="inlineStr">
        <is>
          <t>ttJTrans</t>
        </is>
      </c>
      <c r="B1490" s="38" t="inlineStr">
        <is>
          <t>0-4006</t>
        </is>
      </c>
      <c r="C1490" t="inlineStr">
        <is>
          <t>EQ</t>
        </is>
      </c>
      <c r="E1490" t="inlineStr">
        <is>
          <t>EQ</t>
        </is>
      </c>
      <c r="H1490" s="127" t="n">
        <v>46166</v>
      </c>
      <c r="J1490" s="38" t="inlineStr">
        <is>
          <t>0-4006</t>
        </is>
      </c>
      <c r="K1490" t="inlineStr">
        <is>
          <t>WTL002 2025 55 TON GOOSENECK EAGER BEAVER LOWBOY 2025 55 TON GOOSENECK EAGER BEAVER LOWBOY</t>
        </is>
      </c>
      <c r="L1490" t="n">
        <v>0</v>
      </c>
      <c r="M1490" t="n">
        <v>0</v>
      </c>
      <c r="O1490" t="inlineStr">
        <is>
          <t>WTL002</t>
        </is>
      </c>
      <c r="Q1490" s="114" t="n">
        <v>0</v>
      </c>
      <c r="R1490" s="114" t="n">
        <v>55</v>
      </c>
      <c r="S1490" s="114" t="n">
        <v>0</v>
      </c>
      <c r="T1490" t="n">
        <v>0</v>
      </c>
    </row>
    <row r="1491">
      <c r="A1491" t="inlineStr">
        <is>
          <t>ttJTrans</t>
        </is>
      </c>
      <c r="B1491" s="38" t="inlineStr">
        <is>
          <t>0-4006</t>
        </is>
      </c>
      <c r="C1491" t="inlineStr">
        <is>
          <t>EQ</t>
        </is>
      </c>
      <c r="E1491" t="inlineStr">
        <is>
          <t>EQ</t>
        </is>
      </c>
      <c r="H1491" s="127" t="n">
        <v>46166</v>
      </c>
      <c r="J1491" s="38" t="inlineStr">
        <is>
          <t>0-4006</t>
        </is>
      </c>
      <c r="K1491" t="inlineStr">
        <is>
          <t>WTL002 2025 55 TON GOOSENECK EAGER BEAVER LOWBOY 2025 55 TON GOOSENECK EAGER BEAVER LOWBOY</t>
        </is>
      </c>
      <c r="L1491" t="n">
        <v>0</v>
      </c>
      <c r="M1491" t="n">
        <v>0</v>
      </c>
      <c r="O1491" t="inlineStr">
        <is>
          <t>WTL002</t>
        </is>
      </c>
      <c r="Q1491" s="114" t="n">
        <v>0</v>
      </c>
      <c r="R1491" s="114" t="n">
        <v>55</v>
      </c>
      <c r="S1491" s="114" t="n">
        <v>0</v>
      </c>
      <c r="T1491" t="n">
        <v>0</v>
      </c>
    </row>
    <row r="1492">
      <c r="A1492" t="inlineStr">
        <is>
          <t>ttJTrans</t>
        </is>
      </c>
      <c r="B1492" s="38" t="inlineStr">
        <is>
          <t>0-4006</t>
        </is>
      </c>
      <c r="C1492" t="inlineStr">
        <is>
          <t>EQ</t>
        </is>
      </c>
      <c r="E1492" t="inlineStr">
        <is>
          <t>EQ</t>
        </is>
      </c>
      <c r="H1492" s="127" t="n">
        <v>46166</v>
      </c>
      <c r="J1492" s="38" t="inlineStr">
        <is>
          <t>0-4006</t>
        </is>
      </c>
      <c r="K1492" t="inlineStr">
        <is>
          <t>WLD133 JCB 512-56 12K TELEHANDLER W/ 96" PALLET FORKS 	JCB 512-56 12K TELEHANDLER W/ 96" PALLET FORKS</t>
        </is>
      </c>
      <c r="L1492" t="n">
        <v>0</v>
      </c>
      <c r="M1492" t="n">
        <v>0</v>
      </c>
      <c r="O1492" t="inlineStr">
        <is>
          <t>WLD133</t>
        </is>
      </c>
      <c r="Q1492" s="114" t="n">
        <v>0</v>
      </c>
      <c r="R1492" s="114" t="n">
        <v>259.22</v>
      </c>
      <c r="S1492" s="114" t="n">
        <v>0</v>
      </c>
      <c r="T1492" t="n">
        <v>0</v>
      </c>
    </row>
    <row r="1493">
      <c r="A1493" t="inlineStr">
        <is>
          <t>ttJTrans</t>
        </is>
      </c>
      <c r="B1493" s="38" t="inlineStr">
        <is>
          <t>0-4006</t>
        </is>
      </c>
      <c r="C1493" t="inlineStr">
        <is>
          <t>EQ</t>
        </is>
      </c>
      <c r="E1493" t="inlineStr">
        <is>
          <t>EQ</t>
        </is>
      </c>
      <c r="H1493" s="127" t="n">
        <v>46166</v>
      </c>
      <c r="J1493" s="38" t="inlineStr">
        <is>
          <t>0-4006</t>
        </is>
      </c>
      <c r="K1493" t="inlineStr">
        <is>
          <t>WLD133 JCB 512-56 12K TELEHANDLER W/ 96" PALLET FORKS 	JCB 512-56 12K TELEHANDLER W/ 96" PALLET FORKS</t>
        </is>
      </c>
      <c r="L1493" t="n">
        <v>0</v>
      </c>
      <c r="M1493" t="n">
        <v>0</v>
      </c>
      <c r="O1493" t="inlineStr">
        <is>
          <t>WLD133</t>
        </is>
      </c>
      <c r="Q1493" s="114" t="n">
        <v>0</v>
      </c>
      <c r="R1493" s="114" t="n">
        <v>259.22</v>
      </c>
      <c r="S1493" s="114" t="n">
        <v>0</v>
      </c>
      <c r="T1493" t="n">
        <v>0</v>
      </c>
    </row>
    <row r="1494">
      <c r="A1494" t="inlineStr">
        <is>
          <t>ttJTrans</t>
        </is>
      </c>
      <c r="B1494" s="38" t="inlineStr">
        <is>
          <t>0-4006</t>
        </is>
      </c>
      <c r="C1494" t="inlineStr">
        <is>
          <t>EQ</t>
        </is>
      </c>
      <c r="E1494" t="inlineStr">
        <is>
          <t>EQ</t>
        </is>
      </c>
      <c r="H1494" s="127" t="n">
        <v>46166</v>
      </c>
      <c r="J1494" s="38" t="inlineStr">
        <is>
          <t>0-4006</t>
        </is>
      </c>
      <c r="K1494" t="inlineStr">
        <is>
          <t>WLD133 JCB 512-56 12K TELEHANDLER W/ 96" PALLET FORKS 	JCB 512-56 12K TELEHANDLER W/ 96" PALLET FORKS</t>
        </is>
      </c>
      <c r="L1494" t="n">
        <v>0</v>
      </c>
      <c r="M1494" t="n">
        <v>0</v>
      </c>
      <c r="O1494" t="inlineStr">
        <is>
          <t>WLD133</t>
        </is>
      </c>
      <c r="Q1494" s="114" t="n">
        <v>0</v>
      </c>
      <c r="R1494" s="114" t="n">
        <v>259.22</v>
      </c>
      <c r="S1494" s="114" t="n">
        <v>0</v>
      </c>
      <c r="T1494" t="n">
        <v>0</v>
      </c>
    </row>
    <row r="1495">
      <c r="A1495" t="inlineStr">
        <is>
          <t>ttJTrans</t>
        </is>
      </c>
      <c r="B1495" s="38" t="inlineStr">
        <is>
          <t>0-4006</t>
        </is>
      </c>
      <c r="C1495" t="inlineStr">
        <is>
          <t>EQ</t>
        </is>
      </c>
      <c r="E1495" t="inlineStr">
        <is>
          <t>EQ</t>
        </is>
      </c>
      <c r="H1495" s="127" t="n">
        <v>46166</v>
      </c>
      <c r="J1495" s="38" t="inlineStr">
        <is>
          <t>0-4006</t>
        </is>
      </c>
      <c r="K1495" t="inlineStr">
        <is>
          <t>WLD133 JCB 512-56 12K TELEHANDLER W/ 96" PALLET FORKS 	JCB 512-56 12K TELEHANDLER W/ 96" PALLET FORKS</t>
        </is>
      </c>
      <c r="L1495" t="n">
        <v>0</v>
      </c>
      <c r="M1495" t="n">
        <v>0</v>
      </c>
      <c r="O1495" t="inlineStr">
        <is>
          <t>WLD133</t>
        </is>
      </c>
      <c r="Q1495" s="114" t="n">
        <v>0</v>
      </c>
      <c r="R1495" s="114" t="n">
        <v>259.22</v>
      </c>
      <c r="S1495" s="114" t="n">
        <v>0</v>
      </c>
      <c r="T1495" t="n">
        <v>0</v>
      </c>
    </row>
    <row r="1496">
      <c r="A1496" t="inlineStr">
        <is>
          <t>ttJTrans</t>
        </is>
      </c>
      <c r="B1496" s="38" t="inlineStr">
        <is>
          <t>0-4006</t>
        </is>
      </c>
      <c r="C1496" t="inlineStr">
        <is>
          <t>EQ</t>
        </is>
      </c>
      <c r="E1496" t="inlineStr">
        <is>
          <t>EQ</t>
        </is>
      </c>
      <c r="H1496" s="127" t="n">
        <v>46166</v>
      </c>
      <c r="J1496" s="38" t="inlineStr">
        <is>
          <t>0-4006</t>
        </is>
      </c>
      <c r="K1496" t="inlineStr">
        <is>
          <t>WLD133 JCB 512-56 12K TELEHANDLER W/ 96" PALLET FORKS 	JCB 512-56 12K TELEHANDLER W/ 96" PALLET FORKS</t>
        </is>
      </c>
      <c r="L1496" t="n">
        <v>0</v>
      </c>
      <c r="M1496" t="n">
        <v>0</v>
      </c>
      <c r="O1496" t="inlineStr">
        <is>
          <t>WLD133</t>
        </is>
      </c>
      <c r="Q1496" s="114" t="n">
        <v>0</v>
      </c>
      <c r="R1496" s="114" t="n">
        <v>259.22</v>
      </c>
      <c r="S1496" s="114" t="n">
        <v>0</v>
      </c>
      <c r="T1496" s="45" t="n">
        <v>0</v>
      </c>
    </row>
    <row r="1497">
      <c r="A1497" t="inlineStr">
        <is>
          <t>ttJTrans</t>
        </is>
      </c>
      <c r="B1497" s="38" t="inlineStr">
        <is>
          <t>0-4006</t>
        </is>
      </c>
      <c r="C1497" t="inlineStr">
        <is>
          <t>EQ</t>
        </is>
      </c>
      <c r="E1497" t="inlineStr">
        <is>
          <t>EQ</t>
        </is>
      </c>
      <c r="H1497" s="127" t="n">
        <v>46166</v>
      </c>
      <c r="J1497" s="38" t="inlineStr">
        <is>
          <t>0-4006</t>
        </is>
      </c>
      <c r="K1497" t="inlineStr">
        <is>
          <t>WLD133 JCB 512-56 12K TELEHANDLER W/ 96" PALLET FORKS 	JCB 512-56 12K TELEHANDLER W/ 96" PALLET FORKS</t>
        </is>
      </c>
      <c r="L1497" t="n">
        <v>0</v>
      </c>
      <c r="M1497" t="n">
        <v>0</v>
      </c>
      <c r="O1497" t="inlineStr">
        <is>
          <t>WLD133</t>
        </is>
      </c>
      <c r="Q1497" s="114" t="n">
        <v>0</v>
      </c>
      <c r="R1497" s="114" t="n">
        <v>259.22</v>
      </c>
      <c r="S1497" s="114" t="n">
        <v>0</v>
      </c>
      <c r="T1497" s="45" t="n">
        <v>0</v>
      </c>
    </row>
    <row r="1498">
      <c r="A1498" t="inlineStr">
        <is>
          <t>ttJTrans</t>
        </is>
      </c>
      <c r="B1498" s="38" t="inlineStr">
        <is>
          <t>0-4006</t>
        </is>
      </c>
      <c r="C1498" t="inlineStr">
        <is>
          <t>EQ</t>
        </is>
      </c>
      <c r="E1498" t="inlineStr">
        <is>
          <t>EQ</t>
        </is>
      </c>
      <c r="H1498" s="127" t="n">
        <v>46166</v>
      </c>
      <c r="J1498" s="38" t="inlineStr">
        <is>
          <t>0-4006</t>
        </is>
      </c>
      <c r="K1498" t="inlineStr">
        <is>
          <t>RT1242 2022 RAM 2500 TRADESMAN 4X4 CREW 8FT BED GAS 2022 RAM 2500 TRADESMAN 4X4 CREW 8FT BED GAS</t>
        </is>
      </c>
      <c r="L1498" t="n">
        <v>0</v>
      </c>
      <c r="M1498" t="n">
        <v>0</v>
      </c>
      <c r="O1498" t="inlineStr">
        <is>
          <t>RT1242</t>
        </is>
      </c>
      <c r="Q1498" s="114" t="n">
        <v>0</v>
      </c>
      <c r="R1498" s="114" t="n">
        <v>79.14</v>
      </c>
      <c r="S1498" s="114" t="n">
        <v>0</v>
      </c>
      <c r="T1498" s="45" t="n">
        <v>0</v>
      </c>
    </row>
    <row r="1499">
      <c r="A1499" t="inlineStr">
        <is>
          <t>ttJTrans</t>
        </is>
      </c>
      <c r="B1499" s="38" t="inlineStr">
        <is>
          <t>0-4006</t>
        </is>
      </c>
      <c r="C1499" t="inlineStr">
        <is>
          <t>EQ</t>
        </is>
      </c>
      <c r="E1499" t="inlineStr">
        <is>
          <t>EQ</t>
        </is>
      </c>
      <c r="H1499" s="127" t="n">
        <v>46166</v>
      </c>
      <c r="J1499" s="38" t="inlineStr">
        <is>
          <t>0-4006</t>
        </is>
      </c>
      <c r="K1499" t="inlineStr">
        <is>
          <t>RT1242 2022 RAM 2500 TRADESMAN 4X4 CREW 8FT BED GAS 2022 RAM 2500 TRADESMAN 4X4 CREW 8FT BED GAS</t>
        </is>
      </c>
      <c r="L1499" t="n">
        <v>0</v>
      </c>
      <c r="M1499" t="n">
        <v>0</v>
      </c>
      <c r="O1499" t="inlineStr">
        <is>
          <t>RT1242</t>
        </is>
      </c>
      <c r="Q1499" s="114" t="n">
        <v>0</v>
      </c>
      <c r="R1499" s="114" t="n">
        <v>79.14</v>
      </c>
      <c r="S1499" s="114" t="n">
        <v>0</v>
      </c>
      <c r="T1499" s="45" t="n">
        <v>0</v>
      </c>
    </row>
    <row r="1500">
      <c r="A1500" t="inlineStr">
        <is>
          <t>ttJTrans</t>
        </is>
      </c>
      <c r="B1500" s="38" t="inlineStr">
        <is>
          <t>0-4006</t>
        </is>
      </c>
      <c r="C1500" t="inlineStr">
        <is>
          <t>EQ</t>
        </is>
      </c>
      <c r="E1500" t="inlineStr">
        <is>
          <t>EQ</t>
        </is>
      </c>
      <c r="H1500" s="127" t="n">
        <v>46166</v>
      </c>
      <c r="J1500" s="38" t="inlineStr">
        <is>
          <t>0-4006</t>
        </is>
      </c>
      <c r="K1500" t="inlineStr">
        <is>
          <t>RT1242 2022 RAM 2500 TRADESMAN 4X4 CREW 8FT BED GAS 2022 RAM 2500 TRADESMAN 4X4 CREW 8FT BED GAS</t>
        </is>
      </c>
      <c r="L1500" t="n">
        <v>0</v>
      </c>
      <c r="M1500" t="n">
        <v>0</v>
      </c>
      <c r="O1500" t="inlineStr">
        <is>
          <t>RT1242</t>
        </is>
      </c>
      <c r="Q1500" s="114" t="n">
        <v>0</v>
      </c>
      <c r="R1500" s="114" t="n">
        <v>79.14</v>
      </c>
      <c r="S1500" s="114" t="n">
        <v>0</v>
      </c>
      <c r="T1500" s="45" t="n">
        <v>0</v>
      </c>
    </row>
    <row r="1501">
      <c r="A1501" t="inlineStr">
        <is>
          <t>ttJTrans</t>
        </is>
      </c>
      <c r="B1501" s="38" t="inlineStr">
        <is>
          <t>0-4006</t>
        </is>
      </c>
      <c r="C1501" t="inlineStr">
        <is>
          <t>EQ</t>
        </is>
      </c>
      <c r="E1501" t="inlineStr">
        <is>
          <t>EQ</t>
        </is>
      </c>
      <c r="H1501" s="127" t="n">
        <v>46166</v>
      </c>
      <c r="J1501" s="38" t="inlineStr">
        <is>
          <t>0-4006</t>
        </is>
      </c>
      <c r="K1501" t="inlineStr">
        <is>
          <t>RT1242 2022 RAM 2500 TRADESMAN 4X4 CREW 8FT BED GAS 2022 RAM 2500 TRADESMAN 4X4 CREW 8FT BED GAS</t>
        </is>
      </c>
      <c r="L1501" t="n">
        <v>0</v>
      </c>
      <c r="M1501" t="n">
        <v>0</v>
      </c>
      <c r="O1501" t="inlineStr">
        <is>
          <t>RT1242</t>
        </is>
      </c>
      <c r="Q1501" s="114" t="n">
        <v>0</v>
      </c>
      <c r="R1501" s="114" t="n">
        <v>79.14</v>
      </c>
      <c r="S1501" s="114" t="n">
        <v>0</v>
      </c>
      <c r="T1501" s="45" t="n">
        <v>0</v>
      </c>
    </row>
    <row r="1502">
      <c r="A1502" t="inlineStr">
        <is>
          <t>ttJTrans</t>
        </is>
      </c>
      <c r="B1502" s="38" t="inlineStr">
        <is>
          <t>0-4006</t>
        </is>
      </c>
      <c r="C1502" t="inlineStr">
        <is>
          <t>ER</t>
        </is>
      </c>
      <c r="E1502" t="inlineStr">
        <is>
          <t>ER</t>
        </is>
      </c>
      <c r="H1502" s="127" t="n">
        <v>46124</v>
      </c>
      <c r="J1502" s="38" t="inlineStr">
        <is>
          <t>0-4006</t>
        </is>
      </c>
      <c r="K1502" t="inlineStr">
        <is>
          <t>REX665 330 CATERPILLAR EXCAVATOR 330 CATERPILLAR EXCAVATOR</t>
        </is>
      </c>
      <c r="L1502" t="n">
        <v>0</v>
      </c>
      <c r="M1502" t="n">
        <v>0</v>
      </c>
      <c r="O1502" t="inlineStr">
        <is>
          <t>REX665</t>
        </is>
      </c>
      <c r="Q1502" s="114" t="n">
        <v>0</v>
      </c>
      <c r="R1502" s="114" t="n">
        <v>458.33</v>
      </c>
      <c r="S1502" s="114" t="n">
        <v>0</v>
      </c>
      <c r="T1502" s="45" t="n">
        <v>0</v>
      </c>
    </row>
    <row r="1503">
      <c r="A1503" t="inlineStr">
        <is>
          <t>ttJTrans</t>
        </is>
      </c>
      <c r="B1503" s="38" t="inlineStr">
        <is>
          <t>0-4006</t>
        </is>
      </c>
      <c r="C1503" t="inlineStr">
        <is>
          <t>ER</t>
        </is>
      </c>
      <c r="E1503" t="inlineStr">
        <is>
          <t>ER</t>
        </is>
      </c>
      <c r="H1503" s="127" t="n">
        <v>46124</v>
      </c>
      <c r="J1503" s="38" t="inlineStr">
        <is>
          <t>0-4006</t>
        </is>
      </c>
      <c r="K1503" t="inlineStr">
        <is>
          <t>RDZ318 CAT D5 LGPVPR DOZER 170 HP CAT D5 LGPVPR DOZER 170 HP</t>
        </is>
      </c>
      <c r="L1503" t="n">
        <v>0</v>
      </c>
      <c r="M1503" t="n">
        <v>0</v>
      </c>
      <c r="O1503" t="inlineStr">
        <is>
          <t>RDZ318</t>
        </is>
      </c>
      <c r="Q1503" s="114" t="n">
        <v>0</v>
      </c>
      <c r="R1503" s="114" t="n">
        <v>778.74</v>
      </c>
      <c r="S1503" s="114" t="n">
        <v>0</v>
      </c>
      <c r="T1503" s="45" t="n">
        <v>0</v>
      </c>
    </row>
    <row r="1504">
      <c r="A1504" t="inlineStr">
        <is>
          <t>ttJTrans</t>
        </is>
      </c>
      <c r="B1504" s="38" t="inlineStr">
        <is>
          <t>0-4006</t>
        </is>
      </c>
      <c r="C1504" t="inlineStr">
        <is>
          <t>ER</t>
        </is>
      </c>
      <c r="E1504" t="inlineStr">
        <is>
          <t>ER</t>
        </is>
      </c>
      <c r="H1504" s="127" t="n">
        <v>46124</v>
      </c>
      <c r="J1504" s="38" t="inlineStr">
        <is>
          <t>0-4006</t>
        </is>
      </c>
      <c r="K1504" t="inlineStr">
        <is>
          <t>RDZ318 CAT D5 LGPVPR DOZER 170 HP CAT D5 LGPVPR DOZER 170 HP</t>
        </is>
      </c>
      <c r="L1504" t="n">
        <v>0</v>
      </c>
      <c r="M1504" t="n">
        <v>0</v>
      </c>
      <c r="O1504" t="inlineStr">
        <is>
          <t>RDZ318</t>
        </is>
      </c>
      <c r="Q1504" s="114" t="n">
        <v>0</v>
      </c>
      <c r="R1504" s="114" t="n">
        <v>778.74</v>
      </c>
      <c r="S1504" s="114" t="n">
        <v>0</v>
      </c>
      <c r="T1504" s="45" t="n">
        <v>0</v>
      </c>
    </row>
    <row r="1505">
      <c r="A1505" t="inlineStr">
        <is>
          <t>ttJTrans</t>
        </is>
      </c>
      <c r="B1505" s="38" t="inlineStr">
        <is>
          <t>0-4006</t>
        </is>
      </c>
      <c r="C1505" t="inlineStr">
        <is>
          <t>ER</t>
        </is>
      </c>
      <c r="E1505" t="inlineStr">
        <is>
          <t>ER</t>
        </is>
      </c>
      <c r="H1505" s="127" t="n">
        <v>46124</v>
      </c>
      <c r="J1505" s="38" t="inlineStr">
        <is>
          <t>0-4006</t>
        </is>
      </c>
      <c r="K1505" t="inlineStr">
        <is>
          <t>RDZ318 CAT D5 LGPVPR DOZER 170 HP CAT D5 LGPVPR DOZER 170 HP</t>
        </is>
      </c>
      <c r="L1505" t="n">
        <v>0</v>
      </c>
      <c r="M1505" t="n">
        <v>0</v>
      </c>
      <c r="O1505" t="inlineStr">
        <is>
          <t>RDZ318</t>
        </is>
      </c>
      <c r="Q1505" s="114" t="n">
        <v>0</v>
      </c>
      <c r="R1505" s="114" t="n">
        <v>778.74</v>
      </c>
      <c r="S1505" s="114" t="n">
        <v>0</v>
      </c>
      <c r="T1505" s="45" t="n">
        <v>0</v>
      </c>
    </row>
    <row r="1506">
      <c r="A1506" t="inlineStr">
        <is>
          <t>ttJTrans</t>
        </is>
      </c>
      <c r="B1506" s="38" t="inlineStr">
        <is>
          <t>0-4006</t>
        </is>
      </c>
      <c r="C1506" t="inlineStr">
        <is>
          <t>ER</t>
        </is>
      </c>
      <c r="E1506" t="inlineStr">
        <is>
          <t>ER</t>
        </is>
      </c>
      <c r="H1506" s="127" t="n">
        <v>46124</v>
      </c>
      <c r="J1506" s="38" t="inlineStr">
        <is>
          <t>0-4006</t>
        </is>
      </c>
      <c r="K1506" t="inlineStr">
        <is>
          <t>RDZ318 CAT D5 LGPVPR DOZER 170 HP CAT D5 LGPVPR DOZER 170 HP</t>
        </is>
      </c>
      <c r="L1506" t="n">
        <v>0</v>
      </c>
      <c r="M1506" t="n">
        <v>0</v>
      </c>
      <c r="O1506" t="inlineStr">
        <is>
          <t>RDZ318</t>
        </is>
      </c>
      <c r="Q1506" s="114" t="n">
        <v>0</v>
      </c>
      <c r="R1506" s="114" t="n">
        <v>778.74</v>
      </c>
      <c r="S1506" s="114" t="n">
        <v>0</v>
      </c>
      <c r="T1506" s="45" t="n">
        <v>0</v>
      </c>
    </row>
    <row r="1507">
      <c r="A1507" t="inlineStr">
        <is>
          <t>ttJTrans</t>
        </is>
      </c>
      <c r="B1507" s="38" t="inlineStr">
        <is>
          <t>0-4006</t>
        </is>
      </c>
      <c r="C1507" t="inlineStr">
        <is>
          <t>ER</t>
        </is>
      </c>
      <c r="E1507" t="inlineStr">
        <is>
          <t>ER</t>
        </is>
      </c>
      <c r="H1507" s="127" t="n">
        <v>46124</v>
      </c>
      <c r="J1507" s="38" t="inlineStr">
        <is>
          <t>0-4006</t>
        </is>
      </c>
      <c r="K1507" t="inlineStr">
        <is>
          <t>RDZ318 CAT D5 LGPVPR DOZER 170 HP CAT D5 LGPVPR DOZER 170 HP</t>
        </is>
      </c>
      <c r="L1507" t="n">
        <v>0</v>
      </c>
      <c r="M1507" t="n">
        <v>0</v>
      </c>
      <c r="O1507" t="inlineStr">
        <is>
          <t>RDZ318</t>
        </is>
      </c>
      <c r="Q1507" s="114" t="n">
        <v>0</v>
      </c>
      <c r="R1507" s="114" t="n">
        <v>778.74</v>
      </c>
      <c r="S1507" s="114" t="n">
        <v>0</v>
      </c>
      <c r="T1507" s="45" t="n">
        <v>0</v>
      </c>
    </row>
    <row r="1508">
      <c r="A1508" t="inlineStr">
        <is>
          <t>ttJTrans</t>
        </is>
      </c>
      <c r="B1508" s="38" t="inlineStr">
        <is>
          <t>0-4006</t>
        </is>
      </c>
      <c r="C1508" t="inlineStr">
        <is>
          <t>ER</t>
        </is>
      </c>
      <c r="E1508" t="inlineStr">
        <is>
          <t>ER</t>
        </is>
      </c>
      <c r="H1508" s="127" t="n">
        <v>46124</v>
      </c>
      <c r="J1508" s="38" t="inlineStr">
        <is>
          <t>0-4006</t>
        </is>
      </c>
      <c r="K1508" t="inlineStr">
        <is>
          <t>RGR114 CATERPILLAR 150 AWD MOTOR GRADER CATERPILLAR 150 AWD MOTOR GRADER</t>
        </is>
      </c>
      <c r="L1508" t="n">
        <v>0</v>
      </c>
      <c r="M1508" t="n">
        <v>0</v>
      </c>
      <c r="O1508" t="inlineStr">
        <is>
          <t>RGR114</t>
        </is>
      </c>
      <c r="Q1508" s="114" t="n">
        <v>0</v>
      </c>
      <c r="R1508" s="114" t="n">
        <v>604.17</v>
      </c>
      <c r="S1508" s="114" t="n">
        <v>0</v>
      </c>
      <c r="T1508" s="45" t="n">
        <v>0</v>
      </c>
    </row>
    <row r="1509">
      <c r="A1509" t="inlineStr">
        <is>
          <t>ttJTrans</t>
        </is>
      </c>
      <c r="B1509" s="38" t="inlineStr">
        <is>
          <t>0-4006</t>
        </is>
      </c>
      <c r="C1509" t="inlineStr">
        <is>
          <t>ER</t>
        </is>
      </c>
      <c r="E1509" t="inlineStr">
        <is>
          <t>ER</t>
        </is>
      </c>
      <c r="H1509" s="127" t="n">
        <v>46124</v>
      </c>
      <c r="J1509" s="38" t="inlineStr">
        <is>
          <t>0-4006</t>
        </is>
      </c>
      <c r="K1509" t="inlineStr">
        <is>
          <t>RGR114 CATERPILLAR 150 AWD MOTOR GRADER CATERPILLAR 150 AWD MOTOR GRADER</t>
        </is>
      </c>
      <c r="L1509" t="n">
        <v>0</v>
      </c>
      <c r="M1509" t="n">
        <v>0</v>
      </c>
      <c r="O1509" t="inlineStr">
        <is>
          <t>RGR114</t>
        </is>
      </c>
      <c r="Q1509" s="114" t="n">
        <v>0</v>
      </c>
      <c r="R1509" s="114" t="n">
        <v>604.17</v>
      </c>
      <c r="S1509" s="114" t="n">
        <v>0</v>
      </c>
      <c r="T1509" s="45" t="n">
        <v>0</v>
      </c>
    </row>
    <row r="1510">
      <c r="A1510" t="inlineStr">
        <is>
          <t>ttJTrans</t>
        </is>
      </c>
      <c r="B1510" s="38" t="inlineStr">
        <is>
          <t>0-4006</t>
        </is>
      </c>
      <c r="C1510" t="inlineStr">
        <is>
          <t>ER</t>
        </is>
      </c>
      <c r="E1510" t="inlineStr">
        <is>
          <t>ER</t>
        </is>
      </c>
      <c r="H1510" s="127" t="n">
        <v>46124</v>
      </c>
      <c r="J1510" s="38" t="inlineStr">
        <is>
          <t>0-4006</t>
        </is>
      </c>
      <c r="K1510" t="inlineStr">
        <is>
          <t>RGR114 CATERPILLAR 150 AWD MOTOR GRADER CATERPILLAR 150 AWD MOTOR GRADER</t>
        </is>
      </c>
      <c r="L1510" t="n">
        <v>0</v>
      </c>
      <c r="M1510" t="n">
        <v>0</v>
      </c>
      <c r="O1510" t="inlineStr">
        <is>
          <t>RGR114</t>
        </is>
      </c>
      <c r="Q1510" s="114" t="n">
        <v>0</v>
      </c>
      <c r="R1510" s="114" t="n">
        <v>604.17</v>
      </c>
      <c r="S1510" s="114" t="n">
        <v>0</v>
      </c>
      <c r="T1510" s="45" t="n">
        <v>0</v>
      </c>
    </row>
    <row r="1511">
      <c r="A1511" t="inlineStr">
        <is>
          <t>ttJTrans</t>
        </is>
      </c>
      <c r="B1511" s="38" t="inlineStr">
        <is>
          <t>0-4006</t>
        </is>
      </c>
      <c r="C1511" t="inlineStr">
        <is>
          <t>ER</t>
        </is>
      </c>
      <c r="E1511" t="inlineStr">
        <is>
          <t>ER</t>
        </is>
      </c>
      <c r="H1511" s="127" t="n">
        <v>46124</v>
      </c>
      <c r="J1511" s="38" t="inlineStr">
        <is>
          <t>0-4006</t>
        </is>
      </c>
      <c r="K1511" t="inlineStr">
        <is>
          <t>RFT890 CASE MAGNUN 220 FARM TRACTOR CASE MAGNUN 220 FARM TRACTOR</t>
        </is>
      </c>
      <c r="L1511" t="n">
        <v>0</v>
      </c>
      <c r="M1511" t="n">
        <v>0</v>
      </c>
      <c r="O1511" t="inlineStr">
        <is>
          <t>RFT890</t>
        </is>
      </c>
      <c r="Q1511" s="114" t="n">
        <v>0</v>
      </c>
      <c r="R1511" s="114" t="n">
        <v>500</v>
      </c>
      <c r="S1511" s="114" t="n">
        <v>0</v>
      </c>
      <c r="T1511" s="45" t="n">
        <v>0</v>
      </c>
    </row>
    <row r="1512">
      <c r="A1512" t="inlineStr">
        <is>
          <t>ttJTrans</t>
        </is>
      </c>
      <c r="B1512" s="38" t="inlineStr">
        <is>
          <t>0-4006</t>
        </is>
      </c>
      <c r="C1512" t="inlineStr">
        <is>
          <t>ER</t>
        </is>
      </c>
      <c r="E1512" t="inlineStr">
        <is>
          <t>ER</t>
        </is>
      </c>
      <c r="H1512" s="127" t="n">
        <v>46124</v>
      </c>
      <c r="J1512" s="38" t="inlineStr">
        <is>
          <t>0-4006</t>
        </is>
      </c>
      <c r="K1512" t="inlineStr">
        <is>
          <t>RFT890 CASE MAGNUN 220 FARM TRACTOR CASE MAGNUN 220 FARM TRACTOR</t>
        </is>
      </c>
      <c r="L1512" t="n">
        <v>0</v>
      </c>
      <c r="M1512" t="n">
        <v>0</v>
      </c>
      <c r="O1512" t="inlineStr">
        <is>
          <t>RFT890</t>
        </is>
      </c>
      <c r="Q1512" s="114" t="n">
        <v>0</v>
      </c>
      <c r="R1512" s="114" t="n">
        <v>500</v>
      </c>
      <c r="S1512" s="114" t="n">
        <v>0</v>
      </c>
      <c r="T1512" s="45" t="n">
        <v>0</v>
      </c>
    </row>
    <row r="1513">
      <c r="A1513" t="inlineStr">
        <is>
          <t>ttJTrans</t>
        </is>
      </c>
      <c r="B1513" s="38" t="inlineStr">
        <is>
          <t>0-4006</t>
        </is>
      </c>
      <c r="C1513" t="inlineStr">
        <is>
          <t>ER</t>
        </is>
      </c>
      <c r="E1513" t="inlineStr">
        <is>
          <t>ER</t>
        </is>
      </c>
      <c r="H1513" s="127" t="n">
        <v>46124</v>
      </c>
      <c r="J1513" s="38" t="inlineStr">
        <is>
          <t>0-4006</t>
        </is>
      </c>
      <c r="K1513" t="inlineStr">
        <is>
          <t>RFT890 CASE MAGNUN 220 FARM TRACTOR CASE MAGNUN 220 FARM TRACTOR</t>
        </is>
      </c>
      <c r="L1513" t="n">
        <v>0</v>
      </c>
      <c r="M1513" t="n">
        <v>0</v>
      </c>
      <c r="O1513" t="inlineStr">
        <is>
          <t>RFT890</t>
        </is>
      </c>
      <c r="Q1513" s="114" t="n">
        <v>0</v>
      </c>
      <c r="R1513" s="114" t="n">
        <v>500</v>
      </c>
      <c r="S1513" s="114" t="n">
        <v>0</v>
      </c>
      <c r="T1513" s="45" t="n">
        <v>0</v>
      </c>
    </row>
    <row r="1514">
      <c r="A1514" t="inlineStr">
        <is>
          <t>ttJTrans</t>
        </is>
      </c>
      <c r="B1514" s="38" t="inlineStr">
        <is>
          <t>0-4006</t>
        </is>
      </c>
      <c r="C1514" t="inlineStr">
        <is>
          <t>ER</t>
        </is>
      </c>
      <c r="E1514" t="inlineStr">
        <is>
          <t>ER</t>
        </is>
      </c>
      <c r="H1514" s="127" t="n">
        <v>46124</v>
      </c>
      <c r="J1514" s="38" t="inlineStr">
        <is>
          <t>0-4006</t>
        </is>
      </c>
      <c r="K1514" t="inlineStr">
        <is>
          <t>RFT890 CASE MAGNUN 220 FARM TRACTOR CASE MAGNUN 220 FARM TRACTOR</t>
        </is>
      </c>
      <c r="L1514" t="n">
        <v>0</v>
      </c>
      <c r="M1514" t="n">
        <v>0</v>
      </c>
      <c r="O1514" t="inlineStr">
        <is>
          <t>RFT890</t>
        </is>
      </c>
      <c r="Q1514" s="114" t="n">
        <v>0</v>
      </c>
      <c r="R1514" s="114" t="n">
        <v>500</v>
      </c>
      <c r="S1514" s="114" t="n">
        <v>0</v>
      </c>
      <c r="T1514" s="45" t="n">
        <v>0</v>
      </c>
    </row>
    <row r="1515">
      <c r="A1515" t="inlineStr">
        <is>
          <t>ttJTrans</t>
        </is>
      </c>
      <c r="B1515" s="38" t="inlineStr">
        <is>
          <t>0-4006</t>
        </is>
      </c>
      <c r="C1515" t="inlineStr">
        <is>
          <t>ER</t>
        </is>
      </c>
      <c r="E1515" t="inlineStr">
        <is>
          <t>ER</t>
        </is>
      </c>
      <c r="H1515" s="127" t="n">
        <v>46124</v>
      </c>
      <c r="J1515" s="38" t="inlineStr">
        <is>
          <t>0-4006</t>
        </is>
      </c>
      <c r="K1515" t="inlineStr">
        <is>
          <t>RFT890 CASE MAGNUN 220 FARM TRACTOR CASE MAGNUN 220 FARM TRACTOR</t>
        </is>
      </c>
      <c r="L1515" t="n">
        <v>0</v>
      </c>
      <c r="M1515" t="n">
        <v>0</v>
      </c>
      <c r="O1515" t="inlineStr">
        <is>
          <t>RFT890</t>
        </is>
      </c>
      <c r="Q1515" s="114" t="n">
        <v>0</v>
      </c>
      <c r="R1515" s="114" t="n">
        <v>500</v>
      </c>
      <c r="S1515" s="114" t="n">
        <v>0</v>
      </c>
      <c r="T1515" s="45" t="n">
        <v>0</v>
      </c>
    </row>
    <row r="1516">
      <c r="A1516" t="inlineStr">
        <is>
          <t>ttJTrans</t>
        </is>
      </c>
      <c r="B1516" s="38" t="inlineStr">
        <is>
          <t>0-4006</t>
        </is>
      </c>
      <c r="C1516" t="inlineStr">
        <is>
          <t>ER</t>
        </is>
      </c>
      <c r="E1516" t="inlineStr">
        <is>
          <t>ER</t>
        </is>
      </c>
      <c r="H1516" s="127" t="n">
        <v>46124</v>
      </c>
      <c r="J1516" s="38" t="inlineStr">
        <is>
          <t>0-4006</t>
        </is>
      </c>
      <c r="K1516" t="inlineStr">
        <is>
          <t>RFT892 CASE PUMA 200 FARM TRACTOR W FRONT LOADER CASE PUMA 200 FARM TRACTOR W FRONT LOADER</t>
        </is>
      </c>
      <c r="L1516" t="n">
        <v>0</v>
      </c>
      <c r="M1516" t="n">
        <v>0</v>
      </c>
      <c r="O1516" t="inlineStr">
        <is>
          <t>RFT892</t>
        </is>
      </c>
      <c r="Q1516" s="114" t="n">
        <v>0</v>
      </c>
      <c r="R1516" s="114" t="n">
        <v>508.33</v>
      </c>
      <c r="S1516" s="114" t="n">
        <v>0</v>
      </c>
      <c r="T1516" s="45" t="n">
        <v>0</v>
      </c>
    </row>
    <row r="1517">
      <c r="A1517" t="inlineStr">
        <is>
          <t>ttJTrans</t>
        </is>
      </c>
      <c r="B1517" s="38" t="inlineStr">
        <is>
          <t>0-4006</t>
        </is>
      </c>
      <c r="C1517" t="inlineStr">
        <is>
          <t>ER</t>
        </is>
      </c>
      <c r="E1517" t="inlineStr">
        <is>
          <t>ER</t>
        </is>
      </c>
      <c r="H1517" s="127" t="n">
        <v>46124</v>
      </c>
      <c r="J1517" s="38" t="inlineStr">
        <is>
          <t>0-4006</t>
        </is>
      </c>
      <c r="K1517" t="inlineStr">
        <is>
          <t>RFT892 CASE PUMA 200 FARM TRACTOR W FRONT LOADER CASE PUMA 200 FARM TRACTOR W FRONT LOADER</t>
        </is>
      </c>
      <c r="L1517" t="n">
        <v>0</v>
      </c>
      <c r="M1517" t="n">
        <v>0</v>
      </c>
      <c r="O1517" t="inlineStr">
        <is>
          <t>RFT892</t>
        </is>
      </c>
      <c r="Q1517" s="114" t="n">
        <v>0</v>
      </c>
      <c r="R1517" s="114" t="n">
        <v>508.33</v>
      </c>
      <c r="S1517" s="114" t="n">
        <v>0</v>
      </c>
      <c r="T1517" s="45" t="n">
        <v>0</v>
      </c>
    </row>
    <row r="1518">
      <c r="A1518" t="inlineStr">
        <is>
          <t>ttJTrans</t>
        </is>
      </c>
      <c r="B1518" s="38" t="inlineStr">
        <is>
          <t>0-4006</t>
        </is>
      </c>
      <c r="C1518" t="inlineStr">
        <is>
          <t>ER</t>
        </is>
      </c>
      <c r="E1518" t="inlineStr">
        <is>
          <t>ER</t>
        </is>
      </c>
      <c r="H1518" s="127" t="n">
        <v>46124</v>
      </c>
      <c r="J1518" s="38" t="inlineStr">
        <is>
          <t>0-4006</t>
        </is>
      </c>
      <c r="K1518" t="inlineStr">
        <is>
          <t>RFT892 CASE PUMA 200 FARM TRACTOR W FRONT LOADER CASE PUMA 200 FARM TRACTOR W FRONT LOADER</t>
        </is>
      </c>
      <c r="L1518" t="n">
        <v>0</v>
      </c>
      <c r="M1518" t="n">
        <v>0</v>
      </c>
      <c r="O1518" t="inlineStr">
        <is>
          <t>RFT892</t>
        </is>
      </c>
      <c r="Q1518" s="114" t="n">
        <v>0</v>
      </c>
      <c r="R1518" s="114" t="n">
        <v>508.33</v>
      </c>
      <c r="S1518" s="114" t="n">
        <v>0</v>
      </c>
      <c r="T1518" s="45" t="n">
        <v>0</v>
      </c>
    </row>
    <row r="1519">
      <c r="A1519" t="inlineStr">
        <is>
          <t>ttJTrans</t>
        </is>
      </c>
      <c r="B1519" s="38" t="inlineStr">
        <is>
          <t>0-4006</t>
        </is>
      </c>
      <c r="C1519" t="inlineStr">
        <is>
          <t>ER</t>
        </is>
      </c>
      <c r="E1519" t="inlineStr">
        <is>
          <t>ER</t>
        </is>
      </c>
      <c r="H1519" s="127" t="n">
        <v>46124</v>
      </c>
      <c r="J1519" s="38" t="inlineStr">
        <is>
          <t>0-4006</t>
        </is>
      </c>
      <c r="K1519" t="inlineStr">
        <is>
          <t>RFT892 CASE PUMA 200 FARM TRACTOR W FRONT LOADER CASE PUMA 200 FARM TRACTOR W FRONT LOADER</t>
        </is>
      </c>
      <c r="L1519" t="n">
        <v>0</v>
      </c>
      <c r="M1519" t="n">
        <v>0</v>
      </c>
      <c r="O1519" t="inlineStr">
        <is>
          <t>RFT892</t>
        </is>
      </c>
      <c r="Q1519" s="114" t="n">
        <v>0</v>
      </c>
      <c r="R1519" s="114" t="n">
        <v>508.33</v>
      </c>
      <c r="S1519" s="114" t="n">
        <v>0</v>
      </c>
      <c r="T1519" s="45" t="n">
        <v>0</v>
      </c>
    </row>
    <row r="1520">
      <c r="A1520" t="inlineStr">
        <is>
          <t>ttJTrans</t>
        </is>
      </c>
      <c r="B1520" s="38" t="inlineStr">
        <is>
          <t>0-4006</t>
        </is>
      </c>
      <c r="C1520" t="inlineStr">
        <is>
          <t>ER</t>
        </is>
      </c>
      <c r="E1520" t="inlineStr">
        <is>
          <t>ER</t>
        </is>
      </c>
      <c r="H1520" s="127" t="n">
        <v>46124</v>
      </c>
      <c r="J1520" s="38" t="inlineStr">
        <is>
          <t>0-4006</t>
        </is>
      </c>
      <c r="K1520" t="inlineStr">
        <is>
          <t>RFT892 CASE PUMA 200 FARM TRACTOR W FRONT LOADER CASE PUMA 200 FARM TRACTOR W FRONT LOADER</t>
        </is>
      </c>
      <c r="L1520" t="n">
        <v>0</v>
      </c>
      <c r="M1520" t="n">
        <v>0</v>
      </c>
      <c r="O1520" t="inlineStr">
        <is>
          <t>RFT892</t>
        </is>
      </c>
      <c r="Q1520" s="114" t="n">
        <v>0</v>
      </c>
      <c r="R1520" s="114" t="n">
        <v>508.33</v>
      </c>
      <c r="S1520" s="114" t="n">
        <v>0</v>
      </c>
      <c r="T1520" s="45" t="n">
        <v>0</v>
      </c>
    </row>
    <row r="1521">
      <c r="A1521" t="inlineStr">
        <is>
          <t>ttJTrans</t>
        </is>
      </c>
      <c r="B1521" s="38" t="inlineStr">
        <is>
          <t>0-4006</t>
        </is>
      </c>
      <c r="C1521" t="inlineStr">
        <is>
          <t>ER</t>
        </is>
      </c>
      <c r="E1521" t="inlineStr">
        <is>
          <t>ER</t>
        </is>
      </c>
      <c r="H1521" s="127" t="n">
        <v>46124</v>
      </c>
      <c r="J1521" s="38" t="inlineStr">
        <is>
          <t>0-4006</t>
        </is>
      </c>
      <c r="K1521" t="inlineStr">
        <is>
          <t>RFT891 CASE MAGNUM 220 FARM TRACTOR CASE MAGNUM 220 FARM TRACTOR</t>
        </is>
      </c>
      <c r="L1521" t="n">
        <v>0</v>
      </c>
      <c r="M1521" t="n">
        <v>0</v>
      </c>
      <c r="O1521" t="inlineStr">
        <is>
          <t>RFT891</t>
        </is>
      </c>
      <c r="Q1521" s="114" t="n">
        <v>0</v>
      </c>
      <c r="R1521" s="114" t="n">
        <v>500</v>
      </c>
      <c r="S1521" s="114" t="n">
        <v>0</v>
      </c>
      <c r="T1521" s="45" t="n">
        <v>0</v>
      </c>
    </row>
    <row r="1522">
      <c r="A1522" t="inlineStr">
        <is>
          <t>ttJTrans</t>
        </is>
      </c>
      <c r="B1522" s="38" t="inlineStr">
        <is>
          <t>0-4006</t>
        </is>
      </c>
      <c r="C1522" t="inlineStr">
        <is>
          <t>ER</t>
        </is>
      </c>
      <c r="E1522" t="inlineStr">
        <is>
          <t>ER</t>
        </is>
      </c>
      <c r="H1522" s="127" t="n">
        <v>46124</v>
      </c>
      <c r="J1522" s="38" t="inlineStr">
        <is>
          <t>0-4006</t>
        </is>
      </c>
      <c r="K1522" t="inlineStr">
        <is>
          <t>RFT891 CASE MAGNUM 220 FARM TRACTOR CASE MAGNUM 220 FARM TRACTOR</t>
        </is>
      </c>
      <c r="L1522" t="n">
        <v>0</v>
      </c>
      <c r="M1522" t="n">
        <v>0</v>
      </c>
      <c r="O1522" t="inlineStr">
        <is>
          <t>RFT891</t>
        </is>
      </c>
      <c r="Q1522" s="114" t="n">
        <v>0</v>
      </c>
      <c r="R1522" s="114" t="n">
        <v>500</v>
      </c>
      <c r="S1522" s="114" t="n">
        <v>0</v>
      </c>
      <c r="T1522" s="45" t="n">
        <v>0</v>
      </c>
    </row>
    <row r="1523">
      <c r="A1523" t="inlineStr">
        <is>
          <t>ttJTrans</t>
        </is>
      </c>
      <c r="B1523" s="38" t="inlineStr">
        <is>
          <t>0-4006</t>
        </is>
      </c>
      <c r="C1523" t="inlineStr">
        <is>
          <t>ER</t>
        </is>
      </c>
      <c r="E1523" t="inlineStr">
        <is>
          <t>ER</t>
        </is>
      </c>
      <c r="H1523" s="127" t="n">
        <v>46124</v>
      </c>
      <c r="J1523" s="38" t="inlineStr">
        <is>
          <t>0-4006</t>
        </is>
      </c>
      <c r="K1523" t="inlineStr">
        <is>
          <t>RFT891 CASE MAGNUM 220 FARM TRACTOR CASE MAGNUM 220 FARM TRACTOR</t>
        </is>
      </c>
      <c r="L1523" t="n">
        <v>0</v>
      </c>
      <c r="M1523" t="n">
        <v>0</v>
      </c>
      <c r="O1523" t="inlineStr">
        <is>
          <t>RFT891</t>
        </is>
      </c>
      <c r="Q1523" s="114" t="n">
        <v>0</v>
      </c>
      <c r="R1523" s="114" t="n">
        <v>500</v>
      </c>
      <c r="S1523" s="114" t="n">
        <v>0</v>
      </c>
      <c r="T1523" s="45" t="n">
        <v>0</v>
      </c>
    </row>
    <row r="1524">
      <c r="A1524" t="inlineStr">
        <is>
          <t>ttJTrans</t>
        </is>
      </c>
      <c r="B1524" s="38" t="inlineStr">
        <is>
          <t>0-4006</t>
        </is>
      </c>
      <c r="C1524" t="inlineStr">
        <is>
          <t>ER</t>
        </is>
      </c>
      <c r="E1524" t="inlineStr">
        <is>
          <t>ER</t>
        </is>
      </c>
      <c r="H1524" s="127" t="n">
        <v>46124</v>
      </c>
      <c r="J1524" s="38" t="inlineStr">
        <is>
          <t>0-4006</t>
        </is>
      </c>
      <c r="K1524" t="inlineStr">
        <is>
          <t>RFT891 CASE MAGNUM 220 FARM TRACTOR CASE MAGNUM 220 FARM TRACTOR</t>
        </is>
      </c>
      <c r="L1524" t="n">
        <v>0</v>
      </c>
      <c r="M1524" t="n">
        <v>0</v>
      </c>
      <c r="O1524" t="inlineStr">
        <is>
          <t>RFT891</t>
        </is>
      </c>
      <c r="Q1524" s="114" t="n">
        <v>0</v>
      </c>
      <c r="R1524" s="114" t="n">
        <v>500</v>
      </c>
      <c r="S1524" s="114" t="n">
        <v>0</v>
      </c>
      <c r="T1524" t="n">
        <v>0</v>
      </c>
    </row>
    <row r="1525">
      <c r="A1525" t="inlineStr">
        <is>
          <t>ttJTrans</t>
        </is>
      </c>
      <c r="B1525" s="38" t="inlineStr">
        <is>
          <t>0-4006</t>
        </is>
      </c>
      <c r="C1525" t="inlineStr">
        <is>
          <t>ER</t>
        </is>
      </c>
      <c r="E1525" t="inlineStr">
        <is>
          <t>ER</t>
        </is>
      </c>
      <c r="H1525" s="127" t="n">
        <v>46124</v>
      </c>
      <c r="J1525" s="38" t="inlineStr">
        <is>
          <t>0-4006</t>
        </is>
      </c>
      <c r="K1525" t="inlineStr">
        <is>
          <t>RFT891 CASE MAGNUM 220 FARM TRACTOR CASE MAGNUM 220 FARM TRACTOR</t>
        </is>
      </c>
      <c r="L1525" t="n">
        <v>0</v>
      </c>
      <c r="M1525" t="n">
        <v>0</v>
      </c>
      <c r="O1525" t="inlineStr">
        <is>
          <t>RFT891</t>
        </is>
      </c>
      <c r="Q1525" s="114" t="n">
        <v>0</v>
      </c>
      <c r="R1525" s="114" t="n">
        <v>500</v>
      </c>
      <c r="S1525" s="114" t="n">
        <v>0</v>
      </c>
      <c r="T1525" t="n">
        <v>0</v>
      </c>
    </row>
    <row r="1526">
      <c r="A1526" t="inlineStr">
        <is>
          <t>ttJTrans</t>
        </is>
      </c>
      <c r="B1526" s="38" t="inlineStr">
        <is>
          <t>0-4006</t>
        </is>
      </c>
      <c r="C1526" t="inlineStr">
        <is>
          <t>ER</t>
        </is>
      </c>
      <c r="E1526" t="inlineStr">
        <is>
          <t>ER</t>
        </is>
      </c>
      <c r="H1526" s="127" t="n">
        <v>46124</v>
      </c>
      <c r="J1526" s="38" t="inlineStr">
        <is>
          <t>0-4006</t>
        </is>
      </c>
      <c r="K1526" t="inlineStr">
        <is>
          <t>RMS2319 25' SMOOTH ROLLER FOR FARM TRACTOR 25' SMOOTH ROLLER FOR FARM TRACTOR</t>
        </is>
      </c>
      <c r="L1526" t="n">
        <v>0</v>
      </c>
      <c r="M1526" t="n">
        <v>0</v>
      </c>
      <c r="O1526" t="inlineStr">
        <is>
          <t>RMS2319</t>
        </is>
      </c>
      <c r="Q1526" s="114" t="n">
        <v>0</v>
      </c>
      <c r="R1526" s="114" t="n">
        <v>179.6</v>
      </c>
      <c r="S1526" s="114" t="n">
        <v>0</v>
      </c>
      <c r="T1526" t="n">
        <v>0</v>
      </c>
    </row>
    <row r="1527">
      <c r="A1527" t="inlineStr">
        <is>
          <t>ttJTrans</t>
        </is>
      </c>
      <c r="B1527" s="38" t="inlineStr">
        <is>
          <t>0-4006</t>
        </is>
      </c>
      <c r="C1527" t="inlineStr">
        <is>
          <t>ER</t>
        </is>
      </c>
      <c r="E1527" t="inlineStr">
        <is>
          <t>ER</t>
        </is>
      </c>
      <c r="H1527" s="127" t="n">
        <v>46124</v>
      </c>
      <c r="J1527" s="38" t="inlineStr">
        <is>
          <t>0-4006</t>
        </is>
      </c>
      <c r="K1527" t="inlineStr">
        <is>
          <t>RMS2319 25' SMOOTH ROLLER FOR FARM TRACTOR 25' SMOOTH ROLLER FOR FARM TRACTOR</t>
        </is>
      </c>
      <c r="L1527" t="n">
        <v>0</v>
      </c>
      <c r="M1527" t="n">
        <v>0</v>
      </c>
      <c r="O1527" t="inlineStr">
        <is>
          <t>RMS2319</t>
        </is>
      </c>
      <c r="Q1527" s="114" t="n">
        <v>0</v>
      </c>
      <c r="R1527" s="114" t="n">
        <v>179.6</v>
      </c>
      <c r="S1527" s="114" t="n">
        <v>0</v>
      </c>
      <c r="T1527" t="n">
        <v>0</v>
      </c>
    </row>
    <row r="1528">
      <c r="A1528" t="inlineStr">
        <is>
          <t>ttJTrans</t>
        </is>
      </c>
      <c r="B1528" s="38" t="inlineStr">
        <is>
          <t>0-4006</t>
        </is>
      </c>
      <c r="C1528" t="inlineStr">
        <is>
          <t>ER</t>
        </is>
      </c>
      <c r="E1528" t="inlineStr">
        <is>
          <t>ER</t>
        </is>
      </c>
      <c r="H1528" s="127" t="n">
        <v>46124</v>
      </c>
      <c r="J1528" s="38" t="inlineStr">
        <is>
          <t>0-4006</t>
        </is>
      </c>
      <c r="K1528" t="inlineStr">
        <is>
          <t>RMS2319 25' SMOOTH ROLLER FOR FARM TRACTOR 25' SMOOTH ROLLER FOR FARM TRACTOR</t>
        </is>
      </c>
      <c r="L1528" t="n">
        <v>0</v>
      </c>
      <c r="M1528" t="n">
        <v>0</v>
      </c>
      <c r="O1528" t="inlineStr">
        <is>
          <t>RMS2319</t>
        </is>
      </c>
      <c r="Q1528" s="114" t="n">
        <v>0</v>
      </c>
      <c r="R1528" s="114" t="n">
        <v>179.6</v>
      </c>
      <c r="S1528" s="114" t="n">
        <v>0</v>
      </c>
      <c r="T1528" t="n">
        <v>0</v>
      </c>
    </row>
    <row r="1529">
      <c r="A1529" t="inlineStr">
        <is>
          <t>ttJTrans</t>
        </is>
      </c>
      <c r="B1529" s="38" t="inlineStr">
        <is>
          <t>0-4006</t>
        </is>
      </c>
      <c r="C1529" t="inlineStr">
        <is>
          <t>ER</t>
        </is>
      </c>
      <c r="E1529" t="inlineStr">
        <is>
          <t>ER</t>
        </is>
      </c>
      <c r="H1529" s="127" t="n">
        <v>46124</v>
      </c>
      <c r="J1529" s="38" t="inlineStr">
        <is>
          <t>0-4006</t>
        </is>
      </c>
      <c r="K1529" t="inlineStr">
        <is>
          <t>RMS2319 25' SMOOTH ROLLER FOR FARM TRACTOR 25' SMOOTH ROLLER FOR FARM TRACTOR</t>
        </is>
      </c>
      <c r="L1529" t="n">
        <v>0</v>
      </c>
      <c r="M1529" t="n">
        <v>0</v>
      </c>
      <c r="O1529" t="inlineStr">
        <is>
          <t>RMS2319</t>
        </is>
      </c>
      <c r="Q1529" s="114" t="n">
        <v>0</v>
      </c>
      <c r="R1529" s="114" t="n">
        <v>179.6</v>
      </c>
      <c r="S1529" s="114" t="n">
        <v>0</v>
      </c>
      <c r="T1529" t="n">
        <v>0</v>
      </c>
    </row>
    <row r="1530">
      <c r="A1530" t="inlineStr">
        <is>
          <t>ttJTrans</t>
        </is>
      </c>
      <c r="B1530" s="38" t="inlineStr">
        <is>
          <t>0-4006</t>
        </is>
      </c>
      <c r="C1530" t="inlineStr">
        <is>
          <t>ER</t>
        </is>
      </c>
      <c r="E1530" t="inlineStr">
        <is>
          <t>ER</t>
        </is>
      </c>
      <c r="H1530" s="127" t="n">
        <v>46124</v>
      </c>
      <c r="J1530" s="38" t="inlineStr">
        <is>
          <t>0-4006</t>
        </is>
      </c>
      <c r="K1530" t="inlineStr">
        <is>
          <t>RMS2319 25' SMOOTH ROLLER FOR FARM TRACTOR 25' SMOOTH ROLLER FOR FARM TRACTOR</t>
        </is>
      </c>
      <c r="L1530" t="n">
        <v>0</v>
      </c>
      <c r="M1530" t="n">
        <v>0</v>
      </c>
      <c r="O1530" t="inlineStr">
        <is>
          <t>RMS2319</t>
        </is>
      </c>
      <c r="Q1530" s="114" t="n">
        <v>0</v>
      </c>
      <c r="R1530" s="114" t="n">
        <v>179.6</v>
      </c>
      <c r="S1530" s="114" t="n">
        <v>0</v>
      </c>
      <c r="T1530" t="n">
        <v>0</v>
      </c>
    </row>
    <row r="1531">
      <c r="A1531" t="inlineStr">
        <is>
          <t>ttJTrans</t>
        </is>
      </c>
      <c r="B1531" s="38" t="inlineStr">
        <is>
          <t>0-4006</t>
        </is>
      </c>
      <c r="C1531" t="inlineStr">
        <is>
          <t>ER</t>
        </is>
      </c>
      <c r="E1531" t="inlineStr">
        <is>
          <t>ER</t>
        </is>
      </c>
      <c r="H1531" s="127" t="n">
        <v>46124</v>
      </c>
      <c r="J1531" s="38" t="inlineStr">
        <is>
          <t>0-4006</t>
        </is>
      </c>
      <c r="K1531" t="inlineStr">
        <is>
          <t>RMS2321 SEED DRILL FOR FARM TRACTOR SEED DRILL FOR FARM TRACTOR</t>
        </is>
      </c>
      <c r="L1531" t="n">
        <v>0</v>
      </c>
      <c r="M1531" t="n">
        <v>0</v>
      </c>
      <c r="O1531" t="inlineStr">
        <is>
          <t>RMS2321</t>
        </is>
      </c>
      <c r="Q1531" s="114" t="n">
        <v>0</v>
      </c>
      <c r="R1531" s="114" t="n">
        <v>1077.59</v>
      </c>
      <c r="S1531" s="114" t="n">
        <v>0</v>
      </c>
      <c r="T1531" s="45" t="n">
        <v>0</v>
      </c>
    </row>
    <row r="1532">
      <c r="A1532" t="inlineStr">
        <is>
          <t>ttJTrans</t>
        </is>
      </c>
      <c r="B1532" s="38" t="inlineStr">
        <is>
          <t>0-4006</t>
        </is>
      </c>
      <c r="C1532" t="inlineStr">
        <is>
          <t>ER</t>
        </is>
      </c>
      <c r="E1532" t="inlineStr">
        <is>
          <t>ER</t>
        </is>
      </c>
      <c r="H1532" s="127" t="n">
        <v>46124</v>
      </c>
      <c r="J1532" s="38" t="inlineStr">
        <is>
          <t>0-4006</t>
        </is>
      </c>
      <c r="K1532" t="inlineStr">
        <is>
          <t>RMS2321 SEED DRILL FOR FARM TRACTOR SEED DRILL FOR FARM TRACTOR</t>
        </is>
      </c>
      <c r="L1532" t="n">
        <v>0</v>
      </c>
      <c r="M1532" t="n">
        <v>0</v>
      </c>
      <c r="O1532" t="inlineStr">
        <is>
          <t>RMS2321</t>
        </is>
      </c>
      <c r="Q1532" s="114" t="n">
        <v>0</v>
      </c>
      <c r="R1532" s="114" t="n">
        <v>1077.59</v>
      </c>
      <c r="S1532" s="114" t="n">
        <v>0</v>
      </c>
      <c r="T1532" t="n">
        <v>0</v>
      </c>
    </row>
    <row r="1533">
      <c r="A1533" t="inlineStr">
        <is>
          <t>ttJTrans</t>
        </is>
      </c>
      <c r="B1533" s="38" t="inlineStr">
        <is>
          <t>0-4006</t>
        </is>
      </c>
      <c r="C1533" t="inlineStr">
        <is>
          <t>ER</t>
        </is>
      </c>
      <c r="E1533" t="inlineStr">
        <is>
          <t>ER</t>
        </is>
      </c>
      <c r="H1533" s="127" t="n">
        <v>46124</v>
      </c>
      <c r="J1533" s="38" t="inlineStr">
        <is>
          <t>0-4006</t>
        </is>
      </c>
      <c r="K1533" t="inlineStr">
        <is>
          <t>RMS2321 SEED DRILL FOR FARM TRACTOR SEED DRILL FOR FARM TRACTOR</t>
        </is>
      </c>
      <c r="L1533" t="n">
        <v>0</v>
      </c>
      <c r="M1533" t="n">
        <v>0</v>
      </c>
      <c r="O1533" t="inlineStr">
        <is>
          <t>RMS2321</t>
        </is>
      </c>
      <c r="Q1533" s="114" t="n">
        <v>0</v>
      </c>
      <c r="R1533" s="114" t="n">
        <v>1077.59</v>
      </c>
      <c r="S1533" s="114" t="n">
        <v>0</v>
      </c>
      <c r="T1533" t="n">
        <v>0</v>
      </c>
    </row>
    <row r="1534">
      <c r="A1534" t="inlineStr">
        <is>
          <t>ttJTrans</t>
        </is>
      </c>
      <c r="B1534" s="38" t="inlineStr">
        <is>
          <t>0-4006</t>
        </is>
      </c>
      <c r="C1534" t="inlineStr">
        <is>
          <t>ER</t>
        </is>
      </c>
      <c r="E1534" t="inlineStr">
        <is>
          <t>ER</t>
        </is>
      </c>
      <c r="G1534" s="42" t="inlineStr"/>
      <c r="H1534" s="127" t="n">
        <v>46124</v>
      </c>
      <c r="J1534" s="38" t="inlineStr">
        <is>
          <t>0-4006</t>
        </is>
      </c>
      <c r="K1534" t="inlineStr">
        <is>
          <t>RMS2321 SEED DRILL FOR FARM TRACTOR SEED DRILL FOR FARM TRACTOR</t>
        </is>
      </c>
      <c r="L1534" t="n">
        <v>0</v>
      </c>
      <c r="M1534" t="n">
        <v>0</v>
      </c>
      <c r="O1534" t="inlineStr">
        <is>
          <t>RMS2321</t>
        </is>
      </c>
      <c r="Q1534" s="114" t="n">
        <v>0</v>
      </c>
      <c r="R1534" s="114" t="n">
        <v>1077.59</v>
      </c>
      <c r="S1534" s="114" t="n">
        <v>0</v>
      </c>
      <c r="T1534" t="n">
        <v>0</v>
      </c>
    </row>
    <row r="1535">
      <c r="A1535" t="inlineStr">
        <is>
          <t>ttJTrans</t>
        </is>
      </c>
      <c r="B1535" s="38" t="inlineStr">
        <is>
          <t>0-4006</t>
        </is>
      </c>
      <c r="C1535" t="inlineStr">
        <is>
          <t>ER</t>
        </is>
      </c>
      <c r="E1535" t="inlineStr">
        <is>
          <t>ER</t>
        </is>
      </c>
      <c r="G1535" s="42" t="inlineStr"/>
      <c r="H1535" s="127" t="n">
        <v>46124</v>
      </c>
      <c r="J1535" s="38" t="inlineStr">
        <is>
          <t>0-4006</t>
        </is>
      </c>
      <c r="K1535" t="inlineStr">
        <is>
          <t>RMS2321 SEED DRILL FOR FARM TRACTOR SEED DRILL FOR FARM TRACTOR</t>
        </is>
      </c>
      <c r="L1535" t="n">
        <v>0</v>
      </c>
      <c r="M1535" t="n">
        <v>0</v>
      </c>
      <c r="O1535" t="inlineStr">
        <is>
          <t>RMS2321</t>
        </is>
      </c>
      <c r="Q1535" s="114" t="n">
        <v>0</v>
      </c>
      <c r="R1535" s="114" t="n">
        <v>1077.59</v>
      </c>
      <c r="S1535" s="114" t="n">
        <v>0</v>
      </c>
      <c r="T1535" t="n">
        <v>0</v>
      </c>
    </row>
    <row r="1536">
      <c r="A1536" t="inlineStr">
        <is>
          <t>ttJTrans</t>
        </is>
      </c>
      <c r="B1536" s="38" t="inlineStr">
        <is>
          <t>0-4006</t>
        </is>
      </c>
      <c r="C1536" t="inlineStr">
        <is>
          <t>ER</t>
        </is>
      </c>
      <c r="E1536" t="inlineStr">
        <is>
          <t>ER</t>
        </is>
      </c>
      <c r="G1536" s="42" t="inlineStr"/>
      <c r="H1536" s="127" t="n">
        <v>46124</v>
      </c>
      <c r="J1536" s="38" t="inlineStr">
        <is>
          <t>0-4006</t>
        </is>
      </c>
      <c r="K1536" t="inlineStr">
        <is>
          <t>RLD293 TAKEUCHI TL10VS TRACK SKID STEER LOADER W TREE SAW ATTACHMENT TAKEUCHI TL10VS TRACK SKID STEER LOADER W TREE SAW ATTACHMENT</t>
        </is>
      </c>
      <c r="L1536" t="n">
        <v>0</v>
      </c>
      <c r="M1536" t="n">
        <v>0</v>
      </c>
      <c r="O1536" t="inlineStr">
        <is>
          <t>RLD293</t>
        </is>
      </c>
      <c r="Q1536" s="114" t="n">
        <v>0</v>
      </c>
      <c r="R1536" s="114" t="n">
        <v>282.06</v>
      </c>
      <c r="S1536" s="114" t="n">
        <v>0</v>
      </c>
      <c r="T1536" t="n">
        <v>0</v>
      </c>
    </row>
    <row r="1537">
      <c r="A1537" t="inlineStr">
        <is>
          <t>ttJTrans</t>
        </is>
      </c>
      <c r="B1537" s="38" t="inlineStr">
        <is>
          <t>0-4006</t>
        </is>
      </c>
      <c r="C1537" t="inlineStr">
        <is>
          <t>ER</t>
        </is>
      </c>
      <c r="E1537" t="inlineStr">
        <is>
          <t>ER</t>
        </is>
      </c>
      <c r="G1537" s="42" t="inlineStr"/>
      <c r="H1537" s="127" t="n">
        <v>46124</v>
      </c>
      <c r="J1537" s="38" t="inlineStr">
        <is>
          <t>0-4006</t>
        </is>
      </c>
      <c r="K1537" t="inlineStr">
        <is>
          <t>RLD293 TAKEUCHI TL10VS TRACK SKID STEER LOADER W TREE SAW ATTACHMENT TAKEUCHI TL10VS TRACK SKID STEER LOADER W TREE SAW ATTACHMENT</t>
        </is>
      </c>
      <c r="L1537" t="n">
        <v>0</v>
      </c>
      <c r="M1537" t="n">
        <v>0</v>
      </c>
      <c r="O1537" t="inlineStr">
        <is>
          <t>RLD293</t>
        </is>
      </c>
      <c r="Q1537" s="114" t="n">
        <v>0</v>
      </c>
      <c r="R1537" s="114" t="n">
        <v>282.06</v>
      </c>
      <c r="S1537" s="114" t="n">
        <v>0</v>
      </c>
      <c r="T1537" t="n">
        <v>0</v>
      </c>
    </row>
    <row r="1538">
      <c r="A1538" t="inlineStr">
        <is>
          <t>ttJTrans</t>
        </is>
      </c>
      <c r="B1538" s="38" t="inlineStr">
        <is>
          <t>0-4006</t>
        </is>
      </c>
      <c r="C1538" t="inlineStr">
        <is>
          <t>ER</t>
        </is>
      </c>
      <c r="E1538" t="inlineStr">
        <is>
          <t>ER</t>
        </is>
      </c>
      <c r="G1538" s="42" t="inlineStr"/>
      <c r="H1538" s="127" t="n">
        <v>46124</v>
      </c>
      <c r="J1538" s="38" t="inlineStr">
        <is>
          <t>0-4006</t>
        </is>
      </c>
      <c r="K1538" t="inlineStr">
        <is>
          <t>RLD293 TAKEUCHI TL10VS TRACK SKID STEER LOADER W TREE SAW ATTACHMENT TAKEUCHI TL10VS TRACK SKID STEER LOADER W TREE SAW ATTACHMENT</t>
        </is>
      </c>
      <c r="L1538" t="n">
        <v>0</v>
      </c>
      <c r="M1538" t="n">
        <v>0</v>
      </c>
      <c r="O1538" t="inlineStr">
        <is>
          <t>RLD293</t>
        </is>
      </c>
      <c r="Q1538" s="114" t="n">
        <v>0</v>
      </c>
      <c r="R1538" s="114" t="n">
        <v>282.06</v>
      </c>
      <c r="S1538" s="114" t="n">
        <v>0</v>
      </c>
      <c r="T1538" t="n">
        <v>0</v>
      </c>
    </row>
    <row r="1539">
      <c r="A1539" t="inlineStr">
        <is>
          <t>ttJTrans</t>
        </is>
      </c>
      <c r="B1539" s="38" t="inlineStr">
        <is>
          <t>0-4006</t>
        </is>
      </c>
      <c r="C1539" t="inlineStr">
        <is>
          <t>ER</t>
        </is>
      </c>
      <c r="E1539" t="inlineStr">
        <is>
          <t>ER</t>
        </is>
      </c>
      <c r="G1539" s="42" t="inlineStr"/>
      <c r="H1539" s="127" t="n">
        <v>46124</v>
      </c>
      <c r="J1539" s="38" t="inlineStr">
        <is>
          <t>0-4006</t>
        </is>
      </c>
      <c r="K1539" t="inlineStr">
        <is>
          <t>RLD293 TAKEUCHI TL10VS TRACK SKID STEER LOADER W TREE SAW ATTACHMENT TAKEUCHI TL10VS TRACK SKID STEER LOADER W TREE SAW ATTACHMENT</t>
        </is>
      </c>
      <c r="L1539" t="n">
        <v>0</v>
      </c>
      <c r="M1539" t="n">
        <v>0</v>
      </c>
      <c r="O1539" t="inlineStr">
        <is>
          <t>RLD293</t>
        </is>
      </c>
      <c r="Q1539" s="114" t="n">
        <v>0</v>
      </c>
      <c r="R1539" s="114" t="n">
        <v>282.06</v>
      </c>
      <c r="S1539" s="114" t="n">
        <v>0</v>
      </c>
      <c r="T1539" t="n">
        <v>0</v>
      </c>
    </row>
    <row r="1540">
      <c r="A1540" t="inlineStr">
        <is>
          <t>ttJTrans</t>
        </is>
      </c>
      <c r="B1540" s="38" t="inlineStr">
        <is>
          <t>0-4006</t>
        </is>
      </c>
      <c r="C1540" t="inlineStr">
        <is>
          <t>ER</t>
        </is>
      </c>
      <c r="E1540" t="inlineStr">
        <is>
          <t>ER</t>
        </is>
      </c>
      <c r="G1540" s="42" t="inlineStr"/>
      <c r="H1540" s="127" t="n">
        <v>46124</v>
      </c>
      <c r="J1540" s="38" t="inlineStr">
        <is>
          <t>0-4006</t>
        </is>
      </c>
      <c r="K1540" t="inlineStr">
        <is>
          <t>RLD293 TAKEUCHI TL10VS TRACK SKID STEER LOADER W TREE SAW ATTACHMENT TAKEUCHI TL10VS TRACK SKID STEER LOADER W TREE SAW ATTACHMENT</t>
        </is>
      </c>
      <c r="L1540" t="n">
        <v>0</v>
      </c>
      <c r="M1540" t="n">
        <v>0</v>
      </c>
      <c r="O1540" t="inlineStr">
        <is>
          <t>RLD293</t>
        </is>
      </c>
      <c r="Q1540" s="114" t="n">
        <v>0</v>
      </c>
      <c r="R1540" s="114" t="n">
        <v>282.06</v>
      </c>
      <c r="S1540" s="114" t="n">
        <v>0</v>
      </c>
      <c r="T1540" t="n">
        <v>0</v>
      </c>
    </row>
    <row r="1541">
      <c r="A1541" t="inlineStr">
        <is>
          <t>ttJTrans</t>
        </is>
      </c>
      <c r="B1541" s="38" t="inlineStr">
        <is>
          <t>0-4006</t>
        </is>
      </c>
      <c r="C1541" t="inlineStr">
        <is>
          <t>ER</t>
        </is>
      </c>
      <c r="E1541" t="inlineStr">
        <is>
          <t>ER</t>
        </is>
      </c>
      <c r="G1541" s="42" t="inlineStr"/>
      <c r="H1541" s="127" t="n">
        <v>46124</v>
      </c>
      <c r="J1541" s="38" t="inlineStr">
        <is>
          <t>0-4006</t>
        </is>
      </c>
      <c r="K1541" t="inlineStr">
        <is>
          <t>RLD293 TAKEUCHI TL10VS TRACK SKID STEER LOADER W TREE SAW ATTACHMENT TAKEUCHI TL10VS TRACK SKID STEER LOADER W TREE SAW ATTACHMENT</t>
        </is>
      </c>
      <c r="L1541" t="n">
        <v>0</v>
      </c>
      <c r="M1541" t="n">
        <v>0</v>
      </c>
      <c r="O1541" t="inlineStr">
        <is>
          <t>RLD293</t>
        </is>
      </c>
      <c r="Q1541" s="114" t="n">
        <v>0</v>
      </c>
      <c r="R1541" s="114" t="n">
        <v>282.06</v>
      </c>
      <c r="S1541" s="114" t="n">
        <v>0</v>
      </c>
      <c r="T1541" t="n">
        <v>0</v>
      </c>
    </row>
    <row r="1542">
      <c r="A1542" t="inlineStr">
        <is>
          <t>ttJTrans</t>
        </is>
      </c>
      <c r="B1542" s="38" t="inlineStr">
        <is>
          <t>0-4006</t>
        </is>
      </c>
      <c r="C1542" t="inlineStr">
        <is>
          <t>ER</t>
        </is>
      </c>
      <c r="E1542" t="inlineStr">
        <is>
          <t>ER</t>
        </is>
      </c>
      <c r="G1542" s="42" t="inlineStr"/>
      <c r="H1542" s="127" t="n">
        <v>46124</v>
      </c>
      <c r="J1542" s="38" t="inlineStr">
        <is>
          <t>0-4006</t>
        </is>
      </c>
      <c r="K1542" t="inlineStr">
        <is>
          <t>RHV96 PETERBILT 4,000 GALLON WATER TRUCK PETERBILT 4,000 GALLON WATER TRUCK</t>
        </is>
      </c>
      <c r="L1542" t="n">
        <v>0</v>
      </c>
      <c r="M1542" t="n">
        <v>0</v>
      </c>
      <c r="O1542" t="inlineStr">
        <is>
          <t>RHV96</t>
        </is>
      </c>
      <c r="Q1542" s="114" t="n">
        <v>0</v>
      </c>
      <c r="R1542" s="114" t="n">
        <v>200</v>
      </c>
      <c r="S1542" s="114" t="n">
        <v>0</v>
      </c>
      <c r="T1542" t="n">
        <v>0</v>
      </c>
    </row>
    <row r="1543">
      <c r="A1543" t="inlineStr">
        <is>
          <t>ttJTrans</t>
        </is>
      </c>
      <c r="B1543" s="38" t="inlineStr">
        <is>
          <t>0-4006</t>
        </is>
      </c>
      <c r="C1543" t="inlineStr">
        <is>
          <t>ER</t>
        </is>
      </c>
      <c r="E1543" t="inlineStr">
        <is>
          <t>ER</t>
        </is>
      </c>
      <c r="G1543" s="42" t="inlineStr"/>
      <c r="H1543" s="127" t="n">
        <v>46124</v>
      </c>
      <c r="J1543" s="38" t="inlineStr">
        <is>
          <t>0-4006</t>
        </is>
      </c>
      <c r="K1543" t="inlineStr">
        <is>
          <t>RMS2320 SEED DRILL FOR FARM TRACTOR SEED DRILL FOR FARM TRACTOR</t>
        </is>
      </c>
      <c r="L1543" t="n">
        <v>0</v>
      </c>
      <c r="M1543" t="n">
        <v>0</v>
      </c>
      <c r="O1543" t="inlineStr">
        <is>
          <t>RMS2320</t>
        </is>
      </c>
      <c r="Q1543" s="114" t="n">
        <v>0</v>
      </c>
      <c r="R1543" s="114" t="n">
        <v>1077.59</v>
      </c>
      <c r="S1543" s="114" t="n">
        <v>0</v>
      </c>
      <c r="T1543" t="n">
        <v>0</v>
      </c>
    </row>
    <row r="1544">
      <c r="A1544" t="inlineStr">
        <is>
          <t>ttJTrans</t>
        </is>
      </c>
      <c r="B1544" s="38" t="inlineStr">
        <is>
          <t>0-4006</t>
        </is>
      </c>
      <c r="C1544" t="inlineStr">
        <is>
          <t>ER</t>
        </is>
      </c>
      <c r="E1544" t="inlineStr">
        <is>
          <t>ER</t>
        </is>
      </c>
      <c r="G1544" s="42" t="inlineStr"/>
      <c r="H1544" s="127" t="n">
        <v>46124</v>
      </c>
      <c r="J1544" s="38" t="inlineStr">
        <is>
          <t>0-4006</t>
        </is>
      </c>
      <c r="K1544" t="inlineStr">
        <is>
          <t>RMS2320 SEED DRILL FOR FARM TRACTOR SEED DRILL FOR FARM TRACTOR</t>
        </is>
      </c>
      <c r="L1544" t="n">
        <v>0</v>
      </c>
      <c r="M1544" t="n">
        <v>0</v>
      </c>
      <c r="O1544" t="inlineStr">
        <is>
          <t>RMS2320</t>
        </is>
      </c>
      <c r="Q1544" s="114" t="n">
        <v>0</v>
      </c>
      <c r="R1544" s="114" t="n">
        <v>1077.59</v>
      </c>
      <c r="S1544" s="114" t="n">
        <v>0</v>
      </c>
      <c r="T1544" t="n">
        <v>0</v>
      </c>
    </row>
    <row r="1545">
      <c r="A1545" t="inlineStr">
        <is>
          <t>ttJTrans</t>
        </is>
      </c>
      <c r="B1545" s="38" t="inlineStr">
        <is>
          <t>0-4006</t>
        </is>
      </c>
      <c r="C1545" t="inlineStr">
        <is>
          <t>ER</t>
        </is>
      </c>
      <c r="E1545" t="inlineStr">
        <is>
          <t>ER</t>
        </is>
      </c>
      <c r="G1545" s="42" t="inlineStr"/>
      <c r="H1545" s="127" t="n">
        <v>46124</v>
      </c>
      <c r="J1545" s="38" t="inlineStr">
        <is>
          <t>0-4006</t>
        </is>
      </c>
      <c r="K1545" t="inlineStr">
        <is>
          <t>RMS2320 SEED DRILL FOR FARM TRACTOR SEED DRILL FOR FARM TRACTOR</t>
        </is>
      </c>
      <c r="L1545" t="n">
        <v>0</v>
      </c>
      <c r="M1545" t="n">
        <v>0</v>
      </c>
      <c r="O1545" t="inlineStr">
        <is>
          <t>RMS2320</t>
        </is>
      </c>
      <c r="Q1545" s="114" t="n">
        <v>0</v>
      </c>
      <c r="R1545" s="114" t="n">
        <v>1077.59</v>
      </c>
      <c r="S1545" s="114" t="n">
        <v>0</v>
      </c>
      <c r="T1545" t="n">
        <v>0</v>
      </c>
    </row>
    <row r="1546">
      <c r="A1546" t="inlineStr">
        <is>
          <t>ttJTrans</t>
        </is>
      </c>
      <c r="B1546" s="38" t="inlineStr">
        <is>
          <t>0-4006</t>
        </is>
      </c>
      <c r="C1546" t="inlineStr">
        <is>
          <t>ER</t>
        </is>
      </c>
      <c r="E1546" t="inlineStr">
        <is>
          <t>ER</t>
        </is>
      </c>
      <c r="G1546" s="42" t="inlineStr"/>
      <c r="H1546" s="127" t="n">
        <v>46124</v>
      </c>
      <c r="J1546" s="38" t="inlineStr">
        <is>
          <t>0-4006</t>
        </is>
      </c>
      <c r="K1546" t="inlineStr">
        <is>
          <t>RMS2320 SEED DRILL FOR FARM TRACTOR SEED DRILL FOR FARM TRACTOR</t>
        </is>
      </c>
      <c r="L1546" t="n">
        <v>0</v>
      </c>
      <c r="M1546" t="n">
        <v>0</v>
      </c>
      <c r="O1546" t="inlineStr">
        <is>
          <t>RMS2320</t>
        </is>
      </c>
      <c r="Q1546" s="114" t="n">
        <v>0</v>
      </c>
      <c r="R1546" s="114" t="n">
        <v>1077.59</v>
      </c>
      <c r="S1546" s="114" t="n">
        <v>0</v>
      </c>
      <c r="T1546" t="n">
        <v>0</v>
      </c>
    </row>
    <row r="1547">
      <c r="A1547" t="inlineStr">
        <is>
          <t>ttJTrans</t>
        </is>
      </c>
      <c r="B1547" s="38" t="inlineStr">
        <is>
          <t>0-4006</t>
        </is>
      </c>
      <c r="C1547" t="inlineStr">
        <is>
          <t>ER</t>
        </is>
      </c>
      <c r="E1547" t="inlineStr">
        <is>
          <t>ER</t>
        </is>
      </c>
      <c r="G1547" s="42" t="inlineStr"/>
      <c r="H1547" s="127" t="n">
        <v>46124</v>
      </c>
      <c r="J1547" s="38" t="inlineStr">
        <is>
          <t>0-4006</t>
        </is>
      </c>
      <c r="K1547" t="inlineStr">
        <is>
          <t>RMS2320 SEED DRILL FOR FARM TRACTOR SEED DRILL FOR FARM TRACTOR</t>
        </is>
      </c>
      <c r="L1547" t="n">
        <v>0</v>
      </c>
      <c r="M1547" t="n">
        <v>0</v>
      </c>
      <c r="O1547" t="inlineStr">
        <is>
          <t>RMS2320</t>
        </is>
      </c>
      <c r="Q1547" s="114" t="n">
        <v>0</v>
      </c>
      <c r="R1547" s="114" t="n">
        <v>1077.59</v>
      </c>
      <c r="S1547" s="114" t="n">
        <v>0</v>
      </c>
      <c r="T1547" t="n">
        <v>0</v>
      </c>
    </row>
    <row r="1548">
      <c r="A1548" t="inlineStr">
        <is>
          <t>ttJTrans</t>
        </is>
      </c>
      <c r="B1548" s="38" t="inlineStr">
        <is>
          <t>0-4006</t>
        </is>
      </c>
      <c r="C1548" t="inlineStr">
        <is>
          <t>ER</t>
        </is>
      </c>
      <c r="E1548" t="inlineStr">
        <is>
          <t>ER</t>
        </is>
      </c>
      <c r="G1548" s="42" t="inlineStr"/>
      <c r="H1548" s="127" t="n">
        <v>46124</v>
      </c>
      <c r="J1548" s="38" t="inlineStr">
        <is>
          <t>0-4006</t>
        </is>
      </c>
      <c r="K1548" t="inlineStr">
        <is>
          <t>REX665 330 CATERPILLAR EXCAVATOR 330 CATERPILLAR EXCAVATOR</t>
        </is>
      </c>
      <c r="L1548" t="n">
        <v>0</v>
      </c>
      <c r="M1548" t="n">
        <v>0</v>
      </c>
      <c r="O1548" t="inlineStr">
        <is>
          <t>REX665</t>
        </is>
      </c>
      <c r="Q1548" s="114" t="n">
        <v>0</v>
      </c>
      <c r="R1548" s="114" t="n">
        <v>458.33</v>
      </c>
      <c r="S1548" s="114" t="n">
        <v>0</v>
      </c>
      <c r="T1548" t="n">
        <v>0</v>
      </c>
    </row>
    <row r="1549">
      <c r="A1549" t="inlineStr">
        <is>
          <t>ttJTrans</t>
        </is>
      </c>
      <c r="B1549" s="38" t="inlineStr">
        <is>
          <t>0-4006</t>
        </is>
      </c>
      <c r="C1549" t="inlineStr">
        <is>
          <t>ER</t>
        </is>
      </c>
      <c r="E1549" t="inlineStr">
        <is>
          <t>ER</t>
        </is>
      </c>
      <c r="G1549" s="42" t="inlineStr"/>
      <c r="H1549" s="127" t="n">
        <v>46124</v>
      </c>
      <c r="J1549" s="38" t="inlineStr">
        <is>
          <t>0-4006</t>
        </is>
      </c>
      <c r="K1549" t="inlineStr">
        <is>
          <t>REX665 330 CATERPILLAR EXCAVATOR 330 CATERPILLAR EXCAVATOR</t>
        </is>
      </c>
      <c r="L1549" t="n">
        <v>0</v>
      </c>
      <c r="M1549" t="n">
        <v>0</v>
      </c>
      <c r="O1549" t="inlineStr">
        <is>
          <t>REX665</t>
        </is>
      </c>
      <c r="Q1549" s="114" t="n">
        <v>0</v>
      </c>
      <c r="R1549" s="114" t="n">
        <v>458.33</v>
      </c>
      <c r="S1549" s="114" t="n">
        <v>0</v>
      </c>
      <c r="T1549" t="n">
        <v>0</v>
      </c>
    </row>
    <row r="1550">
      <c r="A1550" t="inlineStr">
        <is>
          <t>ttJTrans</t>
        </is>
      </c>
      <c r="B1550" s="38" t="inlineStr">
        <is>
          <t>0-4006</t>
        </is>
      </c>
      <c r="C1550" t="inlineStr">
        <is>
          <t>ER</t>
        </is>
      </c>
      <c r="E1550" t="inlineStr">
        <is>
          <t>ER</t>
        </is>
      </c>
      <c r="G1550" s="42" t="inlineStr"/>
      <c r="H1550" s="127" t="n">
        <v>46124</v>
      </c>
      <c r="J1550" s="38" t="inlineStr">
        <is>
          <t>0-4006</t>
        </is>
      </c>
      <c r="K1550" t="inlineStr">
        <is>
          <t>REX665 330 CATERPILLAR EXCAVATOR 330 CATERPILLAR EXCAVATOR</t>
        </is>
      </c>
      <c r="L1550" t="n">
        <v>0</v>
      </c>
      <c r="M1550" t="n">
        <v>0</v>
      </c>
      <c r="O1550" t="inlineStr">
        <is>
          <t>REX665</t>
        </is>
      </c>
      <c r="Q1550" s="114" t="n">
        <v>0</v>
      </c>
      <c r="R1550" s="114" t="n">
        <v>458.33</v>
      </c>
      <c r="S1550" s="114" t="n">
        <v>0</v>
      </c>
      <c r="T1550" t="n">
        <v>0</v>
      </c>
    </row>
    <row r="1551">
      <c r="A1551" t="inlineStr">
        <is>
          <t>ttJTrans</t>
        </is>
      </c>
      <c r="B1551" s="38" t="inlineStr">
        <is>
          <t>0-4006</t>
        </is>
      </c>
      <c r="C1551" t="inlineStr">
        <is>
          <t>ER</t>
        </is>
      </c>
      <c r="E1551" t="inlineStr">
        <is>
          <t>ER</t>
        </is>
      </c>
      <c r="G1551" s="42" t="inlineStr"/>
      <c r="H1551" s="127" t="n">
        <v>46124</v>
      </c>
      <c r="J1551" s="38" t="inlineStr">
        <is>
          <t>0-4006</t>
        </is>
      </c>
      <c r="K1551" t="inlineStr">
        <is>
          <t>REX665 330 CATERPILLAR EXCAVATOR 330 CATERPILLAR EXCAVATOR</t>
        </is>
      </c>
      <c r="L1551" t="n">
        <v>0</v>
      </c>
      <c r="M1551" t="n">
        <v>0</v>
      </c>
      <c r="O1551" t="inlineStr">
        <is>
          <t>REX665</t>
        </is>
      </c>
      <c r="Q1551" s="114" t="n">
        <v>0</v>
      </c>
      <c r="R1551" s="114" t="n">
        <v>458.33</v>
      </c>
      <c r="S1551" s="114" t="n">
        <v>0</v>
      </c>
      <c r="T1551" t="n">
        <v>0</v>
      </c>
    </row>
    <row r="1552">
      <c r="A1552" t="inlineStr">
        <is>
          <t>ttJTrans</t>
        </is>
      </c>
      <c r="B1552" s="38" t="inlineStr">
        <is>
          <t>0-4006</t>
        </is>
      </c>
      <c r="C1552" t="inlineStr">
        <is>
          <t>ER</t>
        </is>
      </c>
      <c r="E1552" t="inlineStr">
        <is>
          <t>ER</t>
        </is>
      </c>
      <c r="G1552" s="42" t="inlineStr"/>
      <c r="H1552" s="127" t="n">
        <v>46124</v>
      </c>
      <c r="J1552" s="38" t="inlineStr">
        <is>
          <t>0-4006</t>
        </is>
      </c>
      <c r="K1552" t="inlineStr">
        <is>
          <t>RPK482 HAMM 84' SINGLE DRUM ROLLER HAMM 84' SINGLE DRUM ROLLER</t>
        </is>
      </c>
      <c r="L1552" t="n">
        <v>0</v>
      </c>
      <c r="M1552" t="n">
        <v>0</v>
      </c>
      <c r="O1552" t="inlineStr">
        <is>
          <t>RPK482</t>
        </is>
      </c>
      <c r="Q1552" s="114" t="n">
        <v>0</v>
      </c>
      <c r="R1552" s="114" t="n">
        <v>300</v>
      </c>
      <c r="S1552" s="114" t="n">
        <v>0</v>
      </c>
      <c r="T1552" t="n">
        <v>0</v>
      </c>
    </row>
    <row r="1553">
      <c r="A1553" t="inlineStr">
        <is>
          <t>ttJTrans</t>
        </is>
      </c>
      <c r="B1553" s="38" t="inlineStr">
        <is>
          <t>0-4006</t>
        </is>
      </c>
      <c r="C1553" t="inlineStr">
        <is>
          <t>ER</t>
        </is>
      </c>
      <c r="E1553" t="inlineStr">
        <is>
          <t>ER</t>
        </is>
      </c>
      <c r="G1553" s="42" t="inlineStr"/>
      <c r="H1553" s="127" t="n">
        <v>46124</v>
      </c>
      <c r="J1553" s="38" t="inlineStr">
        <is>
          <t>0-4006</t>
        </is>
      </c>
      <c r="K1553" t="inlineStr">
        <is>
          <t>RPK482 HAMM 84' SINGLE DRUM ROLLER HAMM 84' SINGLE DRUM ROLLER</t>
        </is>
      </c>
      <c r="L1553" t="n">
        <v>0</v>
      </c>
      <c r="M1553" t="n">
        <v>0</v>
      </c>
      <c r="O1553" t="inlineStr">
        <is>
          <t>RPK482</t>
        </is>
      </c>
      <c r="Q1553" s="114" t="n">
        <v>0</v>
      </c>
      <c r="R1553" s="114" t="n">
        <v>300</v>
      </c>
      <c r="S1553" s="114" t="n">
        <v>0</v>
      </c>
      <c r="T1553" t="n">
        <v>0</v>
      </c>
    </row>
    <row r="1554">
      <c r="A1554" t="inlineStr">
        <is>
          <t>ttJTrans</t>
        </is>
      </c>
      <c r="B1554" s="38" t="inlineStr">
        <is>
          <t>0-4006</t>
        </is>
      </c>
      <c r="C1554" t="inlineStr">
        <is>
          <t>ER</t>
        </is>
      </c>
      <c r="E1554" t="inlineStr">
        <is>
          <t>ER</t>
        </is>
      </c>
      <c r="G1554" s="42" t="inlineStr"/>
      <c r="H1554" s="127" t="n">
        <v>46124</v>
      </c>
      <c r="J1554" s="38" t="inlineStr">
        <is>
          <t>0-4006</t>
        </is>
      </c>
      <c r="K1554" t="inlineStr">
        <is>
          <t>RPK482 HAMM 84' SINGLE DRUM ROLLER HAMM 84' SINGLE DRUM ROLLER</t>
        </is>
      </c>
      <c r="L1554" t="n">
        <v>0</v>
      </c>
      <c r="M1554" t="n">
        <v>0</v>
      </c>
      <c r="O1554" t="inlineStr">
        <is>
          <t>RPK482</t>
        </is>
      </c>
      <c r="Q1554" s="114" t="n">
        <v>0</v>
      </c>
      <c r="R1554" s="114" t="n">
        <v>300</v>
      </c>
      <c r="S1554" s="114" t="n">
        <v>0</v>
      </c>
      <c r="T1554" t="n">
        <v>0</v>
      </c>
    </row>
    <row r="1555">
      <c r="A1555" t="inlineStr">
        <is>
          <t>ttJTrans</t>
        </is>
      </c>
      <c r="B1555" s="38" t="inlineStr">
        <is>
          <t>0-4006</t>
        </is>
      </c>
      <c r="C1555" t="inlineStr">
        <is>
          <t>ER</t>
        </is>
      </c>
      <c r="E1555" t="inlineStr">
        <is>
          <t>ER</t>
        </is>
      </c>
      <c r="G1555" s="42" t="inlineStr"/>
      <c r="H1555" s="127" t="n">
        <v>46124</v>
      </c>
      <c r="J1555" s="38" t="inlineStr">
        <is>
          <t>0-4006</t>
        </is>
      </c>
      <c r="K1555" t="inlineStr">
        <is>
          <t>RPK482 HAMM 84' SINGLE DRUM ROLLER HAMM 84' SINGLE DRUM ROLLER</t>
        </is>
      </c>
      <c r="L1555" t="n">
        <v>0</v>
      </c>
      <c r="M1555" t="n">
        <v>0</v>
      </c>
      <c r="O1555" t="inlineStr">
        <is>
          <t>RPK482</t>
        </is>
      </c>
      <c r="Q1555" s="114" t="n">
        <v>0</v>
      </c>
      <c r="R1555" s="114" t="n">
        <v>300</v>
      </c>
      <c r="S1555" s="114" t="n">
        <v>0</v>
      </c>
      <c r="T1555" t="n">
        <v>0</v>
      </c>
    </row>
    <row r="1556">
      <c r="A1556" t="inlineStr">
        <is>
          <t>ttJTrans</t>
        </is>
      </c>
      <c r="B1556" s="38" t="inlineStr">
        <is>
          <t>0-4006</t>
        </is>
      </c>
      <c r="C1556" t="inlineStr">
        <is>
          <t>ER</t>
        </is>
      </c>
      <c r="E1556" t="inlineStr">
        <is>
          <t>ER</t>
        </is>
      </c>
      <c r="G1556" s="42" t="inlineStr"/>
      <c r="H1556" s="127" t="n">
        <v>46124</v>
      </c>
      <c r="J1556" s="38" t="inlineStr">
        <is>
          <t>0-4006</t>
        </is>
      </c>
      <c r="K1556" t="inlineStr">
        <is>
          <t>RMS2318 BROCE RCT350 WHEEL SWEEPER BROCE RCT350 WHEEL SWEEPER</t>
        </is>
      </c>
      <c r="L1556" t="n">
        <v>0</v>
      </c>
      <c r="M1556" t="n">
        <v>0</v>
      </c>
      <c r="O1556" t="inlineStr">
        <is>
          <t>RMS2318</t>
        </is>
      </c>
      <c r="Q1556" s="114" t="n">
        <v>0</v>
      </c>
      <c r="R1556" s="114" t="n">
        <v>200</v>
      </c>
      <c r="S1556" s="114" t="n">
        <v>0</v>
      </c>
      <c r="T1556" t="n">
        <v>0</v>
      </c>
    </row>
    <row r="1557">
      <c r="A1557" t="inlineStr">
        <is>
          <t>ttJTrans</t>
        </is>
      </c>
      <c r="B1557" s="38" t="inlineStr">
        <is>
          <t>0-4006</t>
        </is>
      </c>
      <c r="C1557" t="inlineStr">
        <is>
          <t>ER</t>
        </is>
      </c>
      <c r="E1557" t="inlineStr">
        <is>
          <t>ER</t>
        </is>
      </c>
      <c r="G1557" s="42" t="inlineStr"/>
      <c r="H1557" s="127" t="n">
        <v>46124</v>
      </c>
      <c r="J1557" s="38" t="inlineStr">
        <is>
          <t>0-4006</t>
        </is>
      </c>
      <c r="K1557" t="inlineStr">
        <is>
          <t>RMS2318 BROCE RCT350 WHEEL SWEEPER BROCE RCT350 WHEEL SWEEPER</t>
        </is>
      </c>
      <c r="L1557" t="n">
        <v>0</v>
      </c>
      <c r="M1557" t="n">
        <v>0</v>
      </c>
      <c r="O1557" t="inlineStr">
        <is>
          <t>RMS2318</t>
        </is>
      </c>
      <c r="Q1557" s="114" t="n">
        <v>0</v>
      </c>
      <c r="R1557" s="114" t="n">
        <v>200</v>
      </c>
      <c r="S1557" s="114" t="n">
        <v>0</v>
      </c>
      <c r="T1557" t="n">
        <v>0</v>
      </c>
    </row>
    <row r="1558">
      <c r="A1558" t="inlineStr">
        <is>
          <t>ttJTrans</t>
        </is>
      </c>
      <c r="B1558" s="38" t="inlineStr">
        <is>
          <t>0-4006</t>
        </is>
      </c>
      <c r="C1558" t="inlineStr">
        <is>
          <t>ER</t>
        </is>
      </c>
      <c r="E1558" t="inlineStr">
        <is>
          <t>ER</t>
        </is>
      </c>
      <c r="G1558" s="42" t="inlineStr"/>
      <c r="H1558" s="127" t="n">
        <v>46124</v>
      </c>
      <c r="J1558" s="38" t="inlineStr">
        <is>
          <t>0-4006</t>
        </is>
      </c>
      <c r="K1558" t="inlineStr">
        <is>
          <t>RMS2318 BROCE RCT350 WHEEL SWEEPER BROCE RCT350 WHEEL SWEEPER</t>
        </is>
      </c>
      <c r="L1558" t="n">
        <v>0</v>
      </c>
      <c r="M1558" t="n">
        <v>0</v>
      </c>
      <c r="O1558" t="inlineStr">
        <is>
          <t>RMS2318</t>
        </is>
      </c>
      <c r="Q1558" s="114" t="n">
        <v>0</v>
      </c>
      <c r="R1558" s="114" t="n">
        <v>200</v>
      </c>
      <c r="S1558" s="114" t="n">
        <v>0</v>
      </c>
      <c r="T1558" t="n">
        <v>0</v>
      </c>
    </row>
    <row r="1559">
      <c r="A1559" t="inlineStr">
        <is>
          <t>ttJTrans</t>
        </is>
      </c>
      <c r="B1559" s="38" t="inlineStr">
        <is>
          <t>0-4006</t>
        </is>
      </c>
      <c r="C1559" t="inlineStr">
        <is>
          <t>ER</t>
        </is>
      </c>
      <c r="E1559" t="inlineStr">
        <is>
          <t>ER</t>
        </is>
      </c>
      <c r="H1559" s="127" t="n">
        <v>46124</v>
      </c>
      <c r="J1559" s="38" t="inlineStr">
        <is>
          <t>0-4006</t>
        </is>
      </c>
      <c r="K1559" t="inlineStr">
        <is>
          <t>RMS2318 BROCE RCT350 WHEEL SWEEPER BROCE RCT350 WHEEL SWEEPER</t>
        </is>
      </c>
      <c r="L1559" t="n">
        <v>0</v>
      </c>
      <c r="M1559" t="n">
        <v>0</v>
      </c>
      <c r="O1559" t="inlineStr">
        <is>
          <t>RMS2318</t>
        </is>
      </c>
      <c r="Q1559" s="114" t="n">
        <v>0</v>
      </c>
      <c r="R1559" s="114" t="n">
        <v>200</v>
      </c>
      <c r="S1559" s="114" t="n">
        <v>0</v>
      </c>
      <c r="T1559" t="n">
        <v>0</v>
      </c>
    </row>
    <row r="1560">
      <c r="A1560" t="inlineStr">
        <is>
          <t>ttJTrans</t>
        </is>
      </c>
      <c r="B1560" s="38" t="inlineStr">
        <is>
          <t>0-4006</t>
        </is>
      </c>
      <c r="C1560" t="inlineStr">
        <is>
          <t>ER</t>
        </is>
      </c>
      <c r="E1560" t="inlineStr">
        <is>
          <t>ER</t>
        </is>
      </c>
      <c r="H1560" s="127" t="n">
        <v>46124</v>
      </c>
      <c r="J1560" s="38" t="inlineStr">
        <is>
          <t>0-4006</t>
        </is>
      </c>
      <c r="K1560" t="inlineStr">
        <is>
          <t>RMS2318 BROCE RCT350 WHEEL SWEEPER BROCE RCT350 WHEEL SWEEPER</t>
        </is>
      </c>
      <c r="L1560" t="n">
        <v>0</v>
      </c>
      <c r="M1560" t="n">
        <v>0</v>
      </c>
      <c r="O1560" t="inlineStr">
        <is>
          <t>RMS2318</t>
        </is>
      </c>
      <c r="Q1560" s="114" t="n">
        <v>0</v>
      </c>
      <c r="R1560" s="114" t="n">
        <v>200</v>
      </c>
      <c r="S1560" s="114" t="n">
        <v>0</v>
      </c>
      <c r="T1560" t="n">
        <v>0</v>
      </c>
    </row>
    <row r="1561">
      <c r="A1561" t="inlineStr">
        <is>
          <t>ttJTrans</t>
        </is>
      </c>
      <c r="B1561" s="38" t="inlineStr">
        <is>
          <t>0-4006</t>
        </is>
      </c>
      <c r="C1561" t="inlineStr">
        <is>
          <t>ER</t>
        </is>
      </c>
      <c r="E1561" t="inlineStr">
        <is>
          <t>ER</t>
        </is>
      </c>
      <c r="H1561" s="127" t="n">
        <v>46124</v>
      </c>
      <c r="J1561" s="38" t="inlineStr">
        <is>
          <t>0-4006</t>
        </is>
      </c>
      <c r="K1561" t="inlineStr">
        <is>
          <t>RMS2317 TRIMBLE TD540 TOTAL STATING TRIMBLE TD540 TOTAL STATING</t>
        </is>
      </c>
      <c r="L1561" t="n">
        <v>0</v>
      </c>
      <c r="M1561" t="n">
        <v>0</v>
      </c>
      <c r="O1561" t="inlineStr">
        <is>
          <t>RMS2317</t>
        </is>
      </c>
      <c r="Q1561" s="114" t="n">
        <v>0</v>
      </c>
      <c r="R1561" s="114" t="n">
        <v>287.36</v>
      </c>
      <c r="S1561" s="114" t="n">
        <v>0</v>
      </c>
      <c r="T1561" t="n">
        <v>0</v>
      </c>
    </row>
    <row r="1562">
      <c r="A1562" t="inlineStr">
        <is>
          <t>ttJTrans</t>
        </is>
      </c>
      <c r="B1562" s="38" t="inlineStr">
        <is>
          <t>0-4006</t>
        </is>
      </c>
      <c r="C1562" t="inlineStr">
        <is>
          <t>ER</t>
        </is>
      </c>
      <c r="E1562" t="inlineStr">
        <is>
          <t>ER</t>
        </is>
      </c>
      <c r="G1562" s="42" t="inlineStr"/>
      <c r="H1562" s="127" t="n">
        <v>46124</v>
      </c>
      <c r="J1562" s="38" t="inlineStr">
        <is>
          <t>0-4006</t>
        </is>
      </c>
      <c r="K1562" t="inlineStr">
        <is>
          <t>RMS2317 TRIMBLE TD540 TOTAL STATING TRIMBLE TD540 TOTAL STATING</t>
        </is>
      </c>
      <c r="L1562" t="n">
        <v>0</v>
      </c>
      <c r="M1562" t="n">
        <v>0</v>
      </c>
      <c r="O1562" t="inlineStr">
        <is>
          <t>RMS2317</t>
        </is>
      </c>
      <c r="Q1562" s="114" t="n">
        <v>0</v>
      </c>
      <c r="R1562" s="114" t="n">
        <v>287.36</v>
      </c>
      <c r="S1562" s="114" t="n">
        <v>0</v>
      </c>
      <c r="T1562" t="n">
        <v>0</v>
      </c>
    </row>
    <row r="1563">
      <c r="A1563" t="inlineStr">
        <is>
          <t>ttJTrans</t>
        </is>
      </c>
      <c r="B1563" s="38" t="inlineStr">
        <is>
          <t>0-4006</t>
        </is>
      </c>
      <c r="C1563" t="inlineStr">
        <is>
          <t>ER</t>
        </is>
      </c>
      <c r="E1563" t="inlineStr">
        <is>
          <t>ER</t>
        </is>
      </c>
      <c r="G1563" s="42" t="inlineStr"/>
      <c r="H1563" s="127" t="n">
        <v>46124</v>
      </c>
      <c r="J1563" s="38" t="inlineStr">
        <is>
          <t>0-4006</t>
        </is>
      </c>
      <c r="K1563" t="inlineStr">
        <is>
          <t>RMS2317 TRIMBLE TD540 TOTAL STATING TRIMBLE TD540 TOTAL STATING</t>
        </is>
      </c>
      <c r="L1563" t="n">
        <v>0</v>
      </c>
      <c r="M1563" t="n">
        <v>0</v>
      </c>
      <c r="O1563" t="inlineStr">
        <is>
          <t>RMS2317</t>
        </is>
      </c>
      <c r="Q1563" s="114" t="n">
        <v>0</v>
      </c>
      <c r="R1563" s="114" t="n">
        <v>287.36</v>
      </c>
      <c r="S1563" s="114" t="n">
        <v>0</v>
      </c>
      <c r="T1563" t="n">
        <v>0</v>
      </c>
    </row>
    <row r="1564">
      <c r="A1564" t="inlineStr">
        <is>
          <t>ttJTrans</t>
        </is>
      </c>
      <c r="B1564" s="38" t="inlineStr">
        <is>
          <t>0-4006</t>
        </is>
      </c>
      <c r="C1564" t="inlineStr">
        <is>
          <t>ER</t>
        </is>
      </c>
      <c r="E1564" t="inlineStr">
        <is>
          <t>ER</t>
        </is>
      </c>
      <c r="H1564" s="127" t="n">
        <v>46131</v>
      </c>
      <c r="J1564" s="38" t="inlineStr">
        <is>
          <t>0-4006</t>
        </is>
      </c>
      <c r="K1564" t="inlineStr">
        <is>
          <t>RDZ318 CAT D5 LGPVPR DOZER 170 HP CAT D5 LGPVPR DOZER 170 HP</t>
        </is>
      </c>
      <c r="L1564" t="n">
        <v>0</v>
      </c>
      <c r="M1564" t="n">
        <v>0</v>
      </c>
      <c r="O1564" t="inlineStr">
        <is>
          <t>RDZ318</t>
        </is>
      </c>
      <c r="Q1564" s="114" t="n">
        <v>0</v>
      </c>
      <c r="R1564" s="114" t="n">
        <v>778.74</v>
      </c>
      <c r="S1564" s="114" t="n">
        <v>0</v>
      </c>
      <c r="T1564" t="n">
        <v>0</v>
      </c>
    </row>
    <row r="1565">
      <c r="A1565" t="inlineStr">
        <is>
          <t>ttJTrans</t>
        </is>
      </c>
      <c r="B1565" s="38" t="inlineStr">
        <is>
          <t>0-4006</t>
        </is>
      </c>
      <c r="C1565" t="inlineStr">
        <is>
          <t>ER</t>
        </is>
      </c>
      <c r="E1565" t="inlineStr">
        <is>
          <t>ER</t>
        </is>
      </c>
      <c r="H1565" s="127" t="n">
        <v>46131</v>
      </c>
      <c r="J1565" s="38" t="inlineStr">
        <is>
          <t>0-4006</t>
        </is>
      </c>
      <c r="K1565" t="inlineStr">
        <is>
          <t>RDZ318 CAT D5 LGPVPR DOZER 170 HP CAT D5 LGPVPR DOZER 170 HP</t>
        </is>
      </c>
      <c r="L1565" t="n">
        <v>0</v>
      </c>
      <c r="M1565" t="n">
        <v>0</v>
      </c>
      <c r="O1565" t="inlineStr">
        <is>
          <t>RDZ318</t>
        </is>
      </c>
      <c r="Q1565" s="114" t="n">
        <v>0</v>
      </c>
      <c r="R1565" s="114" t="n">
        <v>778.74</v>
      </c>
      <c r="S1565" s="114" t="n">
        <v>0</v>
      </c>
      <c r="T1565" t="n">
        <v>0</v>
      </c>
    </row>
    <row r="1566">
      <c r="A1566" t="inlineStr">
        <is>
          <t>ttJTrans</t>
        </is>
      </c>
      <c r="B1566" s="38" t="inlineStr">
        <is>
          <t>0-4006</t>
        </is>
      </c>
      <c r="C1566" t="inlineStr">
        <is>
          <t>ER</t>
        </is>
      </c>
      <c r="E1566" t="inlineStr">
        <is>
          <t>ER</t>
        </is>
      </c>
      <c r="G1566" s="42" t="inlineStr"/>
      <c r="H1566" s="127" t="n">
        <v>46131</v>
      </c>
      <c r="J1566" s="38" t="inlineStr">
        <is>
          <t>0-4006</t>
        </is>
      </c>
      <c r="K1566" t="inlineStr">
        <is>
          <t>RDZ318 CAT D5 LGPVPR DOZER 170 HP CAT D5 LGPVPR DOZER 170 HP</t>
        </is>
      </c>
      <c r="L1566" t="n">
        <v>0</v>
      </c>
      <c r="M1566" t="n">
        <v>0</v>
      </c>
      <c r="O1566" t="inlineStr">
        <is>
          <t>RDZ318</t>
        </is>
      </c>
      <c r="Q1566" s="114" t="n">
        <v>0</v>
      </c>
      <c r="R1566" s="114" t="n">
        <v>778.74</v>
      </c>
      <c r="S1566" s="114" t="n">
        <v>0</v>
      </c>
      <c r="T1566" t="n">
        <v>0</v>
      </c>
    </row>
    <row r="1567">
      <c r="A1567" t="inlineStr">
        <is>
          <t>ttJTrans</t>
        </is>
      </c>
      <c r="B1567" s="38" t="inlineStr">
        <is>
          <t>0-4006</t>
        </is>
      </c>
      <c r="C1567" t="inlineStr">
        <is>
          <t>ER</t>
        </is>
      </c>
      <c r="E1567" t="inlineStr">
        <is>
          <t>ER</t>
        </is>
      </c>
      <c r="G1567" s="42" t="inlineStr"/>
      <c r="H1567" s="127" t="n">
        <v>46131</v>
      </c>
      <c r="J1567" s="38" t="inlineStr">
        <is>
          <t>0-4006</t>
        </is>
      </c>
      <c r="K1567" t="inlineStr">
        <is>
          <t>RDZ318 CAT D5 LGPVPR DOZER 170 HP CAT D5 LGPVPR DOZER 170 HP</t>
        </is>
      </c>
      <c r="L1567" t="n">
        <v>0</v>
      </c>
      <c r="M1567" t="n">
        <v>0</v>
      </c>
      <c r="O1567" t="inlineStr">
        <is>
          <t>RDZ318</t>
        </is>
      </c>
      <c r="Q1567" s="114" t="n">
        <v>0</v>
      </c>
      <c r="R1567" s="114" t="n">
        <v>778.74</v>
      </c>
      <c r="S1567" s="114" t="n">
        <v>0</v>
      </c>
      <c r="T1567" t="n">
        <v>0</v>
      </c>
    </row>
    <row r="1568">
      <c r="A1568" t="inlineStr">
        <is>
          <t>ttJTrans</t>
        </is>
      </c>
      <c r="B1568" s="38" t="inlineStr">
        <is>
          <t>0-4006</t>
        </is>
      </c>
      <c r="C1568" t="inlineStr">
        <is>
          <t>ER</t>
        </is>
      </c>
      <c r="E1568" t="inlineStr">
        <is>
          <t>ER</t>
        </is>
      </c>
      <c r="G1568" s="42" t="inlineStr"/>
      <c r="H1568" s="127" t="n">
        <v>46131</v>
      </c>
      <c r="J1568" s="38" t="inlineStr">
        <is>
          <t>0-4006</t>
        </is>
      </c>
      <c r="K1568" t="inlineStr">
        <is>
          <t>RDZ318 CAT D5 LGPVPR DOZER 170 HP CAT D5 LGPVPR DOZER 170 HP</t>
        </is>
      </c>
      <c r="L1568" t="n">
        <v>0</v>
      </c>
      <c r="M1568" t="n">
        <v>0</v>
      </c>
      <c r="O1568" t="inlineStr">
        <is>
          <t>RDZ318</t>
        </is>
      </c>
      <c r="Q1568" s="114" t="n">
        <v>0</v>
      </c>
      <c r="R1568" s="114" t="n">
        <v>778.74</v>
      </c>
      <c r="S1568" s="114" t="n">
        <v>0</v>
      </c>
      <c r="T1568" t="n">
        <v>0</v>
      </c>
    </row>
    <row r="1569">
      <c r="A1569" t="inlineStr">
        <is>
          <t>ttJTrans</t>
        </is>
      </c>
      <c r="B1569" s="38" t="inlineStr">
        <is>
          <t>0-4006</t>
        </is>
      </c>
      <c r="C1569" t="inlineStr">
        <is>
          <t>ER</t>
        </is>
      </c>
      <c r="E1569" t="inlineStr">
        <is>
          <t>ER</t>
        </is>
      </c>
      <c r="G1569" s="42" t="inlineStr"/>
      <c r="H1569" s="127" t="n">
        <v>46131</v>
      </c>
      <c r="J1569" s="38" t="inlineStr">
        <is>
          <t>0-4006</t>
        </is>
      </c>
      <c r="K1569" t="inlineStr">
        <is>
          <t>RDZ318 CAT D5 LGPVPR DOZER 170 HP CAT D5 LGPVPR DOZER 170 HP</t>
        </is>
      </c>
      <c r="L1569" t="n">
        <v>0</v>
      </c>
      <c r="M1569" t="n">
        <v>0</v>
      </c>
      <c r="O1569" t="inlineStr">
        <is>
          <t>RDZ318</t>
        </is>
      </c>
      <c r="Q1569" s="114" t="n">
        <v>0</v>
      </c>
      <c r="R1569" s="114" t="n">
        <v>778.74</v>
      </c>
      <c r="S1569" s="114" t="n">
        <v>0</v>
      </c>
      <c r="T1569" t="n">
        <v>0</v>
      </c>
    </row>
    <row r="1570">
      <c r="A1570" t="inlineStr">
        <is>
          <t>ttJTrans</t>
        </is>
      </c>
      <c r="B1570" s="38" t="inlineStr">
        <is>
          <t>0-4006</t>
        </is>
      </c>
      <c r="C1570" t="inlineStr">
        <is>
          <t>ER</t>
        </is>
      </c>
      <c r="E1570" t="inlineStr">
        <is>
          <t>ER</t>
        </is>
      </c>
      <c r="G1570" s="42" t="inlineStr"/>
      <c r="H1570" s="127" t="n">
        <v>46131</v>
      </c>
      <c r="J1570" s="38" t="inlineStr">
        <is>
          <t>0-4006</t>
        </is>
      </c>
      <c r="K1570" t="inlineStr">
        <is>
          <t>RGR114 CATERPILLAR 150 AWD MOTOR GRADER CATERPILLAR 150 AWD MOTOR GRADER</t>
        </is>
      </c>
      <c r="L1570" t="n">
        <v>0</v>
      </c>
      <c r="M1570" t="n">
        <v>0</v>
      </c>
      <c r="O1570" t="inlineStr">
        <is>
          <t>RGR114</t>
        </is>
      </c>
      <c r="Q1570" s="114" t="n">
        <v>0</v>
      </c>
      <c r="R1570" s="114" t="n">
        <v>604.17</v>
      </c>
      <c r="S1570" s="114" t="n">
        <v>0</v>
      </c>
      <c r="T1570" t="n">
        <v>0</v>
      </c>
    </row>
    <row r="1571">
      <c r="A1571" t="inlineStr">
        <is>
          <t>ttJTrans</t>
        </is>
      </c>
      <c r="B1571" s="38" t="inlineStr">
        <is>
          <t>0-4006</t>
        </is>
      </c>
      <c r="C1571" t="inlineStr">
        <is>
          <t>ER</t>
        </is>
      </c>
      <c r="E1571" t="inlineStr">
        <is>
          <t>ER</t>
        </is>
      </c>
      <c r="G1571" s="42" t="inlineStr"/>
      <c r="H1571" s="127" t="n">
        <v>46131</v>
      </c>
      <c r="J1571" s="38" t="inlineStr">
        <is>
          <t>0-4006</t>
        </is>
      </c>
      <c r="K1571" t="inlineStr">
        <is>
          <t>RGR114 CATERPILLAR 150 AWD MOTOR GRADER CATERPILLAR 150 AWD MOTOR GRADER</t>
        </is>
      </c>
      <c r="L1571" t="n">
        <v>0</v>
      </c>
      <c r="M1571" t="n">
        <v>0</v>
      </c>
      <c r="O1571" t="inlineStr">
        <is>
          <t>RGR114</t>
        </is>
      </c>
      <c r="Q1571" s="114" t="n">
        <v>0</v>
      </c>
      <c r="R1571" s="114" t="n">
        <v>604.17</v>
      </c>
      <c r="S1571" s="114" t="n">
        <v>0</v>
      </c>
      <c r="T1571" t="n">
        <v>0</v>
      </c>
    </row>
    <row r="1572">
      <c r="A1572" t="inlineStr">
        <is>
          <t>ttJTrans</t>
        </is>
      </c>
      <c r="B1572" s="38" t="inlineStr">
        <is>
          <t>0-4006</t>
        </is>
      </c>
      <c r="C1572" t="inlineStr">
        <is>
          <t>ER</t>
        </is>
      </c>
      <c r="E1572" t="inlineStr">
        <is>
          <t>ER</t>
        </is>
      </c>
      <c r="G1572" s="42" t="inlineStr"/>
      <c r="H1572" s="127" t="n">
        <v>46131</v>
      </c>
      <c r="J1572" s="38" t="inlineStr">
        <is>
          <t>0-4006</t>
        </is>
      </c>
      <c r="K1572" t="inlineStr">
        <is>
          <t>RGR114 CATERPILLAR 150 AWD MOTOR GRADER CATERPILLAR 150 AWD MOTOR GRADER</t>
        </is>
      </c>
      <c r="L1572" t="n">
        <v>0</v>
      </c>
      <c r="M1572" t="n">
        <v>0</v>
      </c>
      <c r="O1572" t="inlineStr">
        <is>
          <t>RGR114</t>
        </is>
      </c>
      <c r="Q1572" s="114" t="n">
        <v>0</v>
      </c>
      <c r="R1572" s="114" t="n">
        <v>604.17</v>
      </c>
      <c r="S1572" s="114" t="n">
        <v>0</v>
      </c>
      <c r="T1572" t="n">
        <v>0</v>
      </c>
    </row>
    <row r="1573">
      <c r="A1573" t="inlineStr">
        <is>
          <t>ttJTrans</t>
        </is>
      </c>
      <c r="B1573" s="38" t="inlineStr">
        <is>
          <t>0-4006</t>
        </is>
      </c>
      <c r="C1573" t="inlineStr">
        <is>
          <t>ER</t>
        </is>
      </c>
      <c r="E1573" t="inlineStr">
        <is>
          <t>ER</t>
        </is>
      </c>
      <c r="G1573" s="42" t="inlineStr"/>
      <c r="H1573" s="127" t="n">
        <v>46131</v>
      </c>
      <c r="J1573" s="38" t="inlineStr">
        <is>
          <t>0-4006</t>
        </is>
      </c>
      <c r="K1573" t="inlineStr">
        <is>
          <t>RGR114 CATERPILLAR 150 AWD MOTOR GRADER CATERPILLAR 150 AWD MOTOR GRADER</t>
        </is>
      </c>
      <c r="L1573" t="n">
        <v>0</v>
      </c>
      <c r="M1573" t="n">
        <v>0</v>
      </c>
      <c r="O1573" t="inlineStr">
        <is>
          <t>RGR114</t>
        </is>
      </c>
      <c r="Q1573" s="114" t="n">
        <v>0</v>
      </c>
      <c r="R1573" s="114" t="n">
        <v>604.17</v>
      </c>
      <c r="S1573" s="114" t="n">
        <v>0</v>
      </c>
      <c r="T1573" t="n">
        <v>0</v>
      </c>
    </row>
    <row r="1574">
      <c r="A1574" t="inlineStr">
        <is>
          <t>ttJTrans</t>
        </is>
      </c>
      <c r="B1574" s="38" t="inlineStr">
        <is>
          <t>0-4006</t>
        </is>
      </c>
      <c r="C1574" t="inlineStr">
        <is>
          <t>ER</t>
        </is>
      </c>
      <c r="E1574" t="inlineStr">
        <is>
          <t>ER</t>
        </is>
      </c>
      <c r="G1574" s="42" t="inlineStr"/>
      <c r="H1574" s="127" t="n">
        <v>46131</v>
      </c>
      <c r="J1574" s="38" t="inlineStr">
        <is>
          <t>0-4006</t>
        </is>
      </c>
      <c r="K1574" t="inlineStr">
        <is>
          <t>RGR114 CATERPILLAR 150 AWD MOTOR GRADER CATERPILLAR 150 AWD MOTOR GRADER</t>
        </is>
      </c>
      <c r="L1574" t="n">
        <v>0</v>
      </c>
      <c r="M1574" t="n">
        <v>0</v>
      </c>
      <c r="O1574" t="inlineStr">
        <is>
          <t>RGR114</t>
        </is>
      </c>
      <c r="Q1574" s="114" t="n">
        <v>0</v>
      </c>
      <c r="R1574" s="114" t="n">
        <v>604.17</v>
      </c>
      <c r="S1574" s="114" t="n">
        <v>0</v>
      </c>
      <c r="T1574" t="n">
        <v>0</v>
      </c>
    </row>
    <row r="1575">
      <c r="A1575" t="inlineStr">
        <is>
          <t>ttJTrans</t>
        </is>
      </c>
      <c r="B1575" s="38" t="inlineStr">
        <is>
          <t>0-4006</t>
        </is>
      </c>
      <c r="C1575" t="inlineStr">
        <is>
          <t>ER</t>
        </is>
      </c>
      <c r="E1575" t="inlineStr">
        <is>
          <t>ER</t>
        </is>
      </c>
      <c r="G1575" s="42" t="inlineStr"/>
      <c r="H1575" s="127" t="n">
        <v>46131</v>
      </c>
      <c r="J1575" s="38" t="inlineStr">
        <is>
          <t>0-4006</t>
        </is>
      </c>
      <c r="K1575" t="inlineStr">
        <is>
          <t>RGR114 CATERPILLAR 150 AWD MOTOR GRADER CATERPILLAR 150 AWD MOTOR GRADER</t>
        </is>
      </c>
      <c r="L1575" t="n">
        <v>0</v>
      </c>
      <c r="M1575" t="n">
        <v>0</v>
      </c>
      <c r="O1575" t="inlineStr">
        <is>
          <t>RGR114</t>
        </is>
      </c>
      <c r="Q1575" s="114" t="n">
        <v>0</v>
      </c>
      <c r="R1575" s="114" t="n">
        <v>604.17</v>
      </c>
      <c r="S1575" s="114" t="n">
        <v>0</v>
      </c>
      <c r="T1575" t="n">
        <v>0</v>
      </c>
    </row>
    <row r="1576">
      <c r="A1576" t="inlineStr">
        <is>
          <t>ttJTrans</t>
        </is>
      </c>
      <c r="B1576" s="38" t="inlineStr">
        <is>
          <t>0-4006</t>
        </is>
      </c>
      <c r="C1576" t="inlineStr">
        <is>
          <t>ER</t>
        </is>
      </c>
      <c r="E1576" t="inlineStr">
        <is>
          <t>ER</t>
        </is>
      </c>
      <c r="G1576" s="42" t="inlineStr"/>
      <c r="H1576" s="127" t="n">
        <v>46131</v>
      </c>
      <c r="J1576" s="38" t="inlineStr">
        <is>
          <t>0-4006</t>
        </is>
      </c>
      <c r="K1576" t="inlineStr">
        <is>
          <t>RFT890 CASE MAGNUN 220 FARM TRACTOR CASE MAGNUN 220 FARM TRACTOR</t>
        </is>
      </c>
      <c r="L1576" t="n">
        <v>0</v>
      </c>
      <c r="M1576" t="n">
        <v>0</v>
      </c>
      <c r="O1576" t="inlineStr">
        <is>
          <t>RFT890</t>
        </is>
      </c>
      <c r="Q1576" s="114" t="n">
        <v>0</v>
      </c>
      <c r="R1576" s="114" t="n">
        <v>500</v>
      </c>
      <c r="S1576" s="114" t="n">
        <v>0</v>
      </c>
      <c r="T1576" t="n">
        <v>0</v>
      </c>
    </row>
    <row r="1577">
      <c r="A1577" t="inlineStr">
        <is>
          <t>ttJTrans</t>
        </is>
      </c>
      <c r="B1577" s="38" t="inlineStr">
        <is>
          <t>0-4006</t>
        </is>
      </c>
      <c r="C1577" t="inlineStr">
        <is>
          <t>ER</t>
        </is>
      </c>
      <c r="E1577" t="inlineStr">
        <is>
          <t>ER</t>
        </is>
      </c>
      <c r="G1577" s="42" t="inlineStr"/>
      <c r="H1577" s="127" t="n">
        <v>46131</v>
      </c>
      <c r="J1577" s="38" t="inlineStr">
        <is>
          <t>0-4006</t>
        </is>
      </c>
      <c r="K1577" t="inlineStr">
        <is>
          <t>RFT890 CASE MAGNUN 220 FARM TRACTOR CASE MAGNUN 220 FARM TRACTOR</t>
        </is>
      </c>
      <c r="L1577" t="n">
        <v>0</v>
      </c>
      <c r="M1577" t="n">
        <v>0</v>
      </c>
      <c r="O1577" t="inlineStr">
        <is>
          <t>RFT890</t>
        </is>
      </c>
      <c r="Q1577" s="114" t="n">
        <v>0</v>
      </c>
      <c r="R1577" s="114" t="n">
        <v>500</v>
      </c>
      <c r="S1577" s="114" t="n">
        <v>0</v>
      </c>
      <c r="T1577" t="n">
        <v>0</v>
      </c>
    </row>
    <row r="1578">
      <c r="A1578" t="inlineStr">
        <is>
          <t>ttJTrans</t>
        </is>
      </c>
      <c r="B1578" s="38" t="inlineStr">
        <is>
          <t>0-4006</t>
        </is>
      </c>
      <c r="C1578" t="inlineStr">
        <is>
          <t>ER</t>
        </is>
      </c>
      <c r="E1578" t="inlineStr">
        <is>
          <t>ER</t>
        </is>
      </c>
      <c r="G1578" s="42" t="inlineStr"/>
      <c r="H1578" s="127" t="n">
        <v>46131</v>
      </c>
      <c r="J1578" s="38" t="inlineStr">
        <is>
          <t>0-4006</t>
        </is>
      </c>
      <c r="K1578" t="inlineStr">
        <is>
          <t>RFT890 CASE MAGNUN 220 FARM TRACTOR CASE MAGNUN 220 FARM TRACTOR</t>
        </is>
      </c>
      <c r="L1578" t="n">
        <v>0</v>
      </c>
      <c r="M1578" t="n">
        <v>0</v>
      </c>
      <c r="O1578" t="inlineStr">
        <is>
          <t>RFT890</t>
        </is>
      </c>
      <c r="Q1578" s="114" t="n">
        <v>0</v>
      </c>
      <c r="R1578" s="114" t="n">
        <v>500</v>
      </c>
      <c r="S1578" s="114" t="n">
        <v>0</v>
      </c>
      <c r="T1578" t="n">
        <v>0</v>
      </c>
    </row>
    <row r="1579">
      <c r="A1579" t="inlineStr">
        <is>
          <t>ttJTrans</t>
        </is>
      </c>
      <c r="B1579" s="38" t="inlineStr">
        <is>
          <t>0-4006</t>
        </is>
      </c>
      <c r="C1579" t="inlineStr">
        <is>
          <t>ER</t>
        </is>
      </c>
      <c r="E1579" t="inlineStr">
        <is>
          <t>ER</t>
        </is>
      </c>
      <c r="G1579" s="42" t="inlineStr"/>
      <c r="H1579" s="127" t="n">
        <v>46131</v>
      </c>
      <c r="J1579" s="38" t="inlineStr">
        <is>
          <t>0-4006</t>
        </is>
      </c>
      <c r="K1579" t="inlineStr">
        <is>
          <t>RFT890 CASE MAGNUN 220 FARM TRACTOR CASE MAGNUN 220 FARM TRACTOR</t>
        </is>
      </c>
      <c r="L1579" t="n">
        <v>0</v>
      </c>
      <c r="M1579" t="n">
        <v>0</v>
      </c>
      <c r="O1579" t="inlineStr">
        <is>
          <t>RFT890</t>
        </is>
      </c>
      <c r="Q1579" s="114" t="n">
        <v>0</v>
      </c>
      <c r="R1579" s="114" t="n">
        <v>500</v>
      </c>
      <c r="S1579" s="114" t="n">
        <v>0</v>
      </c>
      <c r="T1579" t="n">
        <v>0</v>
      </c>
    </row>
    <row r="1580">
      <c r="A1580" t="inlineStr">
        <is>
          <t>ttJTrans</t>
        </is>
      </c>
      <c r="B1580" s="38" t="inlineStr">
        <is>
          <t>0-4006</t>
        </is>
      </c>
      <c r="C1580" t="inlineStr">
        <is>
          <t>ER</t>
        </is>
      </c>
      <c r="E1580" t="inlineStr">
        <is>
          <t>ER</t>
        </is>
      </c>
      <c r="H1580" s="127" t="n">
        <v>46131</v>
      </c>
      <c r="J1580" s="38" t="inlineStr">
        <is>
          <t>0-4006</t>
        </is>
      </c>
      <c r="K1580" t="inlineStr">
        <is>
          <t>RFT890 CASE MAGNUN 220 FARM TRACTOR CASE MAGNUN 220 FARM TRACTOR</t>
        </is>
      </c>
      <c r="L1580" t="n">
        <v>0</v>
      </c>
      <c r="M1580" t="n">
        <v>0</v>
      </c>
      <c r="O1580" t="inlineStr">
        <is>
          <t>RFT890</t>
        </is>
      </c>
      <c r="Q1580" s="114" t="n">
        <v>0</v>
      </c>
      <c r="R1580" s="114" t="n">
        <v>500</v>
      </c>
      <c r="S1580" s="114" t="n">
        <v>0</v>
      </c>
      <c r="T1580" t="n">
        <v>0</v>
      </c>
    </row>
    <row r="1581">
      <c r="A1581" t="inlineStr">
        <is>
          <t>ttJTrans</t>
        </is>
      </c>
      <c r="B1581" s="38" t="inlineStr">
        <is>
          <t>0-4006</t>
        </is>
      </c>
      <c r="C1581" t="inlineStr">
        <is>
          <t>ER</t>
        </is>
      </c>
      <c r="E1581" t="inlineStr">
        <is>
          <t>ER</t>
        </is>
      </c>
      <c r="G1581" s="42" t="inlineStr"/>
      <c r="H1581" s="127" t="n">
        <v>46131</v>
      </c>
      <c r="J1581" s="38" t="inlineStr">
        <is>
          <t>0-4006</t>
        </is>
      </c>
      <c r="K1581" t="inlineStr">
        <is>
          <t>RFT890 CASE MAGNUN 220 FARM TRACTOR CASE MAGNUN 220 FARM TRACTOR</t>
        </is>
      </c>
      <c r="L1581" t="n">
        <v>0</v>
      </c>
      <c r="M1581" t="n">
        <v>0</v>
      </c>
      <c r="O1581" t="inlineStr">
        <is>
          <t>RFT890</t>
        </is>
      </c>
      <c r="Q1581" s="114" t="n">
        <v>0</v>
      </c>
      <c r="R1581" s="114" t="n">
        <v>500</v>
      </c>
      <c r="S1581" s="114" t="n">
        <v>0</v>
      </c>
      <c r="T1581" t="n">
        <v>0</v>
      </c>
    </row>
    <row r="1582">
      <c r="A1582" t="inlineStr">
        <is>
          <t>ttJTrans</t>
        </is>
      </c>
      <c r="B1582" s="38" t="inlineStr">
        <is>
          <t>0-4006</t>
        </is>
      </c>
      <c r="C1582" t="inlineStr">
        <is>
          <t>ER</t>
        </is>
      </c>
      <c r="E1582" t="inlineStr">
        <is>
          <t>ER</t>
        </is>
      </c>
      <c r="G1582" s="42" t="inlineStr"/>
      <c r="H1582" s="127" t="n">
        <v>46131</v>
      </c>
      <c r="J1582" s="38" t="inlineStr">
        <is>
          <t>0-4006</t>
        </is>
      </c>
      <c r="K1582" t="inlineStr">
        <is>
          <t>RFT891 CASE MAGNUM 220 FARM TRACTOR CASE MAGNUM 220 FARM TRACTOR</t>
        </is>
      </c>
      <c r="L1582" t="n">
        <v>0</v>
      </c>
      <c r="M1582" t="n">
        <v>0</v>
      </c>
      <c r="O1582" t="inlineStr">
        <is>
          <t>RFT891</t>
        </is>
      </c>
      <c r="Q1582" s="114" t="n">
        <v>0</v>
      </c>
      <c r="R1582" s="114" t="n">
        <v>500</v>
      </c>
      <c r="S1582" s="114" t="n">
        <v>0</v>
      </c>
      <c r="T1582" t="n">
        <v>0</v>
      </c>
    </row>
    <row r="1583">
      <c r="A1583" t="inlineStr">
        <is>
          <t>ttJTrans</t>
        </is>
      </c>
      <c r="B1583" s="38" t="inlineStr">
        <is>
          <t>0-4006</t>
        </is>
      </c>
      <c r="C1583" t="inlineStr">
        <is>
          <t>ER</t>
        </is>
      </c>
      <c r="E1583" t="inlineStr">
        <is>
          <t>ER</t>
        </is>
      </c>
      <c r="G1583" s="42" t="inlineStr"/>
      <c r="H1583" s="127" t="n">
        <v>46131</v>
      </c>
      <c r="J1583" s="38" t="inlineStr">
        <is>
          <t>0-4006</t>
        </is>
      </c>
      <c r="K1583" t="inlineStr">
        <is>
          <t>RFT891 CASE MAGNUM 220 FARM TRACTOR CASE MAGNUM 220 FARM TRACTOR</t>
        </is>
      </c>
      <c r="L1583" t="n">
        <v>0</v>
      </c>
      <c r="M1583" t="n">
        <v>0</v>
      </c>
      <c r="O1583" t="inlineStr">
        <is>
          <t>RFT891</t>
        </is>
      </c>
      <c r="Q1583" s="114" t="n">
        <v>0</v>
      </c>
      <c r="R1583" s="114" t="n">
        <v>500</v>
      </c>
      <c r="S1583" s="114" t="n">
        <v>0</v>
      </c>
      <c r="T1583" t="n">
        <v>0</v>
      </c>
    </row>
    <row r="1584">
      <c r="A1584" t="inlineStr">
        <is>
          <t>ttJTrans</t>
        </is>
      </c>
      <c r="B1584" s="38" t="inlineStr">
        <is>
          <t>0-4006</t>
        </is>
      </c>
      <c r="C1584" t="inlineStr">
        <is>
          <t>ER</t>
        </is>
      </c>
      <c r="E1584" t="inlineStr">
        <is>
          <t>ER</t>
        </is>
      </c>
      <c r="G1584" s="42" t="inlineStr"/>
      <c r="H1584" s="127" t="n">
        <v>46131</v>
      </c>
      <c r="J1584" s="38" t="inlineStr">
        <is>
          <t>0-4006</t>
        </is>
      </c>
      <c r="K1584" t="inlineStr">
        <is>
          <t>RFT891 CASE MAGNUM 220 FARM TRACTOR CASE MAGNUM 220 FARM TRACTOR</t>
        </is>
      </c>
      <c r="L1584" t="n">
        <v>0</v>
      </c>
      <c r="M1584" t="n">
        <v>0</v>
      </c>
      <c r="O1584" t="inlineStr">
        <is>
          <t>RFT891</t>
        </is>
      </c>
      <c r="Q1584" s="114" t="n">
        <v>0</v>
      </c>
      <c r="R1584" s="114" t="n">
        <v>500</v>
      </c>
      <c r="S1584" s="114" t="n">
        <v>0</v>
      </c>
      <c r="T1584" t="n">
        <v>0</v>
      </c>
    </row>
    <row r="1585">
      <c r="A1585" t="inlineStr">
        <is>
          <t>ttJTrans</t>
        </is>
      </c>
      <c r="B1585" s="38" t="inlineStr">
        <is>
          <t>0-4006</t>
        </is>
      </c>
      <c r="C1585" t="inlineStr">
        <is>
          <t>ER</t>
        </is>
      </c>
      <c r="E1585" t="inlineStr">
        <is>
          <t>ER</t>
        </is>
      </c>
      <c r="G1585" s="42" t="inlineStr"/>
      <c r="H1585" s="127" t="n">
        <v>46131</v>
      </c>
      <c r="J1585" s="38" t="inlineStr">
        <is>
          <t>0-4006</t>
        </is>
      </c>
      <c r="K1585" t="inlineStr">
        <is>
          <t>RFT891 CASE MAGNUM 220 FARM TRACTOR CASE MAGNUM 220 FARM TRACTOR</t>
        </is>
      </c>
      <c r="L1585" t="n">
        <v>0</v>
      </c>
      <c r="M1585" t="n">
        <v>0</v>
      </c>
      <c r="O1585" t="inlineStr">
        <is>
          <t>RFT891</t>
        </is>
      </c>
      <c r="Q1585" s="114" t="n">
        <v>0</v>
      </c>
      <c r="R1585" s="114" t="n">
        <v>500</v>
      </c>
      <c r="S1585" s="114" t="n">
        <v>0</v>
      </c>
      <c r="T1585" t="n">
        <v>0</v>
      </c>
    </row>
    <row r="1586">
      <c r="A1586" t="inlineStr">
        <is>
          <t>ttJTrans</t>
        </is>
      </c>
      <c r="B1586" s="38" t="inlineStr">
        <is>
          <t>0-4006</t>
        </is>
      </c>
      <c r="C1586" t="inlineStr">
        <is>
          <t>ER</t>
        </is>
      </c>
      <c r="E1586" t="inlineStr">
        <is>
          <t>ER</t>
        </is>
      </c>
      <c r="G1586" s="42" t="inlineStr"/>
      <c r="H1586" s="127" t="n">
        <v>46131</v>
      </c>
      <c r="J1586" s="38" t="inlineStr">
        <is>
          <t>0-4006</t>
        </is>
      </c>
      <c r="K1586" t="inlineStr">
        <is>
          <t>RFT891 CASE MAGNUM 220 FARM TRACTOR CASE MAGNUM 220 FARM TRACTOR</t>
        </is>
      </c>
      <c r="L1586" t="n">
        <v>0</v>
      </c>
      <c r="M1586" t="n">
        <v>0</v>
      </c>
      <c r="O1586" t="inlineStr">
        <is>
          <t>RFT891</t>
        </is>
      </c>
      <c r="Q1586" s="114" t="n">
        <v>0</v>
      </c>
      <c r="R1586" s="114" t="n">
        <v>500</v>
      </c>
      <c r="S1586" s="114" t="n">
        <v>0</v>
      </c>
      <c r="T1586" t="n">
        <v>0</v>
      </c>
    </row>
    <row r="1587">
      <c r="A1587" t="inlineStr">
        <is>
          <t>ttJTrans</t>
        </is>
      </c>
      <c r="B1587" s="38" t="inlineStr">
        <is>
          <t>0-4006</t>
        </is>
      </c>
      <c r="C1587" t="inlineStr">
        <is>
          <t>ER</t>
        </is>
      </c>
      <c r="E1587" t="inlineStr">
        <is>
          <t>ER</t>
        </is>
      </c>
      <c r="G1587" s="42" t="inlineStr"/>
      <c r="H1587" s="127" t="n">
        <v>46131</v>
      </c>
      <c r="J1587" s="38" t="inlineStr">
        <is>
          <t>0-4006</t>
        </is>
      </c>
      <c r="K1587" t="inlineStr">
        <is>
          <t>RFT891 CASE MAGNUM 220 FARM TRACTOR CASE MAGNUM 220 FARM TRACTOR</t>
        </is>
      </c>
      <c r="L1587" t="n">
        <v>0</v>
      </c>
      <c r="M1587" t="n">
        <v>0</v>
      </c>
      <c r="O1587" t="inlineStr">
        <is>
          <t>RFT891</t>
        </is>
      </c>
      <c r="Q1587" s="114" t="n">
        <v>0</v>
      </c>
      <c r="R1587" s="114" t="n">
        <v>500</v>
      </c>
      <c r="S1587" s="114" t="n">
        <v>0</v>
      </c>
      <c r="T1587" t="n">
        <v>0</v>
      </c>
    </row>
    <row r="1588">
      <c r="A1588" t="inlineStr">
        <is>
          <t>ttJTrans</t>
        </is>
      </c>
      <c r="B1588" s="38" t="inlineStr">
        <is>
          <t>0-4006</t>
        </is>
      </c>
      <c r="C1588" t="inlineStr">
        <is>
          <t>ER</t>
        </is>
      </c>
      <c r="E1588" t="inlineStr">
        <is>
          <t>ER</t>
        </is>
      </c>
      <c r="G1588" s="42" t="inlineStr"/>
      <c r="H1588" s="127" t="n">
        <v>46131</v>
      </c>
      <c r="J1588" s="38" t="inlineStr">
        <is>
          <t>0-4006</t>
        </is>
      </c>
      <c r="K1588" t="inlineStr">
        <is>
          <t>RMS2319 25' SMOOTH ROLLER FOR FARM TRACTOR 25' SMOOTH ROLLER FOR FARM TRACTOR</t>
        </is>
      </c>
      <c r="L1588" t="n">
        <v>0</v>
      </c>
      <c r="M1588" t="n">
        <v>0</v>
      </c>
      <c r="O1588" t="inlineStr">
        <is>
          <t>RMS2319</t>
        </is>
      </c>
      <c r="Q1588" s="114" t="n">
        <v>0</v>
      </c>
      <c r="R1588" s="114" t="n">
        <v>179.6</v>
      </c>
      <c r="S1588" s="114" t="n">
        <v>0</v>
      </c>
      <c r="T1588" t="n">
        <v>0</v>
      </c>
    </row>
    <row r="1589">
      <c r="A1589" t="inlineStr">
        <is>
          <t>ttJTrans</t>
        </is>
      </c>
      <c r="B1589" s="38" t="inlineStr">
        <is>
          <t>0-4006</t>
        </is>
      </c>
      <c r="C1589" t="inlineStr">
        <is>
          <t>ER</t>
        </is>
      </c>
      <c r="E1589" t="inlineStr">
        <is>
          <t>ER</t>
        </is>
      </c>
      <c r="G1589" s="42" t="inlineStr"/>
      <c r="H1589" s="127" t="n">
        <v>46131</v>
      </c>
      <c r="J1589" s="38" t="inlineStr">
        <is>
          <t>0-4006</t>
        </is>
      </c>
      <c r="K1589" t="inlineStr">
        <is>
          <t>RMS2319 25' SMOOTH ROLLER FOR FARM TRACTOR 25' SMOOTH ROLLER FOR FARM TRACTOR</t>
        </is>
      </c>
      <c r="L1589" t="n">
        <v>0</v>
      </c>
      <c r="M1589" t="n">
        <v>0</v>
      </c>
      <c r="O1589" t="inlineStr">
        <is>
          <t>RMS2319</t>
        </is>
      </c>
      <c r="Q1589" s="114" t="n">
        <v>0</v>
      </c>
      <c r="R1589" s="114" t="n">
        <v>179.6</v>
      </c>
      <c r="S1589" s="114" t="n">
        <v>0</v>
      </c>
      <c r="T1589" t="n">
        <v>0</v>
      </c>
    </row>
    <row r="1590">
      <c r="A1590" t="inlineStr">
        <is>
          <t>ttJTrans</t>
        </is>
      </c>
      <c r="B1590" s="38" t="inlineStr">
        <is>
          <t>0-4006</t>
        </is>
      </c>
      <c r="C1590" t="inlineStr">
        <is>
          <t>ER</t>
        </is>
      </c>
      <c r="E1590" t="inlineStr">
        <is>
          <t>ER</t>
        </is>
      </c>
      <c r="G1590" s="42" t="inlineStr"/>
      <c r="H1590" s="127" t="n">
        <v>46131</v>
      </c>
      <c r="J1590" s="38" t="inlineStr">
        <is>
          <t>0-4006</t>
        </is>
      </c>
      <c r="K1590" t="inlineStr">
        <is>
          <t>RMS2319 25' SMOOTH ROLLER FOR FARM TRACTOR 25' SMOOTH ROLLER FOR FARM TRACTOR</t>
        </is>
      </c>
      <c r="L1590" t="n">
        <v>0</v>
      </c>
      <c r="M1590" t="n">
        <v>0</v>
      </c>
      <c r="O1590" t="inlineStr">
        <is>
          <t>RMS2319</t>
        </is>
      </c>
      <c r="Q1590" s="114" t="n">
        <v>0</v>
      </c>
      <c r="R1590" s="114" t="n">
        <v>179.6</v>
      </c>
      <c r="S1590" s="114" t="n">
        <v>0</v>
      </c>
      <c r="T1590" t="n">
        <v>0</v>
      </c>
    </row>
    <row r="1591">
      <c r="A1591" t="inlineStr">
        <is>
          <t>ttJTrans</t>
        </is>
      </c>
      <c r="B1591" s="38" t="inlineStr">
        <is>
          <t>0-4006</t>
        </is>
      </c>
      <c r="C1591" t="inlineStr">
        <is>
          <t>ER</t>
        </is>
      </c>
      <c r="E1591" t="inlineStr">
        <is>
          <t>ER</t>
        </is>
      </c>
      <c r="G1591" s="42" t="inlineStr"/>
      <c r="H1591" s="127" t="n">
        <v>46131</v>
      </c>
      <c r="J1591" s="38" t="inlineStr">
        <is>
          <t>0-4006</t>
        </is>
      </c>
      <c r="K1591" t="inlineStr">
        <is>
          <t>RMS2319 25' SMOOTH ROLLER FOR FARM TRACTOR 25' SMOOTH ROLLER FOR FARM TRACTOR</t>
        </is>
      </c>
      <c r="L1591" t="n">
        <v>0</v>
      </c>
      <c r="M1591" t="n">
        <v>0</v>
      </c>
      <c r="O1591" t="inlineStr">
        <is>
          <t>RMS2319</t>
        </is>
      </c>
      <c r="Q1591" s="114" t="n">
        <v>0</v>
      </c>
      <c r="R1591" s="114" t="n">
        <v>179.6</v>
      </c>
      <c r="S1591" s="114" t="n">
        <v>0</v>
      </c>
      <c r="T1591" t="n">
        <v>0</v>
      </c>
    </row>
    <row r="1592">
      <c r="A1592" t="inlineStr">
        <is>
          <t>ttJTrans</t>
        </is>
      </c>
      <c r="B1592" s="38" t="inlineStr">
        <is>
          <t>0-4006</t>
        </is>
      </c>
      <c r="C1592" t="inlineStr">
        <is>
          <t>ER</t>
        </is>
      </c>
      <c r="E1592" t="inlineStr">
        <is>
          <t>ER</t>
        </is>
      </c>
      <c r="G1592" s="42" t="inlineStr"/>
      <c r="H1592" s="127" t="n">
        <v>46131</v>
      </c>
      <c r="J1592" s="38" t="inlineStr">
        <is>
          <t>0-4006</t>
        </is>
      </c>
      <c r="K1592" t="inlineStr">
        <is>
          <t>RMS2319 25' SMOOTH ROLLER FOR FARM TRACTOR 25' SMOOTH ROLLER FOR FARM TRACTOR</t>
        </is>
      </c>
      <c r="L1592" t="n">
        <v>0</v>
      </c>
      <c r="M1592" t="n">
        <v>0</v>
      </c>
      <c r="O1592" t="inlineStr">
        <is>
          <t>RMS2319</t>
        </is>
      </c>
      <c r="Q1592" s="114" t="n">
        <v>0</v>
      </c>
      <c r="R1592" s="114" t="n">
        <v>179.6</v>
      </c>
      <c r="S1592" s="114" t="n">
        <v>0</v>
      </c>
      <c r="T1592" t="n">
        <v>0</v>
      </c>
    </row>
    <row r="1593">
      <c r="A1593" t="inlineStr">
        <is>
          <t>ttJTrans</t>
        </is>
      </c>
      <c r="B1593" s="38" t="inlineStr">
        <is>
          <t>0-4006</t>
        </is>
      </c>
      <c r="C1593" t="inlineStr">
        <is>
          <t>ER</t>
        </is>
      </c>
      <c r="E1593" t="inlineStr">
        <is>
          <t>ER</t>
        </is>
      </c>
      <c r="G1593" s="42" t="inlineStr"/>
      <c r="H1593" s="127" t="n">
        <v>46131</v>
      </c>
      <c r="J1593" s="44" t="inlineStr">
        <is>
          <t>0-4006</t>
        </is>
      </c>
      <c r="K1593" t="inlineStr">
        <is>
          <t>RMS2319 25' SMOOTH ROLLER FOR FARM TRACTOR 25' SMOOTH ROLLER FOR FARM TRACTOR</t>
        </is>
      </c>
      <c r="L1593" t="n">
        <v>0</v>
      </c>
      <c r="M1593" t="n">
        <v>0</v>
      </c>
      <c r="O1593" t="inlineStr">
        <is>
          <t>RMS2319</t>
        </is>
      </c>
      <c r="Q1593" s="114" t="n">
        <v>0</v>
      </c>
      <c r="R1593" s="114" t="n">
        <v>179.6</v>
      </c>
      <c r="S1593" s="114" t="n">
        <v>0</v>
      </c>
      <c r="T1593" t="n">
        <v>0</v>
      </c>
    </row>
    <row r="1594">
      <c r="A1594" t="inlineStr">
        <is>
          <t>ttJTrans</t>
        </is>
      </c>
      <c r="B1594" s="38" t="inlineStr">
        <is>
          <t>0-4006</t>
        </is>
      </c>
      <c r="C1594" t="inlineStr">
        <is>
          <t>ER</t>
        </is>
      </c>
      <c r="E1594" t="inlineStr">
        <is>
          <t>ER</t>
        </is>
      </c>
      <c r="G1594" s="42" t="inlineStr"/>
      <c r="H1594" s="127" t="n">
        <v>46131</v>
      </c>
      <c r="J1594" s="38" t="inlineStr">
        <is>
          <t>0-4006</t>
        </is>
      </c>
      <c r="K1594" t="inlineStr">
        <is>
          <t>RLD293 TAKEUCHI TL10VS TRACK SKID STEER LOADER W TREE SAW ATTACHMENT TAKEUCHI TL10VS TRACK SKID STEER LOADER W TREE SAW ATTACHMENT</t>
        </is>
      </c>
      <c r="L1594" t="n">
        <v>0</v>
      </c>
      <c r="M1594" t="n">
        <v>0</v>
      </c>
      <c r="O1594" t="inlineStr">
        <is>
          <t>RLD293</t>
        </is>
      </c>
      <c r="Q1594" s="114" t="n">
        <v>0</v>
      </c>
      <c r="R1594" s="114" t="n">
        <v>282.06</v>
      </c>
      <c r="S1594" s="114" t="n">
        <v>0</v>
      </c>
      <c r="T1594" t="n">
        <v>0</v>
      </c>
    </row>
    <row r="1595">
      <c r="A1595" t="inlineStr">
        <is>
          <t>ttJTrans</t>
        </is>
      </c>
      <c r="B1595" s="38" t="inlineStr">
        <is>
          <t>0-4006</t>
        </is>
      </c>
      <c r="C1595" t="inlineStr">
        <is>
          <t>ER</t>
        </is>
      </c>
      <c r="E1595" t="inlineStr">
        <is>
          <t>ER</t>
        </is>
      </c>
      <c r="G1595" s="42" t="inlineStr"/>
      <c r="H1595" s="127" t="n">
        <v>46131</v>
      </c>
      <c r="J1595" s="38" t="inlineStr">
        <is>
          <t>0-4006</t>
        </is>
      </c>
      <c r="K1595" t="inlineStr">
        <is>
          <t>RLD293 TAKEUCHI TL10VS TRACK SKID STEER LOADER W TREE SAW ATTACHMENT TAKEUCHI TL10VS TRACK SKID STEER LOADER W TREE SAW ATTACHMENT</t>
        </is>
      </c>
      <c r="L1595" t="n">
        <v>0</v>
      </c>
      <c r="M1595" t="n">
        <v>0</v>
      </c>
      <c r="O1595" t="inlineStr">
        <is>
          <t>RLD293</t>
        </is>
      </c>
      <c r="Q1595" s="114" t="n">
        <v>0</v>
      </c>
      <c r="R1595" s="114" t="n">
        <v>282.06</v>
      </c>
      <c r="S1595" s="114" t="n">
        <v>0</v>
      </c>
      <c r="T1595" t="n">
        <v>0</v>
      </c>
    </row>
    <row r="1596">
      <c r="A1596" t="inlineStr">
        <is>
          <t>ttJTrans</t>
        </is>
      </c>
      <c r="B1596" s="38" t="inlineStr">
        <is>
          <t>0-4006</t>
        </is>
      </c>
      <c r="C1596" t="inlineStr">
        <is>
          <t>ER</t>
        </is>
      </c>
      <c r="E1596" t="inlineStr">
        <is>
          <t>ER</t>
        </is>
      </c>
      <c r="G1596" s="42" t="inlineStr"/>
      <c r="H1596" s="127" t="n">
        <v>46131</v>
      </c>
      <c r="J1596" s="38" t="inlineStr">
        <is>
          <t>0-4006</t>
        </is>
      </c>
      <c r="K1596" t="inlineStr">
        <is>
          <t>RLD293 TAKEUCHI TL10VS TRACK SKID STEER LOADER W TREE SAW ATTACHMENT TAKEUCHI TL10VS TRACK SKID STEER LOADER W TREE SAW ATTACHMENT</t>
        </is>
      </c>
      <c r="L1596" t="n">
        <v>0</v>
      </c>
      <c r="M1596" t="n">
        <v>0</v>
      </c>
      <c r="O1596" t="inlineStr">
        <is>
          <t>RLD293</t>
        </is>
      </c>
      <c r="Q1596" s="114" t="n">
        <v>0</v>
      </c>
      <c r="R1596" s="114" t="n">
        <v>282.06</v>
      </c>
      <c r="S1596" s="114" t="n">
        <v>0</v>
      </c>
      <c r="T1596" t="n">
        <v>0</v>
      </c>
    </row>
    <row r="1597">
      <c r="A1597" t="inlineStr">
        <is>
          <t>ttJTrans</t>
        </is>
      </c>
      <c r="B1597" s="38" t="inlineStr">
        <is>
          <t>0-4006</t>
        </is>
      </c>
      <c r="C1597" t="inlineStr">
        <is>
          <t>ER</t>
        </is>
      </c>
      <c r="E1597" t="inlineStr">
        <is>
          <t>ER</t>
        </is>
      </c>
      <c r="G1597" s="42" t="inlineStr"/>
      <c r="H1597" s="127" t="n">
        <v>46131</v>
      </c>
      <c r="J1597" s="38" t="inlineStr">
        <is>
          <t>0-4006</t>
        </is>
      </c>
      <c r="K1597" t="inlineStr">
        <is>
          <t>RLD293 TAKEUCHI TL10VS TRACK SKID STEER LOADER W TREE SAW ATTACHMENT TAKEUCHI TL10VS TRACK SKID STEER LOADER W TREE SAW ATTACHMENT</t>
        </is>
      </c>
      <c r="L1597" t="n">
        <v>0</v>
      </c>
      <c r="M1597" t="n">
        <v>0</v>
      </c>
      <c r="O1597" t="inlineStr">
        <is>
          <t>RLD293</t>
        </is>
      </c>
      <c r="Q1597" s="114" t="n">
        <v>0</v>
      </c>
      <c r="R1597" s="114" t="n">
        <v>282.06</v>
      </c>
      <c r="S1597" s="114" t="n">
        <v>0</v>
      </c>
      <c r="T1597" t="n">
        <v>0</v>
      </c>
    </row>
    <row r="1598">
      <c r="A1598" t="inlineStr">
        <is>
          <t>ttJTrans</t>
        </is>
      </c>
      <c r="B1598" s="38" t="inlineStr">
        <is>
          <t>0-4006</t>
        </is>
      </c>
      <c r="C1598" t="inlineStr">
        <is>
          <t>ER</t>
        </is>
      </c>
      <c r="E1598" t="inlineStr">
        <is>
          <t>ER</t>
        </is>
      </c>
      <c r="G1598" s="42" t="inlineStr"/>
      <c r="H1598" s="127" t="n">
        <v>46131</v>
      </c>
      <c r="J1598" s="38" t="inlineStr">
        <is>
          <t>0-4006</t>
        </is>
      </c>
      <c r="K1598" t="inlineStr">
        <is>
          <t>RLD293 TAKEUCHI TL10VS TRACK SKID STEER LOADER W TREE SAW ATTACHMENT TAKEUCHI TL10VS TRACK SKID STEER LOADER W TREE SAW ATTACHMENT</t>
        </is>
      </c>
      <c r="L1598" t="n">
        <v>0</v>
      </c>
      <c r="M1598" t="n">
        <v>0</v>
      </c>
      <c r="O1598" t="inlineStr">
        <is>
          <t>RLD293</t>
        </is>
      </c>
      <c r="Q1598" s="114" t="n">
        <v>0</v>
      </c>
      <c r="R1598" s="114" t="n">
        <v>282.06</v>
      </c>
      <c r="S1598" s="114" t="n">
        <v>0</v>
      </c>
      <c r="T1598" t="n">
        <v>0</v>
      </c>
    </row>
    <row r="1599">
      <c r="A1599" t="inlineStr">
        <is>
          <t>ttJTrans</t>
        </is>
      </c>
      <c r="B1599" s="38" t="inlineStr">
        <is>
          <t>0-4006</t>
        </is>
      </c>
      <c r="C1599" t="inlineStr">
        <is>
          <t>ER</t>
        </is>
      </c>
      <c r="E1599" t="inlineStr">
        <is>
          <t>ER</t>
        </is>
      </c>
      <c r="H1599" s="127" t="n">
        <v>46131</v>
      </c>
      <c r="J1599" s="38" t="inlineStr">
        <is>
          <t>0-4006</t>
        </is>
      </c>
      <c r="K1599" t="inlineStr">
        <is>
          <t>RLD293 TAKEUCHI TL10VS TRACK SKID STEER LOADER W TREE SAW ATTACHMENT TAKEUCHI TL10VS TRACK SKID STEER LOADER W TREE SAW ATTACHMENT</t>
        </is>
      </c>
      <c r="L1599" t="n">
        <v>0</v>
      </c>
      <c r="M1599" t="n">
        <v>0</v>
      </c>
      <c r="O1599" t="inlineStr">
        <is>
          <t>RLD293</t>
        </is>
      </c>
      <c r="Q1599" s="114" t="n">
        <v>0</v>
      </c>
      <c r="R1599" s="114" t="n">
        <v>282.06</v>
      </c>
      <c r="S1599" s="114" t="n">
        <v>0</v>
      </c>
      <c r="T1599" t="n">
        <v>0</v>
      </c>
    </row>
    <row r="1600">
      <c r="A1600" t="inlineStr">
        <is>
          <t>ttJTrans</t>
        </is>
      </c>
      <c r="B1600" s="38" t="inlineStr">
        <is>
          <t>0-4006</t>
        </is>
      </c>
      <c r="C1600" t="inlineStr">
        <is>
          <t>ER</t>
        </is>
      </c>
      <c r="E1600" t="inlineStr">
        <is>
          <t>ER</t>
        </is>
      </c>
      <c r="H1600" s="127" t="n">
        <v>46131</v>
      </c>
      <c r="J1600" s="38" t="inlineStr">
        <is>
          <t>0-4006</t>
        </is>
      </c>
      <c r="K1600" t="inlineStr">
        <is>
          <t>RHV96 PETERBILT 4,000 GALLON WATER TRUCK PETERBILT 4,000 GALLON WATER TRUCK</t>
        </is>
      </c>
      <c r="L1600" t="n">
        <v>0</v>
      </c>
      <c r="M1600" t="n">
        <v>0</v>
      </c>
      <c r="O1600" t="inlineStr">
        <is>
          <t>RHV96</t>
        </is>
      </c>
      <c r="Q1600" s="114" t="n">
        <v>0</v>
      </c>
      <c r="R1600" s="114" t="n">
        <v>200</v>
      </c>
      <c r="S1600" s="114" t="n">
        <v>0</v>
      </c>
      <c r="T1600" t="n">
        <v>0</v>
      </c>
    </row>
    <row r="1601">
      <c r="A1601" t="inlineStr">
        <is>
          <t>ttJTrans</t>
        </is>
      </c>
      <c r="B1601" s="38" t="inlineStr">
        <is>
          <t>0-4006</t>
        </is>
      </c>
      <c r="C1601" t="inlineStr">
        <is>
          <t>ER</t>
        </is>
      </c>
      <c r="E1601" t="inlineStr">
        <is>
          <t>ER</t>
        </is>
      </c>
      <c r="H1601" s="127" t="n">
        <v>46131</v>
      </c>
      <c r="J1601" s="38" t="inlineStr">
        <is>
          <t>0-4006</t>
        </is>
      </c>
      <c r="K1601" t="inlineStr">
        <is>
          <t>RHV96 PETERBILT 4,000 GALLON WATER TRUCK PETERBILT 4,000 GALLON WATER TRUCK</t>
        </is>
      </c>
      <c r="L1601" t="n">
        <v>0</v>
      </c>
      <c r="M1601" t="n">
        <v>0</v>
      </c>
      <c r="O1601" t="inlineStr">
        <is>
          <t>RHV96</t>
        </is>
      </c>
      <c r="Q1601" s="114" t="n">
        <v>0</v>
      </c>
      <c r="R1601" s="114" t="n">
        <v>200</v>
      </c>
      <c r="S1601" s="114" t="n">
        <v>0</v>
      </c>
      <c r="T1601" t="n">
        <v>0</v>
      </c>
    </row>
    <row r="1602">
      <c r="A1602" t="inlineStr">
        <is>
          <t>ttJTrans</t>
        </is>
      </c>
      <c r="B1602" s="38" t="inlineStr">
        <is>
          <t>0-4006</t>
        </is>
      </c>
      <c r="C1602" t="inlineStr">
        <is>
          <t>ER</t>
        </is>
      </c>
      <c r="E1602" t="inlineStr">
        <is>
          <t>ER</t>
        </is>
      </c>
      <c r="H1602" s="127" t="n">
        <v>46131</v>
      </c>
      <c r="J1602" s="38" t="inlineStr">
        <is>
          <t>0-4006</t>
        </is>
      </c>
      <c r="K1602" t="inlineStr">
        <is>
          <t>RHV96 PETERBILT 4,000 GALLON WATER TRUCK PETERBILT 4,000 GALLON WATER TRUCK</t>
        </is>
      </c>
      <c r="L1602" t="n">
        <v>0</v>
      </c>
      <c r="M1602" t="n">
        <v>0</v>
      </c>
      <c r="O1602" t="inlineStr">
        <is>
          <t>RHV96</t>
        </is>
      </c>
      <c r="Q1602" s="114" t="n">
        <v>0</v>
      </c>
      <c r="R1602" s="114" t="n">
        <v>200</v>
      </c>
      <c r="S1602" s="114" t="n">
        <v>0</v>
      </c>
      <c r="T1602" t="n">
        <v>0</v>
      </c>
    </row>
    <row r="1603">
      <c r="A1603" t="inlineStr">
        <is>
          <t>ttJTrans</t>
        </is>
      </c>
      <c r="B1603" s="38" t="inlineStr">
        <is>
          <t>0-4006</t>
        </is>
      </c>
      <c r="C1603" t="inlineStr">
        <is>
          <t>ER</t>
        </is>
      </c>
      <c r="E1603" t="inlineStr">
        <is>
          <t>ER</t>
        </is>
      </c>
      <c r="H1603" s="127" t="n">
        <v>46131</v>
      </c>
      <c r="J1603" s="38" t="inlineStr">
        <is>
          <t>0-4006</t>
        </is>
      </c>
      <c r="K1603" t="inlineStr">
        <is>
          <t>RHV96 PETERBILT 4,000 GALLON WATER TRUCK PETERBILT 4,000 GALLON WATER TRUCK</t>
        </is>
      </c>
      <c r="L1603" t="n">
        <v>0</v>
      </c>
      <c r="M1603" t="n">
        <v>0</v>
      </c>
      <c r="O1603" t="inlineStr">
        <is>
          <t>RHV96</t>
        </is>
      </c>
      <c r="Q1603" s="114" t="n">
        <v>0</v>
      </c>
      <c r="R1603" s="114" t="n">
        <v>200</v>
      </c>
      <c r="S1603" s="114" t="n">
        <v>0</v>
      </c>
      <c r="T1603" t="n">
        <v>0</v>
      </c>
    </row>
    <row r="1604">
      <c r="A1604" t="inlineStr">
        <is>
          <t>ttJTrans</t>
        </is>
      </c>
      <c r="B1604" s="38" t="inlineStr">
        <is>
          <t>0-4006</t>
        </is>
      </c>
      <c r="C1604" t="inlineStr">
        <is>
          <t>ER</t>
        </is>
      </c>
      <c r="E1604" t="inlineStr">
        <is>
          <t>ER</t>
        </is>
      </c>
      <c r="H1604" s="127" t="n">
        <v>46131</v>
      </c>
      <c r="J1604" s="38" t="inlineStr">
        <is>
          <t>0-4006</t>
        </is>
      </c>
      <c r="K1604" t="inlineStr">
        <is>
          <t>RHV96 PETERBILT 4,000 GALLON WATER TRUCK PETERBILT 4,000 GALLON WATER TRUCK</t>
        </is>
      </c>
      <c r="L1604" t="n">
        <v>0</v>
      </c>
      <c r="M1604" t="n">
        <v>0</v>
      </c>
      <c r="O1604" t="inlineStr">
        <is>
          <t>RHV96</t>
        </is>
      </c>
      <c r="Q1604" s="114" t="n">
        <v>0</v>
      </c>
      <c r="R1604" s="114" t="n">
        <v>200</v>
      </c>
      <c r="S1604" s="114" t="n">
        <v>0</v>
      </c>
      <c r="T1604" t="n">
        <v>0</v>
      </c>
    </row>
    <row r="1605">
      <c r="A1605" t="inlineStr">
        <is>
          <t>ttJTrans</t>
        </is>
      </c>
      <c r="B1605" s="38" t="inlineStr">
        <is>
          <t>0-4006</t>
        </is>
      </c>
      <c r="C1605" t="inlineStr">
        <is>
          <t>ER</t>
        </is>
      </c>
      <c r="E1605" t="inlineStr">
        <is>
          <t>ER</t>
        </is>
      </c>
      <c r="H1605" s="127" t="n">
        <v>46131</v>
      </c>
      <c r="J1605" s="38" t="inlineStr">
        <is>
          <t>0-4006</t>
        </is>
      </c>
      <c r="K1605" t="inlineStr">
        <is>
          <t>RHV96 PETERBILT 4,000 GALLON WATER TRUCK PETERBILT 4,000 GALLON WATER TRUCK</t>
        </is>
      </c>
      <c r="L1605" t="n">
        <v>0</v>
      </c>
      <c r="M1605" t="n">
        <v>0</v>
      </c>
      <c r="O1605" t="inlineStr">
        <is>
          <t>RHV96</t>
        </is>
      </c>
      <c r="Q1605" s="114" t="n">
        <v>0</v>
      </c>
      <c r="R1605" s="114" t="n">
        <v>200</v>
      </c>
      <c r="S1605" s="114" t="n">
        <v>0</v>
      </c>
      <c r="T1605" t="n">
        <v>0</v>
      </c>
    </row>
    <row r="1606">
      <c r="A1606" t="inlineStr">
        <is>
          <t>ttJTrans</t>
        </is>
      </c>
      <c r="B1606" s="38" t="inlineStr">
        <is>
          <t>0-4006</t>
        </is>
      </c>
      <c r="C1606" t="inlineStr">
        <is>
          <t>ER</t>
        </is>
      </c>
      <c r="E1606" t="inlineStr">
        <is>
          <t>ER</t>
        </is>
      </c>
      <c r="H1606" s="127" t="n">
        <v>46131</v>
      </c>
      <c r="J1606" s="38" t="inlineStr">
        <is>
          <t>0-4006</t>
        </is>
      </c>
      <c r="K1606" t="inlineStr">
        <is>
          <t>RMS2320 SEED DRILL FOR FARM TRACTOR SEED DRILL FOR FARM TRACTOR</t>
        </is>
      </c>
      <c r="L1606" t="n">
        <v>0</v>
      </c>
      <c r="M1606" t="n">
        <v>0</v>
      </c>
      <c r="O1606" t="inlineStr">
        <is>
          <t>RMS2320</t>
        </is>
      </c>
      <c r="Q1606" s="114" t="n">
        <v>0</v>
      </c>
      <c r="R1606" s="114" t="n">
        <v>1077.59</v>
      </c>
      <c r="S1606" s="114" t="n">
        <v>0</v>
      </c>
      <c r="T1606" t="n">
        <v>0</v>
      </c>
    </row>
    <row r="1607">
      <c r="A1607" t="inlineStr">
        <is>
          <t>ttJTrans</t>
        </is>
      </c>
      <c r="B1607" s="38" t="inlineStr">
        <is>
          <t>0-4006</t>
        </is>
      </c>
      <c r="C1607" t="inlineStr">
        <is>
          <t>ER</t>
        </is>
      </c>
      <c r="E1607" t="inlineStr">
        <is>
          <t>ER</t>
        </is>
      </c>
      <c r="H1607" s="127" t="n">
        <v>46131</v>
      </c>
      <c r="J1607" s="38" t="inlineStr">
        <is>
          <t>0-4006</t>
        </is>
      </c>
      <c r="K1607" t="inlineStr">
        <is>
          <t>RMS2320 SEED DRILL FOR FARM TRACTOR SEED DRILL FOR FARM TRACTOR</t>
        </is>
      </c>
      <c r="L1607" t="n">
        <v>0</v>
      </c>
      <c r="M1607" t="n">
        <v>0</v>
      </c>
      <c r="O1607" t="inlineStr">
        <is>
          <t>RMS2320</t>
        </is>
      </c>
      <c r="Q1607" s="114" t="n">
        <v>0</v>
      </c>
      <c r="R1607" s="114" t="n">
        <v>1077.59</v>
      </c>
      <c r="S1607" s="114" t="n">
        <v>0</v>
      </c>
      <c r="T1607" t="n">
        <v>0</v>
      </c>
    </row>
    <row r="1608">
      <c r="A1608" t="inlineStr">
        <is>
          <t>ttJTrans</t>
        </is>
      </c>
      <c r="B1608" s="38" t="inlineStr">
        <is>
          <t>0-4006</t>
        </is>
      </c>
      <c r="C1608" t="inlineStr">
        <is>
          <t>ER</t>
        </is>
      </c>
      <c r="E1608" t="inlineStr">
        <is>
          <t>ER</t>
        </is>
      </c>
      <c r="H1608" s="127" t="n">
        <v>46131</v>
      </c>
      <c r="J1608" s="38" t="inlineStr">
        <is>
          <t>0-4006</t>
        </is>
      </c>
      <c r="K1608" t="inlineStr">
        <is>
          <t>RMS2320 SEED DRILL FOR FARM TRACTOR SEED DRILL FOR FARM TRACTOR</t>
        </is>
      </c>
      <c r="L1608" t="n">
        <v>0</v>
      </c>
      <c r="M1608" t="n">
        <v>0</v>
      </c>
      <c r="O1608" t="inlineStr">
        <is>
          <t>RMS2320</t>
        </is>
      </c>
      <c r="Q1608" s="114" t="n">
        <v>0</v>
      </c>
      <c r="R1608" s="114" t="n">
        <v>1077.59</v>
      </c>
      <c r="S1608" s="114" t="n">
        <v>0</v>
      </c>
      <c r="T1608" t="n">
        <v>0</v>
      </c>
    </row>
    <row r="1609">
      <c r="A1609" t="inlineStr">
        <is>
          <t>ttJTrans</t>
        </is>
      </c>
      <c r="B1609" s="38" t="inlineStr">
        <is>
          <t>0-4006</t>
        </is>
      </c>
      <c r="C1609" t="inlineStr">
        <is>
          <t>ER</t>
        </is>
      </c>
      <c r="E1609" t="inlineStr">
        <is>
          <t>ER</t>
        </is>
      </c>
      <c r="H1609" s="127" t="n">
        <v>46131</v>
      </c>
      <c r="J1609" s="38" t="inlineStr">
        <is>
          <t>0-4006</t>
        </is>
      </c>
      <c r="K1609" t="inlineStr">
        <is>
          <t>RMS2320 SEED DRILL FOR FARM TRACTOR SEED DRILL FOR FARM TRACTOR</t>
        </is>
      </c>
      <c r="L1609" t="n">
        <v>0</v>
      </c>
      <c r="M1609" t="n">
        <v>0</v>
      </c>
      <c r="O1609" t="inlineStr">
        <is>
          <t>RMS2320</t>
        </is>
      </c>
      <c r="Q1609" s="114" t="n">
        <v>0</v>
      </c>
      <c r="R1609" s="114" t="n">
        <v>1077.59</v>
      </c>
      <c r="S1609" s="114" t="n">
        <v>0</v>
      </c>
      <c r="T1609" t="n">
        <v>0</v>
      </c>
    </row>
    <row r="1610">
      <c r="A1610" t="inlineStr">
        <is>
          <t>ttJTrans</t>
        </is>
      </c>
      <c r="B1610" s="38" t="inlineStr">
        <is>
          <t>0-4006</t>
        </is>
      </c>
      <c r="C1610" t="inlineStr">
        <is>
          <t>ER</t>
        </is>
      </c>
      <c r="E1610" t="inlineStr">
        <is>
          <t>ER</t>
        </is>
      </c>
      <c r="H1610" s="127" t="n">
        <v>46131</v>
      </c>
      <c r="J1610" s="38" t="inlineStr">
        <is>
          <t>0-4006</t>
        </is>
      </c>
      <c r="K1610" t="inlineStr">
        <is>
          <t>RMS2320 SEED DRILL FOR FARM TRACTOR SEED DRILL FOR FARM TRACTOR</t>
        </is>
      </c>
      <c r="L1610" t="n">
        <v>0</v>
      </c>
      <c r="M1610" t="n">
        <v>0</v>
      </c>
      <c r="O1610" t="inlineStr">
        <is>
          <t>RMS2320</t>
        </is>
      </c>
      <c r="Q1610" s="114" t="n">
        <v>0</v>
      </c>
      <c r="R1610" s="114" t="n">
        <v>1077.59</v>
      </c>
      <c r="S1610" s="114" t="n">
        <v>0</v>
      </c>
      <c r="T1610" t="n">
        <v>0</v>
      </c>
    </row>
    <row r="1611">
      <c r="A1611" t="inlineStr">
        <is>
          <t>ttJTrans</t>
        </is>
      </c>
      <c r="B1611" s="38" t="inlineStr">
        <is>
          <t>0-4006</t>
        </is>
      </c>
      <c r="C1611" t="inlineStr">
        <is>
          <t>ER</t>
        </is>
      </c>
      <c r="E1611" t="inlineStr">
        <is>
          <t>ER</t>
        </is>
      </c>
      <c r="H1611" s="127" t="n">
        <v>46131</v>
      </c>
      <c r="J1611" s="38" t="inlineStr">
        <is>
          <t>0-4006</t>
        </is>
      </c>
      <c r="K1611" t="inlineStr">
        <is>
          <t>RMS2320 SEED DRILL FOR FARM TRACTOR SEED DRILL FOR FARM TRACTOR</t>
        </is>
      </c>
      <c r="L1611" t="n">
        <v>0</v>
      </c>
      <c r="M1611" t="n">
        <v>0</v>
      </c>
      <c r="O1611" t="inlineStr">
        <is>
          <t>RMS2320</t>
        </is>
      </c>
      <c r="Q1611" s="114" t="n">
        <v>0</v>
      </c>
      <c r="R1611" s="114" t="n">
        <v>1077.59</v>
      </c>
      <c r="S1611" s="114" t="n">
        <v>0</v>
      </c>
      <c r="T1611" t="n">
        <v>0</v>
      </c>
    </row>
    <row r="1612">
      <c r="A1612" t="inlineStr">
        <is>
          <t>ttJTrans</t>
        </is>
      </c>
      <c r="B1612" s="38" t="inlineStr">
        <is>
          <t>0-4006</t>
        </is>
      </c>
      <c r="C1612" t="inlineStr">
        <is>
          <t>ER</t>
        </is>
      </c>
      <c r="E1612" t="inlineStr">
        <is>
          <t>ER</t>
        </is>
      </c>
      <c r="H1612" s="127" t="n">
        <v>46131</v>
      </c>
      <c r="J1612" s="38" t="inlineStr">
        <is>
          <t>0-4006</t>
        </is>
      </c>
      <c r="K1612" t="inlineStr">
        <is>
          <t>REX665 330 CATERPILLAR EXCAVATOR 330 CATERPILLAR EXCAVATOR</t>
        </is>
      </c>
      <c r="L1612" t="n">
        <v>0</v>
      </c>
      <c r="M1612" t="n">
        <v>0</v>
      </c>
      <c r="O1612" t="inlineStr">
        <is>
          <t>REX665</t>
        </is>
      </c>
      <c r="Q1612" s="114" t="n">
        <v>0</v>
      </c>
      <c r="R1612" s="114" t="n">
        <v>458.33</v>
      </c>
      <c r="S1612" s="114" t="n">
        <v>0</v>
      </c>
      <c r="T1612" t="n">
        <v>0</v>
      </c>
    </row>
    <row r="1613">
      <c r="A1613" t="inlineStr">
        <is>
          <t>ttJTrans</t>
        </is>
      </c>
      <c r="B1613" s="38" t="inlineStr">
        <is>
          <t>0-4006</t>
        </is>
      </c>
      <c r="C1613" t="inlineStr">
        <is>
          <t>ER</t>
        </is>
      </c>
      <c r="E1613" t="inlineStr">
        <is>
          <t>ER</t>
        </is>
      </c>
      <c r="G1613" s="42" t="inlineStr"/>
      <c r="H1613" s="127" t="n">
        <v>46131</v>
      </c>
      <c r="J1613" s="38" t="inlineStr">
        <is>
          <t>0-4006</t>
        </is>
      </c>
      <c r="K1613" t="inlineStr">
        <is>
          <t>REX665 330 CATERPILLAR EXCAVATOR 330 CATERPILLAR EXCAVATOR</t>
        </is>
      </c>
      <c r="L1613" t="n">
        <v>0</v>
      </c>
      <c r="M1613" t="n">
        <v>0</v>
      </c>
      <c r="O1613" t="inlineStr">
        <is>
          <t>REX665</t>
        </is>
      </c>
      <c r="Q1613" s="114" t="n">
        <v>0</v>
      </c>
      <c r="R1613" s="114" t="n">
        <v>458.33</v>
      </c>
      <c r="S1613" s="114" t="n">
        <v>0</v>
      </c>
      <c r="T1613" t="n">
        <v>0</v>
      </c>
    </row>
    <row r="1614">
      <c r="A1614" t="inlineStr">
        <is>
          <t>ttJTrans</t>
        </is>
      </c>
      <c r="B1614" s="38" t="inlineStr">
        <is>
          <t>0-4006</t>
        </is>
      </c>
      <c r="C1614" t="inlineStr">
        <is>
          <t>ER</t>
        </is>
      </c>
      <c r="E1614" t="inlineStr">
        <is>
          <t>ER</t>
        </is>
      </c>
      <c r="H1614" s="127" t="n">
        <v>46131</v>
      </c>
      <c r="J1614" s="38" t="inlineStr">
        <is>
          <t>0-4006</t>
        </is>
      </c>
      <c r="K1614" t="inlineStr">
        <is>
          <t>REX665 330 CATERPILLAR EXCAVATOR 330 CATERPILLAR EXCAVATOR</t>
        </is>
      </c>
      <c r="L1614" t="n">
        <v>0</v>
      </c>
      <c r="M1614" t="n">
        <v>0</v>
      </c>
      <c r="O1614" t="inlineStr">
        <is>
          <t>REX665</t>
        </is>
      </c>
      <c r="Q1614" s="114" t="n">
        <v>0</v>
      </c>
      <c r="R1614" s="114" t="n">
        <v>458.33</v>
      </c>
      <c r="S1614" s="114" t="n">
        <v>0</v>
      </c>
      <c r="T1614" t="n">
        <v>0</v>
      </c>
    </row>
    <row r="1615">
      <c r="A1615" t="inlineStr">
        <is>
          <t>ttJTrans</t>
        </is>
      </c>
      <c r="B1615" s="38" t="inlineStr">
        <is>
          <t>0-4006</t>
        </is>
      </c>
      <c r="C1615" t="inlineStr">
        <is>
          <t>ER</t>
        </is>
      </c>
      <c r="E1615" t="inlineStr">
        <is>
          <t>ER</t>
        </is>
      </c>
      <c r="H1615" s="127" t="n">
        <v>46131</v>
      </c>
      <c r="J1615" s="38" t="inlineStr">
        <is>
          <t>0-4006</t>
        </is>
      </c>
      <c r="K1615" t="inlineStr">
        <is>
          <t>REX665 330 CATERPILLAR EXCAVATOR 330 CATERPILLAR EXCAVATOR</t>
        </is>
      </c>
      <c r="L1615" t="n">
        <v>0</v>
      </c>
      <c r="M1615" t="n">
        <v>0</v>
      </c>
      <c r="O1615" t="inlineStr">
        <is>
          <t>REX665</t>
        </is>
      </c>
      <c r="Q1615" s="114" t="n">
        <v>0</v>
      </c>
      <c r="R1615" s="114" t="n">
        <v>458.33</v>
      </c>
      <c r="S1615" s="114" t="n">
        <v>0</v>
      </c>
      <c r="T1615" t="n">
        <v>0</v>
      </c>
    </row>
    <row r="1616">
      <c r="A1616" t="inlineStr">
        <is>
          <t>ttJTrans</t>
        </is>
      </c>
      <c r="B1616" s="38" t="inlineStr">
        <is>
          <t>0-4006</t>
        </is>
      </c>
      <c r="C1616" t="inlineStr">
        <is>
          <t>ER</t>
        </is>
      </c>
      <c r="E1616" t="inlineStr">
        <is>
          <t>ER</t>
        </is>
      </c>
      <c r="H1616" s="127" t="n">
        <v>46131</v>
      </c>
      <c r="J1616" s="38" t="inlineStr">
        <is>
          <t>0-4006</t>
        </is>
      </c>
      <c r="K1616" t="inlineStr">
        <is>
          <t>REX665 330 CATERPILLAR EXCAVATOR 330 CATERPILLAR EXCAVATOR</t>
        </is>
      </c>
      <c r="L1616" t="n">
        <v>0</v>
      </c>
      <c r="M1616" t="n">
        <v>0</v>
      </c>
      <c r="O1616" t="inlineStr">
        <is>
          <t>REX665</t>
        </is>
      </c>
      <c r="Q1616" s="114" t="n">
        <v>0</v>
      </c>
      <c r="R1616" s="114" t="n">
        <v>458.33</v>
      </c>
      <c r="S1616" s="114" t="n">
        <v>0</v>
      </c>
      <c r="T1616" t="n">
        <v>0</v>
      </c>
    </row>
    <row r="1617">
      <c r="A1617" t="inlineStr">
        <is>
          <t>ttJTrans</t>
        </is>
      </c>
      <c r="B1617" s="38" t="inlineStr">
        <is>
          <t>0-4006</t>
        </is>
      </c>
      <c r="C1617" t="inlineStr">
        <is>
          <t>ER</t>
        </is>
      </c>
      <c r="E1617" t="inlineStr">
        <is>
          <t>ER</t>
        </is>
      </c>
      <c r="H1617" s="127" t="n">
        <v>46131</v>
      </c>
      <c r="J1617" s="38" t="inlineStr">
        <is>
          <t>0-4006</t>
        </is>
      </c>
      <c r="K1617" t="inlineStr">
        <is>
          <t>REX665 330 CATERPILLAR EXCAVATOR 330 CATERPILLAR EXCAVATOR</t>
        </is>
      </c>
      <c r="L1617" t="n">
        <v>0</v>
      </c>
      <c r="M1617" t="n">
        <v>0</v>
      </c>
      <c r="O1617" t="inlineStr">
        <is>
          <t>REX665</t>
        </is>
      </c>
      <c r="Q1617" s="114" t="n">
        <v>0</v>
      </c>
      <c r="R1617" s="114" t="n">
        <v>458.33</v>
      </c>
      <c r="S1617" s="114" t="n">
        <v>0</v>
      </c>
      <c r="T1617" t="n">
        <v>0</v>
      </c>
    </row>
    <row r="1618">
      <c r="A1618" t="inlineStr">
        <is>
          <t>ttJTrans</t>
        </is>
      </c>
      <c r="B1618" s="38" t="inlineStr">
        <is>
          <t>0-4006</t>
        </is>
      </c>
      <c r="C1618" t="inlineStr">
        <is>
          <t>ER</t>
        </is>
      </c>
      <c r="E1618" t="inlineStr">
        <is>
          <t>ER</t>
        </is>
      </c>
      <c r="H1618" s="127" t="n">
        <v>46131</v>
      </c>
      <c r="J1618" s="38" t="inlineStr">
        <is>
          <t>0-4006</t>
        </is>
      </c>
      <c r="K1618" t="inlineStr">
        <is>
          <t>RPK482 HAMM 84' SINGLE DRUM ROLLER HAMM 84' SINGLE DRUM ROLLER</t>
        </is>
      </c>
      <c r="L1618" t="n">
        <v>0</v>
      </c>
      <c r="M1618" t="n">
        <v>0</v>
      </c>
      <c r="O1618" t="inlineStr">
        <is>
          <t>RPK482</t>
        </is>
      </c>
      <c r="Q1618" s="114" t="n">
        <v>0</v>
      </c>
      <c r="R1618" s="114" t="n">
        <v>300</v>
      </c>
      <c r="S1618" s="114" t="n">
        <v>0</v>
      </c>
      <c r="T1618" t="n">
        <v>0</v>
      </c>
    </row>
    <row r="1619">
      <c r="A1619" t="inlineStr">
        <is>
          <t>ttJTrans</t>
        </is>
      </c>
      <c r="B1619" s="38" t="inlineStr">
        <is>
          <t>0-4006</t>
        </is>
      </c>
      <c r="C1619" t="inlineStr">
        <is>
          <t>ER</t>
        </is>
      </c>
      <c r="E1619" t="inlineStr">
        <is>
          <t>ER</t>
        </is>
      </c>
      <c r="H1619" s="127" t="n">
        <v>46131</v>
      </c>
      <c r="J1619" s="38" t="inlineStr">
        <is>
          <t>0-4006</t>
        </is>
      </c>
      <c r="K1619" t="inlineStr">
        <is>
          <t>RPK482 HAMM 84' SINGLE DRUM ROLLER HAMM 84' SINGLE DRUM ROLLER</t>
        </is>
      </c>
      <c r="L1619" t="n">
        <v>0</v>
      </c>
      <c r="M1619" t="n">
        <v>0</v>
      </c>
      <c r="O1619" t="inlineStr">
        <is>
          <t>RPK482</t>
        </is>
      </c>
      <c r="Q1619" s="114" t="n">
        <v>0</v>
      </c>
      <c r="R1619" s="114" t="n">
        <v>300</v>
      </c>
      <c r="S1619" s="114" t="n">
        <v>0</v>
      </c>
      <c r="T1619" t="n">
        <v>0</v>
      </c>
    </row>
    <row r="1620">
      <c r="A1620" t="inlineStr">
        <is>
          <t>ttJTrans</t>
        </is>
      </c>
      <c r="B1620" s="38" t="inlineStr">
        <is>
          <t>0-4006</t>
        </is>
      </c>
      <c r="C1620" t="inlineStr">
        <is>
          <t>ER</t>
        </is>
      </c>
      <c r="E1620" t="inlineStr">
        <is>
          <t>ER</t>
        </is>
      </c>
      <c r="H1620" s="127" t="n">
        <v>46131</v>
      </c>
      <c r="J1620" s="38" t="inlineStr">
        <is>
          <t>0-4006</t>
        </is>
      </c>
      <c r="K1620" t="inlineStr">
        <is>
          <t>RPK482 HAMM 84' SINGLE DRUM ROLLER HAMM 84' SINGLE DRUM ROLLER</t>
        </is>
      </c>
      <c r="L1620" t="n">
        <v>0</v>
      </c>
      <c r="M1620" t="n">
        <v>0</v>
      </c>
      <c r="O1620" t="inlineStr">
        <is>
          <t>RPK482</t>
        </is>
      </c>
      <c r="Q1620" s="114" t="n">
        <v>0</v>
      </c>
      <c r="R1620" s="114" t="n">
        <v>300</v>
      </c>
      <c r="S1620" s="114" t="n">
        <v>0</v>
      </c>
      <c r="T1620" t="n">
        <v>0</v>
      </c>
    </row>
    <row r="1621">
      <c r="A1621" t="inlineStr">
        <is>
          <t>ttJTrans</t>
        </is>
      </c>
      <c r="B1621" s="38" t="inlineStr">
        <is>
          <t>0-4006</t>
        </is>
      </c>
      <c r="C1621" t="inlineStr">
        <is>
          <t>ER</t>
        </is>
      </c>
      <c r="E1621" t="inlineStr">
        <is>
          <t>ER</t>
        </is>
      </c>
      <c r="H1621" s="127" t="n">
        <v>46131</v>
      </c>
      <c r="J1621" s="38" t="inlineStr">
        <is>
          <t>0-4006</t>
        </is>
      </c>
      <c r="K1621" t="inlineStr">
        <is>
          <t>RPK482 HAMM 84' SINGLE DRUM ROLLER HAMM 84' SINGLE DRUM ROLLER</t>
        </is>
      </c>
      <c r="L1621" t="n">
        <v>0</v>
      </c>
      <c r="M1621" t="n">
        <v>0</v>
      </c>
      <c r="O1621" t="inlineStr">
        <is>
          <t>RPK482</t>
        </is>
      </c>
      <c r="Q1621" s="114" t="n">
        <v>0</v>
      </c>
      <c r="R1621" s="114" t="n">
        <v>300</v>
      </c>
      <c r="S1621" s="114" t="n">
        <v>0</v>
      </c>
      <c r="T1621" t="n">
        <v>0</v>
      </c>
    </row>
    <row r="1622">
      <c r="A1622" t="inlineStr">
        <is>
          <t>ttJTrans</t>
        </is>
      </c>
      <c r="B1622" s="38" t="inlineStr">
        <is>
          <t>0-4006</t>
        </is>
      </c>
      <c r="C1622" t="inlineStr">
        <is>
          <t>ER</t>
        </is>
      </c>
      <c r="E1622" t="inlineStr">
        <is>
          <t>ER</t>
        </is>
      </c>
      <c r="H1622" s="127" t="n">
        <v>46131</v>
      </c>
      <c r="J1622" s="38" t="inlineStr">
        <is>
          <t>0-4006</t>
        </is>
      </c>
      <c r="K1622" t="inlineStr">
        <is>
          <t>RPK482 HAMM 84' SINGLE DRUM ROLLER HAMM 84' SINGLE DRUM ROLLER</t>
        </is>
      </c>
      <c r="L1622" t="n">
        <v>0</v>
      </c>
      <c r="M1622" t="n">
        <v>0</v>
      </c>
      <c r="O1622" t="inlineStr">
        <is>
          <t>RPK482</t>
        </is>
      </c>
      <c r="Q1622" s="114" t="n">
        <v>0</v>
      </c>
      <c r="R1622" s="114" t="n">
        <v>300</v>
      </c>
      <c r="S1622" s="114" t="n">
        <v>0</v>
      </c>
      <c r="T1622" t="n">
        <v>0</v>
      </c>
    </row>
    <row r="1623">
      <c r="A1623" t="inlineStr">
        <is>
          <t>ttJTrans</t>
        </is>
      </c>
      <c r="B1623" s="38" t="inlineStr">
        <is>
          <t>0-4006</t>
        </is>
      </c>
      <c r="C1623" t="inlineStr">
        <is>
          <t>ER</t>
        </is>
      </c>
      <c r="E1623" t="inlineStr">
        <is>
          <t>ER</t>
        </is>
      </c>
      <c r="H1623" s="127" t="n">
        <v>46131</v>
      </c>
      <c r="J1623" s="38" t="inlineStr">
        <is>
          <t>0-4006</t>
        </is>
      </c>
      <c r="K1623" t="inlineStr">
        <is>
          <t>RPK482 HAMM 84' SINGLE DRUM ROLLER HAMM 84' SINGLE DRUM ROLLER</t>
        </is>
      </c>
      <c r="L1623" t="n">
        <v>0</v>
      </c>
      <c r="M1623" t="n">
        <v>0</v>
      </c>
      <c r="O1623" t="inlineStr">
        <is>
          <t>RPK482</t>
        </is>
      </c>
      <c r="Q1623" s="114" t="n">
        <v>0</v>
      </c>
      <c r="R1623" s="114" t="n">
        <v>300</v>
      </c>
      <c r="S1623" s="114" t="n">
        <v>0</v>
      </c>
      <c r="T1623" t="n">
        <v>0</v>
      </c>
    </row>
    <row r="1624">
      <c r="A1624" t="inlineStr">
        <is>
          <t>ttJTrans</t>
        </is>
      </c>
      <c r="B1624" s="38" t="inlineStr">
        <is>
          <t>0-4006</t>
        </is>
      </c>
      <c r="C1624" t="inlineStr">
        <is>
          <t>ER</t>
        </is>
      </c>
      <c r="E1624" t="inlineStr">
        <is>
          <t>ER</t>
        </is>
      </c>
      <c r="H1624" s="127" t="n">
        <v>46131</v>
      </c>
      <c r="J1624" s="38" t="inlineStr">
        <is>
          <t>0-4006</t>
        </is>
      </c>
      <c r="K1624" t="inlineStr">
        <is>
          <t>RMS2318 BROCE RCT350 WHEEL SWEEPER BROCE RCT350 WHEEL SWEEPER</t>
        </is>
      </c>
      <c r="L1624" t="n">
        <v>0</v>
      </c>
      <c r="M1624" t="n">
        <v>0</v>
      </c>
      <c r="O1624" t="inlineStr">
        <is>
          <t>RMS2318</t>
        </is>
      </c>
      <c r="Q1624" s="114" t="n">
        <v>0</v>
      </c>
      <c r="R1624" s="114" t="n">
        <v>200</v>
      </c>
      <c r="S1624" s="114" t="n">
        <v>0</v>
      </c>
      <c r="T1624" t="n">
        <v>0</v>
      </c>
    </row>
    <row r="1625">
      <c r="A1625" t="inlineStr">
        <is>
          <t>ttJTrans</t>
        </is>
      </c>
      <c r="B1625" s="38" t="inlineStr">
        <is>
          <t>0-4006</t>
        </is>
      </c>
      <c r="C1625" t="inlineStr">
        <is>
          <t>ER</t>
        </is>
      </c>
      <c r="E1625" t="inlineStr">
        <is>
          <t>ER</t>
        </is>
      </c>
      <c r="H1625" s="127" t="n">
        <v>46131</v>
      </c>
      <c r="J1625" s="38" t="inlineStr">
        <is>
          <t>0-4006</t>
        </is>
      </c>
      <c r="K1625" t="inlineStr">
        <is>
          <t>RMS2318 BROCE RCT350 WHEEL SWEEPER BROCE RCT350 WHEEL SWEEPER</t>
        </is>
      </c>
      <c r="L1625" t="n">
        <v>0</v>
      </c>
      <c r="M1625" t="n">
        <v>0</v>
      </c>
      <c r="O1625" t="inlineStr">
        <is>
          <t>RMS2318</t>
        </is>
      </c>
      <c r="Q1625" s="114" t="n">
        <v>0</v>
      </c>
      <c r="R1625" s="114" t="n">
        <v>200</v>
      </c>
      <c r="S1625" s="114" t="n">
        <v>0</v>
      </c>
      <c r="T1625" t="n">
        <v>0</v>
      </c>
    </row>
    <row r="1626">
      <c r="A1626" t="inlineStr">
        <is>
          <t>ttJTrans</t>
        </is>
      </c>
      <c r="B1626" s="38" t="inlineStr">
        <is>
          <t>0-4006</t>
        </is>
      </c>
      <c r="C1626" t="inlineStr">
        <is>
          <t>ER</t>
        </is>
      </c>
      <c r="E1626" t="inlineStr">
        <is>
          <t>ER</t>
        </is>
      </c>
      <c r="H1626" s="127" t="n">
        <v>46131</v>
      </c>
      <c r="J1626" s="38" t="inlineStr">
        <is>
          <t>0-4006</t>
        </is>
      </c>
      <c r="K1626" t="inlineStr">
        <is>
          <t>RMS2318 BROCE RCT350 WHEEL SWEEPER BROCE RCT350 WHEEL SWEEPER</t>
        </is>
      </c>
      <c r="L1626" t="n">
        <v>0</v>
      </c>
      <c r="M1626" t="n">
        <v>0</v>
      </c>
      <c r="O1626" t="inlineStr">
        <is>
          <t>RMS2318</t>
        </is>
      </c>
      <c r="Q1626" s="114" t="n">
        <v>0</v>
      </c>
      <c r="R1626" s="114" t="n">
        <v>200</v>
      </c>
      <c r="S1626" s="114" t="n">
        <v>0</v>
      </c>
      <c r="T1626" t="n">
        <v>0</v>
      </c>
    </row>
    <row r="1627">
      <c r="A1627" t="inlineStr">
        <is>
          <t>ttJTrans</t>
        </is>
      </c>
      <c r="B1627" s="38" t="inlineStr">
        <is>
          <t>0-4006</t>
        </is>
      </c>
      <c r="C1627" t="inlineStr">
        <is>
          <t>ER</t>
        </is>
      </c>
      <c r="E1627" t="inlineStr">
        <is>
          <t>ER</t>
        </is>
      </c>
      <c r="H1627" s="127" t="n">
        <v>46131</v>
      </c>
      <c r="J1627" s="38" t="inlineStr">
        <is>
          <t>0-4006</t>
        </is>
      </c>
      <c r="K1627" t="inlineStr">
        <is>
          <t>RMS2318 BROCE RCT350 WHEEL SWEEPER BROCE RCT350 WHEEL SWEEPER</t>
        </is>
      </c>
      <c r="L1627" t="n">
        <v>0</v>
      </c>
      <c r="M1627" t="n">
        <v>0</v>
      </c>
      <c r="O1627" t="inlineStr">
        <is>
          <t>RMS2318</t>
        </is>
      </c>
      <c r="Q1627" s="114" t="n">
        <v>0</v>
      </c>
      <c r="R1627" s="114" t="n">
        <v>200</v>
      </c>
      <c r="S1627" s="114" t="n">
        <v>0</v>
      </c>
      <c r="T1627" t="n">
        <v>0</v>
      </c>
    </row>
    <row r="1628">
      <c r="A1628" t="inlineStr">
        <is>
          <t>ttJTrans</t>
        </is>
      </c>
      <c r="B1628" s="38" t="inlineStr">
        <is>
          <t>0-4006</t>
        </is>
      </c>
      <c r="C1628" t="inlineStr">
        <is>
          <t>ER</t>
        </is>
      </c>
      <c r="E1628" t="inlineStr">
        <is>
          <t>ER</t>
        </is>
      </c>
      <c r="H1628" s="127" t="n">
        <v>46131</v>
      </c>
      <c r="J1628" s="38" t="inlineStr">
        <is>
          <t>0-4006</t>
        </is>
      </c>
      <c r="K1628" t="inlineStr">
        <is>
          <t>RMS2318 BROCE RCT350 WHEEL SWEEPER BROCE RCT350 WHEEL SWEEPER</t>
        </is>
      </c>
      <c r="L1628" t="n">
        <v>0</v>
      </c>
      <c r="M1628" t="n">
        <v>0</v>
      </c>
      <c r="O1628" t="inlineStr">
        <is>
          <t>RMS2318</t>
        </is>
      </c>
      <c r="Q1628" s="114" t="n">
        <v>0</v>
      </c>
      <c r="R1628" s="114" t="n">
        <v>200</v>
      </c>
      <c r="S1628" s="114" t="n">
        <v>0</v>
      </c>
      <c r="T1628" t="n">
        <v>0</v>
      </c>
    </row>
    <row r="1629">
      <c r="A1629" t="inlineStr">
        <is>
          <t>ttJTrans</t>
        </is>
      </c>
      <c r="B1629" s="38" t="inlineStr">
        <is>
          <t>0-4006</t>
        </is>
      </c>
      <c r="C1629" t="inlineStr">
        <is>
          <t>ER</t>
        </is>
      </c>
      <c r="E1629" t="inlineStr">
        <is>
          <t>ER</t>
        </is>
      </c>
      <c r="H1629" s="127" t="n">
        <v>46131</v>
      </c>
      <c r="J1629" s="38" t="inlineStr">
        <is>
          <t>0-4006</t>
        </is>
      </c>
      <c r="K1629" t="inlineStr">
        <is>
          <t>RMS2318 BROCE RCT350 WHEEL SWEEPER BROCE RCT350 WHEEL SWEEPER</t>
        </is>
      </c>
      <c r="L1629" t="n">
        <v>0</v>
      </c>
      <c r="M1629" t="n">
        <v>0</v>
      </c>
      <c r="O1629" t="inlineStr">
        <is>
          <t>RMS2318</t>
        </is>
      </c>
      <c r="Q1629" s="114" t="n">
        <v>0</v>
      </c>
      <c r="R1629" s="114" t="n">
        <v>200</v>
      </c>
      <c r="S1629" s="114" t="n">
        <v>0</v>
      </c>
      <c r="T1629" t="n">
        <v>0</v>
      </c>
    </row>
    <row r="1630">
      <c r="A1630" t="inlineStr">
        <is>
          <t>ttJTrans</t>
        </is>
      </c>
      <c r="B1630" s="38" t="inlineStr">
        <is>
          <t>0-4006</t>
        </is>
      </c>
      <c r="C1630" t="inlineStr">
        <is>
          <t>ER</t>
        </is>
      </c>
      <c r="E1630" t="inlineStr">
        <is>
          <t>ER</t>
        </is>
      </c>
      <c r="H1630" s="127" t="n">
        <v>46131</v>
      </c>
      <c r="J1630" s="38" t="inlineStr">
        <is>
          <t>0-4006</t>
        </is>
      </c>
      <c r="K1630" t="inlineStr">
        <is>
          <t>RMS2317 TRIMBLE TD540 TOTAL STATING TRIMBLE TD540 TOTAL STATING</t>
        </is>
      </c>
      <c r="L1630" t="n">
        <v>0</v>
      </c>
      <c r="M1630" t="n">
        <v>0</v>
      </c>
      <c r="O1630" t="inlineStr">
        <is>
          <t>RMS2317</t>
        </is>
      </c>
      <c r="Q1630" s="114" t="n">
        <v>0</v>
      </c>
      <c r="R1630" s="114" t="n">
        <v>287.36</v>
      </c>
      <c r="S1630" s="114" t="n">
        <v>0</v>
      </c>
      <c r="T1630" t="n">
        <v>0</v>
      </c>
    </row>
    <row r="1631">
      <c r="A1631" t="inlineStr">
        <is>
          <t>ttJTrans</t>
        </is>
      </c>
      <c r="B1631" s="38" t="inlineStr">
        <is>
          <t>0-4006</t>
        </is>
      </c>
      <c r="C1631" t="inlineStr">
        <is>
          <t>ER</t>
        </is>
      </c>
      <c r="E1631" t="inlineStr">
        <is>
          <t>ER</t>
        </is>
      </c>
      <c r="H1631" s="127" t="n">
        <v>46131</v>
      </c>
      <c r="J1631" s="38" t="inlineStr">
        <is>
          <t>0-4006</t>
        </is>
      </c>
      <c r="K1631" t="inlineStr">
        <is>
          <t>RMS2317 TRIMBLE TD540 TOTAL STATING TRIMBLE TD540 TOTAL STATING</t>
        </is>
      </c>
      <c r="L1631" t="n">
        <v>0</v>
      </c>
      <c r="M1631" t="n">
        <v>0</v>
      </c>
      <c r="O1631" t="inlineStr">
        <is>
          <t>RMS2317</t>
        </is>
      </c>
      <c r="Q1631" s="114" t="n">
        <v>0</v>
      </c>
      <c r="R1631" s="114" t="n">
        <v>287.36</v>
      </c>
      <c r="S1631" s="114" t="n">
        <v>0</v>
      </c>
      <c r="T1631" t="n">
        <v>0</v>
      </c>
    </row>
    <row r="1632">
      <c r="A1632" t="inlineStr">
        <is>
          <t>ttJTrans</t>
        </is>
      </c>
      <c r="B1632" s="38" t="inlineStr">
        <is>
          <t>0-4006</t>
        </is>
      </c>
      <c r="C1632" t="inlineStr">
        <is>
          <t>ER</t>
        </is>
      </c>
      <c r="E1632" t="inlineStr">
        <is>
          <t>ER</t>
        </is>
      </c>
      <c r="H1632" s="127" t="n">
        <v>46131</v>
      </c>
      <c r="J1632" s="38" t="inlineStr">
        <is>
          <t>0-4006</t>
        </is>
      </c>
      <c r="K1632" t="inlineStr">
        <is>
          <t>RMS2317 TRIMBLE TD540 TOTAL STATING TRIMBLE TD540 TOTAL STATING</t>
        </is>
      </c>
      <c r="L1632" t="n">
        <v>0</v>
      </c>
      <c r="M1632" t="n">
        <v>0</v>
      </c>
      <c r="O1632" t="inlineStr">
        <is>
          <t>RMS2317</t>
        </is>
      </c>
      <c r="Q1632" s="114" t="n">
        <v>0</v>
      </c>
      <c r="R1632" s="114" t="n">
        <v>287.36</v>
      </c>
      <c r="S1632" s="114" t="n">
        <v>0</v>
      </c>
      <c r="T1632" t="n">
        <v>0</v>
      </c>
    </row>
    <row r="1633">
      <c r="A1633" t="inlineStr">
        <is>
          <t>ttJTrans</t>
        </is>
      </c>
      <c r="B1633" s="38" t="inlineStr">
        <is>
          <t>0-4006</t>
        </is>
      </c>
      <c r="C1633" t="inlineStr">
        <is>
          <t>ER</t>
        </is>
      </c>
      <c r="E1633" t="inlineStr">
        <is>
          <t>ER</t>
        </is>
      </c>
      <c r="H1633" s="127" t="n">
        <v>46131</v>
      </c>
      <c r="J1633" s="38" t="inlineStr">
        <is>
          <t>0-4006</t>
        </is>
      </c>
      <c r="K1633" t="inlineStr">
        <is>
          <t>RMS2317 TRIMBLE TD540 TOTAL STATING TRIMBLE TD540 TOTAL STATING</t>
        </is>
      </c>
      <c r="L1633" t="n">
        <v>0</v>
      </c>
      <c r="M1633" t="n">
        <v>0</v>
      </c>
      <c r="O1633" t="inlineStr">
        <is>
          <t>RMS2317</t>
        </is>
      </c>
      <c r="Q1633" s="114" t="n">
        <v>0</v>
      </c>
      <c r="R1633" s="114" t="n">
        <v>287.36</v>
      </c>
      <c r="S1633" s="114" t="n">
        <v>0</v>
      </c>
      <c r="T1633" t="n">
        <v>0</v>
      </c>
    </row>
    <row r="1634">
      <c r="A1634" t="inlineStr">
        <is>
          <t>ttJTrans</t>
        </is>
      </c>
      <c r="B1634" s="38" t="inlineStr">
        <is>
          <t>0-4006</t>
        </is>
      </c>
      <c r="C1634" t="inlineStr">
        <is>
          <t>ER</t>
        </is>
      </c>
      <c r="E1634" t="inlineStr">
        <is>
          <t>ER</t>
        </is>
      </c>
      <c r="H1634" s="127" t="n">
        <v>46131</v>
      </c>
      <c r="J1634" s="38" t="inlineStr">
        <is>
          <t>0-4006</t>
        </is>
      </c>
      <c r="K1634" t="inlineStr">
        <is>
          <t>RMS2317 TRIMBLE TD540 TOTAL STATING TRIMBLE TD540 TOTAL STATING</t>
        </is>
      </c>
      <c r="L1634" t="n">
        <v>0</v>
      </c>
      <c r="M1634" t="n">
        <v>0</v>
      </c>
      <c r="O1634" t="inlineStr">
        <is>
          <t>RMS2317</t>
        </is>
      </c>
      <c r="Q1634" s="114" t="n">
        <v>0</v>
      </c>
      <c r="R1634" s="114" t="n">
        <v>287.36</v>
      </c>
      <c r="S1634" s="114" t="n">
        <v>0</v>
      </c>
      <c r="T1634" t="n">
        <v>0</v>
      </c>
    </row>
    <row r="1635">
      <c r="A1635" t="inlineStr">
        <is>
          <t>ttJTrans</t>
        </is>
      </c>
      <c r="B1635" s="38" t="inlineStr">
        <is>
          <t>0-4006</t>
        </is>
      </c>
      <c r="C1635" t="inlineStr">
        <is>
          <t>ER</t>
        </is>
      </c>
      <c r="E1635" t="inlineStr">
        <is>
          <t>ER</t>
        </is>
      </c>
      <c r="H1635" s="127" t="n">
        <v>46131</v>
      </c>
      <c r="J1635" s="38" t="inlineStr">
        <is>
          <t>0-4006</t>
        </is>
      </c>
      <c r="K1635" t="inlineStr">
        <is>
          <t>RMS2317 TRIMBLE TD540 TOTAL STATING TRIMBLE TD540 TOTAL STATING</t>
        </is>
      </c>
      <c r="L1635" t="n">
        <v>0</v>
      </c>
      <c r="M1635" t="n">
        <v>0</v>
      </c>
      <c r="O1635" t="inlineStr">
        <is>
          <t>RMS2317</t>
        </is>
      </c>
      <c r="Q1635" s="114" t="n">
        <v>0</v>
      </c>
      <c r="R1635" s="114" t="n">
        <v>287.36</v>
      </c>
      <c r="S1635" s="114" t="n">
        <v>0</v>
      </c>
      <c r="T1635" t="n">
        <v>0</v>
      </c>
    </row>
    <row r="1636">
      <c r="A1636" t="inlineStr">
        <is>
          <t>ttJTrans</t>
        </is>
      </c>
      <c r="B1636" s="38" t="inlineStr">
        <is>
          <t>0-4006</t>
        </is>
      </c>
      <c r="C1636" t="inlineStr">
        <is>
          <t>ER</t>
        </is>
      </c>
      <c r="E1636" t="inlineStr">
        <is>
          <t>ER</t>
        </is>
      </c>
      <c r="H1636" s="127" t="n">
        <v>46131</v>
      </c>
      <c r="J1636" s="38" t="inlineStr">
        <is>
          <t>0-4006</t>
        </is>
      </c>
      <c r="K1636" t="inlineStr">
        <is>
          <t>RAT447 4WD CLUB CAR CARRYALL 1700 D 4WD CLUB CAR CARRYALL 1700 D</t>
        </is>
      </c>
      <c r="L1636" t="n">
        <v>0</v>
      </c>
      <c r="M1636" t="n">
        <v>0</v>
      </c>
      <c r="O1636" t="inlineStr">
        <is>
          <t>RAT447</t>
        </is>
      </c>
      <c r="Q1636" s="114" t="n">
        <v>0</v>
      </c>
      <c r="R1636" s="114" t="n">
        <v>62.5</v>
      </c>
      <c r="S1636" s="114" t="n">
        <v>0</v>
      </c>
      <c r="T1636" t="n">
        <v>0</v>
      </c>
    </row>
    <row r="1637">
      <c r="A1637" t="inlineStr">
        <is>
          <t>ttJTrans</t>
        </is>
      </c>
      <c r="B1637" s="38" t="inlineStr">
        <is>
          <t>0-4006</t>
        </is>
      </c>
      <c r="C1637" t="inlineStr">
        <is>
          <t>ER</t>
        </is>
      </c>
      <c r="E1637" t="inlineStr">
        <is>
          <t>ER</t>
        </is>
      </c>
      <c r="H1637" s="127" t="n">
        <v>46131</v>
      </c>
      <c r="J1637" s="38" t="inlineStr">
        <is>
          <t>0-4006</t>
        </is>
      </c>
      <c r="K1637" t="inlineStr">
        <is>
          <t>RAT447 4WD CLUB CAR CARRYALL 1700 D 4WD CLUB CAR CARRYALL 1700 D</t>
        </is>
      </c>
      <c r="L1637" t="n">
        <v>0</v>
      </c>
      <c r="M1637" t="n">
        <v>0</v>
      </c>
      <c r="O1637" t="inlineStr">
        <is>
          <t>RAT447</t>
        </is>
      </c>
      <c r="Q1637" s="114" t="n">
        <v>0</v>
      </c>
      <c r="R1637" s="114" t="n">
        <v>62.5</v>
      </c>
      <c r="S1637" s="114" t="n">
        <v>0</v>
      </c>
      <c r="T1637" t="n">
        <v>0</v>
      </c>
    </row>
    <row r="1638">
      <c r="A1638" t="inlineStr">
        <is>
          <t>ttJTrans</t>
        </is>
      </c>
      <c r="B1638" s="38" t="inlineStr">
        <is>
          <t>0-4006</t>
        </is>
      </c>
      <c r="C1638" t="inlineStr">
        <is>
          <t>ER</t>
        </is>
      </c>
      <c r="E1638" t="inlineStr">
        <is>
          <t>ER</t>
        </is>
      </c>
      <c r="H1638" s="127" t="n">
        <v>46131</v>
      </c>
      <c r="J1638" s="38" t="inlineStr">
        <is>
          <t>0-4006</t>
        </is>
      </c>
      <c r="K1638" t="inlineStr">
        <is>
          <t>RAT447 4WD CLUB CAR CARRYALL 1700 D 4WD CLUB CAR CARRYALL 1700 D</t>
        </is>
      </c>
      <c r="L1638" t="n">
        <v>0</v>
      </c>
      <c r="M1638" t="n">
        <v>0</v>
      </c>
      <c r="O1638" t="inlineStr">
        <is>
          <t>RAT447</t>
        </is>
      </c>
      <c r="Q1638" s="114" t="n">
        <v>0</v>
      </c>
      <c r="R1638" s="114" t="n">
        <v>62.5</v>
      </c>
      <c r="S1638" s="114" t="n">
        <v>0</v>
      </c>
      <c r="T1638" t="n">
        <v>0</v>
      </c>
    </row>
    <row r="1639">
      <c r="A1639" t="inlineStr">
        <is>
          <t>ttJTrans</t>
        </is>
      </c>
      <c r="B1639" s="38" t="inlineStr">
        <is>
          <t>0-4006</t>
        </is>
      </c>
      <c r="C1639" t="inlineStr">
        <is>
          <t>ER</t>
        </is>
      </c>
      <c r="E1639" t="inlineStr">
        <is>
          <t>ER</t>
        </is>
      </c>
      <c r="H1639" s="127" t="n">
        <v>46138</v>
      </c>
      <c r="J1639" s="38" t="inlineStr">
        <is>
          <t>0-4006</t>
        </is>
      </c>
      <c r="K1639" t="inlineStr">
        <is>
          <t>RDZ318 CAT D5 LGPVPR DOZER 170 HP CAT D5 LGPVPR DOZER 170 HP</t>
        </is>
      </c>
      <c r="L1639" t="n">
        <v>0</v>
      </c>
      <c r="M1639" t="n">
        <v>0</v>
      </c>
      <c r="O1639" t="inlineStr">
        <is>
          <t>RDZ318</t>
        </is>
      </c>
      <c r="Q1639" s="114" t="n">
        <v>0</v>
      </c>
      <c r="R1639" s="114" t="n">
        <v>778.74</v>
      </c>
      <c r="S1639" s="114" t="n">
        <v>0</v>
      </c>
      <c r="T1639" t="n">
        <v>0</v>
      </c>
    </row>
    <row r="1640">
      <c r="A1640" t="inlineStr">
        <is>
          <t>ttJTrans</t>
        </is>
      </c>
      <c r="B1640" s="38" t="inlineStr">
        <is>
          <t>0-4006</t>
        </is>
      </c>
      <c r="C1640" t="inlineStr">
        <is>
          <t>ER</t>
        </is>
      </c>
      <c r="E1640" t="inlineStr">
        <is>
          <t>ER</t>
        </is>
      </c>
      <c r="H1640" s="127" t="n">
        <v>46138</v>
      </c>
      <c r="J1640" s="38" t="inlineStr">
        <is>
          <t>0-4006</t>
        </is>
      </c>
      <c r="K1640" t="inlineStr">
        <is>
          <t>RDZ318 CAT D5 LGPVPR DOZER 170 HP CAT D5 LGPVPR DOZER 170 HP</t>
        </is>
      </c>
      <c r="L1640" t="n">
        <v>0</v>
      </c>
      <c r="M1640" t="n">
        <v>0</v>
      </c>
      <c r="O1640" t="inlineStr">
        <is>
          <t>RDZ318</t>
        </is>
      </c>
      <c r="Q1640" s="114" t="n">
        <v>0</v>
      </c>
      <c r="R1640" s="114" t="n">
        <v>778.74</v>
      </c>
      <c r="S1640" s="114" t="n">
        <v>0</v>
      </c>
      <c r="T1640" t="n">
        <v>0</v>
      </c>
    </row>
    <row r="1641">
      <c r="A1641" t="inlineStr">
        <is>
          <t>ttJTrans</t>
        </is>
      </c>
      <c r="B1641" s="38" t="inlineStr">
        <is>
          <t>0-4006</t>
        </is>
      </c>
      <c r="C1641" t="inlineStr">
        <is>
          <t>ER</t>
        </is>
      </c>
      <c r="E1641" t="inlineStr">
        <is>
          <t>ER</t>
        </is>
      </c>
      <c r="H1641" s="127" t="n">
        <v>46138</v>
      </c>
      <c r="J1641" s="38" t="inlineStr">
        <is>
          <t>0-4006</t>
        </is>
      </c>
      <c r="K1641" t="inlineStr">
        <is>
          <t>RDZ318 CAT D5 LGPVPR DOZER 170 HP CAT D5 LGPVPR DOZER 170 HP</t>
        </is>
      </c>
      <c r="L1641" t="n">
        <v>0</v>
      </c>
      <c r="M1641" t="n">
        <v>0</v>
      </c>
      <c r="O1641" t="inlineStr">
        <is>
          <t>RDZ318</t>
        </is>
      </c>
      <c r="Q1641" s="114" t="n">
        <v>0</v>
      </c>
      <c r="R1641" s="114" t="n">
        <v>778.74</v>
      </c>
      <c r="S1641" s="114" t="n">
        <v>0</v>
      </c>
      <c r="T1641" t="n">
        <v>0</v>
      </c>
    </row>
    <row r="1642">
      <c r="A1642" t="inlineStr">
        <is>
          <t>ttJTrans</t>
        </is>
      </c>
      <c r="B1642" s="38" t="inlineStr">
        <is>
          <t>0-4006</t>
        </is>
      </c>
      <c r="C1642" t="inlineStr">
        <is>
          <t>ER</t>
        </is>
      </c>
      <c r="E1642" t="inlineStr">
        <is>
          <t>ER</t>
        </is>
      </c>
      <c r="H1642" s="127" t="n">
        <v>46138</v>
      </c>
      <c r="J1642" s="38" t="inlineStr">
        <is>
          <t>0-4006</t>
        </is>
      </c>
      <c r="K1642" t="inlineStr">
        <is>
          <t>RGR114 CATERPILLAR 150 AWD MOTOR GRADER CATERPILLAR 150 AWD MOTOR GRADER</t>
        </is>
      </c>
      <c r="L1642" t="n">
        <v>0</v>
      </c>
      <c r="M1642" t="n">
        <v>0</v>
      </c>
      <c r="O1642" t="inlineStr">
        <is>
          <t>RGR114</t>
        </is>
      </c>
      <c r="Q1642" s="114" t="n">
        <v>0</v>
      </c>
      <c r="R1642" s="114" t="n">
        <v>604.17</v>
      </c>
      <c r="S1642" s="114" t="n">
        <v>0</v>
      </c>
      <c r="T1642" t="n">
        <v>0</v>
      </c>
    </row>
    <row r="1643">
      <c r="A1643" t="inlineStr">
        <is>
          <t>ttJTrans</t>
        </is>
      </c>
      <c r="B1643" s="38" t="inlineStr">
        <is>
          <t>0-4006</t>
        </is>
      </c>
      <c r="C1643" t="inlineStr">
        <is>
          <t>ER</t>
        </is>
      </c>
      <c r="E1643" t="inlineStr">
        <is>
          <t>ER</t>
        </is>
      </c>
      <c r="H1643" s="127" t="n">
        <v>46138</v>
      </c>
      <c r="J1643" s="38" t="inlineStr">
        <is>
          <t>0-4006</t>
        </is>
      </c>
      <c r="K1643" t="inlineStr">
        <is>
          <t>RGR114 CATERPILLAR 150 AWD MOTOR GRADER CATERPILLAR 150 AWD MOTOR GRADER</t>
        </is>
      </c>
      <c r="L1643" t="n">
        <v>0</v>
      </c>
      <c r="M1643" t="n">
        <v>0</v>
      </c>
      <c r="O1643" t="inlineStr">
        <is>
          <t>RGR114</t>
        </is>
      </c>
      <c r="Q1643" s="114" t="n">
        <v>0</v>
      </c>
      <c r="R1643" s="114" t="n">
        <v>604.17</v>
      </c>
      <c r="S1643" s="114" t="n">
        <v>0</v>
      </c>
      <c r="T1643" t="n">
        <v>0</v>
      </c>
    </row>
    <row r="1644">
      <c r="A1644" t="inlineStr">
        <is>
          <t>ttJTrans</t>
        </is>
      </c>
      <c r="B1644" s="38" t="inlineStr">
        <is>
          <t>0-4006</t>
        </is>
      </c>
      <c r="C1644" t="inlineStr">
        <is>
          <t>ER</t>
        </is>
      </c>
      <c r="E1644" t="inlineStr">
        <is>
          <t>ER</t>
        </is>
      </c>
      <c r="H1644" s="127" t="n">
        <v>46138</v>
      </c>
      <c r="J1644" s="38" t="inlineStr">
        <is>
          <t>0-4006</t>
        </is>
      </c>
      <c r="K1644" t="inlineStr">
        <is>
          <t>RGR114 CATERPILLAR 150 AWD MOTOR GRADER CATERPILLAR 150 AWD MOTOR GRADER</t>
        </is>
      </c>
      <c r="L1644" t="n">
        <v>0</v>
      </c>
      <c r="M1644" t="n">
        <v>0</v>
      </c>
      <c r="O1644" t="inlineStr">
        <is>
          <t>RGR114</t>
        </is>
      </c>
      <c r="Q1644" s="114" t="n">
        <v>0</v>
      </c>
      <c r="R1644" s="114" t="n">
        <v>604.17</v>
      </c>
      <c r="S1644" s="114" t="n">
        <v>0</v>
      </c>
      <c r="T1644" t="n">
        <v>0</v>
      </c>
    </row>
    <row r="1645">
      <c r="A1645" t="inlineStr">
        <is>
          <t>ttJTrans</t>
        </is>
      </c>
      <c r="B1645" s="38" t="inlineStr">
        <is>
          <t>0-4006</t>
        </is>
      </c>
      <c r="C1645" t="inlineStr">
        <is>
          <t>ER</t>
        </is>
      </c>
      <c r="E1645" t="inlineStr">
        <is>
          <t>ER</t>
        </is>
      </c>
      <c r="H1645" s="127" t="n">
        <v>46138</v>
      </c>
      <c r="J1645" s="38" t="inlineStr">
        <is>
          <t>0-4006</t>
        </is>
      </c>
      <c r="K1645" t="inlineStr">
        <is>
          <t>RFT890 CASE MAGNUN 220 FARM TRACTOR CASE MAGNUN 220 FARM TRACTOR</t>
        </is>
      </c>
      <c r="L1645" t="n">
        <v>0</v>
      </c>
      <c r="M1645" t="n">
        <v>0</v>
      </c>
      <c r="O1645" t="inlineStr">
        <is>
          <t>RFT890</t>
        </is>
      </c>
      <c r="Q1645" s="114" t="n">
        <v>0</v>
      </c>
      <c r="R1645" s="114" t="n">
        <v>500</v>
      </c>
      <c r="S1645" s="114" t="n">
        <v>0</v>
      </c>
      <c r="T1645" t="n">
        <v>0</v>
      </c>
    </row>
    <row r="1646">
      <c r="A1646" t="inlineStr">
        <is>
          <t>ttJTrans</t>
        </is>
      </c>
      <c r="B1646" s="38" t="inlineStr">
        <is>
          <t>0-4006</t>
        </is>
      </c>
      <c r="C1646" t="inlineStr">
        <is>
          <t>ER</t>
        </is>
      </c>
      <c r="E1646" t="inlineStr">
        <is>
          <t>ER</t>
        </is>
      </c>
      <c r="H1646" s="127" t="n">
        <v>46138</v>
      </c>
      <c r="J1646" s="38" t="inlineStr">
        <is>
          <t>0-4006</t>
        </is>
      </c>
      <c r="K1646" t="inlineStr">
        <is>
          <t>RFT890 CASE MAGNUN 220 FARM TRACTOR CASE MAGNUN 220 FARM TRACTOR</t>
        </is>
      </c>
      <c r="L1646" t="n">
        <v>0</v>
      </c>
      <c r="M1646" t="n">
        <v>0</v>
      </c>
      <c r="O1646" t="inlineStr">
        <is>
          <t>RFT890</t>
        </is>
      </c>
      <c r="Q1646" s="114" t="n">
        <v>0</v>
      </c>
      <c r="R1646" s="114" t="n">
        <v>500</v>
      </c>
      <c r="S1646" s="114" t="n">
        <v>0</v>
      </c>
      <c r="T1646" t="n">
        <v>0</v>
      </c>
    </row>
    <row r="1647">
      <c r="A1647" t="inlineStr">
        <is>
          <t>ttJTrans</t>
        </is>
      </c>
      <c r="B1647" s="38" t="inlineStr">
        <is>
          <t>0-4006</t>
        </is>
      </c>
      <c r="C1647" t="inlineStr">
        <is>
          <t>ER</t>
        </is>
      </c>
      <c r="E1647" t="inlineStr">
        <is>
          <t>ER</t>
        </is>
      </c>
      <c r="H1647" s="127" t="n">
        <v>46138</v>
      </c>
      <c r="J1647" s="38" t="inlineStr">
        <is>
          <t>0-4006</t>
        </is>
      </c>
      <c r="K1647" t="inlineStr">
        <is>
          <t>RFT890 CASE MAGNUN 220 FARM TRACTOR CASE MAGNUN 220 FARM TRACTOR</t>
        </is>
      </c>
      <c r="L1647" t="n">
        <v>0</v>
      </c>
      <c r="M1647" t="n">
        <v>0</v>
      </c>
      <c r="O1647" t="inlineStr">
        <is>
          <t>RFT890</t>
        </is>
      </c>
      <c r="Q1647" s="114" t="n">
        <v>0</v>
      </c>
      <c r="R1647" s="114" t="n">
        <v>500</v>
      </c>
      <c r="S1647" s="114" t="n">
        <v>0</v>
      </c>
      <c r="T1647" t="n">
        <v>0</v>
      </c>
    </row>
    <row r="1648">
      <c r="A1648" t="inlineStr">
        <is>
          <t>ttJTrans</t>
        </is>
      </c>
      <c r="B1648" s="38" t="inlineStr">
        <is>
          <t>0-4006</t>
        </is>
      </c>
      <c r="C1648" t="inlineStr">
        <is>
          <t>ER</t>
        </is>
      </c>
      <c r="E1648" t="inlineStr">
        <is>
          <t>ER</t>
        </is>
      </c>
      <c r="H1648" s="127" t="n">
        <v>46138</v>
      </c>
      <c r="J1648" s="38" t="inlineStr">
        <is>
          <t>0-4006</t>
        </is>
      </c>
      <c r="K1648" t="inlineStr">
        <is>
          <t>RFT891 CASE MAGNUM 220 FARM TRACTOR CASE MAGNUM 220 FARM TRACTOR</t>
        </is>
      </c>
      <c r="L1648" t="n">
        <v>0</v>
      </c>
      <c r="M1648" t="n">
        <v>0</v>
      </c>
      <c r="O1648" t="inlineStr">
        <is>
          <t>RFT891</t>
        </is>
      </c>
      <c r="Q1648" s="114" t="n">
        <v>0</v>
      </c>
      <c r="R1648" s="114" t="n">
        <v>500</v>
      </c>
      <c r="S1648" s="114" t="n">
        <v>0</v>
      </c>
      <c r="T1648" t="n">
        <v>0</v>
      </c>
    </row>
    <row r="1649">
      <c r="A1649" t="inlineStr">
        <is>
          <t>ttJTrans</t>
        </is>
      </c>
      <c r="B1649" s="38" t="inlineStr">
        <is>
          <t>0-4006</t>
        </is>
      </c>
      <c r="C1649" t="inlineStr">
        <is>
          <t>ER</t>
        </is>
      </c>
      <c r="E1649" t="inlineStr">
        <is>
          <t>ER</t>
        </is>
      </c>
      <c r="H1649" s="127" t="n">
        <v>46138</v>
      </c>
      <c r="J1649" s="38" t="inlineStr">
        <is>
          <t>0-4006</t>
        </is>
      </c>
      <c r="K1649" t="inlineStr">
        <is>
          <t>RFT891 CASE MAGNUM 220 FARM TRACTOR CASE MAGNUM 220 FARM TRACTOR</t>
        </is>
      </c>
      <c r="L1649" t="n">
        <v>0</v>
      </c>
      <c r="M1649" t="n">
        <v>0</v>
      </c>
      <c r="O1649" t="inlineStr">
        <is>
          <t>RFT891</t>
        </is>
      </c>
      <c r="Q1649" s="114" t="n">
        <v>0</v>
      </c>
      <c r="R1649" s="114" t="n">
        <v>500</v>
      </c>
      <c r="S1649" s="114" t="n">
        <v>0</v>
      </c>
      <c r="T1649" t="n">
        <v>0</v>
      </c>
    </row>
    <row r="1650">
      <c r="A1650" t="inlineStr">
        <is>
          <t>ttJTrans</t>
        </is>
      </c>
      <c r="B1650" s="38" t="inlineStr">
        <is>
          <t>0-4006</t>
        </is>
      </c>
      <c r="C1650" t="inlineStr">
        <is>
          <t>ER</t>
        </is>
      </c>
      <c r="E1650" t="inlineStr">
        <is>
          <t>ER</t>
        </is>
      </c>
      <c r="H1650" s="127" t="n">
        <v>46138</v>
      </c>
      <c r="J1650" s="38" t="inlineStr">
        <is>
          <t>0-4006</t>
        </is>
      </c>
      <c r="K1650" t="inlineStr">
        <is>
          <t>RFT891 CASE MAGNUM 220 FARM TRACTOR CASE MAGNUM 220 FARM TRACTOR</t>
        </is>
      </c>
      <c r="L1650" t="n">
        <v>0</v>
      </c>
      <c r="M1650" t="n">
        <v>0</v>
      </c>
      <c r="O1650" t="inlineStr">
        <is>
          <t>RFT891</t>
        </is>
      </c>
      <c r="Q1650" s="114" t="n">
        <v>0</v>
      </c>
      <c r="R1650" s="114" t="n">
        <v>500</v>
      </c>
      <c r="S1650" s="114" t="n">
        <v>0</v>
      </c>
      <c r="T1650" t="n">
        <v>0</v>
      </c>
    </row>
    <row r="1651">
      <c r="A1651" t="inlineStr">
        <is>
          <t>ttJTrans</t>
        </is>
      </c>
      <c r="B1651" s="38" t="inlineStr">
        <is>
          <t>0-4006</t>
        </is>
      </c>
      <c r="C1651" t="inlineStr">
        <is>
          <t>ER</t>
        </is>
      </c>
      <c r="E1651" t="inlineStr">
        <is>
          <t>ER</t>
        </is>
      </c>
      <c r="H1651" s="127" t="n">
        <v>46138</v>
      </c>
      <c r="J1651" s="38" t="inlineStr">
        <is>
          <t>0-4006</t>
        </is>
      </c>
      <c r="K1651" t="inlineStr">
        <is>
          <t>RMS2319 25' SMOOTH ROLLER FOR FARM TRACTOR 25' SMOOTH ROLLER FOR FARM TRACTOR</t>
        </is>
      </c>
      <c r="L1651" t="n">
        <v>0</v>
      </c>
      <c r="M1651" t="n">
        <v>0</v>
      </c>
      <c r="O1651" t="inlineStr">
        <is>
          <t>RMS2319</t>
        </is>
      </c>
      <c r="Q1651" s="114" t="n">
        <v>0</v>
      </c>
      <c r="R1651" s="114" t="n">
        <v>179.6</v>
      </c>
      <c r="S1651" s="114" t="n">
        <v>0</v>
      </c>
      <c r="T1651" t="n">
        <v>0</v>
      </c>
    </row>
    <row r="1652">
      <c r="A1652" t="inlineStr">
        <is>
          <t>ttJTrans</t>
        </is>
      </c>
      <c r="B1652" s="38" t="inlineStr">
        <is>
          <t>0-4006</t>
        </is>
      </c>
      <c r="C1652" t="inlineStr">
        <is>
          <t>ER</t>
        </is>
      </c>
      <c r="E1652" t="inlineStr">
        <is>
          <t>ER</t>
        </is>
      </c>
      <c r="H1652" s="127" t="n">
        <v>46138</v>
      </c>
      <c r="J1652" s="38" t="inlineStr">
        <is>
          <t>0-4006</t>
        </is>
      </c>
      <c r="K1652" t="inlineStr">
        <is>
          <t>RMS2319 25' SMOOTH ROLLER FOR FARM TRACTOR 25' SMOOTH ROLLER FOR FARM TRACTOR</t>
        </is>
      </c>
      <c r="L1652" t="n">
        <v>0</v>
      </c>
      <c r="M1652" t="n">
        <v>0</v>
      </c>
      <c r="O1652" t="inlineStr">
        <is>
          <t>RMS2319</t>
        </is>
      </c>
      <c r="Q1652" s="114" t="n">
        <v>0</v>
      </c>
      <c r="R1652" s="114" t="n">
        <v>179.6</v>
      </c>
      <c r="S1652" s="114" t="n">
        <v>0</v>
      </c>
      <c r="T1652" t="n">
        <v>0</v>
      </c>
    </row>
    <row r="1653">
      <c r="A1653" t="inlineStr">
        <is>
          <t>ttJTrans</t>
        </is>
      </c>
      <c r="B1653" s="38" t="inlineStr">
        <is>
          <t>0-4006</t>
        </is>
      </c>
      <c r="C1653" t="inlineStr">
        <is>
          <t>ER</t>
        </is>
      </c>
      <c r="E1653" t="inlineStr">
        <is>
          <t>ER</t>
        </is>
      </c>
      <c r="H1653" s="127" t="n">
        <v>46138</v>
      </c>
      <c r="J1653" s="38" t="inlineStr">
        <is>
          <t>0-4006</t>
        </is>
      </c>
      <c r="K1653" t="inlineStr">
        <is>
          <t>RMS2319 25' SMOOTH ROLLER FOR FARM TRACTOR 25' SMOOTH ROLLER FOR FARM TRACTOR</t>
        </is>
      </c>
      <c r="L1653" t="n">
        <v>0</v>
      </c>
      <c r="M1653" t="n">
        <v>0</v>
      </c>
      <c r="O1653" t="inlineStr">
        <is>
          <t>RMS2319</t>
        </is>
      </c>
      <c r="Q1653" s="114" t="n">
        <v>0</v>
      </c>
      <c r="R1653" s="114" t="n">
        <v>179.6</v>
      </c>
      <c r="S1653" s="114" t="n">
        <v>0</v>
      </c>
      <c r="T1653" t="n">
        <v>0</v>
      </c>
    </row>
    <row r="1654">
      <c r="A1654" t="inlineStr">
        <is>
          <t>ttJTrans</t>
        </is>
      </c>
      <c r="B1654" s="38" t="inlineStr">
        <is>
          <t>0-4006</t>
        </is>
      </c>
      <c r="C1654" t="inlineStr">
        <is>
          <t>ER</t>
        </is>
      </c>
      <c r="E1654" t="inlineStr">
        <is>
          <t>ER</t>
        </is>
      </c>
      <c r="H1654" s="127" t="n">
        <v>46138</v>
      </c>
      <c r="J1654" s="38" t="inlineStr">
        <is>
          <t>0-4006</t>
        </is>
      </c>
      <c r="K1654" t="inlineStr">
        <is>
          <t>RLD293 TAKEUCHI TL10VS TRACK SKID STEER LOADER W TREE SAW ATTACHMENT TAKEUCHI TL10VS TRACK SKID STEER LOADER W TREE SAW ATTACHMENT</t>
        </is>
      </c>
      <c r="L1654" t="n">
        <v>0</v>
      </c>
      <c r="M1654" t="n">
        <v>0</v>
      </c>
      <c r="O1654" t="inlineStr">
        <is>
          <t>RLD293</t>
        </is>
      </c>
      <c r="Q1654" s="114" t="n">
        <v>0</v>
      </c>
      <c r="R1654" s="114" t="n">
        <v>282.06</v>
      </c>
      <c r="S1654" s="114" t="n">
        <v>0</v>
      </c>
      <c r="T1654" t="n">
        <v>0</v>
      </c>
    </row>
    <row r="1655">
      <c r="A1655" t="inlineStr">
        <is>
          <t>ttJTrans</t>
        </is>
      </c>
      <c r="B1655" s="38" t="inlineStr">
        <is>
          <t>0-4006</t>
        </is>
      </c>
      <c r="C1655" t="inlineStr">
        <is>
          <t>ER</t>
        </is>
      </c>
      <c r="E1655" t="inlineStr">
        <is>
          <t>ER</t>
        </is>
      </c>
      <c r="H1655" s="127" t="n">
        <v>46138</v>
      </c>
      <c r="J1655" s="38" t="inlineStr">
        <is>
          <t>0-4006</t>
        </is>
      </c>
      <c r="K1655" t="inlineStr">
        <is>
          <t>RLD293 TAKEUCHI TL10VS TRACK SKID STEER LOADER W TREE SAW ATTACHMENT TAKEUCHI TL10VS TRACK SKID STEER LOADER W TREE SAW ATTACHMENT</t>
        </is>
      </c>
      <c r="L1655" t="n">
        <v>0</v>
      </c>
      <c r="M1655" t="n">
        <v>0</v>
      </c>
      <c r="O1655" t="inlineStr">
        <is>
          <t>RLD293</t>
        </is>
      </c>
      <c r="Q1655" s="114" t="n">
        <v>0</v>
      </c>
      <c r="R1655" s="114" t="n">
        <v>282.06</v>
      </c>
      <c r="S1655" s="114" t="n">
        <v>0</v>
      </c>
      <c r="T1655" t="n">
        <v>0</v>
      </c>
    </row>
    <row r="1656">
      <c r="A1656" t="inlineStr">
        <is>
          <t>ttJTrans</t>
        </is>
      </c>
      <c r="B1656" s="38" t="inlineStr">
        <is>
          <t>0-4006</t>
        </is>
      </c>
      <c r="C1656" t="inlineStr">
        <is>
          <t>ER</t>
        </is>
      </c>
      <c r="E1656" t="inlineStr">
        <is>
          <t>ER</t>
        </is>
      </c>
      <c r="H1656" s="127" t="n">
        <v>46138</v>
      </c>
      <c r="J1656" s="38" t="inlineStr">
        <is>
          <t>0-4006</t>
        </is>
      </c>
      <c r="K1656" t="inlineStr">
        <is>
          <t>RLD293 TAKEUCHI TL10VS TRACK SKID STEER LOADER W TREE SAW ATTACHMENT TAKEUCHI TL10VS TRACK SKID STEER LOADER W TREE SAW ATTACHMENT</t>
        </is>
      </c>
      <c r="L1656" t="n">
        <v>0</v>
      </c>
      <c r="M1656" t="n">
        <v>0</v>
      </c>
      <c r="O1656" t="inlineStr">
        <is>
          <t>RLD293</t>
        </is>
      </c>
      <c r="Q1656" s="114" t="n">
        <v>0</v>
      </c>
      <c r="R1656" s="114" t="n">
        <v>282.06</v>
      </c>
      <c r="S1656" s="114" t="n">
        <v>0</v>
      </c>
      <c r="T1656" t="n">
        <v>0</v>
      </c>
    </row>
    <row r="1657">
      <c r="A1657" t="inlineStr">
        <is>
          <t>ttJTrans</t>
        </is>
      </c>
      <c r="B1657" s="38" t="inlineStr">
        <is>
          <t>0-4006</t>
        </is>
      </c>
      <c r="C1657" t="inlineStr">
        <is>
          <t>ER</t>
        </is>
      </c>
      <c r="E1657" t="inlineStr">
        <is>
          <t>ER</t>
        </is>
      </c>
      <c r="H1657" s="127" t="n">
        <v>46138</v>
      </c>
      <c r="J1657" s="38" t="inlineStr">
        <is>
          <t>0-4006</t>
        </is>
      </c>
      <c r="K1657" t="inlineStr">
        <is>
          <t>RHV96 PETERBILT 4,000 GALLON WATER TRUCK PETERBILT 4,000 GALLON WATER TRUCK</t>
        </is>
      </c>
      <c r="L1657" t="n">
        <v>0</v>
      </c>
      <c r="M1657" t="n">
        <v>0</v>
      </c>
      <c r="O1657" t="inlineStr">
        <is>
          <t>RHV96</t>
        </is>
      </c>
      <c r="Q1657" s="114" t="n">
        <v>0</v>
      </c>
      <c r="R1657" s="114" t="n">
        <v>200</v>
      </c>
      <c r="S1657" s="114" t="n">
        <v>0</v>
      </c>
      <c r="T1657" t="n">
        <v>0</v>
      </c>
    </row>
    <row r="1658">
      <c r="A1658" t="inlineStr">
        <is>
          <t>ttJTrans</t>
        </is>
      </c>
      <c r="B1658" s="38" t="inlineStr">
        <is>
          <t>0-4006</t>
        </is>
      </c>
      <c r="C1658" t="inlineStr">
        <is>
          <t>ER</t>
        </is>
      </c>
      <c r="E1658" t="inlineStr">
        <is>
          <t>ER</t>
        </is>
      </c>
      <c r="H1658" s="127" t="n">
        <v>46138</v>
      </c>
      <c r="J1658" s="38" t="inlineStr">
        <is>
          <t>0-4006</t>
        </is>
      </c>
      <c r="K1658" t="inlineStr">
        <is>
          <t>RHV96 PETERBILT 4,000 GALLON WATER TRUCK PETERBILT 4,000 GALLON WATER TRUCK</t>
        </is>
      </c>
      <c r="L1658" t="n">
        <v>0</v>
      </c>
      <c r="M1658" t="n">
        <v>0</v>
      </c>
      <c r="O1658" t="inlineStr">
        <is>
          <t>RHV96</t>
        </is>
      </c>
      <c r="Q1658" s="114" t="n">
        <v>0</v>
      </c>
      <c r="R1658" s="114" t="n">
        <v>200</v>
      </c>
      <c r="S1658" s="114" t="n">
        <v>0</v>
      </c>
      <c r="T1658" t="n">
        <v>0</v>
      </c>
    </row>
    <row r="1659">
      <c r="A1659" t="inlineStr">
        <is>
          <t>ttJTrans</t>
        </is>
      </c>
      <c r="B1659" s="38" t="inlineStr">
        <is>
          <t>0-4006</t>
        </is>
      </c>
      <c r="C1659" t="inlineStr">
        <is>
          <t>ER</t>
        </is>
      </c>
      <c r="E1659" t="inlineStr">
        <is>
          <t>ER</t>
        </is>
      </c>
      <c r="H1659" s="127" t="n">
        <v>46138</v>
      </c>
      <c r="J1659" s="38" t="inlineStr">
        <is>
          <t>0-4006</t>
        </is>
      </c>
      <c r="K1659" t="inlineStr">
        <is>
          <t>RHV96 PETERBILT 4,000 GALLON WATER TRUCK PETERBILT 4,000 GALLON WATER TRUCK</t>
        </is>
      </c>
      <c r="L1659" t="n">
        <v>0</v>
      </c>
      <c r="M1659" t="n">
        <v>0</v>
      </c>
      <c r="O1659" t="inlineStr">
        <is>
          <t>RHV96</t>
        </is>
      </c>
      <c r="Q1659" s="114" t="n">
        <v>0</v>
      </c>
      <c r="R1659" s="114" t="n">
        <v>200</v>
      </c>
      <c r="S1659" s="114" t="n">
        <v>0</v>
      </c>
      <c r="T1659" t="n">
        <v>0</v>
      </c>
    </row>
    <row r="1660">
      <c r="A1660" t="inlineStr">
        <is>
          <t>ttJTrans</t>
        </is>
      </c>
      <c r="B1660" s="38" t="inlineStr">
        <is>
          <t>0-4006</t>
        </is>
      </c>
      <c r="C1660" t="inlineStr">
        <is>
          <t>ER</t>
        </is>
      </c>
      <c r="E1660" t="inlineStr">
        <is>
          <t>ER</t>
        </is>
      </c>
      <c r="H1660" s="127" t="n">
        <v>46138</v>
      </c>
      <c r="J1660" s="38" t="inlineStr">
        <is>
          <t>0-4006</t>
        </is>
      </c>
      <c r="K1660" t="inlineStr">
        <is>
          <t>RMS2320 SEED DRILL FOR FARM TRACTOR SEED DRILL FOR FARM TRACTOR</t>
        </is>
      </c>
      <c r="L1660" t="n">
        <v>0</v>
      </c>
      <c r="M1660" t="n">
        <v>0</v>
      </c>
      <c r="O1660" t="inlineStr">
        <is>
          <t>RMS2320</t>
        </is>
      </c>
      <c r="Q1660" s="114" t="n">
        <v>0</v>
      </c>
      <c r="R1660" s="114" t="n">
        <v>1077.59</v>
      </c>
      <c r="S1660" s="114" t="n">
        <v>0</v>
      </c>
      <c r="T1660" t="n">
        <v>0</v>
      </c>
    </row>
    <row r="1661">
      <c r="A1661" t="inlineStr">
        <is>
          <t>ttJTrans</t>
        </is>
      </c>
      <c r="B1661" s="38" t="inlineStr">
        <is>
          <t>0-4006</t>
        </is>
      </c>
      <c r="C1661" t="inlineStr">
        <is>
          <t>ER</t>
        </is>
      </c>
      <c r="E1661" t="inlineStr">
        <is>
          <t>ER</t>
        </is>
      </c>
      <c r="H1661" s="127" t="n">
        <v>46138</v>
      </c>
      <c r="J1661" s="38" t="inlineStr">
        <is>
          <t>0-4006</t>
        </is>
      </c>
      <c r="K1661" t="inlineStr">
        <is>
          <t>RMS2320 SEED DRILL FOR FARM TRACTOR SEED DRILL FOR FARM TRACTOR</t>
        </is>
      </c>
      <c r="L1661" t="n">
        <v>0</v>
      </c>
      <c r="M1661" t="n">
        <v>0</v>
      </c>
      <c r="O1661" t="inlineStr">
        <is>
          <t>RMS2320</t>
        </is>
      </c>
      <c r="Q1661" s="114" t="n">
        <v>0</v>
      </c>
      <c r="R1661" s="114" t="n">
        <v>1077.59</v>
      </c>
      <c r="S1661" s="114" t="n">
        <v>0</v>
      </c>
      <c r="T1661" t="n">
        <v>0</v>
      </c>
    </row>
    <row r="1662">
      <c r="A1662" t="inlineStr">
        <is>
          <t>ttJTrans</t>
        </is>
      </c>
      <c r="B1662" s="38" t="inlineStr">
        <is>
          <t>0-4006</t>
        </is>
      </c>
      <c r="C1662" t="inlineStr">
        <is>
          <t>ER</t>
        </is>
      </c>
      <c r="E1662" t="inlineStr">
        <is>
          <t>ER</t>
        </is>
      </c>
      <c r="H1662" s="127" t="n">
        <v>46138</v>
      </c>
      <c r="J1662" s="38" t="inlineStr">
        <is>
          <t>0-4006</t>
        </is>
      </c>
      <c r="K1662" t="inlineStr">
        <is>
          <t>RMS2320 SEED DRILL FOR FARM TRACTOR SEED DRILL FOR FARM TRACTOR</t>
        </is>
      </c>
      <c r="L1662" t="n">
        <v>0</v>
      </c>
      <c r="M1662" t="n">
        <v>0</v>
      </c>
      <c r="O1662" t="inlineStr">
        <is>
          <t>RMS2320</t>
        </is>
      </c>
      <c r="Q1662" s="114" t="n">
        <v>0</v>
      </c>
      <c r="R1662" s="114" t="n">
        <v>1077.59</v>
      </c>
      <c r="S1662" s="114" t="n">
        <v>0</v>
      </c>
      <c r="T1662" t="n">
        <v>0</v>
      </c>
    </row>
    <row r="1663">
      <c r="A1663" t="inlineStr">
        <is>
          <t>ttJTrans</t>
        </is>
      </c>
      <c r="B1663" s="38" t="inlineStr">
        <is>
          <t>0-4006</t>
        </is>
      </c>
      <c r="C1663" t="inlineStr">
        <is>
          <t>ER</t>
        </is>
      </c>
      <c r="E1663" t="inlineStr">
        <is>
          <t>ER</t>
        </is>
      </c>
      <c r="H1663" s="127" t="n">
        <v>46138</v>
      </c>
      <c r="J1663" s="38" t="inlineStr">
        <is>
          <t>0-4006</t>
        </is>
      </c>
      <c r="K1663" t="inlineStr">
        <is>
          <t>REX665 330 CATERPILLAR EXCAVATOR 330 CATERPILLAR EXCAVATOR</t>
        </is>
      </c>
      <c r="L1663" t="n">
        <v>0</v>
      </c>
      <c r="M1663" t="n">
        <v>0</v>
      </c>
      <c r="O1663" t="inlineStr">
        <is>
          <t>REX665</t>
        </is>
      </c>
      <c r="Q1663" s="114" t="n">
        <v>0</v>
      </c>
      <c r="R1663" s="114" t="n">
        <v>458.33</v>
      </c>
      <c r="S1663" s="114" t="n">
        <v>0</v>
      </c>
      <c r="T1663" t="n">
        <v>0</v>
      </c>
    </row>
    <row r="1664">
      <c r="A1664" t="inlineStr">
        <is>
          <t>ttJTrans</t>
        </is>
      </c>
      <c r="B1664" s="38" t="inlineStr">
        <is>
          <t>0-4006</t>
        </is>
      </c>
      <c r="C1664" t="inlineStr">
        <is>
          <t>ER</t>
        </is>
      </c>
      <c r="E1664" t="inlineStr">
        <is>
          <t>ER</t>
        </is>
      </c>
      <c r="H1664" s="127" t="n">
        <v>46138</v>
      </c>
      <c r="J1664" s="38" t="inlineStr">
        <is>
          <t>0-4006</t>
        </is>
      </c>
      <c r="K1664" t="inlineStr">
        <is>
          <t>REX665 330 CATERPILLAR EXCAVATOR 330 CATERPILLAR EXCAVATOR</t>
        </is>
      </c>
      <c r="L1664" t="n">
        <v>0</v>
      </c>
      <c r="M1664" t="n">
        <v>0</v>
      </c>
      <c r="O1664" t="inlineStr">
        <is>
          <t>REX665</t>
        </is>
      </c>
      <c r="Q1664" s="114" t="n">
        <v>0</v>
      </c>
      <c r="R1664" s="114" t="n">
        <v>458.33</v>
      </c>
      <c r="S1664" s="114" t="n">
        <v>0</v>
      </c>
      <c r="T1664" t="n">
        <v>0</v>
      </c>
    </row>
    <row r="1665">
      <c r="A1665" t="inlineStr">
        <is>
          <t>ttJTrans</t>
        </is>
      </c>
      <c r="B1665" s="38" t="inlineStr">
        <is>
          <t>0-4006</t>
        </is>
      </c>
      <c r="C1665" t="inlineStr">
        <is>
          <t>ER</t>
        </is>
      </c>
      <c r="E1665" t="inlineStr">
        <is>
          <t>ER</t>
        </is>
      </c>
      <c r="H1665" s="127" t="n">
        <v>46138</v>
      </c>
      <c r="J1665" s="38" t="inlineStr">
        <is>
          <t>0-4006</t>
        </is>
      </c>
      <c r="K1665" t="inlineStr">
        <is>
          <t>REX665 330 CATERPILLAR EXCAVATOR 330 CATERPILLAR EXCAVATOR</t>
        </is>
      </c>
      <c r="L1665" t="n">
        <v>0</v>
      </c>
      <c r="M1665" t="n">
        <v>0</v>
      </c>
      <c r="O1665" t="inlineStr">
        <is>
          <t>REX665</t>
        </is>
      </c>
      <c r="Q1665" s="114" t="n">
        <v>0</v>
      </c>
      <c r="R1665" s="114" t="n">
        <v>458.33</v>
      </c>
      <c r="S1665" s="114" t="n">
        <v>0</v>
      </c>
      <c r="T1665" t="n">
        <v>0</v>
      </c>
    </row>
    <row r="1666">
      <c r="A1666" t="inlineStr">
        <is>
          <t>ttJTrans</t>
        </is>
      </c>
      <c r="B1666" s="38" t="inlineStr">
        <is>
          <t>0-4006</t>
        </is>
      </c>
      <c r="C1666" t="inlineStr">
        <is>
          <t>ER</t>
        </is>
      </c>
      <c r="E1666" t="inlineStr">
        <is>
          <t>ER</t>
        </is>
      </c>
      <c r="H1666" s="127" t="n">
        <v>46138</v>
      </c>
      <c r="J1666" s="38" t="inlineStr">
        <is>
          <t>0-4006</t>
        </is>
      </c>
      <c r="K1666" t="inlineStr">
        <is>
          <t>RPK482 HAMM 84' SINGLE DRUM ROLLER HAMM 84' SINGLE DRUM ROLLER</t>
        </is>
      </c>
      <c r="L1666" t="n">
        <v>0</v>
      </c>
      <c r="M1666" t="n">
        <v>0</v>
      </c>
      <c r="O1666" t="inlineStr">
        <is>
          <t>RPK482</t>
        </is>
      </c>
      <c r="Q1666" s="114" t="n">
        <v>0</v>
      </c>
      <c r="R1666" s="114" t="n">
        <v>300</v>
      </c>
      <c r="S1666" s="114" t="n">
        <v>0</v>
      </c>
      <c r="T1666" t="n">
        <v>0</v>
      </c>
    </row>
    <row r="1667">
      <c r="A1667" t="inlineStr">
        <is>
          <t>ttJTrans</t>
        </is>
      </c>
      <c r="B1667" s="38" t="inlineStr">
        <is>
          <t>0-4006</t>
        </is>
      </c>
      <c r="C1667" t="inlineStr">
        <is>
          <t>ER</t>
        </is>
      </c>
      <c r="E1667" t="inlineStr">
        <is>
          <t>ER</t>
        </is>
      </c>
      <c r="H1667" s="127" t="n">
        <v>46138</v>
      </c>
      <c r="J1667" s="38" t="inlineStr">
        <is>
          <t>0-4006</t>
        </is>
      </c>
      <c r="K1667" t="inlineStr">
        <is>
          <t>RPK482 HAMM 84' SINGLE DRUM ROLLER HAMM 84' SINGLE DRUM ROLLER</t>
        </is>
      </c>
      <c r="L1667" t="n">
        <v>0</v>
      </c>
      <c r="M1667" t="n">
        <v>0</v>
      </c>
      <c r="O1667" t="inlineStr">
        <is>
          <t>RPK482</t>
        </is>
      </c>
      <c r="Q1667" s="114" t="n">
        <v>0</v>
      </c>
      <c r="R1667" s="114" t="n">
        <v>300</v>
      </c>
      <c r="S1667" s="114" t="n">
        <v>0</v>
      </c>
      <c r="T1667" t="n">
        <v>0</v>
      </c>
    </row>
    <row r="1668">
      <c r="A1668" t="inlineStr">
        <is>
          <t>ttJTrans</t>
        </is>
      </c>
      <c r="B1668" s="38" t="inlineStr">
        <is>
          <t>0-4006</t>
        </is>
      </c>
      <c r="C1668" t="inlineStr">
        <is>
          <t>ER</t>
        </is>
      </c>
      <c r="E1668" t="inlineStr">
        <is>
          <t>ER</t>
        </is>
      </c>
      <c r="H1668" s="127" t="n">
        <v>46138</v>
      </c>
      <c r="J1668" s="38" t="inlineStr">
        <is>
          <t>0-4006</t>
        </is>
      </c>
      <c r="K1668" t="inlineStr">
        <is>
          <t>RPK482 HAMM 84' SINGLE DRUM ROLLER HAMM 84' SINGLE DRUM ROLLER</t>
        </is>
      </c>
      <c r="L1668" t="n">
        <v>0</v>
      </c>
      <c r="M1668" t="n">
        <v>0</v>
      </c>
      <c r="O1668" t="inlineStr">
        <is>
          <t>RPK482</t>
        </is>
      </c>
      <c r="Q1668" s="114" t="n">
        <v>0</v>
      </c>
      <c r="R1668" s="114" t="n">
        <v>300</v>
      </c>
      <c r="S1668" s="114" t="n">
        <v>0</v>
      </c>
      <c r="T1668" t="n">
        <v>0</v>
      </c>
    </row>
    <row r="1669">
      <c r="A1669" t="inlineStr">
        <is>
          <t>ttJTrans</t>
        </is>
      </c>
      <c r="B1669" s="38" t="inlineStr">
        <is>
          <t>0-4006</t>
        </is>
      </c>
      <c r="C1669" t="inlineStr">
        <is>
          <t>ER</t>
        </is>
      </c>
      <c r="E1669" t="inlineStr">
        <is>
          <t>ER</t>
        </is>
      </c>
      <c r="H1669" s="127" t="n">
        <v>46138</v>
      </c>
      <c r="J1669" s="38" t="inlineStr">
        <is>
          <t>0-4006</t>
        </is>
      </c>
      <c r="K1669" t="inlineStr">
        <is>
          <t>RMS2318 BROCE RCT350 WHEEL SWEEPER BROCE RCT350 WHEEL SWEEPER</t>
        </is>
      </c>
      <c r="L1669" t="n">
        <v>0</v>
      </c>
      <c r="M1669" t="n">
        <v>0</v>
      </c>
      <c r="O1669" t="inlineStr">
        <is>
          <t>RMS2318</t>
        </is>
      </c>
      <c r="Q1669" s="114" t="n">
        <v>0</v>
      </c>
      <c r="R1669" s="114" t="n">
        <v>200</v>
      </c>
      <c r="S1669" s="114" t="n">
        <v>0</v>
      </c>
      <c r="T1669" t="n">
        <v>0</v>
      </c>
    </row>
    <row r="1670">
      <c r="A1670" t="inlineStr">
        <is>
          <t>ttJTrans</t>
        </is>
      </c>
      <c r="B1670" s="38" t="inlineStr">
        <is>
          <t>0-4006</t>
        </is>
      </c>
      <c r="C1670" t="inlineStr">
        <is>
          <t>ER</t>
        </is>
      </c>
      <c r="E1670" t="inlineStr">
        <is>
          <t>ER</t>
        </is>
      </c>
      <c r="H1670" s="127" t="n">
        <v>46138</v>
      </c>
      <c r="J1670" s="38" t="inlineStr">
        <is>
          <t>0-4006</t>
        </is>
      </c>
      <c r="K1670" t="inlineStr">
        <is>
          <t>RMS2318 BROCE RCT350 WHEEL SWEEPER BROCE RCT350 WHEEL SWEEPER</t>
        </is>
      </c>
      <c r="L1670" t="n">
        <v>0</v>
      </c>
      <c r="M1670" t="n">
        <v>0</v>
      </c>
      <c r="O1670" t="inlineStr">
        <is>
          <t>RMS2318</t>
        </is>
      </c>
      <c r="Q1670" s="114" t="n">
        <v>0</v>
      </c>
      <c r="R1670" s="114" t="n">
        <v>200</v>
      </c>
      <c r="S1670" s="114" t="n">
        <v>0</v>
      </c>
      <c r="T1670" t="n">
        <v>0</v>
      </c>
    </row>
    <row r="1671">
      <c r="A1671" t="inlineStr">
        <is>
          <t>ttJTrans</t>
        </is>
      </c>
      <c r="B1671" s="38" t="inlineStr">
        <is>
          <t>0-4006</t>
        </is>
      </c>
      <c r="C1671" t="inlineStr">
        <is>
          <t>ER</t>
        </is>
      </c>
      <c r="E1671" t="inlineStr">
        <is>
          <t>ER</t>
        </is>
      </c>
      <c r="H1671" s="127" t="n">
        <v>46138</v>
      </c>
      <c r="J1671" s="38" t="inlineStr">
        <is>
          <t>0-4006</t>
        </is>
      </c>
      <c r="K1671" t="inlineStr">
        <is>
          <t>RMS2318 BROCE RCT350 WHEEL SWEEPER BROCE RCT350 WHEEL SWEEPER</t>
        </is>
      </c>
      <c r="L1671" t="n">
        <v>0</v>
      </c>
      <c r="M1671" t="n">
        <v>0</v>
      </c>
      <c r="O1671" t="inlineStr">
        <is>
          <t>RMS2318</t>
        </is>
      </c>
      <c r="Q1671" s="114" t="n">
        <v>0</v>
      </c>
      <c r="R1671" s="114" t="n">
        <v>200</v>
      </c>
      <c r="S1671" s="114" t="n">
        <v>0</v>
      </c>
      <c r="T1671" t="n">
        <v>0</v>
      </c>
    </row>
    <row r="1672">
      <c r="A1672" t="inlineStr">
        <is>
          <t>ttJTrans</t>
        </is>
      </c>
      <c r="B1672" s="38" t="inlineStr">
        <is>
          <t>0-4006</t>
        </is>
      </c>
      <c r="C1672" t="inlineStr">
        <is>
          <t>ER</t>
        </is>
      </c>
      <c r="E1672" t="inlineStr">
        <is>
          <t>ER</t>
        </is>
      </c>
      <c r="H1672" s="127" t="n">
        <v>46138</v>
      </c>
      <c r="J1672" s="38" t="inlineStr">
        <is>
          <t>0-4006</t>
        </is>
      </c>
      <c r="K1672" t="inlineStr">
        <is>
          <t>RMS2317 TRIMBLE TD540 TOTAL STATING TRIMBLE TD540 TOTAL STATING</t>
        </is>
      </c>
      <c r="L1672" t="n">
        <v>0</v>
      </c>
      <c r="M1672" t="n">
        <v>0</v>
      </c>
      <c r="O1672" t="inlineStr">
        <is>
          <t>RMS2317</t>
        </is>
      </c>
      <c r="Q1672" s="114" t="n">
        <v>0</v>
      </c>
      <c r="R1672" s="114" t="n">
        <v>287.36</v>
      </c>
      <c r="S1672" s="114" t="n">
        <v>0</v>
      </c>
      <c r="T1672" t="n">
        <v>0</v>
      </c>
    </row>
    <row r="1673">
      <c r="A1673" t="inlineStr">
        <is>
          <t>ttJTrans</t>
        </is>
      </c>
      <c r="B1673" s="38" t="inlineStr">
        <is>
          <t>0-4006</t>
        </is>
      </c>
      <c r="C1673" t="inlineStr">
        <is>
          <t>ER</t>
        </is>
      </c>
      <c r="E1673" t="inlineStr">
        <is>
          <t>ER</t>
        </is>
      </c>
      <c r="H1673" s="127" t="n">
        <v>46138</v>
      </c>
      <c r="J1673" s="38" t="inlineStr">
        <is>
          <t>0-4006</t>
        </is>
      </c>
      <c r="K1673" t="inlineStr">
        <is>
          <t>RMS2317 TRIMBLE TD540 TOTAL STATING TRIMBLE TD540 TOTAL STATING</t>
        </is>
      </c>
      <c r="L1673" t="n">
        <v>0</v>
      </c>
      <c r="M1673" t="n">
        <v>0</v>
      </c>
      <c r="O1673" t="inlineStr">
        <is>
          <t>RMS2317</t>
        </is>
      </c>
      <c r="Q1673" s="114" t="n">
        <v>0</v>
      </c>
      <c r="R1673" s="114" t="n">
        <v>287.36</v>
      </c>
      <c r="S1673" s="114" t="n">
        <v>0</v>
      </c>
      <c r="T1673" t="n">
        <v>0</v>
      </c>
    </row>
    <row r="1674">
      <c r="A1674" t="inlineStr">
        <is>
          <t>ttJTrans</t>
        </is>
      </c>
      <c r="B1674" s="38" t="inlineStr">
        <is>
          <t>0-4006</t>
        </is>
      </c>
      <c r="C1674" t="inlineStr">
        <is>
          <t>ER</t>
        </is>
      </c>
      <c r="E1674" t="inlineStr">
        <is>
          <t>ER</t>
        </is>
      </c>
      <c r="H1674" s="127" t="n">
        <v>46138</v>
      </c>
      <c r="J1674" s="38" t="inlineStr">
        <is>
          <t>0-4006</t>
        </is>
      </c>
      <c r="K1674" t="inlineStr">
        <is>
          <t>RMS2317 TRIMBLE TD540 TOTAL STATING TRIMBLE TD540 TOTAL STATING</t>
        </is>
      </c>
      <c r="L1674" t="n">
        <v>0</v>
      </c>
      <c r="M1674" t="n">
        <v>0</v>
      </c>
      <c r="O1674" t="inlineStr">
        <is>
          <t>RMS2317</t>
        </is>
      </c>
      <c r="Q1674" s="114" t="n">
        <v>0</v>
      </c>
      <c r="R1674" s="114" t="n">
        <v>287.36</v>
      </c>
      <c r="S1674" s="114" t="n">
        <v>0</v>
      </c>
      <c r="T1674" t="n">
        <v>0</v>
      </c>
    </row>
    <row r="1675">
      <c r="A1675" t="inlineStr">
        <is>
          <t>ttJTrans</t>
        </is>
      </c>
      <c r="B1675" s="38" t="inlineStr">
        <is>
          <t>0-4006</t>
        </is>
      </c>
      <c r="C1675" t="inlineStr">
        <is>
          <t>ER</t>
        </is>
      </c>
      <c r="E1675" t="inlineStr">
        <is>
          <t>ER</t>
        </is>
      </c>
      <c r="H1675" s="127" t="n">
        <v>46138</v>
      </c>
      <c r="J1675" s="38" t="inlineStr">
        <is>
          <t>0-4006</t>
        </is>
      </c>
      <c r="K1675" t="inlineStr">
        <is>
          <t>RAT447 4WD CLUB CAR CARRYALL 1700 D 4WD CLUB CAR CARRYALL 1700 D</t>
        </is>
      </c>
      <c r="L1675" t="n">
        <v>0</v>
      </c>
      <c r="M1675" t="n">
        <v>0</v>
      </c>
      <c r="O1675" t="inlineStr">
        <is>
          <t>RAT447</t>
        </is>
      </c>
      <c r="Q1675" s="114" t="n">
        <v>0</v>
      </c>
      <c r="R1675" s="114" t="n">
        <v>62.5</v>
      </c>
      <c r="S1675" s="114" t="n">
        <v>0</v>
      </c>
      <c r="T1675" t="n">
        <v>0</v>
      </c>
    </row>
    <row r="1676">
      <c r="A1676" t="inlineStr">
        <is>
          <t>ttJTrans</t>
        </is>
      </c>
      <c r="B1676" s="38" t="inlineStr">
        <is>
          <t>0-4006</t>
        </is>
      </c>
      <c r="C1676" t="inlineStr">
        <is>
          <t>ER</t>
        </is>
      </c>
      <c r="E1676" t="inlineStr">
        <is>
          <t>ER</t>
        </is>
      </c>
      <c r="H1676" s="127" t="n">
        <v>46138</v>
      </c>
      <c r="J1676" s="38" t="inlineStr">
        <is>
          <t>0-4006</t>
        </is>
      </c>
      <c r="K1676" t="inlineStr">
        <is>
          <t>RAT447 4WD CLUB CAR CARRYALL 1700 D 4WD CLUB CAR CARRYALL 1700 D</t>
        </is>
      </c>
      <c r="L1676" t="n">
        <v>0</v>
      </c>
      <c r="M1676" t="n">
        <v>0</v>
      </c>
      <c r="O1676" t="inlineStr">
        <is>
          <t>RAT447</t>
        </is>
      </c>
      <c r="Q1676" s="114" t="n">
        <v>0</v>
      </c>
      <c r="R1676" s="114" t="n">
        <v>62.5</v>
      </c>
      <c r="S1676" s="114" t="n">
        <v>0</v>
      </c>
      <c r="T1676" t="n">
        <v>0</v>
      </c>
    </row>
    <row r="1677">
      <c r="A1677" t="inlineStr">
        <is>
          <t>ttJTrans</t>
        </is>
      </c>
      <c r="B1677" s="38" t="inlineStr">
        <is>
          <t>0-4006</t>
        </is>
      </c>
      <c r="C1677" t="inlineStr">
        <is>
          <t>ER</t>
        </is>
      </c>
      <c r="E1677" t="inlineStr">
        <is>
          <t>ER</t>
        </is>
      </c>
      <c r="H1677" s="127" t="n">
        <v>46138</v>
      </c>
      <c r="J1677" s="38" t="inlineStr">
        <is>
          <t>0-4006</t>
        </is>
      </c>
      <c r="K1677" t="inlineStr">
        <is>
          <t>RAT447 4WD CLUB CAR CARRYALL 1700 D 4WD CLUB CAR CARRYALL 1700 D</t>
        </is>
      </c>
      <c r="L1677" t="n">
        <v>0</v>
      </c>
      <c r="M1677" t="n">
        <v>0</v>
      </c>
      <c r="O1677" t="inlineStr">
        <is>
          <t>RAT447</t>
        </is>
      </c>
      <c r="Q1677" s="114" t="n">
        <v>0</v>
      </c>
      <c r="R1677" s="114" t="n">
        <v>62.5</v>
      </c>
      <c r="S1677" s="114" t="n">
        <v>0</v>
      </c>
      <c r="T1677" t="n">
        <v>0</v>
      </c>
    </row>
    <row r="1678">
      <c r="A1678" t="inlineStr">
        <is>
          <t>ttJTrans</t>
        </is>
      </c>
      <c r="B1678" s="38" t="inlineStr">
        <is>
          <t>0-4006</t>
        </is>
      </c>
      <c r="C1678" t="inlineStr">
        <is>
          <t>ER</t>
        </is>
      </c>
      <c r="E1678" t="inlineStr">
        <is>
          <t>ER</t>
        </is>
      </c>
      <c r="H1678" s="127" t="n">
        <v>46138</v>
      </c>
      <c r="J1678" s="38" t="inlineStr">
        <is>
          <t>0-4006</t>
        </is>
      </c>
      <c r="K1678" t="inlineStr">
        <is>
          <t>RAT447 4WD CLUB CAR CARRYALL 1700 D 4WD CLUB CAR CARRYALL 1700 D</t>
        </is>
      </c>
      <c r="L1678" t="n">
        <v>0</v>
      </c>
      <c r="M1678" t="n">
        <v>0</v>
      </c>
      <c r="O1678" t="inlineStr">
        <is>
          <t>RAT447</t>
        </is>
      </c>
      <c r="Q1678" s="114" t="n">
        <v>0</v>
      </c>
      <c r="R1678" s="114" t="n">
        <v>62.5</v>
      </c>
      <c r="S1678" s="114" t="n">
        <v>0</v>
      </c>
      <c r="T1678" t="n">
        <v>0</v>
      </c>
    </row>
    <row r="1679">
      <c r="A1679" t="inlineStr">
        <is>
          <t>ttJTrans</t>
        </is>
      </c>
      <c r="B1679" s="38" t="inlineStr">
        <is>
          <t>0-4006</t>
        </is>
      </c>
      <c r="C1679" t="inlineStr">
        <is>
          <t>ER</t>
        </is>
      </c>
      <c r="E1679" t="inlineStr">
        <is>
          <t>ER</t>
        </is>
      </c>
      <c r="H1679" s="127" t="n">
        <v>46138</v>
      </c>
      <c r="J1679" s="38" t="inlineStr">
        <is>
          <t>0-4006</t>
        </is>
      </c>
      <c r="K1679" t="inlineStr">
        <is>
          <t>RAT447 4WD CLUB CAR CARRYALL 1700 D 4WD CLUB CAR CARRYALL 1700 D</t>
        </is>
      </c>
      <c r="L1679" t="n">
        <v>0</v>
      </c>
      <c r="M1679" t="n">
        <v>0</v>
      </c>
      <c r="O1679" t="inlineStr">
        <is>
          <t>RAT447</t>
        </is>
      </c>
      <c r="Q1679" s="114" t="n">
        <v>0</v>
      </c>
      <c r="R1679" s="114" t="n">
        <v>62.5</v>
      </c>
      <c r="S1679" s="114" t="n">
        <v>0</v>
      </c>
      <c r="T1679" t="n">
        <v>0</v>
      </c>
    </row>
    <row r="1680">
      <c r="A1680" t="inlineStr">
        <is>
          <t>ttJTrans</t>
        </is>
      </c>
      <c r="B1680" s="38" t="inlineStr">
        <is>
          <t>0-4006</t>
        </is>
      </c>
      <c r="C1680" t="inlineStr">
        <is>
          <t>ER</t>
        </is>
      </c>
      <c r="E1680" t="inlineStr">
        <is>
          <t>ER</t>
        </is>
      </c>
      <c r="H1680" s="127" t="n">
        <v>46138</v>
      </c>
      <c r="J1680" s="38" t="inlineStr">
        <is>
          <t>0-4006</t>
        </is>
      </c>
      <c r="K1680" t="inlineStr">
        <is>
          <t>RAT447 4WD CLUB CAR CARRYALL 1700 D 4WD CLUB CAR CARRYALL 1700 D</t>
        </is>
      </c>
      <c r="L1680" t="n">
        <v>0</v>
      </c>
      <c r="M1680" t="n">
        <v>0</v>
      </c>
      <c r="O1680" t="inlineStr">
        <is>
          <t>RAT447</t>
        </is>
      </c>
      <c r="Q1680" s="114" t="n">
        <v>0</v>
      </c>
      <c r="R1680" s="114" t="n">
        <v>62.5</v>
      </c>
      <c r="S1680" s="114" t="n">
        <v>0</v>
      </c>
      <c r="T1680" t="n">
        <v>0</v>
      </c>
    </row>
    <row r="1681">
      <c r="A1681" t="inlineStr">
        <is>
          <t>ttJTrans</t>
        </is>
      </c>
      <c r="B1681" s="38" t="inlineStr">
        <is>
          <t>0-4006</t>
        </is>
      </c>
      <c r="C1681" t="inlineStr">
        <is>
          <t>ER</t>
        </is>
      </c>
      <c r="E1681" t="inlineStr">
        <is>
          <t>ER</t>
        </is>
      </c>
      <c r="H1681" s="127" t="n">
        <v>46142</v>
      </c>
      <c r="J1681" s="38" t="inlineStr">
        <is>
          <t>0-4006</t>
        </is>
      </c>
      <c r="K1681" t="inlineStr">
        <is>
          <t>RAT447 4WD CLUB CAR CARRYALL 1700 D 4WD CLUB CAR CARRYALL 1700 D</t>
        </is>
      </c>
      <c r="L1681" t="n">
        <v>0</v>
      </c>
      <c r="M1681" t="n">
        <v>0</v>
      </c>
      <c r="O1681" t="inlineStr">
        <is>
          <t>RAT447</t>
        </is>
      </c>
      <c r="Q1681" s="114" t="n">
        <v>0</v>
      </c>
      <c r="R1681" s="114" t="n">
        <v>62.5</v>
      </c>
      <c r="S1681" s="114" t="n">
        <v>0</v>
      </c>
      <c r="T1681" t="n">
        <v>0</v>
      </c>
    </row>
    <row r="1682">
      <c r="A1682" t="inlineStr">
        <is>
          <t>ttJTrans</t>
        </is>
      </c>
      <c r="B1682" s="38" t="inlineStr">
        <is>
          <t>0-4006</t>
        </is>
      </c>
      <c r="C1682" t="inlineStr">
        <is>
          <t>ER</t>
        </is>
      </c>
      <c r="E1682" t="inlineStr">
        <is>
          <t>ER</t>
        </is>
      </c>
      <c r="H1682" s="127" t="n">
        <v>46142</v>
      </c>
      <c r="J1682" s="38" t="inlineStr">
        <is>
          <t>0-4006</t>
        </is>
      </c>
      <c r="K1682" t="inlineStr">
        <is>
          <t>RAT447 4WD CLUB CAR CARRYALL 1700 D 4WD CLUB CAR CARRYALL 1700 D</t>
        </is>
      </c>
      <c r="L1682" t="n">
        <v>0</v>
      </c>
      <c r="M1682" t="n">
        <v>0</v>
      </c>
      <c r="O1682" t="inlineStr">
        <is>
          <t>RAT447</t>
        </is>
      </c>
      <c r="Q1682" s="114" t="n">
        <v>0</v>
      </c>
      <c r="R1682" s="114" t="n">
        <v>62.5</v>
      </c>
      <c r="S1682" s="114" t="n">
        <v>0</v>
      </c>
      <c r="T1682" t="n">
        <v>0</v>
      </c>
    </row>
    <row r="1683">
      <c r="A1683" t="inlineStr">
        <is>
          <t>ttJTrans</t>
        </is>
      </c>
      <c r="B1683" s="38" t="inlineStr">
        <is>
          <t>0-4006</t>
        </is>
      </c>
      <c r="C1683" t="inlineStr">
        <is>
          <t>ER</t>
        </is>
      </c>
      <c r="E1683" t="inlineStr">
        <is>
          <t>ER</t>
        </is>
      </c>
      <c r="H1683" s="127" t="n">
        <v>46142</v>
      </c>
      <c r="J1683" s="38" t="inlineStr">
        <is>
          <t>0-4006</t>
        </is>
      </c>
      <c r="K1683" t="inlineStr">
        <is>
          <t>RAT447 4WD CLUB CAR CARRYALL 1700 D 4WD CLUB CAR CARRYALL 1700 D</t>
        </is>
      </c>
      <c r="L1683" t="n">
        <v>0</v>
      </c>
      <c r="M1683" t="n">
        <v>0</v>
      </c>
      <c r="O1683" t="inlineStr">
        <is>
          <t>RAT447</t>
        </is>
      </c>
      <c r="Q1683" s="114" t="n">
        <v>0</v>
      </c>
      <c r="R1683" s="114" t="n">
        <v>62.5</v>
      </c>
      <c r="S1683" s="114" t="n">
        <v>0</v>
      </c>
      <c r="T1683" t="n">
        <v>0</v>
      </c>
    </row>
    <row r="1684">
      <c r="A1684" t="inlineStr">
        <is>
          <t>ttJTrans</t>
        </is>
      </c>
      <c r="B1684" s="38" t="inlineStr">
        <is>
          <t>0-4006</t>
        </is>
      </c>
      <c r="C1684" t="inlineStr">
        <is>
          <t>ER</t>
        </is>
      </c>
      <c r="E1684" t="inlineStr">
        <is>
          <t>ER</t>
        </is>
      </c>
      <c r="H1684" s="127" t="n">
        <v>46142</v>
      </c>
      <c r="J1684" s="38" t="inlineStr">
        <is>
          <t>0-4006</t>
        </is>
      </c>
      <c r="K1684" t="inlineStr">
        <is>
          <t>RAT447 4WD CLUB CAR CARRYALL 1700 D 4WD CLUB CAR CARRYALL 1700 D</t>
        </is>
      </c>
      <c r="L1684" t="n">
        <v>0</v>
      </c>
      <c r="M1684" t="n">
        <v>0</v>
      </c>
      <c r="O1684" t="inlineStr">
        <is>
          <t>RAT447</t>
        </is>
      </c>
      <c r="Q1684" s="114" t="n">
        <v>0</v>
      </c>
      <c r="R1684" s="114" t="n">
        <v>62.5</v>
      </c>
      <c r="S1684" s="114" t="n">
        <v>0</v>
      </c>
      <c r="T1684" t="n">
        <v>0</v>
      </c>
    </row>
    <row r="1685">
      <c r="A1685" t="inlineStr">
        <is>
          <t>ttJTrans</t>
        </is>
      </c>
      <c r="B1685" s="38" t="inlineStr">
        <is>
          <t>0-4006</t>
        </is>
      </c>
      <c r="C1685" t="inlineStr">
        <is>
          <t>ER</t>
        </is>
      </c>
      <c r="E1685" t="inlineStr">
        <is>
          <t>ER</t>
        </is>
      </c>
      <c r="H1685" s="127" t="n">
        <v>46145</v>
      </c>
      <c r="J1685" s="38" t="inlineStr">
        <is>
          <t>0-4006</t>
        </is>
      </c>
      <c r="K1685" t="inlineStr">
        <is>
          <t>RAT447 4WD CLUB CAR CARRYALL 1700 D 4WD CLUB CAR CARRYALL 1700 D</t>
        </is>
      </c>
      <c r="L1685" t="n">
        <v>0</v>
      </c>
      <c r="M1685" t="n">
        <v>0</v>
      </c>
      <c r="O1685" t="inlineStr">
        <is>
          <t>RAT447</t>
        </is>
      </c>
      <c r="Q1685" s="114" t="n">
        <v>0</v>
      </c>
      <c r="R1685" s="114" t="n">
        <v>62.5</v>
      </c>
      <c r="S1685" s="114" t="n">
        <v>0</v>
      </c>
      <c r="T1685" t="n">
        <v>0</v>
      </c>
    </row>
    <row r="1686">
      <c r="A1686" t="inlineStr">
        <is>
          <t>ttJTrans</t>
        </is>
      </c>
      <c r="B1686" s="38" t="inlineStr">
        <is>
          <t>0-4006</t>
        </is>
      </c>
      <c r="C1686" t="inlineStr">
        <is>
          <t>ER</t>
        </is>
      </c>
      <c r="E1686" t="inlineStr">
        <is>
          <t>ER</t>
        </is>
      </c>
      <c r="H1686" s="127" t="n">
        <v>46145</v>
      </c>
      <c r="J1686" s="38" t="inlineStr">
        <is>
          <t>0-4006</t>
        </is>
      </c>
      <c r="K1686" t="inlineStr">
        <is>
          <t>RAT447 4WD CLUB CAR CARRYALL 1700 D 4WD CLUB CAR CARRYALL 1700 D</t>
        </is>
      </c>
      <c r="L1686" t="n">
        <v>0</v>
      </c>
      <c r="M1686" t="n">
        <v>0</v>
      </c>
      <c r="O1686" t="inlineStr">
        <is>
          <t>RAT447</t>
        </is>
      </c>
      <c r="Q1686" s="114" t="n">
        <v>0</v>
      </c>
      <c r="R1686" s="114" t="n">
        <v>62.5</v>
      </c>
      <c r="S1686" s="114" t="n">
        <v>0</v>
      </c>
      <c r="T1686" t="n">
        <v>0</v>
      </c>
    </row>
    <row r="1687">
      <c r="A1687" t="inlineStr">
        <is>
          <t>ttJTrans</t>
        </is>
      </c>
      <c r="B1687" s="38" t="inlineStr">
        <is>
          <t>0-4006</t>
        </is>
      </c>
      <c r="C1687" t="inlineStr">
        <is>
          <t>ER</t>
        </is>
      </c>
      <c r="E1687" t="inlineStr">
        <is>
          <t>ER</t>
        </is>
      </c>
      <c r="H1687" s="127" t="n">
        <v>46152</v>
      </c>
      <c r="J1687" s="38" t="inlineStr">
        <is>
          <t>0-4006</t>
        </is>
      </c>
      <c r="K1687" t="inlineStr">
        <is>
          <t>RMS2318 BROCE RCT350 WHEEL SWEEPER BROCE RCT350 WHEEL SWEEPER</t>
        </is>
      </c>
      <c r="L1687" t="n">
        <v>0</v>
      </c>
      <c r="M1687" t="n">
        <v>0</v>
      </c>
      <c r="O1687" t="inlineStr">
        <is>
          <t>RMS2318</t>
        </is>
      </c>
      <c r="Q1687" s="114" t="n">
        <v>0</v>
      </c>
      <c r="R1687" s="114" t="n">
        <v>200</v>
      </c>
      <c r="S1687" s="114" t="n">
        <v>0</v>
      </c>
      <c r="T1687" t="n">
        <v>0</v>
      </c>
    </row>
    <row r="1688">
      <c r="A1688" t="inlineStr">
        <is>
          <t>ttJTrans</t>
        </is>
      </c>
      <c r="B1688" s="38" t="inlineStr">
        <is>
          <t>0-4006</t>
        </is>
      </c>
      <c r="C1688" t="inlineStr">
        <is>
          <t>ER</t>
        </is>
      </c>
      <c r="E1688" t="inlineStr">
        <is>
          <t>ER</t>
        </is>
      </c>
      <c r="H1688" s="127" t="n">
        <v>46152</v>
      </c>
      <c r="J1688" s="38" t="inlineStr">
        <is>
          <t>0-4006</t>
        </is>
      </c>
      <c r="K1688" t="inlineStr">
        <is>
          <t>RMS2318 BROCE RCT350 WHEEL SWEEPER BROCE RCT350 WHEEL SWEEPER</t>
        </is>
      </c>
      <c r="L1688" t="n">
        <v>0</v>
      </c>
      <c r="M1688" t="n">
        <v>0</v>
      </c>
      <c r="O1688" t="inlineStr">
        <is>
          <t>RMS2318</t>
        </is>
      </c>
      <c r="Q1688" s="114" t="n">
        <v>0</v>
      </c>
      <c r="R1688" s="114" t="n">
        <v>200</v>
      </c>
      <c r="S1688" s="114" t="n">
        <v>0</v>
      </c>
      <c r="T1688" t="n">
        <v>0</v>
      </c>
    </row>
    <row r="1689">
      <c r="A1689" t="inlineStr">
        <is>
          <t>ttJTrans</t>
        </is>
      </c>
      <c r="B1689" s="38" t="inlineStr">
        <is>
          <t>0-4006</t>
        </is>
      </c>
      <c r="C1689" t="inlineStr">
        <is>
          <t>ER</t>
        </is>
      </c>
      <c r="E1689" t="inlineStr">
        <is>
          <t>ER</t>
        </is>
      </c>
      <c r="H1689" s="127" t="n">
        <v>46152</v>
      </c>
      <c r="J1689" s="38" t="inlineStr">
        <is>
          <t>0-4006</t>
        </is>
      </c>
      <c r="K1689" t="inlineStr">
        <is>
          <t>RMS2318 BROCE RCT350 WHEEL SWEEPER BROCE RCT350 WHEEL SWEEPER</t>
        </is>
      </c>
      <c r="L1689" t="n">
        <v>0</v>
      </c>
      <c r="M1689" t="n">
        <v>0</v>
      </c>
      <c r="O1689" t="inlineStr">
        <is>
          <t>RMS2318</t>
        </is>
      </c>
      <c r="Q1689" s="114" t="n">
        <v>0</v>
      </c>
      <c r="R1689" s="114" t="n">
        <v>200</v>
      </c>
      <c r="S1689" s="114" t="n">
        <v>0</v>
      </c>
      <c r="T1689" t="n">
        <v>0</v>
      </c>
    </row>
    <row r="1690">
      <c r="A1690" t="inlineStr">
        <is>
          <t>ttJTrans</t>
        </is>
      </c>
      <c r="B1690" s="38" t="inlineStr">
        <is>
          <t>0-4006</t>
        </is>
      </c>
      <c r="C1690" t="inlineStr">
        <is>
          <t>ER</t>
        </is>
      </c>
      <c r="E1690" t="inlineStr">
        <is>
          <t>ER</t>
        </is>
      </c>
      <c r="H1690" s="127" t="n">
        <v>46152</v>
      </c>
      <c r="J1690" s="38" t="inlineStr">
        <is>
          <t>0-4006</t>
        </is>
      </c>
      <c r="K1690" t="inlineStr">
        <is>
          <t>RAT447 4WD CLUB CAR CARRYALL 1700 D 4WD CLUB CAR CARRYALL 1700 D</t>
        </is>
      </c>
      <c r="L1690" t="n">
        <v>0</v>
      </c>
      <c r="M1690" t="n">
        <v>0</v>
      </c>
      <c r="O1690" t="inlineStr">
        <is>
          <t>RAT447</t>
        </is>
      </c>
      <c r="Q1690" s="114" t="n">
        <v>0</v>
      </c>
      <c r="R1690" s="114" t="n">
        <v>62.5</v>
      </c>
      <c r="S1690" s="114" t="n">
        <v>0</v>
      </c>
      <c r="T1690" t="n">
        <v>0</v>
      </c>
    </row>
    <row r="1691">
      <c r="A1691" t="inlineStr">
        <is>
          <t>ttJTrans</t>
        </is>
      </c>
      <c r="B1691" s="38" t="inlineStr">
        <is>
          <t>0-4006</t>
        </is>
      </c>
      <c r="C1691" t="inlineStr">
        <is>
          <t>ER</t>
        </is>
      </c>
      <c r="E1691" t="inlineStr">
        <is>
          <t>ER</t>
        </is>
      </c>
      <c r="H1691" s="127" t="n">
        <v>46152</v>
      </c>
      <c r="J1691" s="38" t="inlineStr">
        <is>
          <t>0-4006</t>
        </is>
      </c>
      <c r="K1691" t="inlineStr">
        <is>
          <t>RAT447 4WD CLUB CAR CARRYALL 1700 D 4WD CLUB CAR CARRYALL 1700 D</t>
        </is>
      </c>
      <c r="L1691" t="n">
        <v>0</v>
      </c>
      <c r="M1691" t="n">
        <v>0</v>
      </c>
      <c r="O1691" t="inlineStr">
        <is>
          <t>RAT447</t>
        </is>
      </c>
      <c r="Q1691" s="114" t="n">
        <v>0</v>
      </c>
      <c r="R1691" s="114" t="n">
        <v>62.5</v>
      </c>
      <c r="S1691" s="114" t="n">
        <v>0</v>
      </c>
      <c r="T1691" t="n">
        <v>0</v>
      </c>
    </row>
    <row r="1692">
      <c r="A1692" t="inlineStr">
        <is>
          <t>ttJTrans</t>
        </is>
      </c>
      <c r="B1692" s="38" t="inlineStr">
        <is>
          <t>0-4006</t>
        </is>
      </c>
      <c r="C1692" t="inlineStr">
        <is>
          <t>ER</t>
        </is>
      </c>
      <c r="E1692" t="inlineStr">
        <is>
          <t>ER</t>
        </is>
      </c>
      <c r="H1692" s="127" t="n">
        <v>46152</v>
      </c>
      <c r="J1692" s="38" t="inlineStr">
        <is>
          <t>0-4006</t>
        </is>
      </c>
      <c r="K1692" t="inlineStr">
        <is>
          <t>RAT447 4WD CLUB CAR CARRYALL 1700 D 4WD CLUB CAR CARRYALL 1700 D</t>
        </is>
      </c>
      <c r="L1692" t="n">
        <v>0</v>
      </c>
      <c r="M1692" t="n">
        <v>0</v>
      </c>
      <c r="O1692" t="inlineStr">
        <is>
          <t>RAT447</t>
        </is>
      </c>
      <c r="Q1692" s="114" t="n">
        <v>0</v>
      </c>
      <c r="R1692" s="114" t="n">
        <v>62.5</v>
      </c>
      <c r="S1692" s="114" t="n">
        <v>0</v>
      </c>
      <c r="T1692" t="n">
        <v>0</v>
      </c>
    </row>
    <row r="1693">
      <c r="A1693" t="inlineStr">
        <is>
          <t>ttJTrans</t>
        </is>
      </c>
      <c r="B1693" s="38" t="inlineStr">
        <is>
          <t>0-4006</t>
        </is>
      </c>
      <c r="C1693" t="inlineStr">
        <is>
          <t>ER</t>
        </is>
      </c>
      <c r="E1693" t="inlineStr">
        <is>
          <t>ER</t>
        </is>
      </c>
      <c r="H1693" s="127" t="n">
        <v>46152</v>
      </c>
      <c r="J1693" s="38" t="inlineStr">
        <is>
          <t>0-4006</t>
        </is>
      </c>
      <c r="K1693" t="inlineStr">
        <is>
          <t>RAT447 4WD CLUB CAR CARRYALL 1700 D 4WD CLUB CAR CARRYALL 1700 D</t>
        </is>
      </c>
      <c r="L1693" t="n">
        <v>0</v>
      </c>
      <c r="M1693" t="n">
        <v>0</v>
      </c>
      <c r="O1693" t="inlineStr">
        <is>
          <t>RAT447</t>
        </is>
      </c>
      <c r="Q1693" s="114" t="n">
        <v>0</v>
      </c>
      <c r="R1693" s="114" t="n">
        <v>62.5</v>
      </c>
      <c r="S1693" s="114" t="n">
        <v>0</v>
      </c>
      <c r="T1693" t="n">
        <v>0</v>
      </c>
    </row>
    <row r="1694">
      <c r="A1694" t="inlineStr">
        <is>
          <t>ttJTrans</t>
        </is>
      </c>
      <c r="B1694" s="38" t="inlineStr">
        <is>
          <t>0-4006</t>
        </is>
      </c>
      <c r="C1694" t="inlineStr">
        <is>
          <t>ER</t>
        </is>
      </c>
      <c r="E1694" t="inlineStr">
        <is>
          <t>ER</t>
        </is>
      </c>
      <c r="H1694" s="127" t="n">
        <v>46152</v>
      </c>
      <c r="J1694" s="38" t="inlineStr">
        <is>
          <t>0-4006</t>
        </is>
      </c>
      <c r="K1694" t="inlineStr">
        <is>
          <t>RAT447 4WD CLUB CAR CARRYALL 1700 D 4WD CLUB CAR CARRYALL 1700 D</t>
        </is>
      </c>
      <c r="L1694" t="n">
        <v>0</v>
      </c>
      <c r="M1694" t="n">
        <v>0</v>
      </c>
      <c r="O1694" t="inlineStr">
        <is>
          <t>RAT447</t>
        </is>
      </c>
      <c r="Q1694" s="114" t="n">
        <v>0</v>
      </c>
      <c r="R1694" s="114" t="n">
        <v>62.5</v>
      </c>
      <c r="S1694" s="114" t="n">
        <v>0</v>
      </c>
      <c r="T1694" t="n">
        <v>0</v>
      </c>
    </row>
    <row r="1695">
      <c r="A1695" t="inlineStr">
        <is>
          <t>ttJTrans</t>
        </is>
      </c>
      <c r="B1695" s="38" t="inlineStr">
        <is>
          <t>0-4006</t>
        </is>
      </c>
      <c r="C1695" t="inlineStr">
        <is>
          <t>ER</t>
        </is>
      </c>
      <c r="E1695" t="inlineStr">
        <is>
          <t>ER</t>
        </is>
      </c>
      <c r="H1695" s="127" t="n">
        <v>46152</v>
      </c>
      <c r="J1695" s="38" t="inlineStr">
        <is>
          <t>0-4006</t>
        </is>
      </c>
      <c r="K1695" t="inlineStr">
        <is>
          <t>RAT447 4WD CLUB CAR CARRYALL 1700 D 4WD CLUB CAR CARRYALL 1700 D</t>
        </is>
      </c>
      <c r="L1695" t="n">
        <v>0</v>
      </c>
      <c r="M1695" t="n">
        <v>0</v>
      </c>
      <c r="O1695" t="inlineStr">
        <is>
          <t>RAT447</t>
        </is>
      </c>
      <c r="Q1695" s="114" t="n">
        <v>0</v>
      </c>
      <c r="R1695" s="114" t="n">
        <v>62.5</v>
      </c>
      <c r="S1695" s="114" t="n">
        <v>0</v>
      </c>
      <c r="T1695" t="n">
        <v>0</v>
      </c>
    </row>
    <row r="1696">
      <c r="A1696" t="inlineStr">
        <is>
          <t>ttJTrans</t>
        </is>
      </c>
      <c r="B1696" s="38" t="inlineStr">
        <is>
          <t>0-4006</t>
        </is>
      </c>
      <c r="C1696" t="inlineStr">
        <is>
          <t>ER</t>
        </is>
      </c>
      <c r="E1696" t="inlineStr">
        <is>
          <t>ER</t>
        </is>
      </c>
      <c r="H1696" s="127" t="n">
        <v>46152</v>
      </c>
      <c r="J1696" s="38" t="inlineStr">
        <is>
          <t>0-4006</t>
        </is>
      </c>
      <c r="K1696" t="inlineStr">
        <is>
          <t>RLD0303 CATERPILLAR 950 WHEEL LOADER CATERPILLAR 950 WHEEL LOADER</t>
        </is>
      </c>
      <c r="L1696" t="n">
        <v>0</v>
      </c>
      <c r="M1696" t="n">
        <v>0</v>
      </c>
      <c r="O1696" t="inlineStr">
        <is>
          <t>RLD0303</t>
        </is>
      </c>
      <c r="Q1696" s="114" t="n">
        <v>0</v>
      </c>
      <c r="R1696" s="114" t="n">
        <v>437.5</v>
      </c>
      <c r="S1696" s="114" t="n">
        <v>0</v>
      </c>
      <c r="T1696" t="n">
        <v>0</v>
      </c>
    </row>
    <row r="1697">
      <c r="A1697" t="inlineStr">
        <is>
          <t>ttJTrans</t>
        </is>
      </c>
      <c r="B1697" s="38" t="inlineStr">
        <is>
          <t>0-4006</t>
        </is>
      </c>
      <c r="C1697" t="inlineStr">
        <is>
          <t>ER</t>
        </is>
      </c>
      <c r="E1697" t="inlineStr">
        <is>
          <t>ER</t>
        </is>
      </c>
      <c r="H1697" s="127" t="n">
        <v>46152</v>
      </c>
      <c r="J1697" s="38" t="inlineStr">
        <is>
          <t>0-4006</t>
        </is>
      </c>
      <c r="K1697" t="inlineStr">
        <is>
          <t>RLD0303 CATERPILLAR 950 WHEEL LOADER CATERPILLAR 950 WHEEL LOADER</t>
        </is>
      </c>
      <c r="L1697" t="n">
        <v>0</v>
      </c>
      <c r="M1697" t="n">
        <v>0</v>
      </c>
      <c r="O1697" t="inlineStr">
        <is>
          <t>RLD0303</t>
        </is>
      </c>
      <c r="Q1697" s="114" t="n">
        <v>0</v>
      </c>
      <c r="R1697" s="114" t="n">
        <v>437.5</v>
      </c>
      <c r="S1697" s="114" t="n">
        <v>0</v>
      </c>
      <c r="T1697" t="n">
        <v>0</v>
      </c>
    </row>
    <row r="1698">
      <c r="A1698" t="inlineStr">
        <is>
          <t>ttJTrans</t>
        </is>
      </c>
      <c r="B1698" s="38" t="inlineStr">
        <is>
          <t>0-4006</t>
        </is>
      </c>
      <c r="C1698" t="inlineStr">
        <is>
          <t>ER</t>
        </is>
      </c>
      <c r="E1698" t="inlineStr">
        <is>
          <t>ER</t>
        </is>
      </c>
      <c r="H1698" s="127" t="n">
        <v>46152</v>
      </c>
      <c r="J1698" s="38" t="inlineStr">
        <is>
          <t>0-4006</t>
        </is>
      </c>
      <c r="K1698" t="inlineStr">
        <is>
          <t>RGN0302 CATERPILLAR 200KW DIESEL GENERATOR CATERPILLAR 200KW DIESEL GENERATOR</t>
        </is>
      </c>
      <c r="L1698" t="n">
        <v>0</v>
      </c>
      <c r="M1698" t="n">
        <v>0</v>
      </c>
      <c r="O1698" t="inlineStr">
        <is>
          <t>RGN0302</t>
        </is>
      </c>
      <c r="Q1698" s="114" t="n">
        <v>0</v>
      </c>
      <c r="R1698" s="114" t="n">
        <v>659.72</v>
      </c>
      <c r="S1698" s="114" t="n">
        <v>0</v>
      </c>
      <c r="T1698" t="n">
        <v>0</v>
      </c>
    </row>
    <row r="1699">
      <c r="A1699" t="inlineStr">
        <is>
          <t>ttJTrans</t>
        </is>
      </c>
      <c r="B1699" s="38" t="inlineStr">
        <is>
          <t>0-4006</t>
        </is>
      </c>
      <c r="C1699" t="inlineStr">
        <is>
          <t>ER</t>
        </is>
      </c>
      <c r="E1699" t="inlineStr">
        <is>
          <t>ER</t>
        </is>
      </c>
      <c r="H1699" s="127" t="n">
        <v>46152</v>
      </c>
      <c r="J1699" s="38" t="inlineStr">
        <is>
          <t>0-4006</t>
        </is>
      </c>
      <c r="K1699" t="inlineStr">
        <is>
          <t>RGN0302 CATERPILLAR 200KW DIESEL GENERATOR CATERPILLAR 200KW DIESEL GENERATOR</t>
        </is>
      </c>
      <c r="L1699" t="n">
        <v>0</v>
      </c>
      <c r="M1699" t="n">
        <v>0</v>
      </c>
      <c r="O1699" t="inlineStr">
        <is>
          <t>RGN0302</t>
        </is>
      </c>
      <c r="Q1699" s="114" t="n">
        <v>0</v>
      </c>
      <c r="R1699" s="114" t="n">
        <v>659.72</v>
      </c>
      <c r="S1699" s="114" t="n">
        <v>0</v>
      </c>
      <c r="T1699" t="n">
        <v>0</v>
      </c>
    </row>
    <row r="1700">
      <c r="A1700" t="inlineStr">
        <is>
          <t>ttJTrans</t>
        </is>
      </c>
      <c r="B1700" s="38" t="inlineStr">
        <is>
          <t>0-4006</t>
        </is>
      </c>
      <c r="C1700" t="inlineStr">
        <is>
          <t>ER</t>
        </is>
      </c>
      <c r="E1700" t="inlineStr">
        <is>
          <t>ER</t>
        </is>
      </c>
      <c r="H1700" s="127" t="n">
        <v>46152</v>
      </c>
      <c r="J1700" s="38" t="inlineStr">
        <is>
          <t>0-4006</t>
        </is>
      </c>
      <c r="K1700" t="inlineStr">
        <is>
          <t>RGN0302 CATERPILLAR 200KW DIESEL GENERATOR CATERPILLAR 200KW DIESEL GENERATOR</t>
        </is>
      </c>
      <c r="L1700" t="n">
        <v>0</v>
      </c>
      <c r="M1700" t="n">
        <v>0</v>
      </c>
      <c r="O1700" t="inlineStr">
        <is>
          <t>RGN0302</t>
        </is>
      </c>
      <c r="Q1700" s="114" t="n">
        <v>0</v>
      </c>
      <c r="R1700" s="114" t="n">
        <v>659.72</v>
      </c>
      <c r="S1700" s="114" t="n">
        <v>0</v>
      </c>
      <c r="T1700" t="n">
        <v>0</v>
      </c>
    </row>
    <row r="1701">
      <c r="A1701" t="inlineStr">
        <is>
          <t>ttJTrans</t>
        </is>
      </c>
      <c r="B1701" s="38" t="inlineStr">
        <is>
          <t>0-4006</t>
        </is>
      </c>
      <c r="C1701" t="inlineStr">
        <is>
          <t>ER</t>
        </is>
      </c>
      <c r="E1701" t="inlineStr">
        <is>
          <t>ER</t>
        </is>
      </c>
      <c r="H1701" s="127" t="n">
        <v>46159</v>
      </c>
      <c r="J1701" s="38" t="inlineStr">
        <is>
          <t>0-4006</t>
        </is>
      </c>
      <c r="K1701" t="inlineStr">
        <is>
          <t>RMS2318 BROCE RCT350 WHEEL SWEEPER BROCE RCT350 WHEEL SWEEPER</t>
        </is>
      </c>
      <c r="L1701" t="n">
        <v>0</v>
      </c>
      <c r="M1701" t="n">
        <v>0</v>
      </c>
      <c r="O1701" t="inlineStr">
        <is>
          <t>RMS2318</t>
        </is>
      </c>
      <c r="Q1701" s="114" t="n">
        <v>0</v>
      </c>
      <c r="R1701" s="114" t="n">
        <v>200</v>
      </c>
      <c r="S1701" s="114" t="n">
        <v>0</v>
      </c>
      <c r="T1701" t="n">
        <v>0</v>
      </c>
    </row>
    <row r="1702">
      <c r="A1702" t="inlineStr">
        <is>
          <t>ttJTrans</t>
        </is>
      </c>
      <c r="B1702" s="38" t="inlineStr">
        <is>
          <t>0-4006</t>
        </is>
      </c>
      <c r="C1702" t="inlineStr">
        <is>
          <t>ER</t>
        </is>
      </c>
      <c r="E1702" t="inlineStr">
        <is>
          <t>ER</t>
        </is>
      </c>
      <c r="H1702" s="127" t="n">
        <v>46159</v>
      </c>
      <c r="J1702" s="38" t="inlineStr">
        <is>
          <t>0-4006</t>
        </is>
      </c>
      <c r="K1702" t="inlineStr">
        <is>
          <t>RMS2318 BROCE RCT350 WHEEL SWEEPER BROCE RCT350 WHEEL SWEEPER</t>
        </is>
      </c>
      <c r="L1702" t="n">
        <v>0</v>
      </c>
      <c r="M1702" t="n">
        <v>0</v>
      </c>
      <c r="O1702" t="inlineStr">
        <is>
          <t>RMS2318</t>
        </is>
      </c>
      <c r="Q1702" s="114" t="n">
        <v>0</v>
      </c>
      <c r="R1702" s="114" t="n">
        <v>200</v>
      </c>
      <c r="S1702" s="114" t="n">
        <v>0</v>
      </c>
      <c r="T1702" t="n">
        <v>0</v>
      </c>
    </row>
    <row r="1703">
      <c r="A1703" t="inlineStr">
        <is>
          <t>ttJTrans</t>
        </is>
      </c>
      <c r="B1703" s="38" t="inlineStr">
        <is>
          <t>0-4006</t>
        </is>
      </c>
      <c r="C1703" t="inlineStr">
        <is>
          <t>ER</t>
        </is>
      </c>
      <c r="E1703" t="inlineStr">
        <is>
          <t>ER</t>
        </is>
      </c>
      <c r="H1703" s="127" t="n">
        <v>46159</v>
      </c>
      <c r="J1703" s="38" t="inlineStr">
        <is>
          <t>0-4006</t>
        </is>
      </c>
      <c r="K1703" t="inlineStr">
        <is>
          <t>RMS2318 BROCE RCT350 WHEEL SWEEPER BROCE RCT350 WHEEL SWEEPER</t>
        </is>
      </c>
      <c r="L1703" t="n">
        <v>0</v>
      </c>
      <c r="M1703" t="n">
        <v>0</v>
      </c>
      <c r="O1703" t="inlineStr">
        <is>
          <t>RMS2318</t>
        </is>
      </c>
      <c r="Q1703" s="114" t="n">
        <v>0</v>
      </c>
      <c r="R1703" s="114" t="n">
        <v>200</v>
      </c>
      <c r="S1703" s="114" t="n">
        <v>0</v>
      </c>
      <c r="T1703" t="n">
        <v>0</v>
      </c>
    </row>
    <row r="1704">
      <c r="A1704" t="inlineStr">
        <is>
          <t>ttJTrans</t>
        </is>
      </c>
      <c r="B1704" s="38" t="inlineStr">
        <is>
          <t>0-4006</t>
        </is>
      </c>
      <c r="C1704" t="inlineStr">
        <is>
          <t>ER</t>
        </is>
      </c>
      <c r="E1704" t="inlineStr">
        <is>
          <t>ER</t>
        </is>
      </c>
      <c r="H1704" s="127" t="n">
        <v>46159</v>
      </c>
      <c r="J1704" s="38" t="inlineStr">
        <is>
          <t>0-4006</t>
        </is>
      </c>
      <c r="K1704" t="inlineStr">
        <is>
          <t>RMS2318 BROCE RCT350 WHEEL SWEEPER BROCE RCT350 WHEEL SWEEPER</t>
        </is>
      </c>
      <c r="L1704" t="n">
        <v>0</v>
      </c>
      <c r="M1704" t="n">
        <v>0</v>
      </c>
      <c r="O1704" t="inlineStr">
        <is>
          <t>RMS2318</t>
        </is>
      </c>
      <c r="Q1704" s="114" t="n">
        <v>0</v>
      </c>
      <c r="R1704" s="114" t="n">
        <v>200</v>
      </c>
      <c r="S1704" s="114" t="n">
        <v>0</v>
      </c>
      <c r="T1704" t="n">
        <v>0</v>
      </c>
    </row>
    <row r="1705">
      <c r="A1705" t="inlineStr">
        <is>
          <t>ttJTrans</t>
        </is>
      </c>
      <c r="B1705" s="38" t="inlineStr">
        <is>
          <t>0-4006</t>
        </is>
      </c>
      <c r="C1705" t="inlineStr">
        <is>
          <t>ER</t>
        </is>
      </c>
      <c r="E1705" t="inlineStr">
        <is>
          <t>ER</t>
        </is>
      </c>
      <c r="H1705" s="127" t="n">
        <v>46159</v>
      </c>
      <c r="J1705" s="38" t="inlineStr">
        <is>
          <t>0-4006</t>
        </is>
      </c>
      <c r="K1705" t="inlineStr">
        <is>
          <t>RMS2318 BROCE RCT350 WHEEL SWEEPER BROCE RCT350 WHEEL SWEEPER</t>
        </is>
      </c>
      <c r="L1705" t="n">
        <v>0</v>
      </c>
      <c r="M1705" t="n">
        <v>0</v>
      </c>
      <c r="O1705" t="inlineStr">
        <is>
          <t>RMS2318</t>
        </is>
      </c>
      <c r="Q1705" s="114" t="n">
        <v>0</v>
      </c>
      <c r="R1705" s="114" t="n">
        <v>200</v>
      </c>
      <c r="S1705" s="114" t="n">
        <v>0</v>
      </c>
      <c r="T1705" t="n">
        <v>0</v>
      </c>
    </row>
    <row r="1706">
      <c r="A1706" t="inlineStr">
        <is>
          <t>ttJTrans</t>
        </is>
      </c>
      <c r="B1706" s="38" t="inlineStr">
        <is>
          <t>0-4006</t>
        </is>
      </c>
      <c r="C1706" t="inlineStr">
        <is>
          <t>ER</t>
        </is>
      </c>
      <c r="E1706" t="inlineStr">
        <is>
          <t>ER</t>
        </is>
      </c>
      <c r="H1706" s="127" t="n">
        <v>46159</v>
      </c>
      <c r="J1706" s="38" t="inlineStr">
        <is>
          <t>0-4006</t>
        </is>
      </c>
      <c r="K1706" t="inlineStr">
        <is>
          <t>RMS2318 BROCE RCT350 WHEEL SWEEPER BROCE RCT350 WHEEL SWEEPER</t>
        </is>
      </c>
      <c r="L1706" t="n">
        <v>0</v>
      </c>
      <c r="M1706" t="n">
        <v>0</v>
      </c>
      <c r="O1706" t="inlineStr">
        <is>
          <t>RMS2318</t>
        </is>
      </c>
      <c r="Q1706" s="114" t="n">
        <v>0</v>
      </c>
      <c r="R1706" s="114" t="n">
        <v>200</v>
      </c>
      <c r="S1706" s="114" t="n">
        <v>0</v>
      </c>
      <c r="T1706" t="n">
        <v>0</v>
      </c>
    </row>
    <row r="1707">
      <c r="A1707" t="inlineStr">
        <is>
          <t>ttJTrans</t>
        </is>
      </c>
      <c r="B1707" s="38" t="inlineStr">
        <is>
          <t>0-4006</t>
        </is>
      </c>
      <c r="C1707" t="inlineStr">
        <is>
          <t>ER</t>
        </is>
      </c>
      <c r="E1707" t="inlineStr">
        <is>
          <t>ER</t>
        </is>
      </c>
      <c r="H1707" s="127" t="n">
        <v>46159</v>
      </c>
      <c r="J1707" s="38" t="inlineStr">
        <is>
          <t>0-4006</t>
        </is>
      </c>
      <c r="K1707" t="inlineStr">
        <is>
          <t>RAT447 4WD CLUB CAR CARRYALL 1700 D 4WD CLUB CAR CARRYALL 1700 D</t>
        </is>
      </c>
      <c r="L1707" t="n">
        <v>0</v>
      </c>
      <c r="M1707" t="n">
        <v>0</v>
      </c>
      <c r="O1707" t="inlineStr">
        <is>
          <t>RAT447</t>
        </is>
      </c>
      <c r="Q1707" s="114" t="n">
        <v>0</v>
      </c>
      <c r="R1707" s="114" t="n">
        <v>62.5</v>
      </c>
      <c r="S1707" s="114" t="n">
        <v>0</v>
      </c>
      <c r="T1707" t="n">
        <v>0</v>
      </c>
    </row>
    <row r="1708">
      <c r="A1708" t="inlineStr">
        <is>
          <t>ttJTrans</t>
        </is>
      </c>
      <c r="B1708" s="38" t="inlineStr">
        <is>
          <t>0-4006</t>
        </is>
      </c>
      <c r="C1708" t="inlineStr">
        <is>
          <t>ER</t>
        </is>
      </c>
      <c r="E1708" t="inlineStr">
        <is>
          <t>ER</t>
        </is>
      </c>
      <c r="H1708" s="127" t="n">
        <v>46159</v>
      </c>
      <c r="J1708" s="38" t="inlineStr">
        <is>
          <t>0-4006</t>
        </is>
      </c>
      <c r="K1708" t="inlineStr">
        <is>
          <t>RAT447 4WD CLUB CAR CARRYALL 1700 D 4WD CLUB CAR CARRYALL 1700 D</t>
        </is>
      </c>
      <c r="L1708" t="n">
        <v>0</v>
      </c>
      <c r="M1708" t="n">
        <v>0</v>
      </c>
      <c r="O1708" t="inlineStr">
        <is>
          <t>RAT447</t>
        </is>
      </c>
      <c r="Q1708" s="114" t="n">
        <v>0</v>
      </c>
      <c r="R1708" s="114" t="n">
        <v>62.5</v>
      </c>
      <c r="S1708" s="114" t="n">
        <v>0</v>
      </c>
      <c r="T1708" t="n">
        <v>0</v>
      </c>
    </row>
    <row r="1709">
      <c r="A1709" t="inlineStr">
        <is>
          <t>ttJTrans</t>
        </is>
      </c>
      <c r="B1709" s="38" t="inlineStr">
        <is>
          <t>0-4006</t>
        </is>
      </c>
      <c r="C1709" t="inlineStr">
        <is>
          <t>ER</t>
        </is>
      </c>
      <c r="E1709" t="inlineStr">
        <is>
          <t>ER</t>
        </is>
      </c>
      <c r="H1709" s="127" t="n">
        <v>46159</v>
      </c>
      <c r="J1709" s="38" t="inlineStr">
        <is>
          <t>0-4006</t>
        </is>
      </c>
      <c r="K1709" t="inlineStr">
        <is>
          <t>RAT447 4WD CLUB CAR CARRYALL 1700 D 4WD CLUB CAR CARRYALL 1700 D</t>
        </is>
      </c>
      <c r="L1709" t="n">
        <v>0</v>
      </c>
      <c r="M1709" t="n">
        <v>0</v>
      </c>
      <c r="O1709" t="inlineStr">
        <is>
          <t>RAT447</t>
        </is>
      </c>
      <c r="Q1709" s="114" t="n">
        <v>0</v>
      </c>
      <c r="R1709" s="114" t="n">
        <v>62.5</v>
      </c>
      <c r="S1709" s="114" t="n">
        <v>0</v>
      </c>
      <c r="T1709" t="n">
        <v>0</v>
      </c>
    </row>
    <row r="1710">
      <c r="A1710" t="inlineStr">
        <is>
          <t>ttJTrans</t>
        </is>
      </c>
      <c r="B1710" s="38" t="inlineStr">
        <is>
          <t>0-4006</t>
        </is>
      </c>
      <c r="C1710" t="inlineStr">
        <is>
          <t>ER</t>
        </is>
      </c>
      <c r="E1710" t="inlineStr">
        <is>
          <t>ER</t>
        </is>
      </c>
      <c r="H1710" s="127" t="n">
        <v>46159</v>
      </c>
      <c r="J1710" s="38" t="inlineStr">
        <is>
          <t>0-4006</t>
        </is>
      </c>
      <c r="K1710" t="inlineStr">
        <is>
          <t>RAT447 4WD CLUB CAR CARRYALL 1700 D 4WD CLUB CAR CARRYALL 1700 D</t>
        </is>
      </c>
      <c r="L1710" t="n">
        <v>0</v>
      </c>
      <c r="M1710" t="n">
        <v>0</v>
      </c>
      <c r="O1710" t="inlineStr">
        <is>
          <t>RAT447</t>
        </is>
      </c>
      <c r="Q1710" s="114" t="n">
        <v>0</v>
      </c>
      <c r="R1710" s="114" t="n">
        <v>62.5</v>
      </c>
      <c r="S1710" s="114" t="n">
        <v>0</v>
      </c>
      <c r="T1710" t="n">
        <v>0</v>
      </c>
    </row>
    <row r="1711">
      <c r="A1711" t="inlineStr">
        <is>
          <t>ttJTrans</t>
        </is>
      </c>
      <c r="B1711" s="38" t="inlineStr">
        <is>
          <t>0-4006</t>
        </is>
      </c>
      <c r="C1711" t="inlineStr">
        <is>
          <t>ER</t>
        </is>
      </c>
      <c r="E1711" t="inlineStr">
        <is>
          <t>ER</t>
        </is>
      </c>
      <c r="H1711" s="127" t="n">
        <v>46159</v>
      </c>
      <c r="J1711" s="38" t="inlineStr">
        <is>
          <t>0-4006</t>
        </is>
      </c>
      <c r="K1711" t="inlineStr">
        <is>
          <t>RAT447 4WD CLUB CAR CARRYALL 1700 D 4WD CLUB CAR CARRYALL 1700 D</t>
        </is>
      </c>
      <c r="L1711" t="n">
        <v>0</v>
      </c>
      <c r="M1711" t="n">
        <v>0</v>
      </c>
      <c r="O1711" t="inlineStr">
        <is>
          <t>RAT447</t>
        </is>
      </c>
      <c r="Q1711" s="114" t="n">
        <v>0</v>
      </c>
      <c r="R1711" s="114" t="n">
        <v>62.5</v>
      </c>
      <c r="S1711" s="114" t="n">
        <v>0</v>
      </c>
      <c r="T1711" t="n">
        <v>0</v>
      </c>
    </row>
    <row r="1712">
      <c r="A1712" t="inlineStr">
        <is>
          <t>ttJTrans</t>
        </is>
      </c>
      <c r="B1712" s="38" t="inlineStr">
        <is>
          <t>0-4006</t>
        </is>
      </c>
      <c r="C1712" t="inlineStr">
        <is>
          <t>ER</t>
        </is>
      </c>
      <c r="E1712" t="inlineStr">
        <is>
          <t>ER</t>
        </is>
      </c>
      <c r="H1712" s="127" t="n">
        <v>46159</v>
      </c>
      <c r="J1712" s="38" t="inlineStr">
        <is>
          <t>0-4006</t>
        </is>
      </c>
      <c r="K1712" t="inlineStr">
        <is>
          <t>RAT447 4WD CLUB CAR CARRYALL 1700 D 4WD CLUB CAR CARRYALL 1700 D</t>
        </is>
      </c>
      <c r="L1712" t="n">
        <v>0</v>
      </c>
      <c r="M1712" t="n">
        <v>0</v>
      </c>
      <c r="O1712" t="inlineStr">
        <is>
          <t>RAT447</t>
        </is>
      </c>
      <c r="Q1712" s="114" t="n">
        <v>0</v>
      </c>
      <c r="R1712" s="114" t="n">
        <v>62.5</v>
      </c>
      <c r="S1712" s="114" t="n">
        <v>0</v>
      </c>
      <c r="T1712" t="n">
        <v>0</v>
      </c>
    </row>
    <row r="1713">
      <c r="A1713" t="inlineStr">
        <is>
          <t>ttJTrans</t>
        </is>
      </c>
      <c r="B1713" s="38" t="inlineStr">
        <is>
          <t>0-4006</t>
        </is>
      </c>
      <c r="C1713" t="inlineStr">
        <is>
          <t>ER</t>
        </is>
      </c>
      <c r="E1713" t="inlineStr">
        <is>
          <t>ER</t>
        </is>
      </c>
      <c r="H1713" s="127" t="n">
        <v>46159</v>
      </c>
      <c r="J1713" s="38" t="inlineStr">
        <is>
          <t>0-4006</t>
        </is>
      </c>
      <c r="K1713" t="inlineStr">
        <is>
          <t>RLD0303 CATERPILLAR 950 WHEEL LOADER CATERPILLAR 950 WHEEL LOADER</t>
        </is>
      </c>
      <c r="L1713" t="n">
        <v>0</v>
      </c>
      <c r="M1713" t="n">
        <v>0</v>
      </c>
      <c r="O1713" t="inlineStr">
        <is>
          <t>RLD0303</t>
        </is>
      </c>
      <c r="Q1713" s="114" t="n">
        <v>0</v>
      </c>
      <c r="R1713" s="114" t="n">
        <v>437.5</v>
      </c>
      <c r="S1713" s="114" t="n">
        <v>0</v>
      </c>
      <c r="T1713" t="n">
        <v>0</v>
      </c>
    </row>
    <row r="1714">
      <c r="A1714" t="inlineStr">
        <is>
          <t>ttJTrans</t>
        </is>
      </c>
      <c r="B1714" s="38" t="inlineStr">
        <is>
          <t>0-4006</t>
        </is>
      </c>
      <c r="C1714" t="inlineStr">
        <is>
          <t>ER</t>
        </is>
      </c>
      <c r="E1714" t="inlineStr">
        <is>
          <t>ER</t>
        </is>
      </c>
      <c r="H1714" s="127" t="n">
        <v>46159</v>
      </c>
      <c r="J1714" s="38" t="inlineStr">
        <is>
          <t>0-4006</t>
        </is>
      </c>
      <c r="K1714" t="inlineStr">
        <is>
          <t>RLD0303 CATERPILLAR 950 WHEEL LOADER CATERPILLAR 950 WHEEL LOADER</t>
        </is>
      </c>
      <c r="L1714" t="n">
        <v>0</v>
      </c>
      <c r="M1714" t="n">
        <v>0</v>
      </c>
      <c r="O1714" t="inlineStr">
        <is>
          <t>RLD0303</t>
        </is>
      </c>
      <c r="Q1714" s="114" t="n">
        <v>0</v>
      </c>
      <c r="R1714" s="114" t="n">
        <v>437.5</v>
      </c>
      <c r="S1714" s="114" t="n">
        <v>0</v>
      </c>
      <c r="T1714" t="n">
        <v>0</v>
      </c>
    </row>
    <row r="1715">
      <c r="A1715" t="inlineStr">
        <is>
          <t>ttJTrans</t>
        </is>
      </c>
      <c r="B1715" s="38" t="inlineStr">
        <is>
          <t>0-4006</t>
        </is>
      </c>
      <c r="C1715" t="inlineStr">
        <is>
          <t>ER</t>
        </is>
      </c>
      <c r="E1715" t="inlineStr">
        <is>
          <t>ER</t>
        </is>
      </c>
      <c r="H1715" s="127" t="n">
        <v>46159</v>
      </c>
      <c r="J1715" s="38" t="inlineStr">
        <is>
          <t>0-4006</t>
        </is>
      </c>
      <c r="K1715" t="inlineStr">
        <is>
          <t>RLD0303 CATERPILLAR 950 WHEEL LOADER CATERPILLAR 950 WHEEL LOADER</t>
        </is>
      </c>
      <c r="L1715" t="n">
        <v>0</v>
      </c>
      <c r="M1715" t="n">
        <v>0</v>
      </c>
      <c r="O1715" t="inlineStr">
        <is>
          <t>RLD0303</t>
        </is>
      </c>
      <c r="Q1715" s="114" t="n">
        <v>0</v>
      </c>
      <c r="R1715" s="114" t="n">
        <v>437.5</v>
      </c>
      <c r="S1715" s="114" t="n">
        <v>0</v>
      </c>
      <c r="T1715" t="n">
        <v>0</v>
      </c>
    </row>
    <row r="1716">
      <c r="A1716" t="inlineStr">
        <is>
          <t>ttJTrans</t>
        </is>
      </c>
      <c r="B1716" s="38" t="inlineStr">
        <is>
          <t>0-4006</t>
        </is>
      </c>
      <c r="C1716" t="inlineStr">
        <is>
          <t>ER</t>
        </is>
      </c>
      <c r="E1716" t="inlineStr">
        <is>
          <t>ER</t>
        </is>
      </c>
      <c r="H1716" s="127" t="n">
        <v>46159</v>
      </c>
      <c r="J1716" s="38" t="inlineStr">
        <is>
          <t>0-4006</t>
        </is>
      </c>
      <c r="K1716" t="inlineStr">
        <is>
          <t>RGN0302 CATERPILLAR 200KW DIESEL GENERATOR CATERPILLAR 200KW DIESEL GENERATOR</t>
        </is>
      </c>
      <c r="L1716" t="n">
        <v>0</v>
      </c>
      <c r="M1716" t="n">
        <v>0</v>
      </c>
      <c r="O1716" t="inlineStr">
        <is>
          <t>RGN0302</t>
        </is>
      </c>
      <c r="Q1716" s="114" t="n">
        <v>0</v>
      </c>
      <c r="R1716" s="114" t="n">
        <v>659.72</v>
      </c>
      <c r="S1716" s="114" t="n">
        <v>0</v>
      </c>
      <c r="T1716" t="n">
        <v>0</v>
      </c>
    </row>
    <row r="1717">
      <c r="A1717" t="inlineStr">
        <is>
          <t>ttJTrans</t>
        </is>
      </c>
      <c r="B1717" s="38" t="inlineStr">
        <is>
          <t>0-4006</t>
        </is>
      </c>
      <c r="C1717" t="inlineStr">
        <is>
          <t>ER</t>
        </is>
      </c>
      <c r="E1717" t="inlineStr">
        <is>
          <t>ER</t>
        </is>
      </c>
      <c r="H1717" s="127" t="n">
        <v>46159</v>
      </c>
      <c r="J1717" s="38" t="inlineStr">
        <is>
          <t>0-4006</t>
        </is>
      </c>
      <c r="K1717" t="inlineStr">
        <is>
          <t>RGN0302 CATERPILLAR 200KW DIESEL GENERATOR CATERPILLAR 200KW DIESEL GENERATOR</t>
        </is>
      </c>
      <c r="L1717" t="n">
        <v>0</v>
      </c>
      <c r="M1717" t="n">
        <v>0</v>
      </c>
      <c r="O1717" t="inlineStr">
        <is>
          <t>RGN0302</t>
        </is>
      </c>
      <c r="Q1717" s="114" t="n">
        <v>0</v>
      </c>
      <c r="R1717" s="114" t="n">
        <v>659.72</v>
      </c>
      <c r="S1717" s="114" t="n">
        <v>0</v>
      </c>
      <c r="T1717" t="n">
        <v>0</v>
      </c>
    </row>
    <row r="1718">
      <c r="A1718" t="inlineStr">
        <is>
          <t>ttJTrans</t>
        </is>
      </c>
      <c r="B1718" s="38" t="inlineStr">
        <is>
          <t>0-4006</t>
        </is>
      </c>
      <c r="C1718" t="inlineStr">
        <is>
          <t>ER</t>
        </is>
      </c>
      <c r="E1718" t="inlineStr">
        <is>
          <t>ER</t>
        </is>
      </c>
      <c r="G1718" s="42" t="inlineStr"/>
      <c r="H1718" s="127" t="n">
        <v>46159</v>
      </c>
      <c r="J1718" s="38" t="inlineStr">
        <is>
          <t>0-4006</t>
        </is>
      </c>
      <c r="K1718" t="inlineStr">
        <is>
          <t>RGN0302 CATERPILLAR 200KW DIESEL GENERATOR CATERPILLAR 200KW DIESEL GENERATOR</t>
        </is>
      </c>
      <c r="L1718" t="n">
        <v>0</v>
      </c>
      <c r="M1718" t="n">
        <v>0</v>
      </c>
      <c r="O1718" t="inlineStr">
        <is>
          <t>RGN0302</t>
        </is>
      </c>
      <c r="Q1718" s="114" t="n">
        <v>0</v>
      </c>
      <c r="R1718" s="114" t="n">
        <v>659.72</v>
      </c>
      <c r="S1718" s="114" t="n">
        <v>0</v>
      </c>
      <c r="T1718" t="n">
        <v>0</v>
      </c>
    </row>
    <row r="1719">
      <c r="A1719" t="inlineStr">
        <is>
          <t>ttJTrans</t>
        </is>
      </c>
      <c r="B1719" s="38" t="inlineStr">
        <is>
          <t>0-4006</t>
        </is>
      </c>
      <c r="C1719" t="inlineStr">
        <is>
          <t>ER</t>
        </is>
      </c>
      <c r="E1719" t="inlineStr">
        <is>
          <t>ER</t>
        </is>
      </c>
      <c r="G1719" s="42" t="inlineStr"/>
      <c r="H1719" s="127" t="n">
        <v>46159</v>
      </c>
      <c r="J1719" s="38" t="inlineStr">
        <is>
          <t>0-4006</t>
        </is>
      </c>
      <c r="K1719" t="inlineStr">
        <is>
          <t>RGN0302 CATERPILLAR 200KW DIESEL GENERATOR CATERPILLAR 200KW DIESEL GENERATOR</t>
        </is>
      </c>
      <c r="L1719" t="n">
        <v>0</v>
      </c>
      <c r="M1719" t="n">
        <v>0</v>
      </c>
      <c r="O1719" t="inlineStr">
        <is>
          <t>RGN0302</t>
        </is>
      </c>
      <c r="Q1719" s="114" t="n">
        <v>0</v>
      </c>
      <c r="R1719" s="114" t="n">
        <v>659.72</v>
      </c>
      <c r="S1719" s="114" t="n">
        <v>0</v>
      </c>
      <c r="T1719" t="n">
        <v>0</v>
      </c>
    </row>
    <row r="1720">
      <c r="A1720" t="inlineStr">
        <is>
          <t>ttJTrans</t>
        </is>
      </c>
      <c r="B1720" s="38" t="inlineStr">
        <is>
          <t>0-4006</t>
        </is>
      </c>
      <c r="C1720" t="inlineStr">
        <is>
          <t>ER</t>
        </is>
      </c>
      <c r="E1720" t="inlineStr">
        <is>
          <t>ER</t>
        </is>
      </c>
      <c r="G1720" s="42" t="inlineStr"/>
      <c r="H1720" s="127" t="n">
        <v>46159</v>
      </c>
      <c r="J1720" s="38" t="inlineStr">
        <is>
          <t>0-4006</t>
        </is>
      </c>
      <c r="K1720" t="inlineStr">
        <is>
          <t>RGN0302 CATERPILLAR 200KW DIESEL GENERATOR CATERPILLAR 200KW DIESEL GENERATOR</t>
        </is>
      </c>
      <c r="L1720" t="n">
        <v>0</v>
      </c>
      <c r="M1720" t="n">
        <v>0</v>
      </c>
      <c r="O1720" t="inlineStr">
        <is>
          <t>RGN0302</t>
        </is>
      </c>
      <c r="Q1720" s="114" t="n">
        <v>0</v>
      </c>
      <c r="R1720" s="114" t="n">
        <v>659.72</v>
      </c>
      <c r="S1720" s="114" t="n">
        <v>0</v>
      </c>
      <c r="T1720" t="n">
        <v>0</v>
      </c>
    </row>
    <row r="1721">
      <c r="A1721" t="inlineStr">
        <is>
          <t>ttJTrans</t>
        </is>
      </c>
      <c r="B1721" s="38" t="inlineStr">
        <is>
          <t>0-4006</t>
        </is>
      </c>
      <c r="C1721" t="inlineStr">
        <is>
          <t>ER</t>
        </is>
      </c>
      <c r="E1721" t="inlineStr">
        <is>
          <t>ER</t>
        </is>
      </c>
      <c r="G1721" s="42" t="inlineStr"/>
      <c r="H1721" s="127" t="n">
        <v>46159</v>
      </c>
      <c r="J1721" s="38" t="inlineStr">
        <is>
          <t>0-4006</t>
        </is>
      </c>
      <c r="K1721" t="inlineStr">
        <is>
          <t>RGN0302 CATERPILLAR 200KW DIESEL GENERATOR CATERPILLAR 200KW DIESEL GENERATOR</t>
        </is>
      </c>
      <c r="L1721" t="n">
        <v>0</v>
      </c>
      <c r="M1721" t="n">
        <v>0</v>
      </c>
      <c r="O1721" t="inlineStr">
        <is>
          <t>RGN0302</t>
        </is>
      </c>
      <c r="Q1721" s="114" t="n">
        <v>0</v>
      </c>
      <c r="R1721" s="114" t="n">
        <v>659.72</v>
      </c>
      <c r="S1721" s="114" t="n">
        <v>0</v>
      </c>
      <c r="T1721" t="n">
        <v>0</v>
      </c>
    </row>
    <row r="1722">
      <c r="A1722" t="inlineStr">
        <is>
          <t>ttJTrans</t>
        </is>
      </c>
      <c r="B1722" s="38" t="inlineStr">
        <is>
          <t>0-4006</t>
        </is>
      </c>
      <c r="C1722" t="inlineStr">
        <is>
          <t>ER</t>
        </is>
      </c>
      <c r="E1722" t="inlineStr">
        <is>
          <t>ER</t>
        </is>
      </c>
      <c r="G1722" s="42" t="inlineStr"/>
      <c r="H1722" s="127" t="n">
        <v>46166</v>
      </c>
      <c r="J1722" s="38" t="inlineStr">
        <is>
          <t>0-4006</t>
        </is>
      </c>
      <c r="K1722" t="inlineStr">
        <is>
          <t>RMS2318 BROCE RCT350 WHEEL SWEEPER BROCE RCT350 WHEEL SWEEPER</t>
        </is>
      </c>
      <c r="L1722" t="n">
        <v>0</v>
      </c>
      <c r="M1722" t="n">
        <v>0</v>
      </c>
      <c r="O1722" t="inlineStr">
        <is>
          <t>RMS2318</t>
        </is>
      </c>
      <c r="Q1722" s="114" t="n">
        <v>0</v>
      </c>
      <c r="R1722" s="114" t="n">
        <v>200</v>
      </c>
      <c r="S1722" s="114" t="n">
        <v>0</v>
      </c>
      <c r="T1722" t="n">
        <v>0</v>
      </c>
    </row>
    <row r="1723">
      <c r="A1723" t="inlineStr">
        <is>
          <t>ttJTrans</t>
        </is>
      </c>
      <c r="B1723" s="38" t="inlineStr">
        <is>
          <t>0-4006</t>
        </is>
      </c>
      <c r="C1723" t="inlineStr">
        <is>
          <t>ER</t>
        </is>
      </c>
      <c r="E1723" t="inlineStr">
        <is>
          <t>ER</t>
        </is>
      </c>
      <c r="G1723" s="42" t="inlineStr"/>
      <c r="H1723" s="127" t="n">
        <v>46166</v>
      </c>
      <c r="J1723" s="38" t="inlineStr">
        <is>
          <t>0-4006</t>
        </is>
      </c>
      <c r="K1723" t="inlineStr">
        <is>
          <t>RMS2318 BROCE RCT350 WHEEL SWEEPER BROCE RCT350 WHEEL SWEEPER</t>
        </is>
      </c>
      <c r="L1723" t="n">
        <v>0</v>
      </c>
      <c r="M1723" t="n">
        <v>0</v>
      </c>
      <c r="O1723" t="inlineStr">
        <is>
          <t>RMS2318</t>
        </is>
      </c>
      <c r="Q1723" s="114" t="n">
        <v>0</v>
      </c>
      <c r="R1723" s="114" t="n">
        <v>200</v>
      </c>
      <c r="S1723" s="114" t="n">
        <v>0</v>
      </c>
      <c r="T1723" t="n">
        <v>0</v>
      </c>
    </row>
    <row r="1724">
      <c r="A1724" t="inlineStr">
        <is>
          <t>ttJTrans</t>
        </is>
      </c>
      <c r="B1724" s="38" t="inlineStr">
        <is>
          <t>0-4006</t>
        </is>
      </c>
      <c r="C1724" t="inlineStr">
        <is>
          <t>ER</t>
        </is>
      </c>
      <c r="E1724" t="inlineStr">
        <is>
          <t>ER</t>
        </is>
      </c>
      <c r="G1724" s="42" t="inlineStr"/>
      <c r="H1724" s="127" t="n">
        <v>46166</v>
      </c>
      <c r="J1724" s="38" t="inlineStr">
        <is>
          <t>0-4006</t>
        </is>
      </c>
      <c r="K1724" t="inlineStr">
        <is>
          <t>RMS2318 BROCE RCT350 WHEEL SWEEPER BROCE RCT350 WHEEL SWEEPER</t>
        </is>
      </c>
      <c r="L1724" t="n">
        <v>0</v>
      </c>
      <c r="M1724" t="n">
        <v>0</v>
      </c>
      <c r="O1724" t="inlineStr">
        <is>
          <t>RMS2318</t>
        </is>
      </c>
      <c r="Q1724" s="114" t="n">
        <v>0</v>
      </c>
      <c r="R1724" s="114" t="n">
        <v>200</v>
      </c>
      <c r="S1724" s="114" t="n">
        <v>0</v>
      </c>
      <c r="T1724" t="n">
        <v>0</v>
      </c>
    </row>
    <row r="1725">
      <c r="A1725" t="inlineStr">
        <is>
          <t>ttJTrans</t>
        </is>
      </c>
      <c r="B1725" s="38" t="inlineStr">
        <is>
          <t>0-4006</t>
        </is>
      </c>
      <c r="C1725" t="inlineStr">
        <is>
          <t>ER</t>
        </is>
      </c>
      <c r="E1725" t="inlineStr">
        <is>
          <t>ER</t>
        </is>
      </c>
      <c r="G1725" s="42" t="inlineStr"/>
      <c r="H1725" s="127" t="n">
        <v>46166</v>
      </c>
      <c r="J1725" s="38" t="inlineStr">
        <is>
          <t>0-4006</t>
        </is>
      </c>
      <c r="K1725" t="inlineStr">
        <is>
          <t>RAT447 4WD CLUB CAR CARRYALL 1700 D 4WD CLUB CAR CARRYALL 1700 D</t>
        </is>
      </c>
      <c r="L1725" t="n">
        <v>0</v>
      </c>
      <c r="M1725" t="n">
        <v>0</v>
      </c>
      <c r="O1725" t="inlineStr">
        <is>
          <t>RAT447</t>
        </is>
      </c>
      <c r="Q1725" s="114" t="n">
        <v>0</v>
      </c>
      <c r="R1725" s="114" t="n">
        <v>62.5</v>
      </c>
      <c r="S1725" s="114" t="n">
        <v>0</v>
      </c>
      <c r="T1725" t="n">
        <v>0</v>
      </c>
    </row>
    <row r="1726">
      <c r="A1726" t="inlineStr">
        <is>
          <t>ttJTrans</t>
        </is>
      </c>
      <c r="B1726" s="38" t="inlineStr">
        <is>
          <t>0-4006</t>
        </is>
      </c>
      <c r="C1726" t="inlineStr">
        <is>
          <t>ER</t>
        </is>
      </c>
      <c r="E1726" t="inlineStr">
        <is>
          <t>ER</t>
        </is>
      </c>
      <c r="G1726" s="42" t="inlineStr"/>
      <c r="H1726" s="127" t="n">
        <v>46166</v>
      </c>
      <c r="J1726" s="38" t="inlineStr">
        <is>
          <t>0-4006</t>
        </is>
      </c>
      <c r="K1726" t="inlineStr">
        <is>
          <t>RAT447 4WD CLUB CAR CARRYALL 1700 D 4WD CLUB CAR CARRYALL 1700 D</t>
        </is>
      </c>
      <c r="L1726" t="n">
        <v>0</v>
      </c>
      <c r="M1726" t="n">
        <v>0</v>
      </c>
      <c r="O1726" t="inlineStr">
        <is>
          <t>RAT447</t>
        </is>
      </c>
      <c r="Q1726" s="114" t="n">
        <v>0</v>
      </c>
      <c r="R1726" s="114" t="n">
        <v>62.5</v>
      </c>
      <c r="S1726" s="114" t="n">
        <v>0</v>
      </c>
      <c r="T1726" t="n">
        <v>0</v>
      </c>
    </row>
    <row r="1727">
      <c r="A1727" t="inlineStr">
        <is>
          <t>ttJTrans</t>
        </is>
      </c>
      <c r="B1727" s="38" t="inlineStr">
        <is>
          <t>0-4006</t>
        </is>
      </c>
      <c r="C1727" t="inlineStr">
        <is>
          <t>ER</t>
        </is>
      </c>
      <c r="E1727" t="inlineStr">
        <is>
          <t>ER</t>
        </is>
      </c>
      <c r="G1727" s="42" t="inlineStr"/>
      <c r="H1727" s="127" t="n">
        <v>46166</v>
      </c>
      <c r="J1727" s="38" t="inlineStr">
        <is>
          <t>0-4006</t>
        </is>
      </c>
      <c r="K1727" t="inlineStr">
        <is>
          <t>RAT447 4WD CLUB CAR CARRYALL 1700 D 4WD CLUB CAR CARRYALL 1700 D</t>
        </is>
      </c>
      <c r="L1727" t="n">
        <v>0</v>
      </c>
      <c r="M1727" t="n">
        <v>0</v>
      </c>
      <c r="O1727" t="inlineStr">
        <is>
          <t>RAT447</t>
        </is>
      </c>
      <c r="Q1727" s="114" t="n">
        <v>0</v>
      </c>
      <c r="R1727" s="114" t="n">
        <v>62.5</v>
      </c>
      <c r="S1727" s="114" t="n">
        <v>0</v>
      </c>
      <c r="T1727" t="n">
        <v>0</v>
      </c>
    </row>
    <row r="1728">
      <c r="A1728" t="inlineStr">
        <is>
          <t>ttJTrans</t>
        </is>
      </c>
      <c r="B1728" s="38" t="inlineStr">
        <is>
          <t>0-4006</t>
        </is>
      </c>
      <c r="C1728" t="inlineStr">
        <is>
          <t>ER</t>
        </is>
      </c>
      <c r="E1728" t="inlineStr">
        <is>
          <t>ER</t>
        </is>
      </c>
      <c r="G1728" s="42" t="inlineStr"/>
      <c r="H1728" s="127" t="n">
        <v>46166</v>
      </c>
      <c r="J1728" s="38" t="inlineStr">
        <is>
          <t>0-4006</t>
        </is>
      </c>
      <c r="K1728" t="inlineStr">
        <is>
          <t>RAT447 4WD CLUB CAR CARRYALL 1700 D 4WD CLUB CAR CARRYALL 1700 D</t>
        </is>
      </c>
      <c r="L1728" t="n">
        <v>0</v>
      </c>
      <c r="M1728" t="n">
        <v>0</v>
      </c>
      <c r="O1728" t="inlineStr">
        <is>
          <t>RAT447</t>
        </is>
      </c>
      <c r="Q1728" s="114" t="n">
        <v>0</v>
      </c>
      <c r="R1728" s="114" t="n">
        <v>62.5</v>
      </c>
      <c r="S1728" s="114" t="n">
        <v>0</v>
      </c>
      <c r="T1728" t="n">
        <v>0</v>
      </c>
    </row>
    <row r="1729">
      <c r="A1729" t="inlineStr">
        <is>
          <t>ttJTrans</t>
        </is>
      </c>
      <c r="B1729" s="38" t="inlineStr">
        <is>
          <t>0-4006</t>
        </is>
      </c>
      <c r="C1729" t="inlineStr">
        <is>
          <t>ER</t>
        </is>
      </c>
      <c r="E1729" t="inlineStr">
        <is>
          <t>ER</t>
        </is>
      </c>
      <c r="G1729" s="42" t="inlineStr"/>
      <c r="H1729" s="127" t="n">
        <v>46166</v>
      </c>
      <c r="J1729" s="38" t="inlineStr">
        <is>
          <t>0-4006</t>
        </is>
      </c>
      <c r="K1729" t="inlineStr">
        <is>
          <t>RAT447 4WD CLUB CAR CARRYALL 1700 D 4WD CLUB CAR CARRYALL 1700 D</t>
        </is>
      </c>
      <c r="L1729" t="n">
        <v>0</v>
      </c>
      <c r="M1729" t="n">
        <v>0</v>
      </c>
      <c r="O1729" t="inlineStr">
        <is>
          <t>RAT447</t>
        </is>
      </c>
      <c r="Q1729" s="114" t="n">
        <v>0</v>
      </c>
      <c r="R1729" s="114" t="n">
        <v>62.5</v>
      </c>
      <c r="S1729" s="114" t="n">
        <v>0</v>
      </c>
      <c r="T1729" t="n">
        <v>0</v>
      </c>
    </row>
    <row r="1730">
      <c r="A1730" t="inlineStr">
        <is>
          <t>ttJTrans</t>
        </is>
      </c>
      <c r="B1730" s="38" t="inlineStr">
        <is>
          <t>0-4006</t>
        </is>
      </c>
      <c r="C1730" t="inlineStr">
        <is>
          <t>ER</t>
        </is>
      </c>
      <c r="E1730" t="inlineStr">
        <is>
          <t>ER</t>
        </is>
      </c>
      <c r="G1730" s="42" t="inlineStr"/>
      <c r="H1730" s="127" t="n">
        <v>46166</v>
      </c>
      <c r="J1730" s="38" t="inlineStr">
        <is>
          <t>0-4006</t>
        </is>
      </c>
      <c r="K1730" t="inlineStr">
        <is>
          <t>RAT447 4WD CLUB CAR CARRYALL 1700 D 4WD CLUB CAR CARRYALL 1700 D</t>
        </is>
      </c>
      <c r="L1730" t="n">
        <v>0</v>
      </c>
      <c r="M1730" t="n">
        <v>0</v>
      </c>
      <c r="O1730" t="inlineStr">
        <is>
          <t>RAT447</t>
        </is>
      </c>
      <c r="Q1730" s="114" t="n">
        <v>0</v>
      </c>
      <c r="R1730" s="114" t="n">
        <v>62.5</v>
      </c>
      <c r="S1730" s="114" t="n">
        <v>0</v>
      </c>
      <c r="T1730" t="n">
        <v>0</v>
      </c>
    </row>
    <row r="1731">
      <c r="A1731" t="inlineStr">
        <is>
          <t>ttJTrans</t>
        </is>
      </c>
      <c r="B1731" s="38" t="inlineStr">
        <is>
          <t>0-4006</t>
        </is>
      </c>
      <c r="C1731" t="inlineStr">
        <is>
          <t>ER</t>
        </is>
      </c>
      <c r="E1731" t="inlineStr">
        <is>
          <t>ER</t>
        </is>
      </c>
      <c r="G1731" s="42" t="inlineStr"/>
      <c r="H1731" s="127" t="n">
        <v>46166</v>
      </c>
      <c r="J1731" s="38" t="inlineStr">
        <is>
          <t>0-4006</t>
        </is>
      </c>
      <c r="K1731" t="inlineStr">
        <is>
          <t>RLD0303 CATERPILLAR 950 WHEEL LOADER CATERPILLAR 950 WHEEL LOADER</t>
        </is>
      </c>
      <c r="L1731" t="n">
        <v>0</v>
      </c>
      <c r="M1731" t="n">
        <v>0</v>
      </c>
      <c r="O1731" t="inlineStr">
        <is>
          <t>RLD0303</t>
        </is>
      </c>
      <c r="Q1731" s="114" t="n">
        <v>0</v>
      </c>
      <c r="R1731" s="114" t="n">
        <v>437.5</v>
      </c>
      <c r="S1731" s="114" t="n">
        <v>0</v>
      </c>
      <c r="T1731" t="n">
        <v>0</v>
      </c>
    </row>
    <row r="1732">
      <c r="A1732" t="inlineStr">
        <is>
          <t>ttJTrans</t>
        </is>
      </c>
      <c r="B1732" s="38" t="inlineStr">
        <is>
          <t>0-4006</t>
        </is>
      </c>
      <c r="C1732" t="inlineStr">
        <is>
          <t>ER</t>
        </is>
      </c>
      <c r="E1732" t="inlineStr">
        <is>
          <t>ER</t>
        </is>
      </c>
      <c r="G1732" s="42" t="inlineStr"/>
      <c r="H1732" s="127" t="n">
        <v>46166</v>
      </c>
      <c r="J1732" s="38" t="inlineStr">
        <is>
          <t>0-4006</t>
        </is>
      </c>
      <c r="K1732" t="inlineStr">
        <is>
          <t>RLD0303 CATERPILLAR 950 WHEEL LOADER CATERPILLAR 950 WHEEL LOADER</t>
        </is>
      </c>
      <c r="L1732" t="n">
        <v>0</v>
      </c>
      <c r="M1732" t="n">
        <v>0</v>
      </c>
      <c r="O1732" t="inlineStr">
        <is>
          <t>RLD0303</t>
        </is>
      </c>
      <c r="Q1732" s="114" t="n">
        <v>0</v>
      </c>
      <c r="R1732" s="114" t="n">
        <v>437.5</v>
      </c>
      <c r="S1732" s="114" t="n">
        <v>0</v>
      </c>
      <c r="T1732" t="n">
        <v>0</v>
      </c>
    </row>
    <row r="1733">
      <c r="A1733" t="inlineStr">
        <is>
          <t>ttJTrans</t>
        </is>
      </c>
      <c r="B1733" s="38" t="inlineStr">
        <is>
          <t>0-4006</t>
        </is>
      </c>
      <c r="C1733" t="inlineStr">
        <is>
          <t>ER</t>
        </is>
      </c>
      <c r="E1733" t="inlineStr">
        <is>
          <t>ER</t>
        </is>
      </c>
      <c r="G1733" s="42" t="inlineStr"/>
      <c r="H1733" s="127" t="n">
        <v>46166</v>
      </c>
      <c r="J1733" s="38" t="inlineStr">
        <is>
          <t>0-4006</t>
        </is>
      </c>
      <c r="K1733" t="inlineStr">
        <is>
          <t>RLD0303 CATERPILLAR 950 WHEEL LOADER CATERPILLAR 950 WHEEL LOADER</t>
        </is>
      </c>
      <c r="L1733" t="n">
        <v>0</v>
      </c>
      <c r="M1733" t="n">
        <v>0</v>
      </c>
      <c r="O1733" t="inlineStr">
        <is>
          <t>RLD0303</t>
        </is>
      </c>
      <c r="Q1733" s="114" t="n">
        <v>0</v>
      </c>
      <c r="R1733" s="114" t="n">
        <v>437.5</v>
      </c>
      <c r="S1733" s="114" t="n">
        <v>0</v>
      </c>
      <c r="T1733" t="n">
        <v>0</v>
      </c>
    </row>
    <row r="1734">
      <c r="A1734" t="inlineStr">
        <is>
          <t>ttJTrans</t>
        </is>
      </c>
      <c r="B1734" s="38" t="inlineStr">
        <is>
          <t>0-4006</t>
        </is>
      </c>
      <c r="C1734" t="inlineStr">
        <is>
          <t>ER</t>
        </is>
      </c>
      <c r="E1734" t="inlineStr">
        <is>
          <t>ER</t>
        </is>
      </c>
      <c r="G1734" s="42" t="inlineStr"/>
      <c r="H1734" s="127" t="n">
        <v>46166</v>
      </c>
      <c r="J1734" s="38" t="inlineStr">
        <is>
          <t>0-4006</t>
        </is>
      </c>
      <c r="K1734" t="inlineStr">
        <is>
          <t>RGN0302 CATERPILLAR 200KW DIESEL GENERATOR CATERPILLAR 200KW DIESEL GENERATOR</t>
        </is>
      </c>
      <c r="L1734" t="n">
        <v>0</v>
      </c>
      <c r="M1734" t="n">
        <v>0</v>
      </c>
      <c r="O1734" t="inlineStr">
        <is>
          <t>RGN0302</t>
        </is>
      </c>
      <c r="Q1734" s="114" t="n">
        <v>0</v>
      </c>
      <c r="R1734" s="114" t="n">
        <v>659.72</v>
      </c>
      <c r="S1734" s="114" t="n">
        <v>0</v>
      </c>
      <c r="T1734" t="n">
        <v>0</v>
      </c>
    </row>
    <row r="1735">
      <c r="A1735" t="inlineStr">
        <is>
          <t>ttJTrans</t>
        </is>
      </c>
      <c r="B1735" s="38" t="inlineStr">
        <is>
          <t>0-4006</t>
        </is>
      </c>
      <c r="C1735" t="inlineStr">
        <is>
          <t>ER</t>
        </is>
      </c>
      <c r="E1735" t="inlineStr">
        <is>
          <t>ER</t>
        </is>
      </c>
      <c r="G1735" s="42" t="inlineStr"/>
      <c r="H1735" s="127" t="n">
        <v>46166</v>
      </c>
      <c r="J1735" s="38" t="inlineStr">
        <is>
          <t>0-4006</t>
        </is>
      </c>
      <c r="K1735" t="inlineStr">
        <is>
          <t>RGN0302 CATERPILLAR 200KW DIESEL GENERATOR CATERPILLAR 200KW DIESEL GENERATOR</t>
        </is>
      </c>
      <c r="L1735" t="n">
        <v>0</v>
      </c>
      <c r="M1735" t="n">
        <v>0</v>
      </c>
      <c r="O1735" t="inlineStr">
        <is>
          <t>RGN0302</t>
        </is>
      </c>
      <c r="Q1735" s="114" t="n">
        <v>0</v>
      </c>
      <c r="R1735" s="114" t="n">
        <v>659.72</v>
      </c>
      <c r="S1735" s="114" t="n">
        <v>0</v>
      </c>
      <c r="T1735" t="n">
        <v>0</v>
      </c>
    </row>
    <row r="1736">
      <c r="A1736" t="inlineStr">
        <is>
          <t>ttJTrans</t>
        </is>
      </c>
      <c r="B1736" s="38" t="inlineStr">
        <is>
          <t>0-4006</t>
        </is>
      </c>
      <c r="C1736" t="inlineStr">
        <is>
          <t>ER</t>
        </is>
      </c>
      <c r="E1736" t="inlineStr">
        <is>
          <t>ER</t>
        </is>
      </c>
      <c r="G1736" s="42" t="inlineStr"/>
      <c r="H1736" s="127" t="n">
        <v>46166</v>
      </c>
      <c r="J1736" s="38" t="inlineStr">
        <is>
          <t>0-4006</t>
        </is>
      </c>
      <c r="K1736" t="inlineStr">
        <is>
          <t>RGN0302 CATERPILLAR 200KW DIESEL GENERATOR CATERPILLAR 200KW DIESEL GENERATOR</t>
        </is>
      </c>
      <c r="L1736" t="n">
        <v>0</v>
      </c>
      <c r="M1736" t="n">
        <v>0</v>
      </c>
      <c r="O1736" t="inlineStr">
        <is>
          <t>RGN0302</t>
        </is>
      </c>
      <c r="Q1736" s="114" t="n">
        <v>0</v>
      </c>
      <c r="R1736" s="114" t="n">
        <v>659.72</v>
      </c>
      <c r="S1736" s="114" t="n">
        <v>0</v>
      </c>
      <c r="T1736" t="n">
        <v>0</v>
      </c>
    </row>
    <row r="1737">
      <c r="A1737" t="inlineStr">
        <is>
          <t>ttJTrans</t>
        </is>
      </c>
      <c r="B1737" s="38" t="inlineStr">
        <is>
          <t>0-4006</t>
        </is>
      </c>
      <c r="C1737" t="inlineStr">
        <is>
          <t>ER</t>
        </is>
      </c>
      <c r="E1737" t="inlineStr">
        <is>
          <t>ER</t>
        </is>
      </c>
      <c r="G1737" s="42" t="inlineStr"/>
      <c r="H1737" s="127" t="n">
        <v>46166</v>
      </c>
      <c r="J1737" s="38" t="inlineStr">
        <is>
          <t>0-4006</t>
        </is>
      </c>
      <c r="K1737" t="inlineStr">
        <is>
          <t>RGN0302 CATERPILLAR 200KW DIESEL GENERATOR CATERPILLAR 200KW DIESEL GENERATOR</t>
        </is>
      </c>
      <c r="L1737" t="n">
        <v>0</v>
      </c>
      <c r="M1737" t="n">
        <v>0</v>
      </c>
      <c r="O1737" t="inlineStr">
        <is>
          <t>RGN0302</t>
        </is>
      </c>
      <c r="Q1737" s="114" t="n">
        <v>0</v>
      </c>
      <c r="R1737" s="114" t="n">
        <v>659.72</v>
      </c>
      <c r="S1737" s="114" t="n">
        <v>0</v>
      </c>
      <c r="T1737" t="n">
        <v>0</v>
      </c>
    </row>
    <row r="1738">
      <c r="A1738" t="inlineStr">
        <is>
          <t>ttJTrans</t>
        </is>
      </c>
      <c r="B1738" s="38" t="inlineStr">
        <is>
          <t>0-4006</t>
        </is>
      </c>
      <c r="C1738" t="inlineStr">
        <is>
          <t>ER</t>
        </is>
      </c>
      <c r="E1738" t="inlineStr">
        <is>
          <t>ER</t>
        </is>
      </c>
      <c r="G1738" s="42" t="inlineStr"/>
      <c r="H1738" s="127" t="n">
        <v>46166</v>
      </c>
      <c r="J1738" s="38" t="inlineStr">
        <is>
          <t>0-4006</t>
        </is>
      </c>
      <c r="K1738" t="inlineStr">
        <is>
          <t>RGN0302 CATERPILLAR 200KW DIESEL GENERATOR CATERPILLAR 200KW DIESEL GENERATOR</t>
        </is>
      </c>
      <c r="L1738" t="n">
        <v>0</v>
      </c>
      <c r="M1738" t="n">
        <v>0</v>
      </c>
      <c r="O1738" t="inlineStr">
        <is>
          <t>RGN0302</t>
        </is>
      </c>
      <c r="Q1738" s="114" t="n">
        <v>0</v>
      </c>
      <c r="R1738" s="114" t="n">
        <v>659.72</v>
      </c>
      <c r="S1738" s="114" t="n">
        <v>0</v>
      </c>
      <c r="T1738" t="n">
        <v>0</v>
      </c>
    </row>
    <row r="1739">
      <c r="A1739" t="inlineStr">
        <is>
          <t>ttJTrans</t>
        </is>
      </c>
      <c r="B1739" s="38" t="inlineStr">
        <is>
          <t>0-4006</t>
        </is>
      </c>
      <c r="C1739" t="inlineStr">
        <is>
          <t>ER</t>
        </is>
      </c>
      <c r="E1739" t="inlineStr">
        <is>
          <t>ER</t>
        </is>
      </c>
      <c r="G1739" s="42" t="inlineStr"/>
      <c r="H1739" s="127" t="n">
        <v>46166</v>
      </c>
      <c r="J1739" s="38" t="inlineStr">
        <is>
          <t>0-4006</t>
        </is>
      </c>
      <c r="K1739" t="inlineStr">
        <is>
          <t>RGN0302 CATERPILLAR 200KW DIESEL GENERATOR CATERPILLAR 200KW DIESEL GENERATOR</t>
        </is>
      </c>
      <c r="L1739" t="n">
        <v>0</v>
      </c>
      <c r="M1739" t="n">
        <v>0</v>
      </c>
      <c r="O1739" t="inlineStr">
        <is>
          <t>RGN0302</t>
        </is>
      </c>
      <c r="Q1739" s="114" t="n">
        <v>0</v>
      </c>
      <c r="R1739" s="114" t="n">
        <v>659.72</v>
      </c>
      <c r="S1739" s="114" t="n">
        <v>0</v>
      </c>
      <c r="T1739" t="n">
        <v>0</v>
      </c>
    </row>
    <row r="1740">
      <c r="A1740" t="inlineStr">
        <is>
          <t>ttJTrans</t>
        </is>
      </c>
      <c r="B1740" s="38" t="inlineStr">
        <is>
          <t>0-4006</t>
        </is>
      </c>
      <c r="C1740" t="inlineStr">
        <is>
          <t>ER</t>
        </is>
      </c>
      <c r="E1740" t="inlineStr">
        <is>
          <t>ER</t>
        </is>
      </c>
      <c r="G1740" s="42" t="inlineStr"/>
      <c r="H1740" s="127" t="n">
        <v>46166</v>
      </c>
      <c r="J1740" s="38" t="inlineStr">
        <is>
          <t>0-4006</t>
        </is>
      </c>
      <c r="K1740" t="inlineStr">
        <is>
          <t>RLT1295 SOLAR SURVEILLANCE TRAILER SOLAR SURVEILLANCE TRAILER</t>
        </is>
      </c>
      <c r="L1740" t="n">
        <v>0</v>
      </c>
      <c r="M1740" t="n">
        <v>0</v>
      </c>
      <c r="O1740" t="inlineStr">
        <is>
          <t>RLT1295</t>
        </is>
      </c>
      <c r="Q1740" s="114" t="n">
        <v>0</v>
      </c>
      <c r="R1740" s="114" t="n">
        <v>115.91</v>
      </c>
      <c r="S1740" s="114" t="n">
        <v>0</v>
      </c>
      <c r="T1740" t="n">
        <v>0</v>
      </c>
    </row>
    <row r="1741">
      <c r="A1741" t="inlineStr">
        <is>
          <t>ttJTrans</t>
        </is>
      </c>
      <c r="B1741" s="38" t="inlineStr">
        <is>
          <t>0-4006</t>
        </is>
      </c>
      <c r="C1741" t="inlineStr">
        <is>
          <t>ER</t>
        </is>
      </c>
      <c r="E1741" t="inlineStr">
        <is>
          <t>ER</t>
        </is>
      </c>
      <c r="G1741" s="42" t="inlineStr"/>
      <c r="H1741" s="127" t="n">
        <v>46166</v>
      </c>
      <c r="J1741" s="38" t="inlineStr">
        <is>
          <t>0-4006</t>
        </is>
      </c>
      <c r="K1741" t="inlineStr">
        <is>
          <t>RLT1295 SOLAR SURVEILLANCE TRAILER SOLAR SURVEILLANCE TRAILER</t>
        </is>
      </c>
      <c r="L1741" t="n">
        <v>0</v>
      </c>
      <c r="M1741" t="n">
        <v>0</v>
      </c>
      <c r="O1741" t="inlineStr">
        <is>
          <t>RLT1295</t>
        </is>
      </c>
      <c r="Q1741" s="114" t="n">
        <v>0</v>
      </c>
      <c r="R1741" s="114" t="n">
        <v>115.91</v>
      </c>
      <c r="S1741" s="114" t="n">
        <v>0</v>
      </c>
      <c r="T1741" t="n">
        <v>0</v>
      </c>
    </row>
    <row r="1742">
      <c r="A1742" t="inlineStr">
        <is>
          <t>ttJTrans</t>
        </is>
      </c>
      <c r="B1742" s="38" t="inlineStr">
        <is>
          <t>0-4006</t>
        </is>
      </c>
      <c r="C1742" t="inlineStr">
        <is>
          <t>ER</t>
        </is>
      </c>
      <c r="E1742" t="inlineStr">
        <is>
          <t>ER</t>
        </is>
      </c>
      <c r="G1742" s="42" t="inlineStr"/>
      <c r="H1742" s="127" t="n">
        <v>46166</v>
      </c>
      <c r="J1742" s="38" t="inlineStr">
        <is>
          <t>0-4006</t>
        </is>
      </c>
      <c r="K1742" t="inlineStr">
        <is>
          <t>RLT1295 SOLAR SURVEILLANCE TRAILER SOLAR SURVEILLANCE TRAILER</t>
        </is>
      </c>
      <c r="L1742" t="n">
        <v>0</v>
      </c>
      <c r="M1742" t="n">
        <v>0</v>
      </c>
      <c r="O1742" t="inlineStr">
        <is>
          <t>RLT1295</t>
        </is>
      </c>
      <c r="Q1742" s="114" t="n">
        <v>0</v>
      </c>
      <c r="R1742" s="114" t="n">
        <v>115.91</v>
      </c>
      <c r="S1742" s="114" t="n">
        <v>0</v>
      </c>
      <c r="T1742" t="n">
        <v>0</v>
      </c>
    </row>
    <row r="1743">
      <c r="A1743" t="inlineStr">
        <is>
          <t>ttJTrans</t>
        </is>
      </c>
      <c r="B1743" s="38" t="inlineStr">
        <is>
          <t>0-4006</t>
        </is>
      </c>
      <c r="C1743" t="inlineStr">
        <is>
          <t>ER</t>
        </is>
      </c>
      <c r="E1743" t="inlineStr">
        <is>
          <t>ER</t>
        </is>
      </c>
      <c r="G1743" s="42" t="inlineStr"/>
      <c r="H1743" s="127" t="n">
        <v>46166</v>
      </c>
      <c r="J1743" s="38" t="inlineStr">
        <is>
          <t>0-4006</t>
        </is>
      </c>
      <c r="K1743" t="inlineStr">
        <is>
          <t>RLT1295 SOLAR SURVEILLANCE TRAILER SOLAR SURVEILLANCE TRAILER</t>
        </is>
      </c>
      <c r="L1743" t="n">
        <v>0</v>
      </c>
      <c r="M1743" t="n">
        <v>0</v>
      </c>
      <c r="O1743" t="inlineStr">
        <is>
          <t>RLT1295</t>
        </is>
      </c>
      <c r="Q1743" s="114" t="n">
        <v>0</v>
      </c>
      <c r="R1743" s="114" t="n">
        <v>115.91</v>
      </c>
      <c r="S1743" s="114" t="n">
        <v>0</v>
      </c>
      <c r="T1743" t="n">
        <v>0</v>
      </c>
    </row>
    <row r="1744">
      <c r="A1744" t="inlineStr">
        <is>
          <t>ttJTrans</t>
        </is>
      </c>
      <c r="B1744" s="38" t="inlineStr">
        <is>
          <t>0-4006</t>
        </is>
      </c>
      <c r="C1744" t="inlineStr">
        <is>
          <t>ER</t>
        </is>
      </c>
      <c r="E1744" t="inlineStr">
        <is>
          <t>ER</t>
        </is>
      </c>
      <c r="G1744" s="42" t="inlineStr"/>
      <c r="H1744" s="127" t="n">
        <v>46166</v>
      </c>
      <c r="J1744" s="38" t="inlineStr">
        <is>
          <t>0-4006</t>
        </is>
      </c>
      <c r="K1744" t="inlineStr">
        <is>
          <t>RLT1295 SOLAR SURVEILLANCE TRAILER SOLAR SURVEILLANCE TRAILER</t>
        </is>
      </c>
      <c r="L1744" t="n">
        <v>0</v>
      </c>
      <c r="M1744" t="n">
        <v>0</v>
      </c>
      <c r="O1744" t="inlineStr">
        <is>
          <t>RLT1295</t>
        </is>
      </c>
      <c r="Q1744" s="114" t="n">
        <v>0</v>
      </c>
      <c r="R1744" s="114" t="n">
        <v>115.91</v>
      </c>
      <c r="S1744" s="114" t="n">
        <v>0</v>
      </c>
      <c r="T1744" t="n">
        <v>0</v>
      </c>
    </row>
    <row r="1745">
      <c r="A1745" t="inlineStr">
        <is>
          <t>ttJTrans</t>
        </is>
      </c>
      <c r="B1745" s="38" t="inlineStr">
        <is>
          <t>0-4006</t>
        </is>
      </c>
      <c r="C1745" t="inlineStr">
        <is>
          <t>ER</t>
        </is>
      </c>
      <c r="E1745" t="inlineStr">
        <is>
          <t>ER</t>
        </is>
      </c>
      <c r="G1745" s="42" t="inlineStr"/>
      <c r="H1745" s="127" t="n">
        <v>46166</v>
      </c>
      <c r="J1745" s="38" t="inlineStr">
        <is>
          <t>0-4006</t>
        </is>
      </c>
      <c r="K1745" t="inlineStr">
        <is>
          <t>RLT1295 SOLAR SURVEILLANCE TRAILER SOLAR SURVEILLANCE TRAILER</t>
        </is>
      </c>
      <c r="L1745" t="n">
        <v>0</v>
      </c>
      <c r="M1745" t="n">
        <v>0</v>
      </c>
      <c r="O1745" t="inlineStr">
        <is>
          <t>RLT1295</t>
        </is>
      </c>
      <c r="Q1745" s="114" t="n">
        <v>0</v>
      </c>
      <c r="R1745" s="114" t="n">
        <v>115.91</v>
      </c>
      <c r="S1745" s="114" t="n">
        <v>0</v>
      </c>
      <c r="T1745" t="n">
        <v>0</v>
      </c>
    </row>
    <row r="1746">
      <c r="A1746" t="inlineStr">
        <is>
          <t>ttJTrans</t>
        </is>
      </c>
      <c r="B1746" s="38" t="inlineStr">
        <is>
          <t>0-4006</t>
        </is>
      </c>
      <c r="C1746" t="inlineStr">
        <is>
          <t>ER</t>
        </is>
      </c>
      <c r="E1746" t="inlineStr">
        <is>
          <t>ER</t>
        </is>
      </c>
      <c r="G1746" s="42" t="inlineStr"/>
      <c r="H1746" s="127" t="n">
        <v>46166</v>
      </c>
      <c r="J1746" s="38" t="inlineStr">
        <is>
          <t>0-4006</t>
        </is>
      </c>
      <c r="K1746" t="inlineStr">
        <is>
          <t>RLT1296 SOLAR SURVEILLANCE TRAILER SOLAR SURVEILLANCE TRAILER</t>
        </is>
      </c>
      <c r="L1746" t="n">
        <v>0</v>
      </c>
      <c r="M1746" t="n">
        <v>0</v>
      </c>
      <c r="O1746" t="inlineStr">
        <is>
          <t>RLT1296</t>
        </is>
      </c>
      <c r="Q1746" s="114" t="n">
        <v>0</v>
      </c>
      <c r="R1746" s="114" t="n">
        <v>115.91</v>
      </c>
      <c r="S1746" s="114" t="n">
        <v>0</v>
      </c>
      <c r="T1746" t="n">
        <v>0</v>
      </c>
    </row>
    <row r="1747">
      <c r="A1747" t="inlineStr">
        <is>
          <t>ttJTrans</t>
        </is>
      </c>
      <c r="B1747" s="38" t="inlineStr">
        <is>
          <t>0-4006</t>
        </is>
      </c>
      <c r="C1747" t="inlineStr">
        <is>
          <t>ER</t>
        </is>
      </c>
      <c r="E1747" t="inlineStr">
        <is>
          <t>ER</t>
        </is>
      </c>
      <c r="G1747" s="42" t="inlineStr"/>
      <c r="H1747" s="127" t="n">
        <v>46166</v>
      </c>
      <c r="J1747" s="38" t="inlineStr">
        <is>
          <t>0-4006</t>
        </is>
      </c>
      <c r="K1747" t="inlineStr">
        <is>
          <t>RLT1296 SOLAR SURVEILLANCE TRAILER SOLAR SURVEILLANCE TRAILER</t>
        </is>
      </c>
      <c r="L1747" t="n">
        <v>0</v>
      </c>
      <c r="M1747" t="n">
        <v>0</v>
      </c>
      <c r="O1747" t="inlineStr">
        <is>
          <t>RLT1296</t>
        </is>
      </c>
      <c r="Q1747" s="114" t="n">
        <v>0</v>
      </c>
      <c r="R1747" s="114" t="n">
        <v>115.91</v>
      </c>
      <c r="S1747" s="114" t="n">
        <v>0</v>
      </c>
      <c r="T1747" t="n">
        <v>0</v>
      </c>
    </row>
    <row r="1748">
      <c r="A1748" t="inlineStr">
        <is>
          <t>ttJTrans</t>
        </is>
      </c>
      <c r="B1748" s="38" t="inlineStr">
        <is>
          <t>0-4006</t>
        </is>
      </c>
      <c r="C1748" t="inlineStr">
        <is>
          <t>ER</t>
        </is>
      </c>
      <c r="E1748" t="inlineStr">
        <is>
          <t>ER</t>
        </is>
      </c>
      <c r="G1748" s="42" t="inlineStr"/>
      <c r="H1748" s="127" t="n">
        <v>46166</v>
      </c>
      <c r="J1748" s="38" t="inlineStr">
        <is>
          <t>0-4006</t>
        </is>
      </c>
      <c r="K1748" t="inlineStr">
        <is>
          <t>RLT1296 SOLAR SURVEILLANCE TRAILER SOLAR SURVEILLANCE TRAILER</t>
        </is>
      </c>
      <c r="L1748" t="n">
        <v>0</v>
      </c>
      <c r="M1748" t="n">
        <v>0</v>
      </c>
      <c r="O1748" t="inlineStr">
        <is>
          <t>RLT1296</t>
        </is>
      </c>
      <c r="Q1748" s="114" t="n">
        <v>0</v>
      </c>
      <c r="R1748" s="114" t="n">
        <v>115.91</v>
      </c>
      <c r="S1748" s="114" t="n">
        <v>0</v>
      </c>
      <c r="T1748" t="n">
        <v>0</v>
      </c>
    </row>
    <row r="1749">
      <c r="A1749" t="inlineStr">
        <is>
          <t>ttJTrans</t>
        </is>
      </c>
      <c r="B1749" s="38" t="inlineStr">
        <is>
          <t>0-4006</t>
        </is>
      </c>
      <c r="C1749" t="inlineStr">
        <is>
          <t>ER</t>
        </is>
      </c>
      <c r="E1749" t="inlineStr">
        <is>
          <t>ER</t>
        </is>
      </c>
      <c r="G1749" s="42" t="inlineStr"/>
      <c r="H1749" s="127" t="n">
        <v>46166</v>
      </c>
      <c r="J1749" s="38" t="inlineStr">
        <is>
          <t>0-4006</t>
        </is>
      </c>
      <c r="K1749" t="inlineStr">
        <is>
          <t>RLT1296 SOLAR SURVEILLANCE TRAILER SOLAR SURVEILLANCE TRAILER</t>
        </is>
      </c>
      <c r="L1749" t="n">
        <v>0</v>
      </c>
      <c r="M1749" t="n">
        <v>0</v>
      </c>
      <c r="O1749" t="inlineStr">
        <is>
          <t>RLT1296</t>
        </is>
      </c>
      <c r="Q1749" s="114" t="n">
        <v>0</v>
      </c>
      <c r="R1749" s="114" t="n">
        <v>115.91</v>
      </c>
      <c r="S1749" s="114" t="n">
        <v>0</v>
      </c>
      <c r="T1749" t="n">
        <v>0</v>
      </c>
    </row>
    <row r="1750">
      <c r="A1750" t="inlineStr">
        <is>
          <t>ttJTrans</t>
        </is>
      </c>
      <c r="B1750" s="38" t="inlineStr">
        <is>
          <t>0-4006</t>
        </is>
      </c>
      <c r="C1750" t="inlineStr">
        <is>
          <t>ER</t>
        </is>
      </c>
      <c r="E1750" t="inlineStr">
        <is>
          <t>ER</t>
        </is>
      </c>
      <c r="G1750" s="42" t="inlineStr"/>
      <c r="H1750" s="127" t="n">
        <v>46166</v>
      </c>
      <c r="J1750" s="38" t="inlineStr">
        <is>
          <t>0-4006</t>
        </is>
      </c>
      <c r="K1750" t="inlineStr">
        <is>
          <t>RLT1296 SOLAR SURVEILLANCE TRAILER SOLAR SURVEILLANCE TRAILER</t>
        </is>
      </c>
      <c r="L1750" t="n">
        <v>0</v>
      </c>
      <c r="M1750" t="n">
        <v>0</v>
      </c>
      <c r="O1750" t="inlineStr">
        <is>
          <t>RLT1296</t>
        </is>
      </c>
      <c r="Q1750" s="114" t="n">
        <v>0</v>
      </c>
      <c r="R1750" s="114" t="n">
        <v>115.91</v>
      </c>
      <c r="S1750" s="114" t="n">
        <v>0</v>
      </c>
      <c r="T1750" t="n">
        <v>0</v>
      </c>
    </row>
    <row r="1751">
      <c r="A1751" t="inlineStr">
        <is>
          <t>ttJTrans</t>
        </is>
      </c>
      <c r="B1751" s="38" t="inlineStr">
        <is>
          <t>0-4006</t>
        </is>
      </c>
      <c r="C1751" t="inlineStr">
        <is>
          <t>ER</t>
        </is>
      </c>
      <c r="E1751" t="inlineStr">
        <is>
          <t>ER</t>
        </is>
      </c>
      <c r="G1751" s="42" t="inlineStr"/>
      <c r="H1751" s="127" t="n">
        <v>46166</v>
      </c>
      <c r="J1751" s="38" t="inlineStr">
        <is>
          <t>0-4006</t>
        </is>
      </c>
      <c r="K1751" t="inlineStr">
        <is>
          <t>RLT1296 SOLAR SURVEILLANCE TRAILER SOLAR SURVEILLANCE TRAILER</t>
        </is>
      </c>
      <c r="L1751" t="n">
        <v>0</v>
      </c>
      <c r="M1751" t="n">
        <v>0</v>
      </c>
      <c r="O1751" t="inlineStr">
        <is>
          <t>RLT1296</t>
        </is>
      </c>
      <c r="Q1751" s="114" t="n">
        <v>0</v>
      </c>
      <c r="R1751" s="114" t="n">
        <v>115.91</v>
      </c>
      <c r="S1751" s="114" t="n">
        <v>0</v>
      </c>
      <c r="T1751" t="n">
        <v>0</v>
      </c>
    </row>
    <row r="1752">
      <c r="A1752" t="inlineStr">
        <is>
          <t>ttJTrans</t>
        </is>
      </c>
      <c r="B1752" s="38" t="inlineStr">
        <is>
          <t>0-4006</t>
        </is>
      </c>
      <c r="C1752" t="inlineStr">
        <is>
          <t>ER</t>
        </is>
      </c>
      <c r="E1752" t="inlineStr">
        <is>
          <t>ER</t>
        </is>
      </c>
      <c r="G1752" s="42" t="inlineStr"/>
      <c r="H1752" s="127" t="n">
        <v>46166</v>
      </c>
      <c r="J1752" s="38" t="inlineStr">
        <is>
          <t>0-4006</t>
        </is>
      </c>
      <c r="K1752" t="inlineStr">
        <is>
          <t>RLT1297 SOLAR SURVEILLANCE TRAILER SOLAR SURVEILLANCE TRAILER</t>
        </is>
      </c>
      <c r="L1752" t="n">
        <v>0</v>
      </c>
      <c r="M1752" t="n">
        <v>0</v>
      </c>
      <c r="O1752" t="inlineStr">
        <is>
          <t>RLT1297</t>
        </is>
      </c>
      <c r="Q1752" s="114" t="n">
        <v>0</v>
      </c>
      <c r="R1752" s="114" t="n">
        <v>115.91</v>
      </c>
      <c r="S1752" s="114" t="n">
        <v>0</v>
      </c>
      <c r="T1752" t="n">
        <v>0</v>
      </c>
    </row>
    <row r="1753">
      <c r="A1753" t="inlineStr">
        <is>
          <t>ttJTrans</t>
        </is>
      </c>
      <c r="B1753" s="38" t="inlineStr">
        <is>
          <t>0-4006</t>
        </is>
      </c>
      <c r="C1753" t="inlineStr">
        <is>
          <t>ER</t>
        </is>
      </c>
      <c r="E1753" t="inlineStr">
        <is>
          <t>ER</t>
        </is>
      </c>
      <c r="G1753" s="42" t="inlineStr"/>
      <c r="H1753" s="127" t="n">
        <v>46166</v>
      </c>
      <c r="J1753" s="38" t="inlineStr">
        <is>
          <t>0-4006</t>
        </is>
      </c>
      <c r="K1753" t="inlineStr">
        <is>
          <t>RLT1297 SOLAR SURVEILLANCE TRAILER SOLAR SURVEILLANCE TRAILER</t>
        </is>
      </c>
      <c r="L1753" t="n">
        <v>0</v>
      </c>
      <c r="M1753" t="n">
        <v>0</v>
      </c>
      <c r="O1753" t="inlineStr">
        <is>
          <t>RLT1297</t>
        </is>
      </c>
      <c r="Q1753" s="114" t="n">
        <v>0</v>
      </c>
      <c r="R1753" s="114" t="n">
        <v>115.91</v>
      </c>
      <c r="S1753" s="114" t="n">
        <v>0</v>
      </c>
      <c r="T1753" t="n">
        <v>0</v>
      </c>
    </row>
    <row r="1754">
      <c r="A1754" t="inlineStr">
        <is>
          <t>ttJTrans</t>
        </is>
      </c>
      <c r="B1754" s="38" t="inlineStr">
        <is>
          <t>0-4006</t>
        </is>
      </c>
      <c r="C1754" t="inlineStr">
        <is>
          <t>ER</t>
        </is>
      </c>
      <c r="E1754" t="inlineStr">
        <is>
          <t>ER</t>
        </is>
      </c>
      <c r="G1754" s="42" t="inlineStr"/>
      <c r="H1754" s="127" t="n">
        <v>46166</v>
      </c>
      <c r="J1754" s="38" t="inlineStr">
        <is>
          <t>0-4006</t>
        </is>
      </c>
      <c r="K1754" t="inlineStr">
        <is>
          <t>RLT1297 SOLAR SURVEILLANCE TRAILER SOLAR SURVEILLANCE TRAILER</t>
        </is>
      </c>
      <c r="L1754" t="n">
        <v>0</v>
      </c>
      <c r="M1754" t="n">
        <v>0</v>
      </c>
      <c r="O1754" t="inlineStr">
        <is>
          <t>RLT1297</t>
        </is>
      </c>
      <c r="Q1754" s="114" t="n">
        <v>0</v>
      </c>
      <c r="R1754" s="114" t="n">
        <v>115.91</v>
      </c>
      <c r="S1754" s="114" t="n">
        <v>0</v>
      </c>
      <c r="T1754" t="n">
        <v>0</v>
      </c>
    </row>
    <row r="1755">
      <c r="A1755" t="inlineStr">
        <is>
          <t>ttJTrans</t>
        </is>
      </c>
      <c r="B1755" s="38" t="inlineStr">
        <is>
          <t>0-4006</t>
        </is>
      </c>
      <c r="C1755" t="inlineStr">
        <is>
          <t>ER</t>
        </is>
      </c>
      <c r="E1755" t="inlineStr">
        <is>
          <t>ER</t>
        </is>
      </c>
      <c r="G1755" s="42" t="inlineStr"/>
      <c r="H1755" s="127" t="n">
        <v>46166</v>
      </c>
      <c r="J1755" s="38" t="inlineStr">
        <is>
          <t>0-4006</t>
        </is>
      </c>
      <c r="K1755" t="inlineStr">
        <is>
          <t>RLT1297 SOLAR SURVEILLANCE TRAILER SOLAR SURVEILLANCE TRAILER</t>
        </is>
      </c>
      <c r="L1755" t="n">
        <v>0</v>
      </c>
      <c r="M1755" t="n">
        <v>0</v>
      </c>
      <c r="O1755" t="inlineStr">
        <is>
          <t>RLT1297</t>
        </is>
      </c>
      <c r="Q1755" s="114" t="n">
        <v>0</v>
      </c>
      <c r="R1755" s="114" t="n">
        <v>115.91</v>
      </c>
      <c r="S1755" s="114" t="n">
        <v>0</v>
      </c>
      <c r="T1755" t="n">
        <v>0</v>
      </c>
    </row>
    <row r="1756">
      <c r="A1756" t="inlineStr">
        <is>
          <t>ttJTrans</t>
        </is>
      </c>
      <c r="B1756" s="38" t="inlineStr">
        <is>
          <t>0-4006</t>
        </is>
      </c>
      <c r="C1756" t="inlineStr">
        <is>
          <t>ER</t>
        </is>
      </c>
      <c r="E1756" t="inlineStr">
        <is>
          <t>ER</t>
        </is>
      </c>
      <c r="G1756" s="42" t="inlineStr"/>
      <c r="H1756" s="127" t="n">
        <v>46166</v>
      </c>
      <c r="J1756" s="38" t="inlineStr">
        <is>
          <t>0-4006</t>
        </is>
      </c>
      <c r="K1756" t="inlineStr">
        <is>
          <t>RLT1297 SOLAR SURVEILLANCE TRAILER SOLAR SURVEILLANCE TRAILER</t>
        </is>
      </c>
      <c r="L1756" t="n">
        <v>0</v>
      </c>
      <c r="M1756" t="n">
        <v>0</v>
      </c>
      <c r="O1756" t="inlineStr">
        <is>
          <t>RLT1297</t>
        </is>
      </c>
      <c r="Q1756" s="114" t="n">
        <v>0</v>
      </c>
      <c r="R1756" s="114" t="n">
        <v>115.91</v>
      </c>
      <c r="S1756" s="114" t="n">
        <v>0</v>
      </c>
      <c r="T1756" t="n">
        <v>0</v>
      </c>
    </row>
    <row r="1757">
      <c r="A1757" t="inlineStr">
        <is>
          <t>ttJTrans</t>
        </is>
      </c>
      <c r="B1757" s="38" t="inlineStr">
        <is>
          <t>0-4006</t>
        </is>
      </c>
      <c r="C1757" t="inlineStr">
        <is>
          <t>ER</t>
        </is>
      </c>
      <c r="E1757" t="inlineStr">
        <is>
          <t>ER</t>
        </is>
      </c>
      <c r="G1757" s="42" t="inlineStr"/>
      <c r="H1757" s="127" t="n">
        <v>46166</v>
      </c>
      <c r="J1757" s="38" t="inlineStr">
        <is>
          <t>0-4006</t>
        </is>
      </c>
      <c r="K1757" t="inlineStr">
        <is>
          <t>RLT1297 SOLAR SURVEILLANCE TRAILER SOLAR SURVEILLANCE TRAILER</t>
        </is>
      </c>
      <c r="L1757" t="n">
        <v>0</v>
      </c>
      <c r="M1757" t="n">
        <v>0</v>
      </c>
      <c r="O1757" t="inlineStr">
        <is>
          <t>RLT1297</t>
        </is>
      </c>
      <c r="Q1757" s="114" t="n">
        <v>0</v>
      </c>
      <c r="R1757" s="114" t="n">
        <v>115.91</v>
      </c>
      <c r="S1757" s="114" t="n">
        <v>0</v>
      </c>
      <c r="T1757" t="n">
        <v>0</v>
      </c>
    </row>
    <row r="1758">
      <c r="A1758" t="inlineStr">
        <is>
          <t>ttJTrans</t>
        </is>
      </c>
      <c r="B1758" s="38" t="inlineStr">
        <is>
          <t>0-4006</t>
        </is>
      </c>
      <c r="C1758" t="inlineStr">
        <is>
          <t>ER</t>
        </is>
      </c>
      <c r="E1758" t="inlineStr">
        <is>
          <t>ER</t>
        </is>
      </c>
      <c r="G1758" s="42" t="inlineStr"/>
      <c r="H1758" s="127" t="n">
        <v>46166</v>
      </c>
      <c r="J1758" s="38" t="inlineStr">
        <is>
          <t>0-4006</t>
        </is>
      </c>
      <c r="K1758" t="inlineStr">
        <is>
          <t>RLT1298 SOLAR SURVEILLANCE TRAILER SOLAR SURVEILLANCE TRAILER</t>
        </is>
      </c>
      <c r="L1758" t="n">
        <v>0</v>
      </c>
      <c r="M1758" t="n">
        <v>0</v>
      </c>
      <c r="O1758" t="inlineStr">
        <is>
          <t>RLT1298</t>
        </is>
      </c>
      <c r="Q1758" s="114" t="n">
        <v>0</v>
      </c>
      <c r="R1758" s="114" t="n">
        <v>115.91</v>
      </c>
      <c r="S1758" s="114" t="n">
        <v>0</v>
      </c>
      <c r="T1758" t="n">
        <v>0</v>
      </c>
    </row>
    <row r="1759">
      <c r="A1759" t="inlineStr">
        <is>
          <t>ttJTrans</t>
        </is>
      </c>
      <c r="B1759" s="38" t="inlineStr">
        <is>
          <t>0-4006</t>
        </is>
      </c>
      <c r="C1759" t="inlineStr">
        <is>
          <t>ER</t>
        </is>
      </c>
      <c r="E1759" t="inlineStr">
        <is>
          <t>ER</t>
        </is>
      </c>
      <c r="G1759" s="42" t="inlineStr"/>
      <c r="H1759" s="127" t="n">
        <v>46166</v>
      </c>
      <c r="J1759" s="38" t="inlineStr">
        <is>
          <t>0-4006</t>
        </is>
      </c>
      <c r="K1759" t="inlineStr">
        <is>
          <t>RLT1298 SOLAR SURVEILLANCE TRAILER SOLAR SURVEILLANCE TRAILER</t>
        </is>
      </c>
      <c r="L1759" t="n">
        <v>0</v>
      </c>
      <c r="M1759" t="n">
        <v>0</v>
      </c>
      <c r="O1759" t="inlineStr">
        <is>
          <t>RLT1298</t>
        </is>
      </c>
      <c r="Q1759" s="114" t="n">
        <v>0</v>
      </c>
      <c r="R1759" s="114" t="n">
        <v>115.91</v>
      </c>
      <c r="S1759" s="114" t="n">
        <v>0</v>
      </c>
      <c r="T1759" t="n">
        <v>0</v>
      </c>
    </row>
    <row r="1760">
      <c r="A1760" t="inlineStr">
        <is>
          <t>ttJTrans</t>
        </is>
      </c>
      <c r="B1760" s="38" t="inlineStr">
        <is>
          <t>0-4006</t>
        </is>
      </c>
      <c r="C1760" t="inlineStr">
        <is>
          <t>ER</t>
        </is>
      </c>
      <c r="E1760" t="inlineStr">
        <is>
          <t>ER</t>
        </is>
      </c>
      <c r="G1760" s="42" t="inlineStr"/>
      <c r="H1760" s="127" t="n">
        <v>46166</v>
      </c>
      <c r="J1760" s="38" t="inlineStr">
        <is>
          <t>0-4006</t>
        </is>
      </c>
      <c r="K1760" t="inlineStr">
        <is>
          <t>RLT1298 SOLAR SURVEILLANCE TRAILER SOLAR SURVEILLANCE TRAILER</t>
        </is>
      </c>
      <c r="L1760" t="n">
        <v>0</v>
      </c>
      <c r="M1760" t="n">
        <v>0</v>
      </c>
      <c r="O1760" t="inlineStr">
        <is>
          <t>RLT1298</t>
        </is>
      </c>
      <c r="Q1760" s="114" t="n">
        <v>0</v>
      </c>
      <c r="R1760" s="114" t="n">
        <v>115.91</v>
      </c>
      <c r="S1760" s="114" t="n">
        <v>0</v>
      </c>
      <c r="T1760" t="n">
        <v>0</v>
      </c>
    </row>
    <row r="1761">
      <c r="A1761" t="inlineStr">
        <is>
          <t>ttJTrans</t>
        </is>
      </c>
      <c r="B1761" s="38" t="inlineStr">
        <is>
          <t>0-4006</t>
        </is>
      </c>
      <c r="C1761" t="inlineStr">
        <is>
          <t>ER</t>
        </is>
      </c>
      <c r="E1761" t="inlineStr">
        <is>
          <t>ER</t>
        </is>
      </c>
      <c r="G1761" s="42" t="inlineStr"/>
      <c r="H1761" s="127" t="n">
        <v>46166</v>
      </c>
      <c r="J1761" s="38" t="inlineStr">
        <is>
          <t>0-4006</t>
        </is>
      </c>
      <c r="K1761" t="inlineStr">
        <is>
          <t>RLT1298 SOLAR SURVEILLANCE TRAILER SOLAR SURVEILLANCE TRAILER</t>
        </is>
      </c>
      <c r="L1761" t="n">
        <v>0</v>
      </c>
      <c r="M1761" t="n">
        <v>0</v>
      </c>
      <c r="O1761" t="inlineStr">
        <is>
          <t>RLT1298</t>
        </is>
      </c>
      <c r="Q1761" s="114" t="n">
        <v>0</v>
      </c>
      <c r="R1761" s="114" t="n">
        <v>115.91</v>
      </c>
      <c r="S1761" s="114" t="n">
        <v>0</v>
      </c>
      <c r="T1761" t="n">
        <v>0</v>
      </c>
    </row>
    <row r="1762">
      <c r="A1762" t="inlineStr">
        <is>
          <t>ttJTrans</t>
        </is>
      </c>
      <c r="B1762" s="38" t="inlineStr">
        <is>
          <t>0-4006</t>
        </is>
      </c>
      <c r="C1762" t="inlineStr">
        <is>
          <t>ER</t>
        </is>
      </c>
      <c r="E1762" t="inlineStr">
        <is>
          <t>ER</t>
        </is>
      </c>
      <c r="G1762" s="42" t="inlineStr"/>
      <c r="H1762" s="127" t="n">
        <v>46166</v>
      </c>
      <c r="J1762" s="38" t="inlineStr">
        <is>
          <t>0-4006</t>
        </is>
      </c>
      <c r="K1762" t="inlineStr">
        <is>
          <t>RLT1298 SOLAR SURVEILLANCE TRAILER SOLAR SURVEILLANCE TRAILER</t>
        </is>
      </c>
      <c r="L1762" t="n">
        <v>0</v>
      </c>
      <c r="M1762" t="n">
        <v>0</v>
      </c>
      <c r="O1762" t="inlineStr">
        <is>
          <t>RLT1298</t>
        </is>
      </c>
      <c r="Q1762" s="114" t="n">
        <v>0</v>
      </c>
      <c r="R1762" s="114" t="n">
        <v>115.91</v>
      </c>
      <c r="S1762" s="114" t="n">
        <v>0</v>
      </c>
      <c r="T1762" t="n">
        <v>0</v>
      </c>
    </row>
    <row r="1763">
      <c r="A1763" t="inlineStr">
        <is>
          <t>ttJTrans</t>
        </is>
      </c>
      <c r="B1763" s="38" t="inlineStr">
        <is>
          <t>0-4006</t>
        </is>
      </c>
      <c r="C1763" t="inlineStr">
        <is>
          <t>ER</t>
        </is>
      </c>
      <c r="E1763" t="inlineStr">
        <is>
          <t>ER</t>
        </is>
      </c>
      <c r="G1763" s="42" t="inlineStr"/>
      <c r="H1763" s="127" t="n">
        <v>46166</v>
      </c>
      <c r="J1763" s="38" t="inlineStr">
        <is>
          <t>0-4006</t>
        </is>
      </c>
      <c r="K1763" t="inlineStr">
        <is>
          <t>RLT1298 SOLAR SURVEILLANCE TRAILER SOLAR SURVEILLANCE TRAILER</t>
        </is>
      </c>
      <c r="L1763" t="n">
        <v>0</v>
      </c>
      <c r="M1763" t="n">
        <v>0</v>
      </c>
      <c r="O1763" t="inlineStr">
        <is>
          <t>RLT1298</t>
        </is>
      </c>
      <c r="Q1763" s="114" t="n">
        <v>0</v>
      </c>
      <c r="R1763" s="114" t="n">
        <v>115.91</v>
      </c>
      <c r="S1763" s="114" t="n">
        <v>0</v>
      </c>
      <c r="T1763" t="n">
        <v>0</v>
      </c>
    </row>
    <row r="1764">
      <c r="A1764" t="inlineStr">
        <is>
          <t>ttJTrans</t>
        </is>
      </c>
      <c r="B1764" s="38" t="inlineStr">
        <is>
          <t>0-4006</t>
        </is>
      </c>
      <c r="C1764" t="inlineStr">
        <is>
          <t>LA</t>
        </is>
      </c>
      <c r="E1764" t="inlineStr">
        <is>
          <t>LA</t>
        </is>
      </c>
      <c r="G1764" s="42" t="inlineStr"/>
      <c r="H1764" s="127" t="n">
        <v>46093</v>
      </c>
      <c r="J1764" s="38" t="inlineStr">
        <is>
          <t>0-4006</t>
        </is>
      </c>
      <c r="K1764" t="inlineStr">
        <is>
          <t>PR P0COST 000521 (PR) Summary</t>
        </is>
      </c>
      <c r="L1764" t="n">
        <v>0</v>
      </c>
      <c r="M1764" t="n">
        <v>0</v>
      </c>
      <c r="Q1764" s="114" t="n">
        <v>0</v>
      </c>
      <c r="R1764" s="114" t="n">
        <v>645.04</v>
      </c>
      <c r="S1764" s="114" t="n">
        <v>0</v>
      </c>
      <c r="T1764" t="n">
        <v>11.02</v>
      </c>
    </row>
    <row r="1765">
      <c r="A1765" t="inlineStr">
        <is>
          <t>ttJTrans</t>
        </is>
      </c>
      <c r="B1765" s="38" t="inlineStr">
        <is>
          <t>0-4006</t>
        </is>
      </c>
      <c r="C1765" t="inlineStr">
        <is>
          <t>LA</t>
        </is>
      </c>
      <c r="E1765" t="inlineStr">
        <is>
          <t>LA</t>
        </is>
      </c>
      <c r="G1765" s="42" t="inlineStr"/>
      <c r="H1765" s="127" t="n">
        <v>46093</v>
      </c>
      <c r="J1765" s="38" t="inlineStr">
        <is>
          <t>0-4006</t>
        </is>
      </c>
      <c r="K1765" t="inlineStr">
        <is>
          <t>PR P0COST 000521 (PR) Summary</t>
        </is>
      </c>
      <c r="L1765" t="n">
        <v>0</v>
      </c>
      <c r="M1765" t="n">
        <v>0</v>
      </c>
      <c r="Q1765" s="114" t="n">
        <v>0</v>
      </c>
      <c r="R1765" s="114" t="n">
        <v>645.0599999999999</v>
      </c>
      <c r="S1765" s="114" t="n">
        <v>0</v>
      </c>
      <c r="T1765" t="n">
        <v>11</v>
      </c>
    </row>
    <row r="1766">
      <c r="A1766" t="inlineStr">
        <is>
          <t>ttJTrans</t>
        </is>
      </c>
      <c r="B1766" s="38" t="inlineStr">
        <is>
          <t>0-4006</t>
        </is>
      </c>
      <c r="C1766" t="inlineStr">
        <is>
          <t>LA</t>
        </is>
      </c>
      <c r="E1766" t="inlineStr">
        <is>
          <t>LA</t>
        </is>
      </c>
      <c r="G1766" s="42" t="inlineStr"/>
      <c r="H1766" s="127" t="n">
        <v>46100</v>
      </c>
      <c r="J1766" s="38" t="inlineStr">
        <is>
          <t>0-4006</t>
        </is>
      </c>
      <c r="K1766" t="inlineStr">
        <is>
          <t>PR P0COST 000522 (PR) Summary</t>
        </is>
      </c>
      <c r="L1766" t="n">
        <v>0</v>
      </c>
      <c r="M1766" t="n">
        <v>0</v>
      </c>
      <c r="Q1766" s="114" t="n">
        <v>0</v>
      </c>
      <c r="R1766" s="114" t="n">
        <v>629.58</v>
      </c>
      <c r="S1766" s="114" t="n">
        <v>0</v>
      </c>
      <c r="T1766" t="n">
        <v>11.52</v>
      </c>
    </row>
    <row r="1767">
      <c r="A1767" t="inlineStr">
        <is>
          <t>ttJTrans</t>
        </is>
      </c>
      <c r="B1767" s="38" t="inlineStr">
        <is>
          <t>0-4006</t>
        </is>
      </c>
      <c r="C1767" t="inlineStr">
        <is>
          <t>LA</t>
        </is>
      </c>
      <c r="E1767" t="inlineStr">
        <is>
          <t>LA</t>
        </is>
      </c>
      <c r="G1767" s="42" t="inlineStr"/>
      <c r="H1767" s="127" t="n">
        <v>46128</v>
      </c>
      <c r="J1767" s="38" t="inlineStr">
        <is>
          <t>0-4006</t>
        </is>
      </c>
      <c r="K1767" t="inlineStr">
        <is>
          <t>PR P0COST 000526 (PR) Summary</t>
        </is>
      </c>
      <c r="L1767" t="n">
        <v>0</v>
      </c>
      <c r="M1767" t="n">
        <v>0</v>
      </c>
      <c r="Q1767" s="114" t="n">
        <v>0</v>
      </c>
      <c r="R1767" s="114" t="n">
        <v>289.27</v>
      </c>
      <c r="S1767" s="114" t="n">
        <v>0</v>
      </c>
      <c r="T1767" t="n">
        <v>8</v>
      </c>
    </row>
    <row r="1768">
      <c r="A1768" t="inlineStr">
        <is>
          <t>ttJTrans</t>
        </is>
      </c>
      <c r="B1768" s="38" t="inlineStr">
        <is>
          <t>0-4006</t>
        </is>
      </c>
      <c r="C1768" t="inlineStr">
        <is>
          <t>LA</t>
        </is>
      </c>
      <c r="E1768" t="inlineStr">
        <is>
          <t>LA</t>
        </is>
      </c>
      <c r="G1768" s="42" t="inlineStr"/>
      <c r="H1768" s="127" t="n">
        <v>46128</v>
      </c>
      <c r="J1768" s="38" t="inlineStr">
        <is>
          <t>0-4006</t>
        </is>
      </c>
      <c r="K1768" t="inlineStr">
        <is>
          <t>PR P0COST 000526 (PR) Summary</t>
        </is>
      </c>
      <c r="L1768" t="n">
        <v>0</v>
      </c>
      <c r="M1768" t="n">
        <v>0</v>
      </c>
      <c r="Q1768" s="114" t="n">
        <v>0</v>
      </c>
      <c r="R1768" s="114" t="n">
        <v>289.27</v>
      </c>
      <c r="S1768" s="114" t="n">
        <v>0</v>
      </c>
      <c r="T1768" t="n">
        <v>8</v>
      </c>
    </row>
    <row r="1769">
      <c r="A1769" t="inlineStr">
        <is>
          <t>ttJTrans</t>
        </is>
      </c>
      <c r="B1769" s="38" t="inlineStr">
        <is>
          <t>0-4006</t>
        </is>
      </c>
      <c r="C1769" t="inlineStr">
        <is>
          <t>LA</t>
        </is>
      </c>
      <c r="E1769" t="inlineStr">
        <is>
          <t>LA</t>
        </is>
      </c>
      <c r="G1769" s="42" t="inlineStr"/>
      <c r="H1769" s="127" t="n">
        <v>46149</v>
      </c>
      <c r="J1769" s="38" t="inlineStr">
        <is>
          <t>0-4006</t>
        </is>
      </c>
      <c r="K1769" t="inlineStr">
        <is>
          <t>PR P0COST 000529 (PR) Summary</t>
        </is>
      </c>
      <c r="L1769" t="n">
        <v>0</v>
      </c>
      <c r="M1769" t="n">
        <v>0</v>
      </c>
      <c r="Q1769" s="114" t="n">
        <v>0</v>
      </c>
      <c r="R1769" s="114" t="n">
        <v>2623.41</v>
      </c>
      <c r="S1769" s="114" t="n">
        <v>0</v>
      </c>
      <c r="T1769" t="n">
        <v>32</v>
      </c>
    </row>
    <row r="1770">
      <c r="A1770" t="inlineStr">
        <is>
          <t>ttJTrans</t>
        </is>
      </c>
      <c r="B1770" s="38" t="inlineStr">
        <is>
          <t>0-4006</t>
        </is>
      </c>
      <c r="C1770" t="inlineStr">
        <is>
          <t>LA</t>
        </is>
      </c>
      <c r="E1770" t="inlineStr">
        <is>
          <t>LA</t>
        </is>
      </c>
      <c r="G1770" s="42" t="inlineStr"/>
      <c r="H1770" s="127" t="n">
        <v>46149</v>
      </c>
      <c r="J1770" s="38" t="inlineStr">
        <is>
          <t>0-4006</t>
        </is>
      </c>
      <c r="K1770" t="inlineStr">
        <is>
          <t>PR P0COST 000529 (PR) Summary</t>
        </is>
      </c>
      <c r="L1770" t="n">
        <v>0</v>
      </c>
      <c r="M1770" t="n">
        <v>0</v>
      </c>
      <c r="Q1770" s="114" t="n">
        <v>0</v>
      </c>
      <c r="R1770" s="114" t="n">
        <v>3461.46</v>
      </c>
      <c r="S1770" s="114" t="n">
        <v>0</v>
      </c>
      <c r="T1770" t="n">
        <v>74</v>
      </c>
    </row>
    <row r="1771">
      <c r="A1771" t="inlineStr">
        <is>
          <t>ttJTrans</t>
        </is>
      </c>
      <c r="B1771" s="38" t="inlineStr">
        <is>
          <t>0-4006</t>
        </is>
      </c>
      <c r="C1771" t="inlineStr">
        <is>
          <t>LA</t>
        </is>
      </c>
      <c r="E1771" t="inlineStr">
        <is>
          <t>LA</t>
        </is>
      </c>
      <c r="G1771" s="42" t="inlineStr"/>
      <c r="H1771" s="127" t="n">
        <v>46142</v>
      </c>
      <c r="J1771" s="38" t="inlineStr">
        <is>
          <t>0-4006</t>
        </is>
      </c>
      <c r="K1771" t="inlineStr">
        <is>
          <t>PR P0COST 000528 (PR) Summary</t>
        </is>
      </c>
      <c r="L1771" t="n">
        <v>0</v>
      </c>
      <c r="M1771" t="n">
        <v>0</v>
      </c>
      <c r="Q1771" s="114" t="n">
        <v>0</v>
      </c>
      <c r="R1771" s="114" t="n">
        <v>2244.94</v>
      </c>
      <c r="S1771" s="114" t="n">
        <v>0</v>
      </c>
      <c r="T1771" t="n">
        <v>50</v>
      </c>
    </row>
    <row r="1772">
      <c r="A1772" t="inlineStr">
        <is>
          <t>ttJTrans</t>
        </is>
      </c>
      <c r="B1772" s="38" t="inlineStr">
        <is>
          <t>0-4006</t>
        </is>
      </c>
      <c r="C1772" t="inlineStr">
        <is>
          <t>LA</t>
        </is>
      </c>
      <c r="E1772" t="inlineStr">
        <is>
          <t>LA</t>
        </is>
      </c>
      <c r="G1772" s="42" t="inlineStr"/>
      <c r="H1772" s="127" t="n">
        <v>46142</v>
      </c>
      <c r="J1772" s="38" t="inlineStr">
        <is>
          <t>0-4006</t>
        </is>
      </c>
      <c r="K1772" t="inlineStr">
        <is>
          <t>PR P0COST 000528 (PR) Summary</t>
        </is>
      </c>
      <c r="L1772" t="n">
        <v>0</v>
      </c>
      <c r="M1772" t="n">
        <v>0</v>
      </c>
      <c r="Q1772" s="114" t="n">
        <v>0</v>
      </c>
      <c r="R1772" s="114" t="n">
        <v>4564.14</v>
      </c>
      <c r="S1772" s="114" t="n">
        <v>0</v>
      </c>
      <c r="T1772" t="n">
        <v>80</v>
      </c>
    </row>
    <row r="1773">
      <c r="A1773" t="inlineStr">
        <is>
          <t>ttJTrans</t>
        </is>
      </c>
      <c r="B1773" s="38" t="inlineStr">
        <is>
          <t>0-4006</t>
        </is>
      </c>
      <c r="C1773" t="inlineStr">
        <is>
          <t>LA</t>
        </is>
      </c>
      <c r="E1773" t="inlineStr">
        <is>
          <t>LA</t>
        </is>
      </c>
      <c r="G1773" s="42" t="inlineStr"/>
      <c r="H1773" s="127" t="n">
        <v>46142</v>
      </c>
      <c r="J1773" s="38" t="inlineStr">
        <is>
          <t>0-4006</t>
        </is>
      </c>
      <c r="K1773" t="inlineStr">
        <is>
          <t>PR P0COST 000528 (PR) Summary</t>
        </is>
      </c>
      <c r="L1773" t="n">
        <v>0</v>
      </c>
      <c r="M1773" t="n">
        <v>0</v>
      </c>
      <c r="Q1773" s="114" t="n">
        <v>0</v>
      </c>
      <c r="R1773" s="114" t="n">
        <v>969.6799999999999</v>
      </c>
      <c r="S1773" s="114" t="n">
        <v>0</v>
      </c>
      <c r="T1773" t="n">
        <v>17.02</v>
      </c>
    </row>
    <row r="1774">
      <c r="A1774" t="inlineStr">
        <is>
          <t>ttJTrans</t>
        </is>
      </c>
      <c r="B1774" s="38" t="inlineStr">
        <is>
          <t>0-4006</t>
        </is>
      </c>
      <c r="C1774" t="inlineStr">
        <is>
          <t>LA</t>
        </is>
      </c>
      <c r="E1774" t="inlineStr">
        <is>
          <t>LA</t>
        </is>
      </c>
      <c r="G1774" s="42" t="inlineStr"/>
      <c r="H1774" s="127" t="n">
        <v>46142</v>
      </c>
      <c r="J1774" s="38" t="inlineStr">
        <is>
          <t>0-4006</t>
        </is>
      </c>
      <c r="K1774" t="inlineStr">
        <is>
          <t>PR P0COST 000528 (PR) Summary</t>
        </is>
      </c>
      <c r="L1774" t="n">
        <v>0</v>
      </c>
      <c r="M1774" t="n">
        <v>0</v>
      </c>
      <c r="Q1774" s="114" t="n">
        <v>0</v>
      </c>
      <c r="R1774" s="114" t="n">
        <v>969.6799999999999</v>
      </c>
      <c r="S1774" s="114" t="n">
        <v>0</v>
      </c>
      <c r="T1774" t="n">
        <v>17.3</v>
      </c>
    </row>
    <row r="1775">
      <c r="A1775" t="inlineStr">
        <is>
          <t>ttJTrans</t>
        </is>
      </c>
      <c r="B1775" s="38" t="inlineStr">
        <is>
          <t>0-4006</t>
        </is>
      </c>
      <c r="C1775" t="inlineStr">
        <is>
          <t>LA</t>
        </is>
      </c>
      <c r="E1775" t="inlineStr">
        <is>
          <t>LA</t>
        </is>
      </c>
      <c r="G1775" s="42" t="inlineStr"/>
      <c r="H1775" s="127" t="n">
        <v>46142</v>
      </c>
      <c r="J1775" s="38" t="inlineStr">
        <is>
          <t>0-4006</t>
        </is>
      </c>
      <c r="K1775" t="inlineStr">
        <is>
          <t>PR P0COST 000528 (PR) Summary</t>
        </is>
      </c>
      <c r="L1775" t="n">
        <v>0</v>
      </c>
      <c r="M1775" t="n">
        <v>0</v>
      </c>
      <c r="Q1775" s="114" t="n">
        <v>0</v>
      </c>
      <c r="R1775" s="114" t="n">
        <v>309.28</v>
      </c>
      <c r="S1775" s="114" t="n">
        <v>0</v>
      </c>
      <c r="T1775" t="n">
        <v>8</v>
      </c>
    </row>
    <row r="1776">
      <c r="A1776" t="inlineStr">
        <is>
          <t>ttJTrans</t>
        </is>
      </c>
      <c r="B1776" s="38" t="inlineStr">
        <is>
          <t>0-4006</t>
        </is>
      </c>
      <c r="C1776" t="inlineStr">
        <is>
          <t>LA</t>
        </is>
      </c>
      <c r="E1776" t="inlineStr">
        <is>
          <t>LA</t>
        </is>
      </c>
      <c r="G1776" s="42" t="inlineStr"/>
      <c r="H1776" s="127" t="n">
        <v>46150</v>
      </c>
      <c r="J1776" s="38" t="inlineStr">
        <is>
          <t>0-4006</t>
        </is>
      </c>
      <c r="K1776" t="inlineStr">
        <is>
          <t>COST CODE TRANSFER 25-4005</t>
        </is>
      </c>
      <c r="L1776" t="n">
        <v>0</v>
      </c>
      <c r="M1776" t="n">
        <v>0</v>
      </c>
      <c r="Q1776" s="114" t="n">
        <v>0</v>
      </c>
      <c r="R1776" s="114" t="n">
        <v>10283.53</v>
      </c>
      <c r="S1776" s="114" t="n">
        <v>0</v>
      </c>
      <c r="T1776" t="n">
        <v>194.86</v>
      </c>
    </row>
    <row r="1777">
      <c r="A1777" t="inlineStr">
        <is>
          <t>ttJTrans</t>
        </is>
      </c>
      <c r="B1777" s="38" t="inlineStr">
        <is>
          <t>0-4006</t>
        </is>
      </c>
      <c r="C1777" t="inlineStr">
        <is>
          <t>LA</t>
        </is>
      </c>
      <c r="E1777" t="inlineStr">
        <is>
          <t>LA</t>
        </is>
      </c>
      <c r="G1777" s="42" t="inlineStr"/>
      <c r="H1777" s="127" t="n">
        <v>46150</v>
      </c>
      <c r="J1777" s="38" t="inlineStr">
        <is>
          <t>0-4006</t>
        </is>
      </c>
      <c r="K1777" t="inlineStr">
        <is>
          <t>COST CODE TRANSFER 25-4005</t>
        </is>
      </c>
      <c r="L1777" t="n">
        <v>0</v>
      </c>
      <c r="M1777" t="n">
        <v>0</v>
      </c>
      <c r="Q1777" s="114" t="n">
        <v>0</v>
      </c>
      <c r="R1777" s="114" t="n">
        <v>20501.43</v>
      </c>
      <c r="S1777" s="114" t="n">
        <v>0</v>
      </c>
      <c r="T1777" t="n">
        <v>340</v>
      </c>
    </row>
    <row r="1778">
      <c r="A1778" t="inlineStr">
        <is>
          <t>ttJTrans</t>
        </is>
      </c>
      <c r="B1778" s="38" t="inlineStr">
        <is>
          <t>0-4006</t>
        </is>
      </c>
      <c r="C1778" t="inlineStr">
        <is>
          <t>LA</t>
        </is>
      </c>
      <c r="E1778" t="inlineStr">
        <is>
          <t>LA</t>
        </is>
      </c>
      <c r="G1778" s="42" t="inlineStr"/>
      <c r="H1778" s="127" t="n">
        <v>46149</v>
      </c>
      <c r="J1778" s="38" t="inlineStr">
        <is>
          <t>0-4006</t>
        </is>
      </c>
      <c r="K1778" t="inlineStr">
        <is>
          <t>PR P0COST 000529 (PR) Summary</t>
        </is>
      </c>
      <c r="L1778" t="n">
        <v>0</v>
      </c>
      <c r="M1778" t="n">
        <v>0</v>
      </c>
      <c r="Q1778" s="114" t="n">
        <v>0</v>
      </c>
      <c r="R1778" s="114" t="n">
        <v>776.27</v>
      </c>
      <c r="S1778" s="114" t="n">
        <v>0</v>
      </c>
      <c r="T1778" t="n">
        <v>16</v>
      </c>
    </row>
    <row r="1779">
      <c r="A1779" t="inlineStr">
        <is>
          <t>ttJTrans</t>
        </is>
      </c>
      <c r="B1779" s="38" t="inlineStr">
        <is>
          <t>0-4006</t>
        </is>
      </c>
      <c r="C1779" t="inlineStr">
        <is>
          <t>LA</t>
        </is>
      </c>
      <c r="E1779" t="inlineStr">
        <is>
          <t>LA</t>
        </is>
      </c>
      <c r="G1779" s="42" t="inlineStr"/>
      <c r="H1779" s="127" t="n">
        <v>46149</v>
      </c>
      <c r="J1779" s="38" t="inlineStr">
        <is>
          <t>0-4006</t>
        </is>
      </c>
      <c r="K1779" t="inlineStr">
        <is>
          <t>PR P0COST 000529 (PR) Summary</t>
        </is>
      </c>
      <c r="L1779" t="n">
        <v>0</v>
      </c>
      <c r="M1779" t="n">
        <v>0</v>
      </c>
      <c r="Q1779" s="114" t="n">
        <v>0</v>
      </c>
      <c r="R1779" s="114" t="n">
        <v>3340.08</v>
      </c>
      <c r="S1779" s="114" t="n">
        <v>0</v>
      </c>
      <c r="T1779" t="n">
        <v>72</v>
      </c>
    </row>
    <row r="1780">
      <c r="A1780" t="inlineStr">
        <is>
          <t>ttJTrans</t>
        </is>
      </c>
      <c r="B1780" s="38" t="inlineStr">
        <is>
          <t>0-4006</t>
        </is>
      </c>
      <c r="C1780" t="inlineStr">
        <is>
          <t>LA</t>
        </is>
      </c>
      <c r="E1780" t="inlineStr">
        <is>
          <t>LA</t>
        </is>
      </c>
      <c r="G1780" s="42" t="inlineStr"/>
      <c r="H1780" s="127" t="n">
        <v>46149</v>
      </c>
      <c r="J1780" s="38" t="inlineStr">
        <is>
          <t>0-4006</t>
        </is>
      </c>
      <c r="K1780" t="inlineStr">
        <is>
          <t>PR P0COST 000529 (PR) Summary</t>
        </is>
      </c>
      <c r="L1780" t="n">
        <v>0</v>
      </c>
      <c r="M1780" t="n">
        <v>0</v>
      </c>
      <c r="Q1780" s="114" t="n">
        <v>0</v>
      </c>
      <c r="R1780" s="114" t="n">
        <v>2295.09</v>
      </c>
      <c r="S1780" s="114" t="n">
        <v>0</v>
      </c>
      <c r="T1780" t="n">
        <v>40</v>
      </c>
    </row>
    <row r="1781">
      <c r="A1781" t="inlineStr">
        <is>
          <t>ttJTrans</t>
        </is>
      </c>
      <c r="B1781" s="38" t="inlineStr">
        <is>
          <t>0-4006</t>
        </is>
      </c>
      <c r="C1781" t="inlineStr">
        <is>
          <t>LA</t>
        </is>
      </c>
      <c r="E1781" t="inlineStr">
        <is>
          <t>LA</t>
        </is>
      </c>
      <c r="G1781" s="42" t="inlineStr"/>
      <c r="H1781" s="127" t="n">
        <v>46149</v>
      </c>
      <c r="J1781" s="38" t="inlineStr">
        <is>
          <t>0-4006</t>
        </is>
      </c>
      <c r="K1781" t="inlineStr">
        <is>
          <t>PR P0COST 000529 (PR) Summary</t>
        </is>
      </c>
      <c r="L1781" t="n">
        <v>0</v>
      </c>
      <c r="M1781" t="n">
        <v>0</v>
      </c>
      <c r="Q1781" s="114" t="n">
        <v>0</v>
      </c>
      <c r="R1781" s="114" t="n">
        <v>3604.43</v>
      </c>
      <c r="S1781" s="114" t="n">
        <v>0</v>
      </c>
      <c r="T1781" t="n">
        <v>74.02</v>
      </c>
    </row>
    <row r="1782">
      <c r="A1782" t="inlineStr">
        <is>
          <t>ttJTrans</t>
        </is>
      </c>
      <c r="B1782" s="38" t="inlineStr">
        <is>
          <t>0-4006</t>
        </is>
      </c>
      <c r="C1782" t="inlineStr">
        <is>
          <t>LA</t>
        </is>
      </c>
      <c r="E1782" t="inlineStr">
        <is>
          <t>LA</t>
        </is>
      </c>
      <c r="G1782" s="42" t="inlineStr"/>
      <c r="H1782" s="127" t="n">
        <v>46149</v>
      </c>
      <c r="J1782" s="38" t="inlineStr">
        <is>
          <t>0-4006</t>
        </is>
      </c>
      <c r="K1782" t="inlineStr">
        <is>
          <t>PR P0COST 000529 (PR) Summary</t>
        </is>
      </c>
      <c r="L1782" t="n">
        <v>0</v>
      </c>
      <c r="M1782" t="n">
        <v>0</v>
      </c>
      <c r="Q1782" s="114" t="n">
        <v>0</v>
      </c>
      <c r="R1782" s="114" t="n">
        <v>3971.83</v>
      </c>
      <c r="S1782" s="114" t="n">
        <v>0</v>
      </c>
      <c r="T1782" t="n">
        <v>81.98</v>
      </c>
    </row>
    <row r="1783">
      <c r="A1783" t="inlineStr">
        <is>
          <t>ttJTrans</t>
        </is>
      </c>
      <c r="B1783" s="38" t="inlineStr">
        <is>
          <t>0-4006</t>
        </is>
      </c>
      <c r="C1783" t="inlineStr">
        <is>
          <t>LA</t>
        </is>
      </c>
      <c r="E1783" t="inlineStr">
        <is>
          <t>LA</t>
        </is>
      </c>
      <c r="G1783" s="42" t="inlineStr"/>
      <c r="H1783" s="127" t="n">
        <v>46156</v>
      </c>
      <c r="J1783" s="38" t="inlineStr">
        <is>
          <t>0-4006</t>
        </is>
      </c>
      <c r="K1783" t="inlineStr">
        <is>
          <t>PR P0COST 000530 (PR) Summary</t>
        </is>
      </c>
      <c r="L1783" t="n">
        <v>0</v>
      </c>
      <c r="M1783" t="n">
        <v>0</v>
      </c>
      <c r="Q1783" s="114" t="n">
        <v>0</v>
      </c>
      <c r="R1783" s="114" t="n">
        <v>194.54</v>
      </c>
      <c r="S1783" s="114" t="n">
        <v>0</v>
      </c>
      <c r="T1783" t="n">
        <v>2</v>
      </c>
    </row>
    <row r="1784">
      <c r="A1784" t="inlineStr">
        <is>
          <t>ttJTrans</t>
        </is>
      </c>
      <c r="B1784" s="38" t="inlineStr">
        <is>
          <t>0-4006</t>
        </is>
      </c>
      <c r="C1784" t="inlineStr">
        <is>
          <t>LA</t>
        </is>
      </c>
      <c r="E1784" t="inlineStr">
        <is>
          <t>LA</t>
        </is>
      </c>
      <c r="G1784" s="42" t="inlineStr"/>
      <c r="H1784" s="127" t="n">
        <v>46156</v>
      </c>
      <c r="J1784" s="38" t="inlineStr">
        <is>
          <t>0-4006</t>
        </is>
      </c>
      <c r="K1784" t="inlineStr">
        <is>
          <t>PR P0COST 000530 (PR) Summary</t>
        </is>
      </c>
      <c r="L1784" t="n">
        <v>0</v>
      </c>
      <c r="M1784" t="n">
        <v>0</v>
      </c>
      <c r="Q1784" s="114" t="n">
        <v>0</v>
      </c>
      <c r="R1784" s="114" t="n">
        <v>1781.02</v>
      </c>
      <c r="S1784" s="114" t="n">
        <v>0</v>
      </c>
      <c r="T1784" t="n">
        <v>25</v>
      </c>
    </row>
    <row r="1785">
      <c r="A1785" t="inlineStr">
        <is>
          <t>ttJTrans</t>
        </is>
      </c>
      <c r="B1785" s="38" t="inlineStr">
        <is>
          <t>0-4006</t>
        </is>
      </c>
      <c r="C1785" t="inlineStr">
        <is>
          <t>LA</t>
        </is>
      </c>
      <c r="E1785" t="inlineStr">
        <is>
          <t>LA</t>
        </is>
      </c>
      <c r="G1785" s="42" t="inlineStr"/>
      <c r="H1785" s="127" t="n">
        <v>46156</v>
      </c>
      <c r="J1785" s="38" t="inlineStr">
        <is>
          <t>0-4006</t>
        </is>
      </c>
      <c r="K1785" t="inlineStr">
        <is>
          <t>PR P0COST 000530 (PR) Summary</t>
        </is>
      </c>
      <c r="L1785" t="n">
        <v>0</v>
      </c>
      <c r="M1785" t="n">
        <v>0</v>
      </c>
      <c r="Q1785" s="114" t="n">
        <v>0</v>
      </c>
      <c r="R1785" s="114" t="n">
        <v>1824.98</v>
      </c>
      <c r="S1785" s="114" t="n">
        <v>0</v>
      </c>
      <c r="T1785" t="n">
        <v>32</v>
      </c>
    </row>
    <row r="1786">
      <c r="A1786" t="inlineStr">
        <is>
          <t>ttJTrans</t>
        </is>
      </c>
      <c r="B1786" s="38" t="inlineStr">
        <is>
          <t>0-4006</t>
        </is>
      </c>
      <c r="C1786" t="inlineStr">
        <is>
          <t>LA</t>
        </is>
      </c>
      <c r="E1786" t="inlineStr">
        <is>
          <t>LA</t>
        </is>
      </c>
      <c r="G1786" s="42" t="inlineStr"/>
      <c r="H1786" s="127" t="n">
        <v>46156</v>
      </c>
      <c r="J1786" s="38" t="inlineStr">
        <is>
          <t>0-4006</t>
        </is>
      </c>
      <c r="K1786" t="inlineStr">
        <is>
          <t>PR P0COST 000530 (PR) Summary</t>
        </is>
      </c>
      <c r="L1786" t="n">
        <v>0</v>
      </c>
      <c r="M1786" t="n">
        <v>0</v>
      </c>
      <c r="Q1786" s="114" t="n">
        <v>0</v>
      </c>
      <c r="R1786" s="114" t="n">
        <v>2063.05</v>
      </c>
      <c r="S1786" s="114" t="n">
        <v>0</v>
      </c>
      <c r="T1786" t="n">
        <v>46</v>
      </c>
    </row>
    <row r="1787">
      <c r="A1787" t="inlineStr">
        <is>
          <t>ttJTrans</t>
        </is>
      </c>
      <c r="B1787" s="38" t="inlineStr">
        <is>
          <t>0-4006</t>
        </is>
      </c>
      <c r="C1787" t="inlineStr">
        <is>
          <t>LA</t>
        </is>
      </c>
      <c r="E1787" t="inlineStr">
        <is>
          <t>LA</t>
        </is>
      </c>
      <c r="G1787" s="42" t="inlineStr"/>
      <c r="H1787" s="127" t="n">
        <v>46156</v>
      </c>
      <c r="J1787" s="38" t="inlineStr">
        <is>
          <t>0-4006</t>
        </is>
      </c>
      <c r="K1787" t="inlineStr">
        <is>
          <t>PR P0COST 000530 (PR) Summary</t>
        </is>
      </c>
      <c r="L1787" t="n">
        <v>0</v>
      </c>
      <c r="M1787" t="n">
        <v>0</v>
      </c>
      <c r="Q1787" s="114" t="n">
        <v>0</v>
      </c>
      <c r="R1787" s="114" t="n">
        <v>943.6900000000001</v>
      </c>
      <c r="S1787" s="114" t="n">
        <v>0</v>
      </c>
      <c r="T1787" t="n">
        <v>16</v>
      </c>
    </row>
    <row r="1788">
      <c r="A1788" t="inlineStr">
        <is>
          <t>ttJTrans</t>
        </is>
      </c>
      <c r="B1788" s="38" t="inlineStr">
        <is>
          <t>0-4006</t>
        </is>
      </c>
      <c r="C1788" t="inlineStr">
        <is>
          <t>LA</t>
        </is>
      </c>
      <c r="E1788" t="inlineStr">
        <is>
          <t>LA</t>
        </is>
      </c>
      <c r="G1788" s="42" t="inlineStr"/>
      <c r="H1788" s="127" t="n">
        <v>46156</v>
      </c>
      <c r="J1788" s="38" t="inlineStr">
        <is>
          <t>0-4006</t>
        </is>
      </c>
      <c r="K1788" t="inlineStr">
        <is>
          <t>PR P0COST 000530 (PR) Summary</t>
        </is>
      </c>
      <c r="L1788" t="n">
        <v>0</v>
      </c>
      <c r="M1788" t="n">
        <v>0</v>
      </c>
      <c r="Q1788" s="114" t="n">
        <v>0</v>
      </c>
      <c r="R1788" s="114" t="n">
        <v>1063.43</v>
      </c>
      <c r="S1788" s="114" t="n">
        <v>0</v>
      </c>
      <c r="T1788" t="n">
        <v>18</v>
      </c>
    </row>
    <row r="1789">
      <c r="A1789" t="inlineStr">
        <is>
          <t>ttJTrans</t>
        </is>
      </c>
      <c r="B1789" s="38" t="inlineStr">
        <is>
          <t>0-4006</t>
        </is>
      </c>
      <c r="C1789" t="inlineStr">
        <is>
          <t>LA</t>
        </is>
      </c>
      <c r="E1789" t="inlineStr">
        <is>
          <t>LA</t>
        </is>
      </c>
      <c r="G1789" s="42" t="inlineStr"/>
      <c r="H1789" s="127" t="n">
        <v>46156</v>
      </c>
      <c r="J1789" s="38" t="inlineStr">
        <is>
          <t>0-4006</t>
        </is>
      </c>
      <c r="K1789" t="inlineStr">
        <is>
          <t>PR P0COST 000530 (PR) Summary</t>
        </is>
      </c>
      <c r="L1789" t="n">
        <v>0</v>
      </c>
      <c r="M1789" t="n">
        <v>0</v>
      </c>
      <c r="Q1789" s="114" t="n">
        <v>0</v>
      </c>
      <c r="R1789" s="114" t="n">
        <v>392.52</v>
      </c>
      <c r="S1789" s="114" t="n">
        <v>0</v>
      </c>
      <c r="T1789" t="n">
        <v>6</v>
      </c>
    </row>
    <row r="1790">
      <c r="A1790" t="inlineStr">
        <is>
          <t>ttJTrans</t>
        </is>
      </c>
      <c r="B1790" s="38" t="inlineStr">
        <is>
          <t>0-4006</t>
        </is>
      </c>
      <c r="C1790" t="inlineStr">
        <is>
          <t>LA</t>
        </is>
      </c>
      <c r="E1790" t="inlineStr">
        <is>
          <t>LA</t>
        </is>
      </c>
      <c r="G1790" s="42" t="inlineStr"/>
      <c r="H1790" s="127" t="n">
        <v>46156</v>
      </c>
      <c r="J1790" s="38" t="inlineStr">
        <is>
          <t>0-4006</t>
        </is>
      </c>
      <c r="K1790" t="inlineStr">
        <is>
          <t>PR P0COST 000530 (PR) Summary</t>
        </is>
      </c>
      <c r="L1790" t="n">
        <v>0</v>
      </c>
      <c r="M1790" t="n">
        <v>0</v>
      </c>
      <c r="Q1790" s="114" t="n">
        <v>0</v>
      </c>
      <c r="R1790" s="114" t="n">
        <v>178.79</v>
      </c>
      <c r="S1790" s="114" t="n">
        <v>0</v>
      </c>
      <c r="T1790" t="n">
        <v>5</v>
      </c>
    </row>
    <row r="1791">
      <c r="A1791" t="inlineStr">
        <is>
          <t>ttJTrans</t>
        </is>
      </c>
      <c r="B1791" s="38" t="inlineStr">
        <is>
          <t>0-4006</t>
        </is>
      </c>
      <c r="C1791" t="inlineStr">
        <is>
          <t>LA</t>
        </is>
      </c>
      <c r="E1791" t="inlineStr">
        <is>
          <t>LA</t>
        </is>
      </c>
      <c r="G1791" s="42" t="inlineStr"/>
      <c r="H1791" s="127" t="n">
        <v>46163</v>
      </c>
      <c r="J1791" s="38" t="inlineStr">
        <is>
          <t>0-4006</t>
        </is>
      </c>
      <c r="K1791" t="inlineStr">
        <is>
          <t>PR P0COST 000531 (PR) Summary</t>
        </is>
      </c>
      <c r="L1791" t="n">
        <v>0</v>
      </c>
      <c r="M1791" t="n">
        <v>0</v>
      </c>
      <c r="Q1791" s="114" t="n">
        <v>0</v>
      </c>
      <c r="R1791" s="114" t="n">
        <v>1885.95</v>
      </c>
      <c r="S1791" s="114" t="n">
        <v>0</v>
      </c>
      <c r="T1791" t="n">
        <v>31</v>
      </c>
    </row>
    <row r="1792">
      <c r="A1792" t="inlineStr">
        <is>
          <t>ttJTrans</t>
        </is>
      </c>
      <c r="B1792" s="38" t="inlineStr">
        <is>
          <t>0-4006</t>
        </is>
      </c>
      <c r="C1792" t="inlineStr">
        <is>
          <t>LA</t>
        </is>
      </c>
      <c r="E1792" t="inlineStr">
        <is>
          <t>LA</t>
        </is>
      </c>
      <c r="G1792" s="42" t="inlineStr"/>
      <c r="H1792" s="127" t="n">
        <v>46163</v>
      </c>
      <c r="J1792" s="38" t="inlineStr">
        <is>
          <t>0-4006</t>
        </is>
      </c>
      <c r="K1792" t="inlineStr">
        <is>
          <t>PR P0COST 000531 (PR) Summary</t>
        </is>
      </c>
      <c r="L1792" t="n">
        <v>0</v>
      </c>
      <c r="M1792" t="n">
        <v>0</v>
      </c>
      <c r="Q1792" s="114" t="n">
        <v>0</v>
      </c>
      <c r="R1792" s="114" t="n">
        <v>2401.16</v>
      </c>
      <c r="S1792" s="114" t="n">
        <v>0</v>
      </c>
      <c r="T1792" t="n">
        <v>50</v>
      </c>
    </row>
    <row r="1793">
      <c r="A1793" t="inlineStr">
        <is>
          <t>ttJTrans</t>
        </is>
      </c>
      <c r="B1793" s="38" t="inlineStr">
        <is>
          <t>0-4006</t>
        </is>
      </c>
      <c r="C1793" t="inlineStr">
        <is>
          <t>LA</t>
        </is>
      </c>
      <c r="E1793" t="inlineStr">
        <is>
          <t>LA</t>
        </is>
      </c>
      <c r="G1793" s="42" t="inlineStr"/>
      <c r="H1793" s="127" t="n">
        <v>46163</v>
      </c>
      <c r="J1793" s="38" t="inlineStr">
        <is>
          <t>0-4006</t>
        </is>
      </c>
      <c r="K1793" t="inlineStr">
        <is>
          <t>PR P0COST 000531 (PR) Summary</t>
        </is>
      </c>
      <c r="L1793" t="n">
        <v>0</v>
      </c>
      <c r="M1793" t="n">
        <v>0</v>
      </c>
      <c r="Q1793" s="114" t="n">
        <v>0</v>
      </c>
      <c r="R1793" s="114" t="n">
        <v>2033.83</v>
      </c>
      <c r="S1793" s="114" t="n">
        <v>0</v>
      </c>
      <c r="T1793" t="n">
        <v>40</v>
      </c>
    </row>
    <row r="1794">
      <c r="A1794" t="inlineStr">
        <is>
          <t>ttJTrans</t>
        </is>
      </c>
      <c r="B1794" s="38" t="inlineStr">
        <is>
          <t>0-4006</t>
        </is>
      </c>
      <c r="C1794" t="inlineStr">
        <is>
          <t>LA</t>
        </is>
      </c>
      <c r="E1794" t="inlineStr">
        <is>
          <t>LA</t>
        </is>
      </c>
      <c r="G1794" s="42" t="inlineStr"/>
      <c r="H1794" s="127" t="n">
        <v>46163</v>
      </c>
      <c r="J1794" s="38" t="inlineStr">
        <is>
          <t>0-4006</t>
        </is>
      </c>
      <c r="K1794" t="inlineStr">
        <is>
          <t>PR P0COST 000531 (PR) Summary</t>
        </is>
      </c>
      <c r="L1794" t="n">
        <v>0</v>
      </c>
      <c r="M1794" t="n">
        <v>0</v>
      </c>
      <c r="Q1794" s="114" t="n">
        <v>0</v>
      </c>
      <c r="R1794" s="114" t="n">
        <v>1980.92</v>
      </c>
      <c r="S1794" s="114" t="n">
        <v>0</v>
      </c>
      <c r="T1794" t="n">
        <v>32</v>
      </c>
    </row>
    <row r="1795">
      <c r="A1795" t="inlineStr">
        <is>
          <t>ttJTrans</t>
        </is>
      </c>
      <c r="B1795" s="38" t="inlineStr">
        <is>
          <t>0-4006</t>
        </is>
      </c>
      <c r="C1795" t="inlineStr">
        <is>
          <t>LA</t>
        </is>
      </c>
      <c r="E1795" t="inlineStr">
        <is>
          <t>LA</t>
        </is>
      </c>
      <c r="G1795" s="42" t="inlineStr"/>
      <c r="H1795" s="127" t="n">
        <v>46163</v>
      </c>
      <c r="J1795" s="38" t="inlineStr">
        <is>
          <t>0-4006</t>
        </is>
      </c>
      <c r="K1795" t="inlineStr">
        <is>
          <t>PR P0COST 000531 (PR) Summary</t>
        </is>
      </c>
      <c r="L1795" t="n">
        <v>0</v>
      </c>
      <c r="M1795" t="n">
        <v>0</v>
      </c>
      <c r="Q1795" s="114" t="n">
        <v>0</v>
      </c>
      <c r="R1795" s="114" t="n">
        <v>776.99</v>
      </c>
      <c r="S1795" s="114" t="n">
        <v>0</v>
      </c>
      <c r="T1795" t="n">
        <v>20</v>
      </c>
    </row>
    <row r="1796">
      <c r="A1796" t="inlineStr">
        <is>
          <t>ttJTrans</t>
        </is>
      </c>
      <c r="B1796" s="38" t="inlineStr">
        <is>
          <t>0-4006</t>
        </is>
      </c>
      <c r="C1796" t="inlineStr">
        <is>
          <t>OC</t>
        </is>
      </c>
      <c r="D1796" t="inlineStr">
        <is>
          <t>MA1010495</t>
        </is>
      </c>
      <c r="E1796" t="inlineStr">
        <is>
          <t>OC</t>
        </is>
      </c>
      <c r="F1796" t="inlineStr">
        <is>
          <t>MA1010495</t>
        </is>
      </c>
      <c r="G1796" s="42" t="n">
        <v>46091</v>
      </c>
      <c r="H1796" s="127" t="n">
        <v>46119</v>
      </c>
      <c r="I1796" t="inlineStr">
        <is>
          <t>1</t>
        </is>
      </c>
      <c r="J1796" s="38" t="inlineStr">
        <is>
          <t>0-4006</t>
        </is>
      </c>
      <c r="K1796" t="inlineStr">
        <is>
          <t>Toilets on trailer, single toilets, handwash</t>
        </is>
      </c>
      <c r="L1796" t="n">
        <v>1</v>
      </c>
      <c r="M1796" t="n">
        <v>55500</v>
      </c>
      <c r="N1796" t="inlineStr">
        <is>
          <t>PO:COMMIT</t>
        </is>
      </c>
      <c r="O1796" t="inlineStr">
        <is>
          <t>18517</t>
        </is>
      </c>
      <c r="P1796" t="inlineStr">
        <is>
          <t>CENTURY SANITATION, LLC</t>
        </is>
      </c>
      <c r="Q1796" s="114" t="n">
        <v>0</v>
      </c>
      <c r="R1796" s="114" t="n">
        <v>0</v>
      </c>
      <c r="S1796" s="114" t="n">
        <v>55500</v>
      </c>
      <c r="T1796" t="n">
        <v>0</v>
      </c>
    </row>
    <row r="1797">
      <c r="A1797" t="inlineStr">
        <is>
          <t>ttJTrans</t>
        </is>
      </c>
      <c r="B1797" s="38" t="inlineStr">
        <is>
          <t>0-4006</t>
        </is>
      </c>
      <c r="C1797" t="inlineStr">
        <is>
          <t>OC</t>
        </is>
      </c>
      <c r="D1797" t="inlineStr">
        <is>
          <t>MA1010495</t>
        </is>
      </c>
      <c r="E1797" t="inlineStr">
        <is>
          <t>OC</t>
        </is>
      </c>
      <c r="F1797" t="inlineStr">
        <is>
          <t>MA1010495</t>
        </is>
      </c>
      <c r="G1797" s="42" t="n">
        <v>46091</v>
      </c>
      <c r="H1797" s="127" t="n">
        <v>46119</v>
      </c>
      <c r="I1797" t="inlineStr">
        <is>
          <t>1</t>
        </is>
      </c>
      <c r="J1797" s="38" t="inlineStr">
        <is>
          <t>0-4006</t>
        </is>
      </c>
      <c r="K1797" t="inlineStr">
        <is>
          <t>Toilets on trailer, single toilets, handwash</t>
        </is>
      </c>
      <c r="L1797" t="n">
        <v>1</v>
      </c>
      <c r="M1797" t="n">
        <v>55500</v>
      </c>
      <c r="N1797" t="inlineStr">
        <is>
          <t>INVOICE:ADJ-COMMIT</t>
        </is>
      </c>
      <c r="O1797" t="inlineStr">
        <is>
          <t>18517</t>
        </is>
      </c>
      <c r="P1797" t="inlineStr">
        <is>
          <t>CENTURY SANITATION, LLC</t>
        </is>
      </c>
      <c r="Q1797" s="114" t="n">
        <v>0</v>
      </c>
      <c r="R1797" s="114" t="n">
        <v>0</v>
      </c>
      <c r="S1797" s="114" t="n">
        <v>-1004.57</v>
      </c>
      <c r="T1797" t="n">
        <v>0</v>
      </c>
    </row>
    <row r="1798">
      <c r="A1798" t="inlineStr">
        <is>
          <t>ttJTrans</t>
        </is>
      </c>
      <c r="B1798" s="38" t="inlineStr">
        <is>
          <t>0-4006</t>
        </is>
      </c>
      <c r="C1798" t="inlineStr">
        <is>
          <t>OC</t>
        </is>
      </c>
      <c r="D1798" t="inlineStr">
        <is>
          <t>MA1010495</t>
        </is>
      </c>
      <c r="E1798" t="inlineStr">
        <is>
          <t>OC</t>
        </is>
      </c>
      <c r="F1798" t="inlineStr">
        <is>
          <t>MA1010495</t>
        </is>
      </c>
      <c r="G1798" s="42" t="n">
        <v>46091</v>
      </c>
      <c r="H1798" s="127" t="n">
        <v>46119</v>
      </c>
      <c r="I1798" t="inlineStr">
        <is>
          <t>1</t>
        </is>
      </c>
      <c r="J1798" s="38" t="inlineStr">
        <is>
          <t>0-4006</t>
        </is>
      </c>
      <c r="K1798" t="inlineStr">
        <is>
          <t>Toilets on trailer, single toilets, handwash</t>
        </is>
      </c>
      <c r="L1798" t="n">
        <v>1</v>
      </c>
      <c r="M1798" t="n">
        <v>55500</v>
      </c>
      <c r="N1798" t="inlineStr">
        <is>
          <t>INVOICE:ADJ-COMMIT</t>
        </is>
      </c>
      <c r="O1798" t="inlineStr">
        <is>
          <t>18517</t>
        </is>
      </c>
      <c r="P1798" t="inlineStr">
        <is>
          <t>CENTURY SANITATION, LLC</t>
        </is>
      </c>
      <c r="Q1798" s="114" t="n">
        <v>0</v>
      </c>
      <c r="R1798" s="114" t="n">
        <v>0</v>
      </c>
      <c r="S1798" s="114" t="n">
        <v>-4252.02</v>
      </c>
      <c r="T1798" t="n">
        <v>0</v>
      </c>
    </row>
    <row r="1799">
      <c r="A1799" t="inlineStr">
        <is>
          <t>ttJTrans</t>
        </is>
      </c>
      <c r="B1799" s="38" t="inlineStr">
        <is>
          <t>0-4006</t>
        </is>
      </c>
      <c r="C1799" t="inlineStr">
        <is>
          <t>OC</t>
        </is>
      </c>
      <c r="D1799" t="inlineStr">
        <is>
          <t>MA1010495</t>
        </is>
      </c>
      <c r="E1799" t="inlineStr">
        <is>
          <t>OC</t>
        </is>
      </c>
      <c r="F1799" t="inlineStr">
        <is>
          <t>MA1010495</t>
        </is>
      </c>
      <c r="G1799" t="n">
        <v>46091</v>
      </c>
      <c r="H1799" s="127" t="n">
        <v>46162</v>
      </c>
      <c r="I1799" t="inlineStr">
        <is>
          <t>1</t>
        </is>
      </c>
      <c r="J1799" s="38" t="inlineStr">
        <is>
          <t>0-4006</t>
        </is>
      </c>
      <c r="K1799" t="inlineStr">
        <is>
          <t>Toilets on trailer, single toilets, handwash</t>
        </is>
      </c>
      <c r="L1799" t="n">
        <v>1</v>
      </c>
      <c r="M1799" t="n">
        <v>55500</v>
      </c>
      <c r="N1799" t="inlineStr">
        <is>
          <t>INVOICE</t>
        </is>
      </c>
      <c r="O1799" t="inlineStr">
        <is>
          <t>18517</t>
        </is>
      </c>
      <c r="P1799" t="inlineStr">
        <is>
          <t>CENTURY SANITATION, LLC</t>
        </is>
      </c>
      <c r="Q1799" s="114" t="n">
        <v>0</v>
      </c>
      <c r="R1799" s="114" t="n">
        <v>0</v>
      </c>
      <c r="S1799" s="114" t="n">
        <v>0</v>
      </c>
      <c r="T1799" t="n">
        <v>0</v>
      </c>
    </row>
    <row r="1800">
      <c r="A1800" t="inlineStr">
        <is>
          <t>ttJTrans</t>
        </is>
      </c>
      <c r="B1800" s="38" t="inlineStr">
        <is>
          <t>0-4006</t>
        </is>
      </c>
      <c r="C1800" t="inlineStr">
        <is>
          <t>OC</t>
        </is>
      </c>
      <c r="D1800" t="inlineStr">
        <is>
          <t>MA1010495</t>
        </is>
      </c>
      <c r="E1800" t="inlineStr">
        <is>
          <t>OC</t>
        </is>
      </c>
      <c r="F1800" t="inlineStr">
        <is>
          <t>MA1010495</t>
        </is>
      </c>
      <c r="G1800" t="n">
        <v>46091</v>
      </c>
      <c r="H1800" s="127" t="n">
        <v>46121</v>
      </c>
      <c r="I1800" t="inlineStr">
        <is>
          <t>1</t>
        </is>
      </c>
      <c r="J1800" s="38" t="inlineStr">
        <is>
          <t>0-4006</t>
        </is>
      </c>
      <c r="K1800" t="inlineStr">
        <is>
          <t>Toilets on trailer, single toilets, handwash</t>
        </is>
      </c>
      <c r="L1800" t="n">
        <v>1</v>
      </c>
      <c r="M1800" t="n">
        <v>55500</v>
      </c>
      <c r="N1800" t="inlineStr">
        <is>
          <t>INVOICE</t>
        </is>
      </c>
      <c r="O1800" t="inlineStr">
        <is>
          <t>18517</t>
        </is>
      </c>
      <c r="P1800" t="inlineStr">
        <is>
          <t>CENTURY SANITATION, LLC</t>
        </is>
      </c>
      <c r="Q1800" s="114" t="n">
        <v>0</v>
      </c>
      <c r="R1800" s="114" t="n">
        <v>0</v>
      </c>
      <c r="S1800" s="114" t="n">
        <v>0</v>
      </c>
      <c r="T1800" t="n">
        <v>0</v>
      </c>
    </row>
    <row r="1801">
      <c r="A1801" t="inlineStr">
        <is>
          <t>ttJTrans</t>
        </is>
      </c>
      <c r="B1801" s="38" t="inlineStr">
        <is>
          <t>0-4006</t>
        </is>
      </c>
      <c r="C1801" t="inlineStr">
        <is>
          <t>OC</t>
        </is>
      </c>
      <c r="D1801" t="inlineStr">
        <is>
          <t>MA1010887</t>
        </is>
      </c>
      <c r="E1801" t="inlineStr">
        <is>
          <t>OC</t>
        </is>
      </c>
      <c r="F1801" t="inlineStr">
        <is>
          <t>MA1010887</t>
        </is>
      </c>
      <c r="G1801" t="n">
        <v>46112</v>
      </c>
      <c r="H1801" s="127" t="n">
        <v>46162</v>
      </c>
      <c r="I1801" t="inlineStr">
        <is>
          <t>14</t>
        </is>
      </c>
      <c r="J1801" s="38" t="inlineStr">
        <is>
          <t>0-4006</t>
        </is>
      </c>
      <c r="K1801" t="inlineStr">
        <is>
          <t>12x60 S Plex Inside B</t>
        </is>
      </c>
      <c r="L1801" t="n">
        <v>18</v>
      </c>
      <c r="M1801" t="n">
        <v>17982</v>
      </c>
      <c r="N1801" t="inlineStr">
        <is>
          <t>INVOICE</t>
        </is>
      </c>
      <c r="O1801" t="inlineStr">
        <is>
          <t>13196</t>
        </is>
      </c>
      <c r="P1801" t="inlineStr">
        <is>
          <t>SATELLITE SHELTERS, INC.</t>
        </is>
      </c>
      <c r="Q1801" s="114" t="n">
        <v>0</v>
      </c>
      <c r="R1801" s="114" t="n">
        <v>0</v>
      </c>
      <c r="S1801" s="114" t="n">
        <v>0</v>
      </c>
      <c r="T1801" t="n">
        <v>0</v>
      </c>
    </row>
    <row r="1802">
      <c r="A1802" t="inlineStr">
        <is>
          <t>ttJTrans</t>
        </is>
      </c>
      <c r="B1802" s="38" t="inlineStr">
        <is>
          <t>0-4006</t>
        </is>
      </c>
      <c r="C1802" t="inlineStr">
        <is>
          <t>OC</t>
        </is>
      </c>
      <c r="D1802" t="inlineStr">
        <is>
          <t>MA1010887</t>
        </is>
      </c>
      <c r="E1802" t="inlineStr">
        <is>
          <t>OC</t>
        </is>
      </c>
      <c r="F1802" t="inlineStr">
        <is>
          <t>MA1010887</t>
        </is>
      </c>
      <c r="G1802" t="n">
        <v>46112</v>
      </c>
      <c r="H1802" s="127" t="n">
        <v>46162</v>
      </c>
      <c r="I1802" t="inlineStr">
        <is>
          <t>10</t>
        </is>
      </c>
      <c r="J1802" s="38" t="inlineStr">
        <is>
          <t>0-4006</t>
        </is>
      </c>
      <c r="K1802" t="inlineStr">
        <is>
          <t>Standard Setup</t>
        </is>
      </c>
      <c r="L1802" t="n">
        <v>6</v>
      </c>
      <c r="M1802" t="n">
        <v>11548.44</v>
      </c>
      <c r="N1802" t="inlineStr">
        <is>
          <t>INVOICE</t>
        </is>
      </c>
      <c r="O1802" t="inlineStr">
        <is>
          <t>13196</t>
        </is>
      </c>
      <c r="P1802" t="inlineStr">
        <is>
          <t>SATELLITE SHELTERS, INC.</t>
        </is>
      </c>
      <c r="Q1802" s="114" t="n">
        <v>0</v>
      </c>
      <c r="R1802" s="114" t="n">
        <v>0</v>
      </c>
      <c r="S1802" s="114" t="n">
        <v>0</v>
      </c>
      <c r="T1802" t="n">
        <v>0</v>
      </c>
    </row>
    <row r="1803">
      <c r="A1803" t="inlineStr">
        <is>
          <t>ttJTrans</t>
        </is>
      </c>
      <c r="B1803" s="38" t="inlineStr">
        <is>
          <t>0-4006</t>
        </is>
      </c>
      <c r="C1803" t="inlineStr">
        <is>
          <t>OC</t>
        </is>
      </c>
      <c r="D1803" t="inlineStr">
        <is>
          <t>MA1010887</t>
        </is>
      </c>
      <c r="E1803" t="inlineStr">
        <is>
          <t>OC</t>
        </is>
      </c>
      <c r="F1803" t="inlineStr">
        <is>
          <t>MA1010887</t>
        </is>
      </c>
      <c r="G1803" t="n">
        <v>46112</v>
      </c>
      <c r="H1803" s="127" t="n">
        <v>46162</v>
      </c>
      <c r="I1803" t="inlineStr">
        <is>
          <t>8</t>
        </is>
      </c>
      <c r="J1803" s="38" t="inlineStr">
        <is>
          <t>0-4006</t>
        </is>
      </c>
      <c r="K1803" t="inlineStr">
        <is>
          <t>PPT Recovery</t>
        </is>
      </c>
      <c r="L1803" t="n">
        <v>18</v>
      </c>
      <c r="M1803" t="n">
        <v>3196.8</v>
      </c>
      <c r="N1803" t="inlineStr">
        <is>
          <t>INVOICE</t>
        </is>
      </c>
      <c r="O1803" t="inlineStr">
        <is>
          <t>13196</t>
        </is>
      </c>
      <c r="P1803" t="inlineStr">
        <is>
          <t>SATELLITE SHELTERS, INC.</t>
        </is>
      </c>
      <c r="Q1803" s="114" t="n">
        <v>0</v>
      </c>
      <c r="R1803" s="114" t="n">
        <v>0</v>
      </c>
      <c r="S1803" s="114" t="n">
        <v>0</v>
      </c>
      <c r="T1803" t="n">
        <v>0</v>
      </c>
    </row>
    <row r="1804">
      <c r="A1804" t="inlineStr">
        <is>
          <t>ttJTrans</t>
        </is>
      </c>
      <c r="B1804" s="38" t="inlineStr">
        <is>
          <t>0-4006</t>
        </is>
      </c>
      <c r="C1804" t="inlineStr">
        <is>
          <t>OC</t>
        </is>
      </c>
      <c r="D1804" t="inlineStr">
        <is>
          <t>MA1010887</t>
        </is>
      </c>
      <c r="E1804" t="inlineStr">
        <is>
          <t>OC</t>
        </is>
      </c>
      <c r="F1804" t="inlineStr">
        <is>
          <t>MA1010887</t>
        </is>
      </c>
      <c r="G1804" t="n">
        <v>46112</v>
      </c>
      <c r="H1804" s="127" t="n">
        <v>46162</v>
      </c>
      <c r="I1804" t="inlineStr">
        <is>
          <t>1</t>
        </is>
      </c>
      <c r="J1804" s="38" t="inlineStr">
        <is>
          <t>0-4006</t>
        </is>
      </c>
      <c r="K1804" t="inlineStr">
        <is>
          <t>12x60 S Plex Outside A</t>
        </is>
      </c>
      <c r="L1804" t="n">
        <v>18</v>
      </c>
      <c r="M1804" t="n">
        <v>17982</v>
      </c>
      <c r="N1804" t="inlineStr">
        <is>
          <t>INVOICE</t>
        </is>
      </c>
      <c r="O1804" t="inlineStr">
        <is>
          <t>13196</t>
        </is>
      </c>
      <c r="P1804" t="inlineStr">
        <is>
          <t>SATELLITE SHELTERS, INC.</t>
        </is>
      </c>
      <c r="Q1804" s="114" t="n">
        <v>0</v>
      </c>
      <c r="R1804" s="114" t="n">
        <v>0</v>
      </c>
      <c r="S1804" s="114" t="n">
        <v>0</v>
      </c>
      <c r="T1804" t="n">
        <v>0</v>
      </c>
    </row>
    <row r="1805">
      <c r="A1805" t="inlineStr">
        <is>
          <t>ttJTrans</t>
        </is>
      </c>
      <c r="B1805" s="38" t="inlineStr">
        <is>
          <t>0-4006</t>
        </is>
      </c>
      <c r="C1805" t="inlineStr">
        <is>
          <t>OC</t>
        </is>
      </c>
      <c r="D1805" t="inlineStr">
        <is>
          <t>MA1010887</t>
        </is>
      </c>
      <c r="E1805" t="inlineStr">
        <is>
          <t>OC</t>
        </is>
      </c>
      <c r="F1805" t="inlineStr">
        <is>
          <t>MA1010887</t>
        </is>
      </c>
      <c r="G1805" t="n">
        <v>46112</v>
      </c>
      <c r="H1805" s="127" t="n">
        <v>46162</v>
      </c>
      <c r="I1805" t="inlineStr">
        <is>
          <t>2</t>
        </is>
      </c>
      <c r="J1805" s="38" t="inlineStr">
        <is>
          <t>0-4006</t>
        </is>
      </c>
      <c r="K1805" t="inlineStr">
        <is>
          <t>12x60 S Plex Inside B</t>
        </is>
      </c>
      <c r="L1805" t="n">
        <v>18</v>
      </c>
      <c r="M1805" t="n">
        <v>17982</v>
      </c>
      <c r="N1805" t="inlineStr">
        <is>
          <t>INVOICE</t>
        </is>
      </c>
      <c r="O1805" t="inlineStr">
        <is>
          <t>13196</t>
        </is>
      </c>
      <c r="P1805" t="inlineStr">
        <is>
          <t>SATELLITE SHELTERS, INC.</t>
        </is>
      </c>
      <c r="Q1805" s="114" t="n">
        <v>0</v>
      </c>
      <c r="R1805" s="114" t="n">
        <v>0</v>
      </c>
      <c r="S1805" s="114" t="n">
        <v>0</v>
      </c>
      <c r="T1805" t="n">
        <v>0</v>
      </c>
    </row>
    <row r="1806">
      <c r="A1806" t="inlineStr">
        <is>
          <t>ttJTrans</t>
        </is>
      </c>
      <c r="B1806" s="38" t="inlineStr">
        <is>
          <t>0-4006</t>
        </is>
      </c>
      <c r="C1806" t="inlineStr">
        <is>
          <t>OC</t>
        </is>
      </c>
      <c r="D1806" t="inlineStr">
        <is>
          <t>MA1010887</t>
        </is>
      </c>
      <c r="E1806" t="inlineStr">
        <is>
          <t>OC</t>
        </is>
      </c>
      <c r="F1806" t="inlineStr">
        <is>
          <t>MA1010887</t>
        </is>
      </c>
      <c r="G1806" t="n">
        <v>46112</v>
      </c>
      <c r="H1806" s="127" t="n">
        <v>46162</v>
      </c>
      <c r="I1806" t="inlineStr">
        <is>
          <t>3</t>
        </is>
      </c>
      <c r="J1806" s="38" t="inlineStr">
        <is>
          <t>0-4006</t>
        </is>
      </c>
      <c r="K1806" t="inlineStr">
        <is>
          <t>12x60 S Plex Inside B</t>
        </is>
      </c>
      <c r="L1806" t="n">
        <v>18</v>
      </c>
      <c r="M1806" t="n">
        <v>17982</v>
      </c>
      <c r="N1806" t="inlineStr">
        <is>
          <t>INVOICE</t>
        </is>
      </c>
      <c r="O1806" t="inlineStr">
        <is>
          <t>13196</t>
        </is>
      </c>
      <c r="P1806" t="inlineStr">
        <is>
          <t>SATELLITE SHELTERS, INC.</t>
        </is>
      </c>
      <c r="Q1806" s="114" t="n">
        <v>0</v>
      </c>
      <c r="R1806" s="114" t="n">
        <v>0</v>
      </c>
      <c r="S1806" s="114" t="n">
        <v>0</v>
      </c>
      <c r="T1806" t="n">
        <v>0</v>
      </c>
    </row>
    <row r="1807">
      <c r="A1807" t="inlineStr">
        <is>
          <t>ttJTrans</t>
        </is>
      </c>
      <c r="B1807" s="38" t="inlineStr">
        <is>
          <t>0-4006</t>
        </is>
      </c>
      <c r="C1807" t="inlineStr">
        <is>
          <t>OC</t>
        </is>
      </c>
      <c r="D1807" t="inlineStr">
        <is>
          <t>MA1010887</t>
        </is>
      </c>
      <c r="E1807" t="inlineStr">
        <is>
          <t>OC</t>
        </is>
      </c>
      <c r="F1807" t="inlineStr">
        <is>
          <t>MA1010887</t>
        </is>
      </c>
      <c r="G1807" t="n">
        <v>46112</v>
      </c>
      <c r="H1807" s="127" t="n">
        <v>46162</v>
      </c>
      <c r="I1807" t="inlineStr">
        <is>
          <t>4</t>
        </is>
      </c>
      <c r="J1807" s="38" t="inlineStr">
        <is>
          <t>0-4006</t>
        </is>
      </c>
      <c r="K1807" t="inlineStr">
        <is>
          <t>12x60 S Plex Inside B</t>
        </is>
      </c>
      <c r="L1807" t="n">
        <v>18</v>
      </c>
      <c r="M1807" t="n">
        <v>17982</v>
      </c>
      <c r="N1807" t="inlineStr">
        <is>
          <t>INVOICE</t>
        </is>
      </c>
      <c r="O1807" t="inlineStr">
        <is>
          <t>13196</t>
        </is>
      </c>
      <c r="P1807" t="inlineStr">
        <is>
          <t>SATELLITE SHELTERS, INC.</t>
        </is>
      </c>
      <c r="Q1807" s="114" t="n">
        <v>0</v>
      </c>
      <c r="R1807" s="114" t="n">
        <v>0</v>
      </c>
      <c r="S1807" s="114" t="n">
        <v>0</v>
      </c>
      <c r="T1807" t="n">
        <v>0</v>
      </c>
    </row>
    <row r="1808">
      <c r="A1808" t="inlineStr">
        <is>
          <t>ttJTrans</t>
        </is>
      </c>
      <c r="B1808" s="38" t="inlineStr">
        <is>
          <t>0-4006</t>
        </is>
      </c>
      <c r="C1808" t="inlineStr">
        <is>
          <t>OC</t>
        </is>
      </c>
      <c r="D1808" t="inlineStr">
        <is>
          <t>MA1010887</t>
        </is>
      </c>
      <c r="E1808" t="inlineStr">
        <is>
          <t>OC</t>
        </is>
      </c>
      <c r="F1808" t="inlineStr">
        <is>
          <t>MA1010887</t>
        </is>
      </c>
      <c r="G1808" s="42" t="n">
        <v>46112</v>
      </c>
      <c r="H1808" s="127" t="n">
        <v>46162</v>
      </c>
      <c r="I1808" t="inlineStr">
        <is>
          <t>5</t>
        </is>
      </c>
      <c r="J1808" s="38" t="inlineStr">
        <is>
          <t>0-4006</t>
        </is>
      </c>
      <c r="K1808" t="inlineStr">
        <is>
          <t>12x60 S Plex Outside D</t>
        </is>
      </c>
      <c r="L1808" t="n">
        <v>18</v>
      </c>
      <c r="M1808" t="n">
        <v>17982</v>
      </c>
      <c r="N1808" t="inlineStr">
        <is>
          <t>INVOICE</t>
        </is>
      </c>
      <c r="O1808" t="inlineStr">
        <is>
          <t>13196</t>
        </is>
      </c>
      <c r="P1808" t="inlineStr">
        <is>
          <t>SATELLITE SHELTERS, INC.</t>
        </is>
      </c>
      <c r="Q1808" s="114" t="n">
        <v>0</v>
      </c>
      <c r="R1808" s="114" t="n">
        <v>0</v>
      </c>
      <c r="S1808" s="114" t="n">
        <v>0</v>
      </c>
      <c r="T1808" t="n">
        <v>0</v>
      </c>
    </row>
    <row r="1809">
      <c r="A1809" t="inlineStr">
        <is>
          <t>ttJTrans</t>
        </is>
      </c>
      <c r="B1809" s="38" t="inlineStr">
        <is>
          <t>0-4006</t>
        </is>
      </c>
      <c r="C1809" t="inlineStr">
        <is>
          <t>OC</t>
        </is>
      </c>
      <c r="D1809" t="inlineStr">
        <is>
          <t>MA1010887</t>
        </is>
      </c>
      <c r="E1809" t="inlineStr">
        <is>
          <t>OC</t>
        </is>
      </c>
      <c r="F1809" t="inlineStr">
        <is>
          <t>MA1010887</t>
        </is>
      </c>
      <c r="G1809" s="42" t="n">
        <v>46112</v>
      </c>
      <c r="H1809" s="127" t="n">
        <v>46162</v>
      </c>
      <c r="I1809" t="inlineStr">
        <is>
          <t>11</t>
        </is>
      </c>
      <c r="J1809" s="38" t="inlineStr">
        <is>
          <t>0-4006</t>
        </is>
      </c>
      <c r="K1809" t="inlineStr">
        <is>
          <t>Setup Material</t>
        </is>
      </c>
      <c r="L1809" t="n">
        <v>6</v>
      </c>
      <c r="M1809" t="n">
        <v>6660</v>
      </c>
      <c r="N1809" t="inlineStr">
        <is>
          <t>INVOICE</t>
        </is>
      </c>
      <c r="O1809" t="inlineStr">
        <is>
          <t>13196</t>
        </is>
      </c>
      <c r="P1809" t="inlineStr">
        <is>
          <t>SATELLITE SHELTERS, INC.</t>
        </is>
      </c>
      <c r="Q1809" s="114" t="n">
        <v>0</v>
      </c>
      <c r="R1809" s="114" t="n">
        <v>0</v>
      </c>
      <c r="S1809" s="114" t="n">
        <v>0</v>
      </c>
      <c r="T1809" t="n">
        <v>0</v>
      </c>
    </row>
    <row r="1810">
      <c r="A1810" t="inlineStr">
        <is>
          <t>ttJTrans</t>
        </is>
      </c>
      <c r="B1810" s="38" t="inlineStr">
        <is>
          <t>0-4006</t>
        </is>
      </c>
      <c r="C1810" t="inlineStr">
        <is>
          <t>OC</t>
        </is>
      </c>
      <c r="D1810" t="inlineStr">
        <is>
          <t>MA1010887</t>
        </is>
      </c>
      <c r="E1810" t="inlineStr">
        <is>
          <t>OC</t>
        </is>
      </c>
      <c r="F1810" t="inlineStr">
        <is>
          <t>MA1010887</t>
        </is>
      </c>
      <c r="G1810" s="42" t="n">
        <v>46112</v>
      </c>
      <c r="H1810" s="127" t="n">
        <v>46162</v>
      </c>
      <c r="I1810" t="inlineStr">
        <is>
          <t>6</t>
        </is>
      </c>
      <c r="J1810" s="38" t="inlineStr">
        <is>
          <t>0-4006</t>
        </is>
      </c>
      <c r="K1810" t="inlineStr">
        <is>
          <t>Steps - Rental</t>
        </is>
      </c>
      <c r="L1810" t="n">
        <v>18</v>
      </c>
      <c r="M1810" t="n">
        <v>1698.3</v>
      </c>
      <c r="N1810" t="inlineStr">
        <is>
          <t>INVOICE</t>
        </is>
      </c>
      <c r="O1810" t="inlineStr">
        <is>
          <t>13196</t>
        </is>
      </c>
      <c r="P1810" t="inlineStr">
        <is>
          <t>SATELLITE SHELTERS, INC.</t>
        </is>
      </c>
      <c r="Q1810" s="114" t="n">
        <v>0</v>
      </c>
      <c r="R1810" s="114" t="n">
        <v>0</v>
      </c>
      <c r="S1810" s="114" t="n">
        <v>0</v>
      </c>
      <c r="T1810" t="n">
        <v>0</v>
      </c>
    </row>
    <row r="1811">
      <c r="A1811" t="inlineStr">
        <is>
          <t>ttJTrans</t>
        </is>
      </c>
      <c r="B1811" s="38" t="inlineStr">
        <is>
          <t>0-4006</t>
        </is>
      </c>
      <c r="C1811" t="inlineStr">
        <is>
          <t>OC</t>
        </is>
      </c>
      <c r="D1811" t="inlineStr">
        <is>
          <t>MA1010887</t>
        </is>
      </c>
      <c r="E1811" t="inlineStr">
        <is>
          <t>OC</t>
        </is>
      </c>
      <c r="F1811" t="inlineStr">
        <is>
          <t>MA1010887</t>
        </is>
      </c>
      <c r="G1811" s="42" t="n">
        <v>46112</v>
      </c>
      <c r="H1811" s="127" t="n">
        <v>46162</v>
      </c>
      <c r="I1811" t="inlineStr">
        <is>
          <t>9</t>
        </is>
      </c>
      <c r="J1811" s="38" t="inlineStr">
        <is>
          <t>0-4006</t>
        </is>
      </c>
      <c r="K1811" t="inlineStr">
        <is>
          <t>Delivery</t>
        </is>
      </c>
      <c r="L1811" t="n">
        <v>6</v>
      </c>
      <c r="M1811" t="n">
        <v>5328</v>
      </c>
      <c r="N1811" t="inlineStr">
        <is>
          <t>INVOICE</t>
        </is>
      </c>
      <c r="O1811" t="inlineStr">
        <is>
          <t>13196</t>
        </is>
      </c>
      <c r="P1811" t="inlineStr">
        <is>
          <t>SATELLITE SHELTERS, INC.</t>
        </is>
      </c>
      <c r="Q1811" s="114" t="n">
        <v>0</v>
      </c>
      <c r="R1811" s="114" t="n">
        <v>0</v>
      </c>
      <c r="S1811" s="114" t="n">
        <v>0</v>
      </c>
      <c r="T1811" t="n">
        <v>0</v>
      </c>
    </row>
    <row r="1812">
      <c r="A1812" t="inlineStr">
        <is>
          <t>ttJTrans</t>
        </is>
      </c>
      <c r="B1812" s="38" t="inlineStr">
        <is>
          <t>0-4006</t>
        </is>
      </c>
      <c r="C1812" t="inlineStr">
        <is>
          <t>OC</t>
        </is>
      </c>
      <c r="D1812" t="inlineStr">
        <is>
          <t>MA1010887</t>
        </is>
      </c>
      <c r="E1812" t="inlineStr">
        <is>
          <t>OC</t>
        </is>
      </c>
      <c r="F1812" t="inlineStr">
        <is>
          <t>MA1010887</t>
        </is>
      </c>
      <c r="G1812" s="42" t="n">
        <v>46112</v>
      </c>
      <c r="H1812" s="127" t="n">
        <v>46136</v>
      </c>
      <c r="I1812" t="inlineStr">
        <is>
          <t>12</t>
        </is>
      </c>
      <c r="J1812" s="38" t="inlineStr">
        <is>
          <t>0-4006</t>
        </is>
      </c>
      <c r="K1812" t="inlineStr">
        <is>
          <t>Dismantle @ Return</t>
        </is>
      </c>
      <c r="L1812" t="n">
        <v>6</v>
      </c>
      <c r="M1812" t="n">
        <v>10656</v>
      </c>
      <c r="N1812" t="inlineStr">
        <is>
          <t>PO:COMMIT</t>
        </is>
      </c>
      <c r="O1812" t="inlineStr">
        <is>
          <t>13196</t>
        </is>
      </c>
      <c r="P1812" t="inlineStr">
        <is>
          <t>SATELLITE SHELTERS, INC.</t>
        </is>
      </c>
      <c r="Q1812" s="114" t="n">
        <v>0</v>
      </c>
      <c r="R1812" s="114" t="n">
        <v>0</v>
      </c>
      <c r="S1812" s="114" t="n">
        <v>10656</v>
      </c>
      <c r="T1812" t="n">
        <v>0</v>
      </c>
    </row>
    <row r="1813">
      <c r="A1813" t="inlineStr">
        <is>
          <t>ttJTrans</t>
        </is>
      </c>
      <c r="B1813" s="38" t="inlineStr">
        <is>
          <t>0-4006</t>
        </is>
      </c>
      <c r="C1813" t="inlineStr">
        <is>
          <t>OC</t>
        </is>
      </c>
      <c r="D1813" t="inlineStr">
        <is>
          <t>MA1010887</t>
        </is>
      </c>
      <c r="E1813" t="inlineStr">
        <is>
          <t>OC</t>
        </is>
      </c>
      <c r="F1813" t="inlineStr">
        <is>
          <t>MA1010887</t>
        </is>
      </c>
      <c r="G1813" s="42" t="n">
        <v>46112</v>
      </c>
      <c r="H1813" s="127" t="n">
        <v>46136</v>
      </c>
      <c r="I1813" t="inlineStr">
        <is>
          <t>13</t>
        </is>
      </c>
      <c r="J1813" s="38" t="inlineStr">
        <is>
          <t>0-4006</t>
        </is>
      </c>
      <c r="K1813" t="inlineStr">
        <is>
          <t>Pickup @ Return</t>
        </is>
      </c>
      <c r="L1813" t="n">
        <v>6</v>
      </c>
      <c r="M1813" t="n">
        <v>5328</v>
      </c>
      <c r="N1813" t="inlineStr">
        <is>
          <t>PO:COMMIT</t>
        </is>
      </c>
      <c r="O1813" t="inlineStr">
        <is>
          <t>13196</t>
        </is>
      </c>
      <c r="P1813" t="inlineStr">
        <is>
          <t>SATELLITE SHELTERS, INC.</t>
        </is>
      </c>
      <c r="Q1813" s="114" t="n">
        <v>0</v>
      </c>
      <c r="R1813" s="114" t="n">
        <v>0</v>
      </c>
      <c r="S1813" s="114" t="n">
        <v>5328</v>
      </c>
      <c r="T1813" t="n">
        <v>0</v>
      </c>
    </row>
    <row r="1814">
      <c r="A1814" t="inlineStr">
        <is>
          <t>ttJTrans</t>
        </is>
      </c>
      <c r="B1814" s="38" t="inlineStr">
        <is>
          <t>0-4006</t>
        </is>
      </c>
      <c r="C1814" t="inlineStr">
        <is>
          <t>OC</t>
        </is>
      </c>
      <c r="D1814" t="inlineStr">
        <is>
          <t>MA1010887</t>
        </is>
      </c>
      <c r="E1814" t="inlineStr">
        <is>
          <t>OC</t>
        </is>
      </c>
      <c r="F1814" t="inlineStr">
        <is>
          <t>MA1010887</t>
        </is>
      </c>
      <c r="G1814" s="42" t="n">
        <v>46112</v>
      </c>
      <c r="H1814" s="127" t="n">
        <v>46136</v>
      </c>
      <c r="I1814" t="inlineStr">
        <is>
          <t>8</t>
        </is>
      </c>
      <c r="J1814" s="38" t="inlineStr">
        <is>
          <t>0-4006</t>
        </is>
      </c>
      <c r="K1814" t="inlineStr">
        <is>
          <t>PPT Recovery</t>
        </is>
      </c>
      <c r="L1814" t="n">
        <v>18</v>
      </c>
      <c r="M1814" t="n">
        <v>3196.8</v>
      </c>
      <c r="N1814" t="inlineStr">
        <is>
          <t>PO:COMMIT</t>
        </is>
      </c>
      <c r="O1814" t="inlineStr">
        <is>
          <t>13196</t>
        </is>
      </c>
      <c r="P1814" t="inlineStr">
        <is>
          <t>SATELLITE SHELTERS, INC.</t>
        </is>
      </c>
      <c r="Q1814" s="114" t="n">
        <v>0</v>
      </c>
      <c r="R1814" s="114" t="n">
        <v>0</v>
      </c>
      <c r="S1814" s="114" t="n">
        <v>3196.8</v>
      </c>
      <c r="T1814" t="n">
        <v>0</v>
      </c>
    </row>
    <row r="1815">
      <c r="A1815" t="inlineStr">
        <is>
          <t>ttJTrans</t>
        </is>
      </c>
      <c r="B1815" s="38" t="inlineStr">
        <is>
          <t>0-4006</t>
        </is>
      </c>
      <c r="C1815" t="inlineStr">
        <is>
          <t>OC</t>
        </is>
      </c>
      <c r="D1815" t="inlineStr">
        <is>
          <t>MA1010887</t>
        </is>
      </c>
      <c r="E1815" t="inlineStr">
        <is>
          <t>OC</t>
        </is>
      </c>
      <c r="F1815" t="inlineStr">
        <is>
          <t>MA1010887</t>
        </is>
      </c>
      <c r="G1815" s="42" t="n">
        <v>46112</v>
      </c>
      <c r="H1815" s="127" t="n">
        <v>46136</v>
      </c>
      <c r="I1815" t="inlineStr">
        <is>
          <t>9</t>
        </is>
      </c>
      <c r="J1815" s="38" t="inlineStr">
        <is>
          <t>0-4006</t>
        </is>
      </c>
      <c r="K1815" t="inlineStr">
        <is>
          <t>Delivery</t>
        </is>
      </c>
      <c r="L1815" t="n">
        <v>6</v>
      </c>
      <c r="M1815" t="n">
        <v>5328</v>
      </c>
      <c r="N1815" t="inlineStr">
        <is>
          <t>PO:COMMIT</t>
        </is>
      </c>
      <c r="O1815" t="inlineStr">
        <is>
          <t>13196</t>
        </is>
      </c>
      <c r="P1815" t="inlineStr">
        <is>
          <t>SATELLITE SHELTERS, INC.</t>
        </is>
      </c>
      <c r="Q1815" s="114" t="n">
        <v>0</v>
      </c>
      <c r="R1815" s="114" t="n">
        <v>0</v>
      </c>
      <c r="S1815" s="114" t="n">
        <v>5328</v>
      </c>
      <c r="T1815" t="n">
        <v>0</v>
      </c>
    </row>
    <row r="1816">
      <c r="A1816" t="inlineStr">
        <is>
          <t>ttJTrans</t>
        </is>
      </c>
      <c r="B1816" s="38" t="inlineStr">
        <is>
          <t>0-4006</t>
        </is>
      </c>
      <c r="C1816" t="inlineStr">
        <is>
          <t>OC</t>
        </is>
      </c>
      <c r="D1816" t="inlineStr">
        <is>
          <t>MA1010887</t>
        </is>
      </c>
      <c r="E1816" t="inlineStr">
        <is>
          <t>OC</t>
        </is>
      </c>
      <c r="F1816" t="inlineStr">
        <is>
          <t>MA1010887</t>
        </is>
      </c>
      <c r="G1816" s="42" t="n">
        <v>46112</v>
      </c>
      <c r="H1816" s="127" t="n">
        <v>46136</v>
      </c>
      <c r="I1816" t="inlineStr">
        <is>
          <t>10</t>
        </is>
      </c>
      <c r="J1816" s="38" t="inlineStr">
        <is>
          <t>0-4006</t>
        </is>
      </c>
      <c r="K1816" t="inlineStr">
        <is>
          <t>Standard Setup</t>
        </is>
      </c>
      <c r="L1816" t="n">
        <v>6</v>
      </c>
      <c r="M1816" t="n">
        <v>11548.44</v>
      </c>
      <c r="N1816" t="inlineStr">
        <is>
          <t>PO:COMMIT</t>
        </is>
      </c>
      <c r="O1816" t="inlineStr">
        <is>
          <t>13196</t>
        </is>
      </c>
      <c r="P1816" t="inlineStr">
        <is>
          <t>SATELLITE SHELTERS, INC.</t>
        </is>
      </c>
      <c r="Q1816" s="114" t="n">
        <v>0</v>
      </c>
      <c r="R1816" s="114" t="n">
        <v>0</v>
      </c>
      <c r="S1816" s="114" t="n">
        <v>11548.44</v>
      </c>
      <c r="T1816" t="n">
        <v>0</v>
      </c>
    </row>
    <row r="1817">
      <c r="A1817" t="inlineStr">
        <is>
          <t>ttJTrans</t>
        </is>
      </c>
      <c r="B1817" s="38" t="inlineStr">
        <is>
          <t>0-4006</t>
        </is>
      </c>
      <c r="C1817" t="inlineStr">
        <is>
          <t>OC</t>
        </is>
      </c>
      <c r="D1817" t="inlineStr">
        <is>
          <t>MA1010887</t>
        </is>
      </c>
      <c r="E1817" t="inlineStr">
        <is>
          <t>OC</t>
        </is>
      </c>
      <c r="F1817" t="inlineStr">
        <is>
          <t>MA1010887</t>
        </is>
      </c>
      <c r="G1817" s="42" t="n">
        <v>46112</v>
      </c>
      <c r="H1817" s="127" t="n">
        <v>46136</v>
      </c>
      <c r="I1817" t="inlineStr">
        <is>
          <t>14</t>
        </is>
      </c>
      <c r="J1817" s="38" t="inlineStr">
        <is>
          <t>0-4006</t>
        </is>
      </c>
      <c r="K1817" t="inlineStr">
        <is>
          <t>12x60 S Plex Inside B</t>
        </is>
      </c>
      <c r="L1817" t="n">
        <v>18</v>
      </c>
      <c r="M1817" t="n">
        <v>17982</v>
      </c>
      <c r="N1817" t="inlineStr">
        <is>
          <t>PO:COMMIT</t>
        </is>
      </c>
      <c r="O1817" t="inlineStr">
        <is>
          <t>13196</t>
        </is>
      </c>
      <c r="P1817" t="inlineStr">
        <is>
          <t>SATELLITE SHELTERS, INC.</t>
        </is>
      </c>
      <c r="Q1817" s="114" t="n">
        <v>0</v>
      </c>
      <c r="R1817" s="114" t="n">
        <v>0</v>
      </c>
      <c r="S1817" s="114" t="n">
        <v>17982</v>
      </c>
      <c r="T1817" t="n">
        <v>0</v>
      </c>
    </row>
    <row r="1818">
      <c r="A1818" t="inlineStr">
        <is>
          <t>ttJTrans</t>
        </is>
      </c>
      <c r="B1818" s="38" t="inlineStr">
        <is>
          <t>0-4006</t>
        </is>
      </c>
      <c r="C1818" t="inlineStr">
        <is>
          <t>OC</t>
        </is>
      </c>
      <c r="D1818" t="inlineStr">
        <is>
          <t>MA1010887</t>
        </is>
      </c>
      <c r="E1818" t="inlineStr">
        <is>
          <t>OC</t>
        </is>
      </c>
      <c r="F1818" t="inlineStr">
        <is>
          <t>MA1010887</t>
        </is>
      </c>
      <c r="G1818" t="n">
        <v>46112</v>
      </c>
      <c r="H1818" s="127" t="n">
        <v>46136</v>
      </c>
      <c r="I1818" t="inlineStr">
        <is>
          <t>1</t>
        </is>
      </c>
      <c r="J1818" s="38" t="inlineStr">
        <is>
          <t>0-4006</t>
        </is>
      </c>
      <c r="K1818" t="inlineStr">
        <is>
          <t>12x60 S Plex Outside A</t>
        </is>
      </c>
      <c r="L1818" t="n">
        <v>18</v>
      </c>
      <c r="M1818" t="n">
        <v>17982</v>
      </c>
      <c r="N1818" t="inlineStr">
        <is>
          <t>PO:COMMIT</t>
        </is>
      </c>
      <c r="O1818" t="inlineStr">
        <is>
          <t>13196</t>
        </is>
      </c>
      <c r="P1818" t="inlineStr">
        <is>
          <t>SATELLITE SHELTERS, INC.</t>
        </is>
      </c>
      <c r="Q1818" s="114" t="n">
        <v>0</v>
      </c>
      <c r="R1818" s="114" t="n">
        <v>0</v>
      </c>
      <c r="S1818" s="114" t="n">
        <v>17982</v>
      </c>
      <c r="T1818" t="n">
        <v>0</v>
      </c>
    </row>
    <row r="1819">
      <c r="A1819" t="inlineStr">
        <is>
          <t>ttJTrans</t>
        </is>
      </c>
      <c r="B1819" s="38" t="inlineStr">
        <is>
          <t>0-4006</t>
        </is>
      </c>
      <c r="C1819" t="inlineStr">
        <is>
          <t>OC</t>
        </is>
      </c>
      <c r="D1819" t="inlineStr">
        <is>
          <t>MA1010887</t>
        </is>
      </c>
      <c r="E1819" t="inlineStr">
        <is>
          <t>OC</t>
        </is>
      </c>
      <c r="F1819" t="inlineStr">
        <is>
          <t>MA1010887</t>
        </is>
      </c>
      <c r="G1819" t="n">
        <v>46112</v>
      </c>
      <c r="H1819" s="127" t="n">
        <v>46136</v>
      </c>
      <c r="I1819" t="inlineStr">
        <is>
          <t>2</t>
        </is>
      </c>
      <c r="J1819" s="38" t="inlineStr">
        <is>
          <t>0-4006</t>
        </is>
      </c>
      <c r="K1819" t="inlineStr">
        <is>
          <t>12x60 S Plex Inside B</t>
        </is>
      </c>
      <c r="L1819" t="n">
        <v>18</v>
      </c>
      <c r="M1819" t="n">
        <v>17982</v>
      </c>
      <c r="N1819" t="inlineStr">
        <is>
          <t>PO:COMMIT</t>
        </is>
      </c>
      <c r="O1819" t="inlineStr">
        <is>
          <t>13196</t>
        </is>
      </c>
      <c r="P1819" t="inlineStr">
        <is>
          <t>SATELLITE SHELTERS, INC.</t>
        </is>
      </c>
      <c r="Q1819" s="114" t="n">
        <v>0</v>
      </c>
      <c r="R1819" s="114" t="n">
        <v>0</v>
      </c>
      <c r="S1819" s="114" t="n">
        <v>17982</v>
      </c>
      <c r="T1819" t="n">
        <v>0</v>
      </c>
    </row>
    <row r="1820">
      <c r="A1820" t="inlineStr">
        <is>
          <t>ttJTrans</t>
        </is>
      </c>
      <c r="B1820" s="38" t="inlineStr">
        <is>
          <t>0-4006</t>
        </is>
      </c>
      <c r="C1820" t="inlineStr">
        <is>
          <t>OC</t>
        </is>
      </c>
      <c r="D1820" t="inlineStr">
        <is>
          <t>MA1010887</t>
        </is>
      </c>
      <c r="E1820" t="inlineStr">
        <is>
          <t>OC</t>
        </is>
      </c>
      <c r="F1820" t="inlineStr">
        <is>
          <t>MA1010887</t>
        </is>
      </c>
      <c r="G1820" t="n">
        <v>46112</v>
      </c>
      <c r="H1820" s="127" t="n">
        <v>46136</v>
      </c>
      <c r="I1820" t="inlineStr">
        <is>
          <t>4</t>
        </is>
      </c>
      <c r="J1820" s="38" t="inlineStr">
        <is>
          <t>0-4006</t>
        </is>
      </c>
      <c r="K1820" t="inlineStr">
        <is>
          <t>12x60 S Plex Inside B</t>
        </is>
      </c>
      <c r="L1820" t="n">
        <v>18</v>
      </c>
      <c r="M1820" t="n">
        <v>17982</v>
      </c>
      <c r="N1820" t="inlineStr">
        <is>
          <t>PO:COMMIT</t>
        </is>
      </c>
      <c r="O1820" t="inlineStr">
        <is>
          <t>13196</t>
        </is>
      </c>
      <c r="P1820" t="inlineStr">
        <is>
          <t>SATELLITE SHELTERS, INC.</t>
        </is>
      </c>
      <c r="Q1820" s="114" t="n">
        <v>0</v>
      </c>
      <c r="R1820" s="114" t="n">
        <v>0</v>
      </c>
      <c r="S1820" s="114" t="n">
        <v>17982</v>
      </c>
      <c r="T1820" t="n">
        <v>0</v>
      </c>
    </row>
    <row r="1821">
      <c r="A1821" t="inlineStr">
        <is>
          <t>ttJTrans</t>
        </is>
      </c>
      <c r="B1821" s="38" t="inlineStr">
        <is>
          <t>0-4006</t>
        </is>
      </c>
      <c r="C1821" t="inlineStr">
        <is>
          <t>OC</t>
        </is>
      </c>
      <c r="D1821" t="inlineStr">
        <is>
          <t>MA1010887</t>
        </is>
      </c>
      <c r="E1821" t="inlineStr">
        <is>
          <t>OC</t>
        </is>
      </c>
      <c r="F1821" t="inlineStr">
        <is>
          <t>MA1010887</t>
        </is>
      </c>
      <c r="G1821" t="n">
        <v>46112</v>
      </c>
      <c r="H1821" s="127" t="n">
        <v>46136</v>
      </c>
      <c r="I1821" t="inlineStr">
        <is>
          <t>3</t>
        </is>
      </c>
      <c r="J1821" s="38" t="inlineStr">
        <is>
          <t>0-4006</t>
        </is>
      </c>
      <c r="K1821" t="inlineStr">
        <is>
          <t>12x60 S Plex Inside B</t>
        </is>
      </c>
      <c r="L1821" t="n">
        <v>18</v>
      </c>
      <c r="M1821" t="n">
        <v>17982</v>
      </c>
      <c r="N1821" t="inlineStr">
        <is>
          <t>PO:COMMIT</t>
        </is>
      </c>
      <c r="O1821" t="inlineStr">
        <is>
          <t>13196</t>
        </is>
      </c>
      <c r="P1821" t="inlineStr">
        <is>
          <t>SATELLITE SHELTERS, INC.</t>
        </is>
      </c>
      <c r="Q1821" s="114" t="n">
        <v>0</v>
      </c>
      <c r="R1821" s="114" t="n">
        <v>0</v>
      </c>
      <c r="S1821" s="114" t="n">
        <v>17982</v>
      </c>
      <c r="T1821" t="n">
        <v>0</v>
      </c>
    </row>
    <row r="1822">
      <c r="A1822" t="inlineStr">
        <is>
          <t>ttJTrans</t>
        </is>
      </c>
      <c r="B1822" s="38" t="inlineStr">
        <is>
          <t>0-4006</t>
        </is>
      </c>
      <c r="C1822" t="inlineStr">
        <is>
          <t>OC</t>
        </is>
      </c>
      <c r="D1822" t="inlineStr">
        <is>
          <t>MA1010887</t>
        </is>
      </c>
      <c r="E1822" t="inlineStr">
        <is>
          <t>OC</t>
        </is>
      </c>
      <c r="F1822" t="inlineStr">
        <is>
          <t>MA1010887</t>
        </is>
      </c>
      <c r="G1822" t="n">
        <v>46112</v>
      </c>
      <c r="H1822" s="127" t="n">
        <v>46136</v>
      </c>
      <c r="I1822" t="inlineStr">
        <is>
          <t>6</t>
        </is>
      </c>
      <c r="J1822" s="38" t="inlineStr">
        <is>
          <t>0-4006</t>
        </is>
      </c>
      <c r="K1822" t="inlineStr">
        <is>
          <t>Steps - Rental</t>
        </is>
      </c>
      <c r="L1822" t="n">
        <v>18</v>
      </c>
      <c r="M1822" t="n">
        <v>1698.3</v>
      </c>
      <c r="N1822" t="inlineStr">
        <is>
          <t>PO:COMMIT</t>
        </is>
      </c>
      <c r="O1822" t="inlineStr">
        <is>
          <t>13196</t>
        </is>
      </c>
      <c r="P1822" t="inlineStr">
        <is>
          <t>SATELLITE SHELTERS, INC.</t>
        </is>
      </c>
      <c r="Q1822" s="114" t="n">
        <v>0</v>
      </c>
      <c r="R1822" s="114" t="n">
        <v>0</v>
      </c>
      <c r="S1822" s="114" t="n">
        <v>1698.3</v>
      </c>
      <c r="T1822" t="n">
        <v>0</v>
      </c>
    </row>
    <row r="1823">
      <c r="A1823" t="inlineStr">
        <is>
          <t>ttJTrans</t>
        </is>
      </c>
      <c r="B1823" s="38" t="inlineStr">
        <is>
          <t>0-4006</t>
        </is>
      </c>
      <c r="C1823" t="inlineStr">
        <is>
          <t>OC</t>
        </is>
      </c>
      <c r="D1823" t="inlineStr">
        <is>
          <t>MA1010887</t>
        </is>
      </c>
      <c r="E1823" t="inlineStr">
        <is>
          <t>OC</t>
        </is>
      </c>
      <c r="F1823" t="inlineStr">
        <is>
          <t>MA1010887</t>
        </is>
      </c>
      <c r="G1823" t="n">
        <v>46112</v>
      </c>
      <c r="H1823" s="127" t="n">
        <v>46136</v>
      </c>
      <c r="I1823" t="inlineStr">
        <is>
          <t>7</t>
        </is>
      </c>
      <c r="J1823" s="38" t="inlineStr">
        <is>
          <t>0-4006</t>
        </is>
      </c>
      <c r="K1823" t="inlineStr">
        <is>
          <t>Steps - Rental</t>
        </is>
      </c>
      <c r="L1823" t="n">
        <v>18</v>
      </c>
      <c r="M1823" t="n">
        <v>1698.3</v>
      </c>
      <c r="N1823" t="inlineStr">
        <is>
          <t>PO:COMMIT</t>
        </is>
      </c>
      <c r="O1823" t="inlineStr">
        <is>
          <t>13196</t>
        </is>
      </c>
      <c r="P1823" t="inlineStr">
        <is>
          <t>SATELLITE SHELTERS, INC.</t>
        </is>
      </c>
      <c r="Q1823" s="114" t="n">
        <v>0</v>
      </c>
      <c r="R1823" s="114" t="n">
        <v>0</v>
      </c>
      <c r="S1823" s="114" t="n">
        <v>1698.3</v>
      </c>
      <c r="T1823" t="n">
        <v>0</v>
      </c>
    </row>
    <row r="1824">
      <c r="A1824" t="inlineStr">
        <is>
          <t>ttJTrans</t>
        </is>
      </c>
      <c r="B1824" s="38" t="inlineStr">
        <is>
          <t>0-4006</t>
        </is>
      </c>
      <c r="C1824" t="inlineStr">
        <is>
          <t>OC</t>
        </is>
      </c>
      <c r="D1824" t="inlineStr">
        <is>
          <t>MA1010887</t>
        </is>
      </c>
      <c r="E1824" t="inlineStr">
        <is>
          <t>OC</t>
        </is>
      </c>
      <c r="F1824" t="inlineStr">
        <is>
          <t>MA1010887</t>
        </is>
      </c>
      <c r="G1824" t="n">
        <v>46112</v>
      </c>
      <c r="H1824" s="127" t="n">
        <v>46136</v>
      </c>
      <c r="I1824" t="inlineStr">
        <is>
          <t>11</t>
        </is>
      </c>
      <c r="J1824" s="38" t="inlineStr">
        <is>
          <t>0-4006</t>
        </is>
      </c>
      <c r="K1824" t="inlineStr">
        <is>
          <t>Setup Material</t>
        </is>
      </c>
      <c r="L1824" t="n">
        <v>6</v>
      </c>
      <c r="M1824" t="n">
        <v>6660</v>
      </c>
      <c r="N1824" t="inlineStr">
        <is>
          <t>PO:COMMIT</t>
        </is>
      </c>
      <c r="O1824" t="inlineStr">
        <is>
          <t>13196</t>
        </is>
      </c>
      <c r="P1824" t="inlineStr">
        <is>
          <t>SATELLITE SHELTERS, INC.</t>
        </is>
      </c>
      <c r="Q1824" s="114" t="n">
        <v>0</v>
      </c>
      <c r="R1824" s="114" t="n">
        <v>0</v>
      </c>
      <c r="S1824" s="114" t="n">
        <v>6660</v>
      </c>
      <c r="T1824" t="n">
        <v>0</v>
      </c>
    </row>
    <row r="1825">
      <c r="A1825" t="inlineStr">
        <is>
          <t>ttJTrans</t>
        </is>
      </c>
      <c r="B1825" s="38" t="inlineStr">
        <is>
          <t>0-4006</t>
        </is>
      </c>
      <c r="C1825" t="inlineStr">
        <is>
          <t>OC</t>
        </is>
      </c>
      <c r="D1825" t="inlineStr">
        <is>
          <t>MA1010887</t>
        </is>
      </c>
      <c r="E1825" t="inlineStr">
        <is>
          <t>OC</t>
        </is>
      </c>
      <c r="F1825" t="inlineStr">
        <is>
          <t>MA1010887</t>
        </is>
      </c>
      <c r="G1825" s="42" t="n">
        <v>46112</v>
      </c>
      <c r="H1825" s="127" t="n">
        <v>46136</v>
      </c>
      <c r="I1825" t="inlineStr">
        <is>
          <t>4</t>
        </is>
      </c>
      <c r="J1825" s="38" t="inlineStr">
        <is>
          <t>0-4006</t>
        </is>
      </c>
      <c r="K1825" t="inlineStr">
        <is>
          <t>12x60 S Plex Inside B</t>
        </is>
      </c>
      <c r="L1825" t="n">
        <v>18</v>
      </c>
      <c r="M1825" t="n">
        <v>17982</v>
      </c>
      <c r="N1825" t="inlineStr">
        <is>
          <t>INVOICE:ADJ-COMMIT</t>
        </is>
      </c>
      <c r="O1825" t="inlineStr">
        <is>
          <t>13196</t>
        </is>
      </c>
      <c r="P1825" t="inlineStr">
        <is>
          <t>SATELLITE SHELTERS, INC.</t>
        </is>
      </c>
      <c r="Q1825" s="114" t="n">
        <v>0</v>
      </c>
      <c r="R1825" s="114" t="n">
        <v>0</v>
      </c>
      <c r="S1825" s="114" t="n">
        <v>-999</v>
      </c>
      <c r="T1825" t="n">
        <v>0</v>
      </c>
    </row>
    <row r="1826">
      <c r="A1826" t="inlineStr">
        <is>
          <t>ttJTrans</t>
        </is>
      </c>
      <c r="B1826" s="38" t="inlineStr">
        <is>
          <t>0-4006</t>
        </is>
      </c>
      <c r="C1826" t="inlineStr">
        <is>
          <t>OC</t>
        </is>
      </c>
      <c r="D1826" t="inlineStr">
        <is>
          <t>MA1010887</t>
        </is>
      </c>
      <c r="E1826" t="inlineStr">
        <is>
          <t>OC</t>
        </is>
      </c>
      <c r="F1826" t="inlineStr">
        <is>
          <t>MA1010887</t>
        </is>
      </c>
      <c r="G1826" s="42" t="n">
        <v>46112</v>
      </c>
      <c r="H1826" s="127" t="n">
        <v>46136</v>
      </c>
      <c r="I1826" t="inlineStr">
        <is>
          <t>3</t>
        </is>
      </c>
      <c r="J1826" s="38" t="inlineStr">
        <is>
          <t>0-4006</t>
        </is>
      </c>
      <c r="K1826" t="inlineStr">
        <is>
          <t>12x60 S Plex Inside B</t>
        </is>
      </c>
      <c r="L1826" t="n">
        <v>18</v>
      </c>
      <c r="M1826" t="n">
        <v>17982</v>
      </c>
      <c r="N1826" t="inlineStr">
        <is>
          <t>INVOICE:ADJ-COMMIT</t>
        </is>
      </c>
      <c r="O1826" t="inlineStr">
        <is>
          <t>13196</t>
        </is>
      </c>
      <c r="P1826" t="inlineStr">
        <is>
          <t>SATELLITE SHELTERS, INC.</t>
        </is>
      </c>
      <c r="Q1826" s="114" t="n">
        <v>0</v>
      </c>
      <c r="R1826" s="114" t="n">
        <v>0</v>
      </c>
      <c r="S1826" s="114" t="n">
        <v>-999</v>
      </c>
      <c r="T1826" t="n">
        <v>0</v>
      </c>
    </row>
    <row r="1827">
      <c r="A1827" t="inlineStr">
        <is>
          <t>ttJTrans</t>
        </is>
      </c>
      <c r="B1827" s="38" t="inlineStr">
        <is>
          <t>0-4006</t>
        </is>
      </c>
      <c r="C1827" t="inlineStr">
        <is>
          <t>OC</t>
        </is>
      </c>
      <c r="D1827" t="inlineStr">
        <is>
          <t>MA1010887</t>
        </is>
      </c>
      <c r="E1827" t="inlineStr">
        <is>
          <t>OC</t>
        </is>
      </c>
      <c r="F1827" t="inlineStr">
        <is>
          <t>MA1010887</t>
        </is>
      </c>
      <c r="G1827" s="42" t="n">
        <v>46112</v>
      </c>
      <c r="H1827" s="127" t="n">
        <v>46136</v>
      </c>
      <c r="I1827" t="inlineStr">
        <is>
          <t>2</t>
        </is>
      </c>
      <c r="J1827" s="38" t="inlineStr">
        <is>
          <t>0-4006</t>
        </is>
      </c>
      <c r="K1827" t="inlineStr">
        <is>
          <t>12x60 S Plex Inside B</t>
        </is>
      </c>
      <c r="L1827" t="n">
        <v>18</v>
      </c>
      <c r="M1827" t="n">
        <v>17982</v>
      </c>
      <c r="N1827" t="inlineStr">
        <is>
          <t>INVOICE:ADJ-COMMIT</t>
        </is>
      </c>
      <c r="O1827" t="inlineStr">
        <is>
          <t>13196</t>
        </is>
      </c>
      <c r="P1827" t="inlineStr">
        <is>
          <t>SATELLITE SHELTERS, INC.</t>
        </is>
      </c>
      <c r="Q1827" s="114" t="n">
        <v>0</v>
      </c>
      <c r="R1827" s="114" t="n">
        <v>0</v>
      </c>
      <c r="S1827" s="114" t="n">
        <v>-999</v>
      </c>
      <c r="T1827" t="n">
        <v>0</v>
      </c>
    </row>
    <row r="1828">
      <c r="A1828" t="inlineStr">
        <is>
          <t>ttJTrans</t>
        </is>
      </c>
      <c r="B1828" s="38" t="inlineStr">
        <is>
          <t>0-4006</t>
        </is>
      </c>
      <c r="C1828" t="inlineStr">
        <is>
          <t>OC</t>
        </is>
      </c>
      <c r="D1828" t="inlineStr">
        <is>
          <t>MA1010887</t>
        </is>
      </c>
      <c r="E1828" t="inlineStr">
        <is>
          <t>OC</t>
        </is>
      </c>
      <c r="F1828" t="inlineStr">
        <is>
          <t>MA1010887</t>
        </is>
      </c>
      <c r="G1828" s="42" t="n">
        <v>46112</v>
      </c>
      <c r="H1828" s="127" t="n">
        <v>46136</v>
      </c>
      <c r="I1828" t="inlineStr">
        <is>
          <t>1</t>
        </is>
      </c>
      <c r="J1828" s="38" t="inlineStr">
        <is>
          <t>0-4006</t>
        </is>
      </c>
      <c r="K1828" t="inlineStr">
        <is>
          <t>12x60 S Plex Outside A</t>
        </is>
      </c>
      <c r="L1828" t="n">
        <v>18</v>
      </c>
      <c r="M1828" t="n">
        <v>17982</v>
      </c>
      <c r="N1828" t="inlineStr">
        <is>
          <t>INVOICE:ADJ-COMMIT</t>
        </is>
      </c>
      <c r="O1828" t="inlineStr">
        <is>
          <t>13196</t>
        </is>
      </c>
      <c r="P1828" t="inlineStr">
        <is>
          <t>SATELLITE SHELTERS, INC.</t>
        </is>
      </c>
      <c r="Q1828" s="114" t="n">
        <v>0</v>
      </c>
      <c r="R1828" s="114" t="n">
        <v>0</v>
      </c>
      <c r="S1828" s="114" t="n">
        <v>-999</v>
      </c>
      <c r="T1828" t="n">
        <v>0</v>
      </c>
    </row>
    <row r="1829">
      <c r="A1829" t="inlineStr">
        <is>
          <t>ttJTrans</t>
        </is>
      </c>
      <c r="B1829" s="38" t="inlineStr">
        <is>
          <t>0-4006</t>
        </is>
      </c>
      <c r="C1829" t="inlineStr">
        <is>
          <t>OC</t>
        </is>
      </c>
      <c r="D1829" t="inlineStr">
        <is>
          <t>MA1010887</t>
        </is>
      </c>
      <c r="E1829" t="inlineStr">
        <is>
          <t>OC</t>
        </is>
      </c>
      <c r="F1829" t="inlineStr">
        <is>
          <t>MA1010887</t>
        </is>
      </c>
      <c r="G1829" s="42" t="n">
        <v>46112</v>
      </c>
      <c r="H1829" s="127" t="n">
        <v>46136</v>
      </c>
      <c r="I1829" t="inlineStr">
        <is>
          <t>8</t>
        </is>
      </c>
      <c r="J1829" s="38" t="inlineStr">
        <is>
          <t>0-4006</t>
        </is>
      </c>
      <c r="K1829" t="inlineStr">
        <is>
          <t>PPT Recovery</t>
        </is>
      </c>
      <c r="L1829" t="n">
        <v>18</v>
      </c>
      <c r="M1829" t="n">
        <v>3196.8</v>
      </c>
      <c r="N1829" t="inlineStr">
        <is>
          <t>INVOICE:ADJ-COMMIT</t>
        </is>
      </c>
      <c r="O1829" t="inlineStr">
        <is>
          <t>13196</t>
        </is>
      </c>
      <c r="P1829" t="inlineStr">
        <is>
          <t>SATELLITE SHELTERS, INC.</t>
        </is>
      </c>
      <c r="Q1829" s="114" t="n">
        <v>0</v>
      </c>
      <c r="R1829" s="114" t="n">
        <v>0</v>
      </c>
      <c r="S1829" s="114" t="n">
        <v>-177.6</v>
      </c>
      <c r="T1829" t="n">
        <v>0</v>
      </c>
    </row>
    <row r="1830">
      <c r="A1830" t="inlineStr">
        <is>
          <t>ttJTrans</t>
        </is>
      </c>
      <c r="B1830" s="38" t="inlineStr">
        <is>
          <t>0-4006</t>
        </is>
      </c>
      <c r="C1830" t="inlineStr">
        <is>
          <t>OC</t>
        </is>
      </c>
      <c r="D1830" t="inlineStr">
        <is>
          <t>MA1010887</t>
        </is>
      </c>
      <c r="E1830" t="inlineStr">
        <is>
          <t>OC</t>
        </is>
      </c>
      <c r="F1830" t="inlineStr">
        <is>
          <t>MA1010887</t>
        </is>
      </c>
      <c r="G1830" s="42" t="n">
        <v>46112</v>
      </c>
      <c r="H1830" s="127" t="n">
        <v>46136</v>
      </c>
      <c r="I1830" t="inlineStr">
        <is>
          <t>10</t>
        </is>
      </c>
      <c r="J1830" s="38" t="inlineStr">
        <is>
          <t>0-4006</t>
        </is>
      </c>
      <c r="K1830" t="inlineStr">
        <is>
          <t>Standard Setup</t>
        </is>
      </c>
      <c r="L1830" t="n">
        <v>6</v>
      </c>
      <c r="M1830" t="n">
        <v>11548.44</v>
      </c>
      <c r="N1830" t="inlineStr">
        <is>
          <t>INVOICE:ADJ-COMMIT</t>
        </is>
      </c>
      <c r="O1830" t="inlineStr">
        <is>
          <t>13196</t>
        </is>
      </c>
      <c r="P1830" t="inlineStr">
        <is>
          <t>SATELLITE SHELTERS, INC.</t>
        </is>
      </c>
      <c r="Q1830" s="114" t="n">
        <v>0</v>
      </c>
      <c r="R1830" s="114" t="n">
        <v>0</v>
      </c>
      <c r="S1830" s="114" t="n">
        <v>-11548.44</v>
      </c>
      <c r="T1830" t="n">
        <v>0</v>
      </c>
    </row>
    <row r="1831">
      <c r="A1831" t="inlineStr">
        <is>
          <t>ttJTrans</t>
        </is>
      </c>
      <c r="B1831" s="38" t="inlineStr">
        <is>
          <t>0-4006</t>
        </is>
      </c>
      <c r="C1831" t="inlineStr">
        <is>
          <t>OC</t>
        </is>
      </c>
      <c r="D1831" t="inlineStr">
        <is>
          <t>MA1010887</t>
        </is>
      </c>
      <c r="E1831" t="inlineStr">
        <is>
          <t>OC</t>
        </is>
      </c>
      <c r="F1831" t="inlineStr">
        <is>
          <t>MA1010887</t>
        </is>
      </c>
      <c r="G1831" s="42" t="n">
        <v>46112</v>
      </c>
      <c r="H1831" s="127" t="n">
        <v>46136</v>
      </c>
      <c r="I1831" t="inlineStr">
        <is>
          <t>11</t>
        </is>
      </c>
      <c r="J1831" s="38" t="inlineStr">
        <is>
          <t>0-4006</t>
        </is>
      </c>
      <c r="K1831" t="inlineStr">
        <is>
          <t>Setup Material</t>
        </is>
      </c>
      <c r="L1831" t="n">
        <v>6</v>
      </c>
      <c r="M1831" t="n">
        <v>6660</v>
      </c>
      <c r="N1831" t="inlineStr">
        <is>
          <t>INVOICE:ADJ-COMMIT</t>
        </is>
      </c>
      <c r="O1831" t="inlineStr">
        <is>
          <t>13196</t>
        </is>
      </c>
      <c r="P1831" t="inlineStr">
        <is>
          <t>SATELLITE SHELTERS, INC.</t>
        </is>
      </c>
      <c r="Q1831" s="114" t="n">
        <v>0</v>
      </c>
      <c r="R1831" s="114" t="n">
        <v>0</v>
      </c>
      <c r="S1831" s="114" t="n">
        <v>-6660</v>
      </c>
      <c r="T1831" t="n">
        <v>0</v>
      </c>
    </row>
    <row r="1832">
      <c r="A1832" t="inlineStr">
        <is>
          <t>ttJTrans</t>
        </is>
      </c>
      <c r="B1832" s="38" t="inlineStr">
        <is>
          <t>0-4006</t>
        </is>
      </c>
      <c r="C1832" t="inlineStr">
        <is>
          <t>OC</t>
        </is>
      </c>
      <c r="D1832" t="inlineStr">
        <is>
          <t>MA1010887</t>
        </is>
      </c>
      <c r="E1832" t="inlineStr">
        <is>
          <t>OC</t>
        </is>
      </c>
      <c r="F1832" t="inlineStr">
        <is>
          <t>MA1010887</t>
        </is>
      </c>
      <c r="G1832" s="42" t="n">
        <v>46112</v>
      </c>
      <c r="H1832" s="127" t="n">
        <v>46136</v>
      </c>
      <c r="I1832" t="inlineStr">
        <is>
          <t>9</t>
        </is>
      </c>
      <c r="J1832" s="38" t="inlineStr">
        <is>
          <t>0-4006</t>
        </is>
      </c>
      <c r="K1832" t="inlineStr">
        <is>
          <t>Delivery</t>
        </is>
      </c>
      <c r="L1832" t="n">
        <v>6</v>
      </c>
      <c r="M1832" t="n">
        <v>5328</v>
      </c>
      <c r="N1832" t="inlineStr">
        <is>
          <t>INVOICE:ADJ-COMMIT</t>
        </is>
      </c>
      <c r="O1832" t="inlineStr">
        <is>
          <t>13196</t>
        </is>
      </c>
      <c r="P1832" t="inlineStr">
        <is>
          <t>SATELLITE SHELTERS, INC.</t>
        </is>
      </c>
      <c r="Q1832" s="114" t="n">
        <v>0</v>
      </c>
      <c r="R1832" s="114" t="n">
        <v>0</v>
      </c>
      <c r="S1832" s="114" t="n">
        <v>-4440</v>
      </c>
      <c r="T1832" t="n">
        <v>0</v>
      </c>
    </row>
    <row r="1833">
      <c r="A1833" t="inlineStr">
        <is>
          <t>ttJTrans</t>
        </is>
      </c>
      <c r="B1833" s="38" t="inlineStr">
        <is>
          <t>0-4006</t>
        </is>
      </c>
      <c r="C1833" t="inlineStr">
        <is>
          <t>OC</t>
        </is>
      </c>
      <c r="D1833" t="inlineStr">
        <is>
          <t>MA1010887</t>
        </is>
      </c>
      <c r="E1833" t="inlineStr">
        <is>
          <t>OC</t>
        </is>
      </c>
      <c r="F1833" t="inlineStr">
        <is>
          <t>MA1010887</t>
        </is>
      </c>
      <c r="G1833" s="42" t="n">
        <v>46112</v>
      </c>
      <c r="H1833" s="127" t="n">
        <v>46136</v>
      </c>
      <c r="I1833" t="inlineStr">
        <is>
          <t>14</t>
        </is>
      </c>
      <c r="J1833" s="38" t="inlineStr">
        <is>
          <t>0-4006</t>
        </is>
      </c>
      <c r="K1833" t="inlineStr">
        <is>
          <t>12x60 S Plex Inside B</t>
        </is>
      </c>
      <c r="L1833" t="n">
        <v>18</v>
      </c>
      <c r="M1833" t="n">
        <v>17982</v>
      </c>
      <c r="N1833" t="inlineStr">
        <is>
          <t>INVOICE:ADJ-COMMIT</t>
        </is>
      </c>
      <c r="O1833" t="inlineStr">
        <is>
          <t>13196</t>
        </is>
      </c>
      <c r="P1833" t="inlineStr">
        <is>
          <t>SATELLITE SHELTERS, INC.</t>
        </is>
      </c>
      <c r="Q1833" s="114" t="n">
        <v>0</v>
      </c>
      <c r="R1833" s="114" t="n">
        <v>0</v>
      </c>
      <c r="S1833" s="114" t="n">
        <v>-999</v>
      </c>
      <c r="T1833" t="n">
        <v>0</v>
      </c>
    </row>
    <row r="1834">
      <c r="A1834" t="inlineStr">
        <is>
          <t>ttJTrans</t>
        </is>
      </c>
      <c r="B1834" s="38" t="inlineStr">
        <is>
          <t>0-4006</t>
        </is>
      </c>
      <c r="C1834" t="inlineStr">
        <is>
          <t>OC</t>
        </is>
      </c>
      <c r="D1834" t="inlineStr">
        <is>
          <t>MA1010887</t>
        </is>
      </c>
      <c r="E1834" t="inlineStr">
        <is>
          <t>OC</t>
        </is>
      </c>
      <c r="F1834" t="inlineStr">
        <is>
          <t>MA1010887</t>
        </is>
      </c>
      <c r="G1834" s="42" t="n">
        <v>46112</v>
      </c>
      <c r="H1834" s="127" t="n">
        <v>46136</v>
      </c>
      <c r="I1834" t="inlineStr">
        <is>
          <t>5</t>
        </is>
      </c>
      <c r="J1834" s="38" t="inlineStr">
        <is>
          <t>0-4006</t>
        </is>
      </c>
      <c r="K1834" t="inlineStr">
        <is>
          <t>12x60 S Plex Outside D</t>
        </is>
      </c>
      <c r="L1834" t="n">
        <v>18</v>
      </c>
      <c r="M1834" t="n">
        <v>17982</v>
      </c>
      <c r="N1834" t="inlineStr">
        <is>
          <t>INVOICE:ADJ-COMMIT</t>
        </is>
      </c>
      <c r="O1834" t="inlineStr">
        <is>
          <t>13196</t>
        </is>
      </c>
      <c r="P1834" t="inlineStr">
        <is>
          <t>SATELLITE SHELTERS, INC.</t>
        </is>
      </c>
      <c r="Q1834" s="114" t="n">
        <v>0</v>
      </c>
      <c r="R1834" s="114" t="n">
        <v>0</v>
      </c>
      <c r="S1834" s="114" t="n">
        <v>-999</v>
      </c>
      <c r="T1834" t="n">
        <v>0</v>
      </c>
    </row>
    <row r="1835">
      <c r="A1835" t="inlineStr">
        <is>
          <t>ttJTrans</t>
        </is>
      </c>
      <c r="B1835" s="38" t="inlineStr">
        <is>
          <t>0-4006</t>
        </is>
      </c>
      <c r="C1835" t="inlineStr">
        <is>
          <t>OC</t>
        </is>
      </c>
      <c r="D1835" t="inlineStr">
        <is>
          <t>MA1010887</t>
        </is>
      </c>
      <c r="E1835" t="inlineStr">
        <is>
          <t>OC</t>
        </is>
      </c>
      <c r="F1835" t="inlineStr">
        <is>
          <t>MA1010887</t>
        </is>
      </c>
      <c r="G1835" s="42" t="n">
        <v>46112</v>
      </c>
      <c r="H1835" s="127" t="n">
        <v>46136</v>
      </c>
      <c r="I1835" t="inlineStr">
        <is>
          <t>5</t>
        </is>
      </c>
      <c r="J1835" s="38" t="inlineStr">
        <is>
          <t>0-4006</t>
        </is>
      </c>
      <c r="K1835" t="inlineStr">
        <is>
          <t>12x60 S Plex Outside D</t>
        </is>
      </c>
      <c r="L1835" t="n">
        <v>18</v>
      </c>
      <c r="M1835" t="n">
        <v>17982</v>
      </c>
      <c r="N1835" t="inlineStr">
        <is>
          <t>PO:COMMIT</t>
        </is>
      </c>
      <c r="O1835" t="inlineStr">
        <is>
          <t>13196</t>
        </is>
      </c>
      <c r="P1835" t="inlineStr">
        <is>
          <t>SATELLITE SHELTERS, INC.</t>
        </is>
      </c>
      <c r="Q1835" s="114" t="n">
        <v>0</v>
      </c>
      <c r="R1835" s="114" t="n">
        <v>0</v>
      </c>
      <c r="S1835" s="114" t="n">
        <v>17982</v>
      </c>
      <c r="T1835" t="n">
        <v>0</v>
      </c>
    </row>
    <row r="1836">
      <c r="A1836" t="inlineStr">
        <is>
          <t>ttJTrans</t>
        </is>
      </c>
      <c r="B1836" s="38" t="inlineStr">
        <is>
          <t>0-4006</t>
        </is>
      </c>
      <c r="C1836" t="inlineStr">
        <is>
          <t>OC</t>
        </is>
      </c>
      <c r="D1836" t="inlineStr">
        <is>
          <t>MA1010887</t>
        </is>
      </c>
      <c r="E1836" t="inlineStr">
        <is>
          <t>OC</t>
        </is>
      </c>
      <c r="F1836" t="inlineStr">
        <is>
          <t>MA1010887</t>
        </is>
      </c>
      <c r="G1836" s="42" t="n">
        <v>46112</v>
      </c>
      <c r="H1836" s="127" t="n">
        <v>46136</v>
      </c>
      <c r="I1836" t="inlineStr">
        <is>
          <t>6</t>
        </is>
      </c>
      <c r="J1836" s="38" t="inlineStr">
        <is>
          <t>0-4006</t>
        </is>
      </c>
      <c r="K1836" t="inlineStr">
        <is>
          <t>Steps - Rental</t>
        </is>
      </c>
      <c r="L1836" t="n">
        <v>18</v>
      </c>
      <c r="M1836" t="n">
        <v>1698.3</v>
      </c>
      <c r="N1836" t="inlineStr">
        <is>
          <t>INVOICE:ADJ-COMMIT</t>
        </is>
      </c>
      <c r="O1836" t="inlineStr">
        <is>
          <t>13196</t>
        </is>
      </c>
      <c r="P1836" t="inlineStr">
        <is>
          <t>SATELLITE SHELTERS, INC.</t>
        </is>
      </c>
      <c r="Q1836" s="114" t="n">
        <v>0</v>
      </c>
      <c r="R1836" s="114" t="n">
        <v>0</v>
      </c>
      <c r="S1836" s="114" t="n">
        <v>-188.7</v>
      </c>
      <c r="T1836" t="n">
        <v>0</v>
      </c>
    </row>
    <row r="1837">
      <c r="A1837" t="inlineStr">
        <is>
          <t>ttJTrans</t>
        </is>
      </c>
      <c r="B1837" s="38" t="inlineStr">
        <is>
          <t>0-4006</t>
        </is>
      </c>
      <c r="C1837" t="inlineStr">
        <is>
          <t>OC</t>
        </is>
      </c>
      <c r="D1837" t="inlineStr">
        <is>
          <t>MA1011149</t>
        </is>
      </c>
      <c r="E1837" t="inlineStr">
        <is>
          <t>OC</t>
        </is>
      </c>
      <c r="F1837" t="inlineStr">
        <is>
          <t>MA1011149</t>
        </is>
      </c>
      <c r="G1837" s="42" t="n">
        <v>46125</v>
      </c>
      <c r="H1837" s="127" t="n">
        <v>46125</v>
      </c>
      <c r="I1837" t="inlineStr">
        <is>
          <t>1</t>
        </is>
      </c>
      <c r="J1837" s="38" t="inlineStr">
        <is>
          <t>0-4006</t>
        </is>
      </c>
      <c r="K1837" t="inlineStr">
        <is>
          <t>30 Yard dumpsters Metal, aluminum, coper,</t>
        </is>
      </c>
      <c r="L1837" t="n">
        <v>1</v>
      </c>
      <c r="M1837" t="n">
        <v>22200</v>
      </c>
      <c r="N1837" t="inlineStr">
        <is>
          <t>PO:COMMIT</t>
        </is>
      </c>
      <c r="O1837" t="inlineStr">
        <is>
          <t>21388</t>
        </is>
      </c>
      <c r="P1837" t="inlineStr">
        <is>
          <t>TEXAS GULF RECYCLING.COM, INC.</t>
        </is>
      </c>
      <c r="Q1837" s="114" t="n">
        <v>0</v>
      </c>
      <c r="R1837" s="114" t="n">
        <v>0</v>
      </c>
      <c r="S1837" s="114" t="n">
        <v>22200</v>
      </c>
      <c r="T1837" t="n">
        <v>0</v>
      </c>
    </row>
    <row r="1838">
      <c r="A1838" t="inlineStr">
        <is>
          <t>ttJTrans</t>
        </is>
      </c>
      <c r="B1838" s="38" t="inlineStr">
        <is>
          <t>0-4006</t>
        </is>
      </c>
      <c r="C1838" t="inlineStr">
        <is>
          <t>OC</t>
        </is>
      </c>
      <c r="D1838" t="inlineStr">
        <is>
          <t>MA1011557</t>
        </is>
      </c>
      <c r="E1838" t="inlineStr">
        <is>
          <t>OC</t>
        </is>
      </c>
      <c r="F1838" t="inlineStr">
        <is>
          <t>MA1011557</t>
        </is>
      </c>
      <c r="G1838" s="42" t="n">
        <v>46141</v>
      </c>
      <c r="H1838" s="127" t="n">
        <v>46169</v>
      </c>
      <c r="I1838" t="inlineStr">
        <is>
          <t>8</t>
        </is>
      </c>
      <c r="J1838" s="38" t="inlineStr">
        <is>
          <t>0-4006</t>
        </is>
      </c>
      <c r="K1838" t="inlineStr">
        <is>
          <t>Dismantle @ Return</t>
        </is>
      </c>
      <c r="L1838" t="n">
        <v>1</v>
      </c>
      <c r="M1838" t="n">
        <v>310.8</v>
      </c>
      <c r="N1838" t="inlineStr">
        <is>
          <t>PO:COMMIT</t>
        </is>
      </c>
      <c r="O1838" t="inlineStr">
        <is>
          <t>13196</t>
        </is>
      </c>
      <c r="P1838" t="inlineStr">
        <is>
          <t>SATELLITE SHELTERS, INC.</t>
        </is>
      </c>
      <c r="Q1838" s="114" t="n">
        <v>0</v>
      </c>
      <c r="R1838" s="114" t="n">
        <v>0</v>
      </c>
      <c r="S1838" s="114" t="n">
        <v>310.8</v>
      </c>
      <c r="T1838" t="n">
        <v>0</v>
      </c>
    </row>
    <row r="1839">
      <c r="A1839" t="inlineStr">
        <is>
          <t>ttJTrans</t>
        </is>
      </c>
      <c r="B1839" s="38" t="inlineStr">
        <is>
          <t>0-4006</t>
        </is>
      </c>
      <c r="C1839" t="inlineStr">
        <is>
          <t>OC</t>
        </is>
      </c>
      <c r="D1839" t="inlineStr">
        <is>
          <t>MA1011557</t>
        </is>
      </c>
      <c r="E1839" t="inlineStr">
        <is>
          <t>OC</t>
        </is>
      </c>
      <c r="F1839" t="inlineStr">
        <is>
          <t>MA1011557</t>
        </is>
      </c>
      <c r="G1839" s="42" t="n">
        <v>46141</v>
      </c>
      <c r="H1839" s="127" t="n">
        <v>46169</v>
      </c>
      <c r="I1839" t="inlineStr">
        <is>
          <t>10</t>
        </is>
      </c>
      <c r="J1839" s="38" t="inlineStr">
        <is>
          <t>0-4006</t>
        </is>
      </c>
      <c r="K1839" t="inlineStr">
        <is>
          <t>Basic Office Package</t>
        </is>
      </c>
      <c r="L1839" t="n">
        <v>18</v>
      </c>
      <c r="M1839" t="n">
        <v>3796.2</v>
      </c>
      <c r="N1839" t="inlineStr">
        <is>
          <t>PO:COMMIT</t>
        </is>
      </c>
      <c r="O1839" t="inlineStr">
        <is>
          <t>13196</t>
        </is>
      </c>
      <c r="P1839" t="inlineStr">
        <is>
          <t>SATELLITE SHELTERS, INC.</t>
        </is>
      </c>
      <c r="Q1839" s="114" t="n">
        <v>0</v>
      </c>
      <c r="R1839" s="114" t="n">
        <v>0</v>
      </c>
      <c r="S1839" s="114" t="n">
        <v>3796.2</v>
      </c>
      <c r="T1839" t="n">
        <v>0</v>
      </c>
    </row>
    <row r="1840">
      <c r="A1840" t="inlineStr">
        <is>
          <t>ttJTrans</t>
        </is>
      </c>
      <c r="B1840" s="38" t="inlineStr">
        <is>
          <t>0-4006</t>
        </is>
      </c>
      <c r="C1840" t="inlineStr">
        <is>
          <t>OC</t>
        </is>
      </c>
      <c r="D1840" t="inlineStr">
        <is>
          <t>MA1011557</t>
        </is>
      </c>
      <c r="E1840" t="inlineStr">
        <is>
          <t>OC</t>
        </is>
      </c>
      <c r="F1840" t="inlineStr">
        <is>
          <t>MA1011557</t>
        </is>
      </c>
      <c r="G1840" s="42" t="n">
        <v>46141</v>
      </c>
      <c r="H1840" s="127" t="n">
        <v>46169</v>
      </c>
      <c r="I1840" t="inlineStr">
        <is>
          <t>3</t>
        </is>
      </c>
      <c r="J1840" s="38" t="inlineStr">
        <is>
          <t>0-4006</t>
        </is>
      </c>
      <c r="K1840" t="inlineStr">
        <is>
          <t>PPT Recovery</t>
        </is>
      </c>
      <c r="L1840" t="n">
        <v>18</v>
      </c>
      <c r="M1840" t="n">
        <v>399.6</v>
      </c>
      <c r="N1840" t="inlineStr">
        <is>
          <t>PO:COMMIT</t>
        </is>
      </c>
      <c r="O1840" t="inlineStr">
        <is>
          <t>13196</t>
        </is>
      </c>
      <c r="P1840" t="inlineStr">
        <is>
          <t>SATELLITE SHELTERS, INC.</t>
        </is>
      </c>
      <c r="Q1840" s="114" t="n">
        <v>0</v>
      </c>
      <c r="R1840" s="114" t="n">
        <v>0</v>
      </c>
      <c r="S1840" s="114" t="n">
        <v>399.6</v>
      </c>
      <c r="T1840" t="n">
        <v>0</v>
      </c>
    </row>
    <row r="1841">
      <c r="A1841" t="inlineStr">
        <is>
          <t>ttJTrans</t>
        </is>
      </c>
      <c r="B1841" s="38" t="inlineStr">
        <is>
          <t>0-4006</t>
        </is>
      </c>
      <c r="C1841" t="inlineStr">
        <is>
          <t>OC</t>
        </is>
      </c>
      <c r="D1841" t="inlineStr">
        <is>
          <t>MA1011557</t>
        </is>
      </c>
      <c r="E1841" t="inlineStr">
        <is>
          <t>OC</t>
        </is>
      </c>
      <c r="F1841" t="inlineStr">
        <is>
          <t>MA1011557</t>
        </is>
      </c>
      <c r="G1841" s="42" t="n">
        <v>46141</v>
      </c>
      <c r="H1841" s="127" t="n">
        <v>46169</v>
      </c>
      <c r="I1841" t="inlineStr">
        <is>
          <t>4</t>
        </is>
      </c>
      <c r="J1841" s="38" t="inlineStr">
        <is>
          <t>0-4006</t>
        </is>
      </c>
      <c r="K1841" t="inlineStr">
        <is>
          <t>Delivery</t>
        </is>
      </c>
      <c r="L1841" t="n">
        <v>1</v>
      </c>
      <c r="M1841" t="n">
        <v>1110</v>
      </c>
      <c r="N1841" t="inlineStr">
        <is>
          <t>PO:COMMIT</t>
        </is>
      </c>
      <c r="O1841" t="inlineStr">
        <is>
          <t>13196</t>
        </is>
      </c>
      <c r="P1841" t="inlineStr">
        <is>
          <t>SATELLITE SHELTERS, INC.</t>
        </is>
      </c>
      <c r="Q1841" s="114" t="n">
        <v>0</v>
      </c>
      <c r="R1841" s="114" t="n">
        <v>0</v>
      </c>
      <c r="S1841" s="114" t="n">
        <v>1110</v>
      </c>
      <c r="T1841" t="n">
        <v>0</v>
      </c>
    </row>
    <row r="1842">
      <c r="A1842" t="inlineStr">
        <is>
          <t>ttJTrans</t>
        </is>
      </c>
      <c r="B1842" s="38" t="inlineStr">
        <is>
          <t>0-4006</t>
        </is>
      </c>
      <c r="C1842" t="inlineStr">
        <is>
          <t>OC</t>
        </is>
      </c>
      <c r="D1842" t="inlineStr">
        <is>
          <t>MA1011557</t>
        </is>
      </c>
      <c r="E1842" t="inlineStr">
        <is>
          <t>OC</t>
        </is>
      </c>
      <c r="F1842" t="inlineStr">
        <is>
          <t>MA1011557</t>
        </is>
      </c>
      <c r="G1842" s="42" t="n">
        <v>46141</v>
      </c>
      <c r="H1842" s="127" t="n">
        <v>46169</v>
      </c>
      <c r="I1842" t="inlineStr">
        <is>
          <t>5</t>
        </is>
      </c>
      <c r="J1842" s="38" t="inlineStr">
        <is>
          <t>0-4006</t>
        </is>
      </c>
      <c r="K1842" t="inlineStr">
        <is>
          <t>Standard Setup w/Jack Stands</t>
        </is>
      </c>
      <c r="L1842" t="n">
        <v>1</v>
      </c>
      <c r="M1842" t="n">
        <v>592.74</v>
      </c>
      <c r="N1842" t="inlineStr">
        <is>
          <t>PO:COMMIT</t>
        </is>
      </c>
      <c r="O1842" t="inlineStr">
        <is>
          <t>13196</t>
        </is>
      </c>
      <c r="P1842" t="inlineStr">
        <is>
          <t>SATELLITE SHELTERS, INC.</t>
        </is>
      </c>
      <c r="Q1842" s="114" t="n">
        <v>0</v>
      </c>
      <c r="R1842" s="114" t="n">
        <v>0</v>
      </c>
      <c r="S1842" s="114" t="n">
        <v>592.74</v>
      </c>
      <c r="T1842" t="n">
        <v>0</v>
      </c>
    </row>
    <row r="1843">
      <c r="A1843" t="inlineStr">
        <is>
          <t>ttJTrans</t>
        </is>
      </c>
      <c r="B1843" s="38" t="inlineStr">
        <is>
          <t>0-4006</t>
        </is>
      </c>
      <c r="C1843" t="inlineStr">
        <is>
          <t>OC</t>
        </is>
      </c>
      <c r="D1843" t="inlineStr">
        <is>
          <t>MA1011557</t>
        </is>
      </c>
      <c r="E1843" t="inlineStr">
        <is>
          <t>OC</t>
        </is>
      </c>
      <c r="F1843" t="inlineStr">
        <is>
          <t>MA1011557</t>
        </is>
      </c>
      <c r="G1843" s="42" t="n">
        <v>46141</v>
      </c>
      <c r="H1843" s="127" t="n">
        <v>46169</v>
      </c>
      <c r="I1843" t="inlineStr">
        <is>
          <t>6</t>
        </is>
      </c>
      <c r="J1843" s="38" t="inlineStr">
        <is>
          <t>0-4006</t>
        </is>
      </c>
      <c r="K1843" t="inlineStr">
        <is>
          <t>Anchors Install</t>
        </is>
      </c>
      <c r="L1843" t="n">
        <v>8</v>
      </c>
      <c r="M1843" t="n">
        <v>728.16</v>
      </c>
      <c r="N1843" t="inlineStr">
        <is>
          <t>PO:COMMIT</t>
        </is>
      </c>
      <c r="O1843" t="inlineStr">
        <is>
          <t>13196</t>
        </is>
      </c>
      <c r="P1843" t="inlineStr">
        <is>
          <t>SATELLITE SHELTERS, INC.</t>
        </is>
      </c>
      <c r="Q1843" s="114" t="n">
        <v>0</v>
      </c>
      <c r="R1843" s="114" t="n">
        <v>0</v>
      </c>
      <c r="S1843" s="114" t="n">
        <v>728.16</v>
      </c>
      <c r="T1843" t="n">
        <v>0</v>
      </c>
    </row>
    <row r="1844">
      <c r="A1844" t="inlineStr">
        <is>
          <t>ttJTrans</t>
        </is>
      </c>
      <c r="B1844" s="38" t="inlineStr">
        <is>
          <t>0-4006</t>
        </is>
      </c>
      <c r="C1844" t="inlineStr">
        <is>
          <t>OC</t>
        </is>
      </c>
      <c r="D1844" t="inlineStr">
        <is>
          <t>MA1011557</t>
        </is>
      </c>
      <c r="E1844" t="inlineStr">
        <is>
          <t>OC</t>
        </is>
      </c>
      <c r="F1844" t="inlineStr">
        <is>
          <t>MA1011557</t>
        </is>
      </c>
      <c r="G1844" s="42" t="n">
        <v>46141</v>
      </c>
      <c r="H1844" s="127" t="n">
        <v>46169</v>
      </c>
      <c r="I1844" t="inlineStr">
        <is>
          <t>7</t>
        </is>
      </c>
      <c r="J1844" s="38" t="inlineStr">
        <is>
          <t>0-4006</t>
        </is>
      </c>
      <c r="K1844" t="inlineStr">
        <is>
          <t>Anchors: Removal @ Return</t>
        </is>
      </c>
      <c r="L1844" t="n">
        <v>8</v>
      </c>
      <c r="M1844" t="n">
        <v>728.16</v>
      </c>
      <c r="N1844" t="inlineStr">
        <is>
          <t>PO:COMMIT</t>
        </is>
      </c>
      <c r="O1844" t="inlineStr">
        <is>
          <t>13196</t>
        </is>
      </c>
      <c r="P1844" t="inlineStr">
        <is>
          <t>SATELLITE SHELTERS, INC.</t>
        </is>
      </c>
      <c r="Q1844" s="114" t="n">
        <v>0</v>
      </c>
      <c r="R1844" s="114" t="n">
        <v>0</v>
      </c>
      <c r="S1844" s="114" t="n">
        <v>728.16</v>
      </c>
      <c r="T1844" t="n">
        <v>0</v>
      </c>
    </row>
    <row r="1845">
      <c r="A1845" t="inlineStr">
        <is>
          <t>ttJTrans</t>
        </is>
      </c>
      <c r="B1845" s="38" t="inlineStr">
        <is>
          <t>0-4006</t>
        </is>
      </c>
      <c r="C1845" t="inlineStr">
        <is>
          <t>OC</t>
        </is>
      </c>
      <c r="D1845" t="inlineStr">
        <is>
          <t>MA1011557</t>
        </is>
      </c>
      <c r="E1845" t="inlineStr">
        <is>
          <t>OC</t>
        </is>
      </c>
      <c r="F1845" t="inlineStr">
        <is>
          <t>MA1011557</t>
        </is>
      </c>
      <c r="G1845" s="42" t="n">
        <v>46141</v>
      </c>
      <c r="H1845" s="127" t="n">
        <v>46169</v>
      </c>
      <c r="I1845" t="inlineStr">
        <is>
          <t>1</t>
        </is>
      </c>
      <c r="J1845" s="38" t="inlineStr">
        <is>
          <t>0-4006</t>
        </is>
      </c>
      <c r="K1845" t="inlineStr">
        <is>
          <t>12x60 Mobile Office W/RR</t>
        </is>
      </c>
      <c r="L1845" t="n">
        <v>18</v>
      </c>
      <c r="M1845" t="n">
        <v>17982</v>
      </c>
      <c r="N1845" t="inlineStr">
        <is>
          <t>PO:COMMIT</t>
        </is>
      </c>
      <c r="O1845" t="inlineStr">
        <is>
          <t>13196</t>
        </is>
      </c>
      <c r="P1845" t="inlineStr">
        <is>
          <t>SATELLITE SHELTERS, INC.</t>
        </is>
      </c>
      <c r="Q1845" s="114" t="n">
        <v>0</v>
      </c>
      <c r="R1845" s="114" t="n">
        <v>0</v>
      </c>
      <c r="S1845" s="114" t="n">
        <v>17982</v>
      </c>
      <c r="T1845" t="n">
        <v>0</v>
      </c>
    </row>
    <row r="1846">
      <c r="A1846" t="inlineStr">
        <is>
          <t>ttJTrans</t>
        </is>
      </c>
      <c r="B1846" s="38" t="inlineStr">
        <is>
          <t>0-4006</t>
        </is>
      </c>
      <c r="C1846" t="inlineStr">
        <is>
          <t>OC</t>
        </is>
      </c>
      <c r="D1846" t="inlineStr">
        <is>
          <t>MA1011557</t>
        </is>
      </c>
      <c r="E1846" t="inlineStr">
        <is>
          <t>OC</t>
        </is>
      </c>
      <c r="F1846" t="inlineStr">
        <is>
          <t>MA1011557</t>
        </is>
      </c>
      <c r="G1846" s="42" t="n">
        <v>46141</v>
      </c>
      <c r="H1846" s="127" t="n">
        <v>46169</v>
      </c>
      <c r="I1846" t="inlineStr">
        <is>
          <t>9</t>
        </is>
      </c>
      <c r="J1846" s="38" t="inlineStr">
        <is>
          <t>0-4006</t>
        </is>
      </c>
      <c r="K1846" t="inlineStr">
        <is>
          <t>Pickup @ Return</t>
        </is>
      </c>
      <c r="L1846" t="n">
        <v>1</v>
      </c>
      <c r="M1846" t="n">
        <v>1110</v>
      </c>
      <c r="N1846" t="inlineStr">
        <is>
          <t>PO:COMMIT</t>
        </is>
      </c>
      <c r="O1846" t="inlineStr">
        <is>
          <t>13196</t>
        </is>
      </c>
      <c r="P1846" t="inlineStr">
        <is>
          <t>SATELLITE SHELTERS, INC.</t>
        </is>
      </c>
      <c r="Q1846" s="114" t="n">
        <v>0</v>
      </c>
      <c r="R1846" s="114" t="n">
        <v>0</v>
      </c>
      <c r="S1846" s="114" t="n">
        <v>1110</v>
      </c>
      <c r="T1846" t="n">
        <v>0</v>
      </c>
    </row>
    <row r="1847">
      <c r="A1847" t="inlineStr">
        <is>
          <t>ttJTrans</t>
        </is>
      </c>
      <c r="B1847" s="38" t="inlineStr">
        <is>
          <t>0-4006</t>
        </is>
      </c>
      <c r="C1847" t="inlineStr">
        <is>
          <t>OC</t>
        </is>
      </c>
      <c r="D1847" t="inlineStr">
        <is>
          <t>MA1011557</t>
        </is>
      </c>
      <c r="E1847" t="inlineStr">
        <is>
          <t>OC</t>
        </is>
      </c>
      <c r="F1847" t="inlineStr">
        <is>
          <t>MA1011557</t>
        </is>
      </c>
      <c r="G1847" s="42" t="n">
        <v>46141</v>
      </c>
      <c r="H1847" s="127" t="n">
        <v>46169</v>
      </c>
      <c r="I1847" t="inlineStr">
        <is>
          <t>2</t>
        </is>
      </c>
      <c r="J1847" s="38" t="inlineStr">
        <is>
          <t>0-4006</t>
        </is>
      </c>
      <c r="K1847" t="inlineStr">
        <is>
          <t>Steps - Rental</t>
        </is>
      </c>
      <c r="L1847" t="n">
        <v>18</v>
      </c>
      <c r="M1847" t="n">
        <v>3396.6</v>
      </c>
      <c r="N1847" t="inlineStr">
        <is>
          <t>PO:COMMIT</t>
        </is>
      </c>
      <c r="O1847" t="inlineStr">
        <is>
          <t>13196</t>
        </is>
      </c>
      <c r="P1847" t="inlineStr">
        <is>
          <t>SATELLITE SHELTERS, INC.</t>
        </is>
      </c>
      <c r="Q1847" s="114" t="n">
        <v>0</v>
      </c>
      <c r="R1847" s="114" t="n">
        <v>0</v>
      </c>
      <c r="S1847" s="114" t="n">
        <v>3396.6</v>
      </c>
      <c r="T1847" t="n">
        <v>0</v>
      </c>
    </row>
    <row r="1848">
      <c r="A1848" t="inlineStr">
        <is>
          <t>ttJTrans</t>
        </is>
      </c>
      <c r="B1848" s="38" t="inlineStr">
        <is>
          <t>0-4006</t>
        </is>
      </c>
      <c r="C1848" t="inlineStr">
        <is>
          <t>OC</t>
        </is>
      </c>
      <c r="D1848" t="inlineStr">
        <is>
          <t>MA1011589</t>
        </is>
      </c>
      <c r="E1848" t="inlineStr">
        <is>
          <t>OC</t>
        </is>
      </c>
      <c r="F1848" t="inlineStr">
        <is>
          <t>MA1011589</t>
        </is>
      </c>
      <c r="G1848" s="42" t="n">
        <v>46141</v>
      </c>
      <c r="H1848" s="127" t="n">
        <v>46147</v>
      </c>
      <c r="I1848" t="inlineStr">
        <is>
          <t>1</t>
        </is>
      </c>
      <c r="J1848" s="38" t="inlineStr">
        <is>
          <t>0-4006</t>
        </is>
      </c>
      <c r="K1848" t="inlineStr">
        <is>
          <t>24x60 Doublewide Office w/RR</t>
        </is>
      </c>
      <c r="L1848" t="n">
        <v>12</v>
      </c>
      <c r="M1848" t="n">
        <v>25308</v>
      </c>
      <c r="N1848" t="inlineStr">
        <is>
          <t>PO:COMMIT</t>
        </is>
      </c>
      <c r="O1848" t="inlineStr">
        <is>
          <t>13196</t>
        </is>
      </c>
      <c r="P1848" t="inlineStr">
        <is>
          <t>SATELLITE SHELTERS, INC.</t>
        </is>
      </c>
      <c r="Q1848" s="114" t="n">
        <v>0</v>
      </c>
      <c r="R1848" s="114" t="n">
        <v>0</v>
      </c>
      <c r="S1848" s="114" t="n">
        <v>25308</v>
      </c>
      <c r="T1848" t="n">
        <v>0</v>
      </c>
    </row>
    <row r="1849">
      <c r="A1849" t="inlineStr">
        <is>
          <t>ttJTrans</t>
        </is>
      </c>
      <c r="B1849" s="38" t="inlineStr">
        <is>
          <t>0-4006</t>
        </is>
      </c>
      <c r="C1849" t="inlineStr">
        <is>
          <t>OC</t>
        </is>
      </c>
      <c r="D1849" t="inlineStr">
        <is>
          <t>MA1011589</t>
        </is>
      </c>
      <c r="E1849" t="inlineStr">
        <is>
          <t>OC</t>
        </is>
      </c>
      <c r="F1849" t="inlineStr">
        <is>
          <t>MA1011589</t>
        </is>
      </c>
      <c r="G1849" s="42" t="n">
        <v>46141</v>
      </c>
      <c r="H1849" s="127" t="n">
        <v>46147</v>
      </c>
      <c r="I1849" t="inlineStr">
        <is>
          <t>8</t>
        </is>
      </c>
      <c r="J1849" s="38" t="inlineStr">
        <is>
          <t>0-4006</t>
        </is>
      </c>
      <c r="K1849" t="inlineStr">
        <is>
          <t>Dismantle @ Return</t>
        </is>
      </c>
      <c r="L1849" t="n">
        <v>2</v>
      </c>
      <c r="M1849" t="n">
        <v>3552</v>
      </c>
      <c r="N1849" t="inlineStr">
        <is>
          <t>PO:COMMIT</t>
        </is>
      </c>
      <c r="O1849" t="inlineStr">
        <is>
          <t>13196</t>
        </is>
      </c>
      <c r="P1849" t="inlineStr">
        <is>
          <t>SATELLITE SHELTERS, INC.</t>
        </is>
      </c>
      <c r="Q1849" s="114" t="n">
        <v>0</v>
      </c>
      <c r="R1849" s="114" t="n">
        <v>0</v>
      </c>
      <c r="S1849" s="114" t="n">
        <v>3552</v>
      </c>
      <c r="T1849" t="n">
        <v>0</v>
      </c>
    </row>
    <row r="1850">
      <c r="A1850" t="inlineStr">
        <is>
          <t>ttJTrans</t>
        </is>
      </c>
      <c r="B1850" s="38" t="inlineStr">
        <is>
          <t>0-4006</t>
        </is>
      </c>
      <c r="C1850" t="inlineStr">
        <is>
          <t>OC</t>
        </is>
      </c>
      <c r="D1850" t="inlineStr">
        <is>
          <t>MA1011589</t>
        </is>
      </c>
      <c r="E1850" t="inlineStr">
        <is>
          <t>OC</t>
        </is>
      </c>
      <c r="F1850" t="inlineStr">
        <is>
          <t>MA1011589</t>
        </is>
      </c>
      <c r="G1850" s="42" t="n">
        <v>46141</v>
      </c>
      <c r="H1850" s="127" t="n">
        <v>46147</v>
      </c>
      <c r="I1850" t="inlineStr">
        <is>
          <t>2</t>
        </is>
      </c>
      <c r="J1850" s="38" t="inlineStr">
        <is>
          <t>0-4006</t>
        </is>
      </c>
      <c r="K1850" t="inlineStr">
        <is>
          <t>Steps - Rental</t>
        </is>
      </c>
      <c r="L1850" t="n">
        <v>12</v>
      </c>
      <c r="M1850" t="n">
        <v>2264.4</v>
      </c>
      <c r="N1850" t="inlineStr">
        <is>
          <t>PO:COMMIT</t>
        </is>
      </c>
      <c r="O1850" t="inlineStr">
        <is>
          <t>13196</t>
        </is>
      </c>
      <c r="P1850" t="inlineStr">
        <is>
          <t>SATELLITE SHELTERS, INC.</t>
        </is>
      </c>
      <c r="Q1850" s="114" t="n">
        <v>0</v>
      </c>
      <c r="R1850" s="114" t="n">
        <v>0</v>
      </c>
      <c r="S1850" s="114" t="n">
        <v>2264.4</v>
      </c>
      <c r="T1850" t="n">
        <v>0</v>
      </c>
    </row>
    <row r="1851">
      <c r="A1851" t="inlineStr">
        <is>
          <t>ttJTrans</t>
        </is>
      </c>
      <c r="B1851" s="38" t="inlineStr">
        <is>
          <t>0-4006</t>
        </is>
      </c>
      <c r="C1851" t="inlineStr">
        <is>
          <t>OC</t>
        </is>
      </c>
      <c r="D1851" t="inlineStr">
        <is>
          <t>MA1011589</t>
        </is>
      </c>
      <c r="E1851" t="inlineStr">
        <is>
          <t>OC</t>
        </is>
      </c>
      <c r="F1851" t="inlineStr">
        <is>
          <t>MA1011589</t>
        </is>
      </c>
      <c r="G1851" s="42" t="n">
        <v>46141</v>
      </c>
      <c r="H1851" s="127" t="n">
        <v>46147</v>
      </c>
      <c r="I1851" t="inlineStr">
        <is>
          <t>5</t>
        </is>
      </c>
      <c r="J1851" s="38" t="inlineStr">
        <is>
          <t>0-4006</t>
        </is>
      </c>
      <c r="K1851" t="inlineStr">
        <is>
          <t>Standard Setup w/ 8 Anchors</t>
        </is>
      </c>
      <c r="L1851" t="n">
        <v>2</v>
      </c>
      <c r="M1851" t="n">
        <v>3849.48</v>
      </c>
      <c r="N1851" t="inlineStr">
        <is>
          <t>PO:COMMIT</t>
        </is>
      </c>
      <c r="O1851" t="inlineStr">
        <is>
          <t>13196</t>
        </is>
      </c>
      <c r="P1851" t="inlineStr">
        <is>
          <t>SATELLITE SHELTERS, INC.</t>
        </is>
      </c>
      <c r="Q1851" s="114" t="n">
        <v>0</v>
      </c>
      <c r="R1851" s="114" t="n">
        <v>0</v>
      </c>
      <c r="S1851" s="114" t="n">
        <v>3849.48</v>
      </c>
      <c r="T1851" t="n">
        <v>0</v>
      </c>
    </row>
    <row r="1852">
      <c r="A1852" t="inlineStr">
        <is>
          <t>ttJTrans</t>
        </is>
      </c>
      <c r="B1852" s="38" t="inlineStr">
        <is>
          <t>0-4006</t>
        </is>
      </c>
      <c r="C1852" t="inlineStr">
        <is>
          <t>OC</t>
        </is>
      </c>
      <c r="D1852" t="inlineStr">
        <is>
          <t>MA1011589</t>
        </is>
      </c>
      <c r="E1852" t="inlineStr">
        <is>
          <t>OC</t>
        </is>
      </c>
      <c r="F1852" t="inlineStr">
        <is>
          <t>MA1011589</t>
        </is>
      </c>
      <c r="G1852" s="42" t="n">
        <v>46141</v>
      </c>
      <c r="H1852" s="127" t="n">
        <v>46147</v>
      </c>
      <c r="I1852" t="inlineStr">
        <is>
          <t>6</t>
        </is>
      </c>
      <c r="J1852" s="38" t="inlineStr">
        <is>
          <t>0-4006</t>
        </is>
      </c>
      <c r="K1852" t="inlineStr">
        <is>
          <t>Setup Material</t>
        </is>
      </c>
      <c r="L1852" t="n">
        <v>2</v>
      </c>
      <c r="M1852" t="n">
        <v>2220</v>
      </c>
      <c r="N1852" t="inlineStr">
        <is>
          <t>PO:COMMIT</t>
        </is>
      </c>
      <c r="O1852" t="inlineStr">
        <is>
          <t>13196</t>
        </is>
      </c>
      <c r="P1852" t="inlineStr">
        <is>
          <t>SATELLITE SHELTERS, INC.</t>
        </is>
      </c>
      <c r="Q1852" s="114" t="n">
        <v>0</v>
      </c>
      <c r="R1852" s="114" t="n">
        <v>0</v>
      </c>
      <c r="S1852" s="114" t="n">
        <v>2220</v>
      </c>
      <c r="T1852" t="n">
        <v>0</v>
      </c>
    </row>
    <row r="1853">
      <c r="A1853" t="inlineStr">
        <is>
          <t>ttJTrans</t>
        </is>
      </c>
      <c r="B1853" s="38" t="inlineStr">
        <is>
          <t>0-4006</t>
        </is>
      </c>
      <c r="C1853" t="inlineStr">
        <is>
          <t>OC</t>
        </is>
      </c>
      <c r="D1853" t="inlineStr">
        <is>
          <t>MA1011589</t>
        </is>
      </c>
      <c r="E1853" t="inlineStr">
        <is>
          <t>OC</t>
        </is>
      </c>
      <c r="F1853" t="inlineStr">
        <is>
          <t>MA1011589</t>
        </is>
      </c>
      <c r="G1853" s="42" t="n">
        <v>46141</v>
      </c>
      <c r="H1853" s="127" t="n">
        <v>46147</v>
      </c>
      <c r="I1853" t="inlineStr">
        <is>
          <t>3</t>
        </is>
      </c>
      <c r="J1853" s="38" t="inlineStr">
        <is>
          <t>0-4006</t>
        </is>
      </c>
      <c r="K1853" t="inlineStr">
        <is>
          <t>PPT Recovery</t>
        </is>
      </c>
      <c r="L1853" t="n">
        <v>12</v>
      </c>
      <c r="M1853" t="n">
        <v>1065.6</v>
      </c>
      <c r="N1853" t="inlineStr">
        <is>
          <t>PO:COMMIT</t>
        </is>
      </c>
      <c r="O1853" t="inlineStr">
        <is>
          <t>13196</t>
        </is>
      </c>
      <c r="P1853" t="inlineStr">
        <is>
          <t>SATELLITE SHELTERS, INC.</t>
        </is>
      </c>
      <c r="Q1853" s="114" t="n">
        <v>0</v>
      </c>
      <c r="R1853" s="114" t="n">
        <v>0</v>
      </c>
      <c r="S1853" s="114" t="n">
        <v>1065.6</v>
      </c>
      <c r="T1853" t="n">
        <v>0</v>
      </c>
    </row>
    <row r="1854">
      <c r="A1854" t="inlineStr">
        <is>
          <t>ttJTrans</t>
        </is>
      </c>
      <c r="B1854" s="38" t="inlineStr">
        <is>
          <t>0-4006</t>
        </is>
      </c>
      <c r="C1854" t="inlineStr">
        <is>
          <t>OC</t>
        </is>
      </c>
      <c r="D1854" t="inlineStr">
        <is>
          <t>MA1011589</t>
        </is>
      </c>
      <c r="E1854" t="inlineStr">
        <is>
          <t>OC</t>
        </is>
      </c>
      <c r="F1854" t="inlineStr">
        <is>
          <t>MA1011589</t>
        </is>
      </c>
      <c r="G1854" s="42" t="n">
        <v>46141</v>
      </c>
      <c r="H1854" s="127" t="n">
        <v>46147</v>
      </c>
      <c r="I1854" t="inlineStr">
        <is>
          <t>4</t>
        </is>
      </c>
      <c r="J1854" s="38" t="inlineStr">
        <is>
          <t>0-4006</t>
        </is>
      </c>
      <c r="K1854" t="inlineStr">
        <is>
          <t>Delivery</t>
        </is>
      </c>
      <c r="L1854" t="n">
        <v>2</v>
      </c>
      <c r="M1854" t="n">
        <v>2220</v>
      </c>
      <c r="N1854" t="inlineStr">
        <is>
          <t>PO:COMMIT</t>
        </is>
      </c>
      <c r="O1854" t="inlineStr">
        <is>
          <t>13196</t>
        </is>
      </c>
      <c r="P1854" t="inlineStr">
        <is>
          <t>SATELLITE SHELTERS, INC.</t>
        </is>
      </c>
      <c r="Q1854" s="114" t="n">
        <v>0</v>
      </c>
      <c r="R1854" s="114" t="n">
        <v>0</v>
      </c>
      <c r="S1854" s="114" t="n">
        <v>2220</v>
      </c>
      <c r="T1854" t="n">
        <v>0</v>
      </c>
    </row>
    <row r="1855">
      <c r="A1855" t="inlineStr">
        <is>
          <t>ttJTrans</t>
        </is>
      </c>
      <c r="B1855" s="38" t="inlineStr">
        <is>
          <t>0-4006</t>
        </is>
      </c>
      <c r="C1855" t="inlineStr">
        <is>
          <t>OC</t>
        </is>
      </c>
      <c r="D1855" t="inlineStr">
        <is>
          <t>MA1011589</t>
        </is>
      </c>
      <c r="E1855" t="inlineStr">
        <is>
          <t>OC</t>
        </is>
      </c>
      <c r="F1855" t="inlineStr">
        <is>
          <t>MA1011589</t>
        </is>
      </c>
      <c r="G1855" s="42" t="n">
        <v>46141</v>
      </c>
      <c r="H1855" s="127" t="n">
        <v>46147</v>
      </c>
      <c r="I1855" t="inlineStr">
        <is>
          <t>7</t>
        </is>
      </c>
      <c r="J1855" s="38" t="inlineStr">
        <is>
          <t>0-4006</t>
        </is>
      </c>
      <c r="K1855" t="inlineStr">
        <is>
          <t>Pickup @ Return</t>
        </is>
      </c>
      <c r="L1855" t="n">
        <v>2</v>
      </c>
      <c r="M1855" t="n">
        <v>2220</v>
      </c>
      <c r="N1855" t="inlineStr">
        <is>
          <t>PO:COMMIT</t>
        </is>
      </c>
      <c r="O1855" t="inlineStr">
        <is>
          <t>13196</t>
        </is>
      </c>
      <c r="P1855" t="inlineStr">
        <is>
          <t>SATELLITE SHELTERS, INC.</t>
        </is>
      </c>
      <c r="Q1855" s="114" t="n">
        <v>0</v>
      </c>
      <c r="R1855" s="114" t="n">
        <v>0</v>
      </c>
      <c r="S1855" s="114" t="n">
        <v>2220</v>
      </c>
      <c r="T1855" t="n">
        <v>0</v>
      </c>
    </row>
    <row r="1856">
      <c r="A1856" t="inlineStr">
        <is>
          <t>ttJTrans</t>
        </is>
      </c>
      <c r="B1856" s="38" t="inlineStr">
        <is>
          <t>0-4006</t>
        </is>
      </c>
      <c r="C1856" t="inlineStr">
        <is>
          <t>OC</t>
        </is>
      </c>
      <c r="D1856" t="inlineStr">
        <is>
          <t>MA1011944</t>
        </is>
      </c>
      <c r="E1856" t="inlineStr">
        <is>
          <t>OC</t>
        </is>
      </c>
      <c r="F1856" t="inlineStr">
        <is>
          <t>MA1011944</t>
        </is>
      </c>
      <c r="G1856" s="42" t="n">
        <v>46157</v>
      </c>
      <c r="H1856" s="127" t="n">
        <v>46159</v>
      </c>
      <c r="I1856" t="inlineStr">
        <is>
          <t>8</t>
        </is>
      </c>
      <c r="J1856" s="38" t="inlineStr">
        <is>
          <t>0-4006</t>
        </is>
      </c>
      <c r="K1856" t="inlineStr">
        <is>
          <t>Paper towels</t>
        </is>
      </c>
      <c r="L1856" t="n">
        <v>1</v>
      </c>
      <c r="M1856" t="n">
        <v>34.95</v>
      </c>
      <c r="N1856" t="inlineStr">
        <is>
          <t>PO:COMMIT</t>
        </is>
      </c>
      <c r="O1856" t="inlineStr">
        <is>
          <t>20395</t>
        </is>
      </c>
      <c r="P1856" t="inlineStr">
        <is>
          <t>AMAZON.COM SERVICES LLC</t>
        </is>
      </c>
      <c r="Q1856" s="114" t="n">
        <v>0</v>
      </c>
      <c r="R1856" s="114" t="n">
        <v>0</v>
      </c>
      <c r="S1856" s="114" t="n">
        <v>34.95</v>
      </c>
      <c r="T1856" t="n">
        <v>0</v>
      </c>
    </row>
    <row r="1857">
      <c r="A1857" t="inlineStr">
        <is>
          <t>ttJTrans</t>
        </is>
      </c>
      <c r="B1857" s="38" t="inlineStr">
        <is>
          <t>0-4006</t>
        </is>
      </c>
      <c r="C1857" t="inlineStr">
        <is>
          <t>OC</t>
        </is>
      </c>
      <c r="D1857" t="inlineStr">
        <is>
          <t>MA1011944</t>
        </is>
      </c>
      <c r="E1857" t="inlineStr">
        <is>
          <t>OC</t>
        </is>
      </c>
      <c r="F1857" t="inlineStr">
        <is>
          <t>MA1011944</t>
        </is>
      </c>
      <c r="G1857" s="42" t="n">
        <v>46157</v>
      </c>
      <c r="H1857" s="127" t="n">
        <v>46159</v>
      </c>
      <c r="I1857" t="inlineStr">
        <is>
          <t>1</t>
        </is>
      </c>
      <c r="J1857" s="38" t="inlineStr">
        <is>
          <t>0-4006</t>
        </is>
      </c>
      <c r="K1857" t="inlineStr">
        <is>
          <t>Toilet Paper</t>
        </is>
      </c>
      <c r="L1857" t="n">
        <v>5</v>
      </c>
      <c r="M1857" t="n">
        <v>314.8</v>
      </c>
      <c r="N1857" t="inlineStr">
        <is>
          <t>PO:COMMIT</t>
        </is>
      </c>
      <c r="O1857" t="inlineStr">
        <is>
          <t>20395</t>
        </is>
      </c>
      <c r="P1857" t="inlineStr">
        <is>
          <t>AMAZON.COM SERVICES LLC</t>
        </is>
      </c>
      <c r="Q1857" s="114" t="n">
        <v>0</v>
      </c>
      <c r="R1857" s="114" t="n">
        <v>0</v>
      </c>
      <c r="S1857" s="114" t="n">
        <v>314.8</v>
      </c>
      <c r="T1857" t="n">
        <v>0</v>
      </c>
    </row>
    <row r="1858">
      <c r="A1858" t="inlineStr">
        <is>
          <t>ttJTrans</t>
        </is>
      </c>
      <c r="B1858" s="38" t="inlineStr">
        <is>
          <t>0-4006</t>
        </is>
      </c>
      <c r="C1858" t="inlineStr">
        <is>
          <t>OC</t>
        </is>
      </c>
      <c r="D1858" t="inlineStr">
        <is>
          <t>MA1011944</t>
        </is>
      </c>
      <c r="E1858" t="inlineStr">
        <is>
          <t>OC</t>
        </is>
      </c>
      <c r="F1858" t="inlineStr">
        <is>
          <t>MA1011944</t>
        </is>
      </c>
      <c r="G1858" s="42" t="n">
        <v>46157</v>
      </c>
      <c r="H1858" s="127" t="n">
        <v>46159</v>
      </c>
      <c r="I1858" t="inlineStr">
        <is>
          <t>5</t>
        </is>
      </c>
      <c r="J1858" s="38" t="inlineStr">
        <is>
          <t>0-4006</t>
        </is>
      </c>
      <c r="K1858" t="inlineStr">
        <is>
          <t>55 Gal trash bags</t>
        </is>
      </c>
      <c r="L1858" t="n">
        <v>10</v>
      </c>
      <c r="M1858" t="n">
        <v>299.37</v>
      </c>
      <c r="N1858" t="inlineStr">
        <is>
          <t>PO:COMMIT</t>
        </is>
      </c>
      <c r="O1858" t="inlineStr">
        <is>
          <t>20395</t>
        </is>
      </c>
      <c r="P1858" t="inlineStr">
        <is>
          <t>AMAZON.COM SERVICES LLC</t>
        </is>
      </c>
      <c r="Q1858" s="114" t="n">
        <v>0</v>
      </c>
      <c r="R1858" s="114" t="n">
        <v>0</v>
      </c>
      <c r="S1858" s="114" t="n">
        <v>299.37</v>
      </c>
      <c r="T1858" t="n">
        <v>0</v>
      </c>
    </row>
    <row r="1859">
      <c r="A1859" t="inlineStr">
        <is>
          <t>ttJTrans</t>
        </is>
      </c>
      <c r="B1859" s="38" t="inlineStr">
        <is>
          <t>0-4006</t>
        </is>
      </c>
      <c r="C1859" t="inlineStr">
        <is>
          <t>OC</t>
        </is>
      </c>
      <c r="D1859" t="inlineStr">
        <is>
          <t>MA1011944</t>
        </is>
      </c>
      <c r="E1859" t="inlineStr">
        <is>
          <t>OC</t>
        </is>
      </c>
      <c r="F1859" t="inlineStr">
        <is>
          <t>MA1011944</t>
        </is>
      </c>
      <c r="G1859" s="42" t="n">
        <v>46157</v>
      </c>
      <c r="H1859" s="127" t="n">
        <v>46159</v>
      </c>
      <c r="I1859" t="inlineStr">
        <is>
          <t>4</t>
        </is>
      </c>
      <c r="J1859" s="38" t="inlineStr">
        <is>
          <t>0-4006</t>
        </is>
      </c>
      <c r="K1859" t="inlineStr">
        <is>
          <t>Foaming soap</t>
        </is>
      </c>
      <c r="L1859" t="n">
        <v>1</v>
      </c>
      <c r="M1859" t="n">
        <v>23.18</v>
      </c>
      <c r="N1859" t="inlineStr">
        <is>
          <t>PO:COMMIT</t>
        </is>
      </c>
      <c r="O1859" t="inlineStr">
        <is>
          <t>20395</t>
        </is>
      </c>
      <c r="P1859" t="inlineStr">
        <is>
          <t>AMAZON.COM SERVICES LLC</t>
        </is>
      </c>
      <c r="Q1859" s="114" t="n">
        <v>0</v>
      </c>
      <c r="R1859" s="114" t="n">
        <v>0</v>
      </c>
      <c r="S1859" s="114" t="n">
        <v>23.18</v>
      </c>
      <c r="T1859" t="n">
        <v>0</v>
      </c>
    </row>
    <row r="1860">
      <c r="A1860" t="inlineStr">
        <is>
          <t>ttJTrans</t>
        </is>
      </c>
      <c r="B1860" s="38" t="inlineStr">
        <is>
          <t>0-4006</t>
        </is>
      </c>
      <c r="C1860" t="inlineStr">
        <is>
          <t>OC</t>
        </is>
      </c>
      <c r="D1860" t="inlineStr">
        <is>
          <t>MA1011944</t>
        </is>
      </c>
      <c r="E1860" t="inlineStr">
        <is>
          <t>OC</t>
        </is>
      </c>
      <c r="F1860" t="inlineStr">
        <is>
          <t>MA1011944</t>
        </is>
      </c>
      <c r="G1860" s="42" t="n">
        <v>46157</v>
      </c>
      <c r="H1860" s="127" t="n">
        <v>46159</v>
      </c>
      <c r="I1860" t="inlineStr">
        <is>
          <t>3</t>
        </is>
      </c>
      <c r="J1860" s="38" t="inlineStr">
        <is>
          <t>0-4006</t>
        </is>
      </c>
      <c r="K1860" t="inlineStr">
        <is>
          <t>Keurig K155 Office Pro</t>
        </is>
      </c>
      <c r="L1860" t="n">
        <v>1</v>
      </c>
      <c r="M1860" t="n">
        <v>386.17</v>
      </c>
      <c r="N1860" t="inlineStr">
        <is>
          <t>PO:COMMIT</t>
        </is>
      </c>
      <c r="O1860" t="inlineStr">
        <is>
          <t>20395</t>
        </is>
      </c>
      <c r="P1860" t="inlineStr">
        <is>
          <t>AMAZON.COM SERVICES LLC</t>
        </is>
      </c>
      <c r="Q1860" s="114" t="n">
        <v>0</v>
      </c>
      <c r="R1860" s="114" t="n">
        <v>0</v>
      </c>
      <c r="S1860" s="114" t="n">
        <v>386.17</v>
      </c>
      <c r="T1860" t="n">
        <v>0</v>
      </c>
    </row>
    <row r="1861">
      <c r="A1861" t="inlineStr">
        <is>
          <t>ttJTrans</t>
        </is>
      </c>
      <c r="B1861" s="38" t="inlineStr">
        <is>
          <t>0-4006</t>
        </is>
      </c>
      <c r="C1861" t="inlineStr">
        <is>
          <t>OC</t>
        </is>
      </c>
      <c r="D1861" t="inlineStr">
        <is>
          <t>MA1011944</t>
        </is>
      </c>
      <c r="E1861" t="inlineStr">
        <is>
          <t>OC</t>
        </is>
      </c>
      <c r="F1861" t="inlineStr">
        <is>
          <t>MA1011944</t>
        </is>
      </c>
      <c r="G1861" s="42" t="n">
        <v>46157</v>
      </c>
      <c r="H1861" s="127" t="n">
        <v>46159</v>
      </c>
      <c r="I1861" t="inlineStr">
        <is>
          <t>2</t>
        </is>
      </c>
      <c r="J1861" s="38" t="inlineStr">
        <is>
          <t>0-4006</t>
        </is>
      </c>
      <c r="K1861" t="inlineStr">
        <is>
          <t>8 Gallon trash bags</t>
        </is>
      </c>
      <c r="L1861" t="n">
        <v>5</v>
      </c>
      <c r="M1861" t="n">
        <v>60.99</v>
      </c>
      <c r="N1861" t="inlineStr">
        <is>
          <t>PO:COMMIT</t>
        </is>
      </c>
      <c r="O1861" t="inlineStr">
        <is>
          <t>20395</t>
        </is>
      </c>
      <c r="P1861" t="inlineStr">
        <is>
          <t>AMAZON.COM SERVICES LLC</t>
        </is>
      </c>
      <c r="Q1861" s="114" t="n">
        <v>0</v>
      </c>
      <c r="R1861" s="114" t="n">
        <v>0</v>
      </c>
      <c r="S1861" s="114" t="n">
        <v>60.99</v>
      </c>
      <c r="T1861" t="n">
        <v>0</v>
      </c>
    </row>
    <row r="1862">
      <c r="A1862" t="inlineStr">
        <is>
          <t>ttJTrans</t>
        </is>
      </c>
      <c r="B1862" s="38" t="inlineStr">
        <is>
          <t>0-4006</t>
        </is>
      </c>
      <c r="C1862" t="inlineStr">
        <is>
          <t>OC</t>
        </is>
      </c>
      <c r="D1862" t="inlineStr">
        <is>
          <t>MA1011944</t>
        </is>
      </c>
      <c r="E1862" t="inlineStr">
        <is>
          <t>OC</t>
        </is>
      </c>
      <c r="F1862" t="inlineStr">
        <is>
          <t>MA1011944</t>
        </is>
      </c>
      <c r="G1862" s="42" t="n">
        <v>46157</v>
      </c>
      <c r="H1862" s="127" t="n">
        <v>46159</v>
      </c>
      <c r="I1862" t="inlineStr">
        <is>
          <t>6</t>
        </is>
      </c>
      <c r="J1862" s="38" t="inlineStr">
        <is>
          <t>0-4006</t>
        </is>
      </c>
      <c r="K1862" t="inlineStr">
        <is>
          <t>Febreeze air mist</t>
        </is>
      </c>
      <c r="L1862" t="n">
        <v>3</v>
      </c>
      <c r="M1862" t="n">
        <v>59.84</v>
      </c>
      <c r="N1862" t="inlineStr">
        <is>
          <t>PO:COMMIT</t>
        </is>
      </c>
      <c r="O1862" t="inlineStr">
        <is>
          <t>20395</t>
        </is>
      </c>
      <c r="P1862" t="inlineStr">
        <is>
          <t>AMAZON.COM SERVICES LLC</t>
        </is>
      </c>
      <c r="Q1862" s="114" t="n">
        <v>0</v>
      </c>
      <c r="R1862" s="114" t="n">
        <v>0</v>
      </c>
      <c r="S1862" s="114" t="n">
        <v>59.84</v>
      </c>
      <c r="T1862" t="n">
        <v>0</v>
      </c>
    </row>
    <row r="1863">
      <c r="A1863" t="inlineStr">
        <is>
          <t>ttJTrans</t>
        </is>
      </c>
      <c r="B1863" s="38" t="inlineStr">
        <is>
          <t>0-4006</t>
        </is>
      </c>
      <c r="C1863" t="inlineStr">
        <is>
          <t>OC</t>
        </is>
      </c>
      <c r="D1863" t="inlineStr">
        <is>
          <t>MA1011944</t>
        </is>
      </c>
      <c r="E1863" t="inlineStr">
        <is>
          <t>OC</t>
        </is>
      </c>
      <c r="F1863" t="inlineStr">
        <is>
          <t>MA1011944</t>
        </is>
      </c>
      <c r="G1863" s="42" t="n">
        <v>46157</v>
      </c>
      <c r="H1863" s="127" t="n">
        <v>46159</v>
      </c>
      <c r="I1863" t="inlineStr">
        <is>
          <t>7</t>
        </is>
      </c>
      <c r="J1863" s="38" t="inlineStr">
        <is>
          <t>0-4006</t>
        </is>
      </c>
      <c r="K1863" t="inlineStr">
        <is>
          <t>Clorox wipes</t>
        </is>
      </c>
      <c r="L1863" t="n">
        <v>5</v>
      </c>
      <c r="M1863" t="n">
        <v>70.93000000000001</v>
      </c>
      <c r="N1863" t="inlineStr">
        <is>
          <t>PO:COMMIT</t>
        </is>
      </c>
      <c r="O1863" t="inlineStr">
        <is>
          <t>20395</t>
        </is>
      </c>
      <c r="P1863" t="inlineStr">
        <is>
          <t>AMAZON.COM SERVICES LLC</t>
        </is>
      </c>
      <c r="Q1863" s="114" t="n">
        <v>0</v>
      </c>
      <c r="R1863" s="114" t="n">
        <v>0</v>
      </c>
      <c r="S1863" s="114" t="n">
        <v>70.93000000000001</v>
      </c>
      <c r="T1863" t="n">
        <v>0</v>
      </c>
    </row>
    <row r="1864">
      <c r="A1864" t="inlineStr">
        <is>
          <t>ttJTrans</t>
        </is>
      </c>
      <c r="B1864" s="38" t="inlineStr">
        <is>
          <t>0-4006</t>
        </is>
      </c>
      <c r="C1864" t="inlineStr">
        <is>
          <t>OC</t>
        </is>
      </c>
      <c r="D1864" t="inlineStr">
        <is>
          <t>MA1012024</t>
        </is>
      </c>
      <c r="E1864" t="inlineStr">
        <is>
          <t>OC</t>
        </is>
      </c>
      <c r="F1864" t="inlineStr">
        <is>
          <t>MA1012024</t>
        </is>
      </c>
      <c r="G1864" s="42" t="n">
        <v>46161</v>
      </c>
      <c r="H1864" s="127" t="n">
        <v>46162</v>
      </c>
      <c r="I1864" t="inlineStr">
        <is>
          <t>1</t>
        </is>
      </c>
      <c r="J1864" s="38" t="inlineStr">
        <is>
          <t>0-4006</t>
        </is>
      </c>
      <c r="K1864" t="inlineStr">
        <is>
          <t>Uline Boot Scraper</t>
        </is>
      </c>
      <c r="L1864" t="n">
        <v>5</v>
      </c>
      <c r="M1864" t="n">
        <v>327.45</v>
      </c>
      <c r="N1864" t="inlineStr">
        <is>
          <t>PO:COMMIT</t>
        </is>
      </c>
      <c r="O1864" t="inlineStr">
        <is>
          <t>13343</t>
        </is>
      </c>
      <c r="P1864" t="inlineStr">
        <is>
          <t>ULINE INC.</t>
        </is>
      </c>
      <c r="Q1864" s="114" t="n">
        <v>0</v>
      </c>
      <c r="R1864" s="114" t="n">
        <v>0</v>
      </c>
      <c r="S1864" s="114" t="n">
        <v>327.45</v>
      </c>
      <c r="T1864" t="n">
        <v>0</v>
      </c>
    </row>
    <row r="1865">
      <c r="A1865" t="inlineStr">
        <is>
          <t>ttJTrans</t>
        </is>
      </c>
      <c r="B1865" s="38" t="inlineStr">
        <is>
          <t>0-4006</t>
        </is>
      </c>
      <c r="C1865" t="inlineStr">
        <is>
          <t>OC</t>
        </is>
      </c>
      <c r="D1865" t="inlineStr">
        <is>
          <t>MA1012024</t>
        </is>
      </c>
      <c r="E1865" t="inlineStr">
        <is>
          <t>OC</t>
        </is>
      </c>
      <c r="F1865" t="inlineStr">
        <is>
          <t>MA1012024</t>
        </is>
      </c>
      <c r="G1865" s="42" t="n">
        <v>46161</v>
      </c>
      <c r="H1865" s="127" t="n">
        <v>46162</v>
      </c>
      <c r="I1865" t="inlineStr">
        <is>
          <t>3</t>
        </is>
      </c>
      <c r="J1865" s="38" t="inlineStr">
        <is>
          <t>0-4006</t>
        </is>
      </c>
      <c r="K1865" t="inlineStr">
        <is>
          <t>Shipping</t>
        </is>
      </c>
      <c r="L1865" t="n">
        <v>1</v>
      </c>
      <c r="M1865" t="n">
        <v>110.09</v>
      </c>
      <c r="N1865" t="inlineStr">
        <is>
          <t>PO:COMMIT</t>
        </is>
      </c>
      <c r="O1865" t="inlineStr">
        <is>
          <t>13343</t>
        </is>
      </c>
      <c r="P1865" t="inlineStr">
        <is>
          <t>ULINE INC.</t>
        </is>
      </c>
      <c r="Q1865" s="114" t="n">
        <v>0</v>
      </c>
      <c r="R1865" s="114" t="n">
        <v>0</v>
      </c>
      <c r="S1865" s="114" t="n">
        <v>110.09</v>
      </c>
      <c r="T1865" t="n">
        <v>0</v>
      </c>
    </row>
    <row r="1866">
      <c r="A1866" t="inlineStr">
        <is>
          <t>ttJTrans</t>
        </is>
      </c>
      <c r="B1866" s="38" t="inlineStr">
        <is>
          <t>0-4006</t>
        </is>
      </c>
      <c r="C1866" t="inlineStr">
        <is>
          <t>OC</t>
        </is>
      </c>
      <c r="D1866" t="inlineStr">
        <is>
          <t>MA1012024</t>
        </is>
      </c>
      <c r="E1866" t="inlineStr">
        <is>
          <t>OC</t>
        </is>
      </c>
      <c r="F1866" t="inlineStr">
        <is>
          <t>MA1012024</t>
        </is>
      </c>
      <c r="G1866" s="42" t="n">
        <v>46161</v>
      </c>
      <c r="H1866" s="127" t="n">
        <v>46162</v>
      </c>
      <c r="I1866" t="inlineStr">
        <is>
          <t>2</t>
        </is>
      </c>
      <c r="J1866" s="38" t="inlineStr">
        <is>
          <t>0-4006</t>
        </is>
      </c>
      <c r="K1866" t="inlineStr">
        <is>
          <t>Mud Master Carpet Mat - 4 x 6', Charcoal</t>
        </is>
      </c>
      <c r="L1866" t="n">
        <v>8</v>
      </c>
      <c r="M1866" t="n">
        <v>976.8</v>
      </c>
      <c r="N1866" t="inlineStr">
        <is>
          <t>PO:COMMIT</t>
        </is>
      </c>
      <c r="O1866" t="inlineStr">
        <is>
          <t>13343</t>
        </is>
      </c>
      <c r="P1866" t="inlineStr">
        <is>
          <t>ULINE INC.</t>
        </is>
      </c>
      <c r="Q1866" s="114" t="n">
        <v>0</v>
      </c>
      <c r="R1866" s="114" t="n">
        <v>0</v>
      </c>
      <c r="S1866" s="114" t="n">
        <v>976.8</v>
      </c>
      <c r="T1866" t="n">
        <v>0</v>
      </c>
    </row>
    <row r="1867">
      <c r="A1867" t="inlineStr">
        <is>
          <t>ttJTrans</t>
        </is>
      </c>
      <c r="B1867" s="38" t="inlineStr">
        <is>
          <t>0-4006</t>
        </is>
      </c>
      <c r="C1867" t="inlineStr">
        <is>
          <t>OC</t>
        </is>
      </c>
      <c r="D1867" t="inlineStr">
        <is>
          <t>MA1012115</t>
        </is>
      </c>
      <c r="E1867" t="inlineStr">
        <is>
          <t>OC</t>
        </is>
      </c>
      <c r="F1867" t="inlineStr">
        <is>
          <t>MA1012115</t>
        </is>
      </c>
      <c r="G1867" s="42" t="n">
        <v>46164</v>
      </c>
      <c r="H1867" s="127" t="n">
        <v>46167</v>
      </c>
      <c r="I1867" t="inlineStr">
        <is>
          <t>1</t>
        </is>
      </c>
      <c r="J1867" s="38" t="inlineStr">
        <is>
          <t>0-4006</t>
        </is>
      </c>
      <c r="K1867" t="inlineStr">
        <is>
          <t>MONTHLY RECURRING CHARGES. 12 MONTHS AT</t>
        </is>
      </c>
      <c r="L1867" t="n">
        <v>12</v>
      </c>
      <c r="M1867" t="n">
        <v>4089.24</v>
      </c>
      <c r="N1867" t="inlineStr">
        <is>
          <t>PO:COMMIT</t>
        </is>
      </c>
      <c r="O1867" t="inlineStr">
        <is>
          <t>21206</t>
        </is>
      </c>
      <c r="P1867" t="inlineStr">
        <is>
          <t>SPECTROTEL</t>
        </is>
      </c>
      <c r="Q1867" s="114" t="n">
        <v>0</v>
      </c>
      <c r="R1867" s="114" t="n">
        <v>0</v>
      </c>
      <c r="S1867" s="114" t="n">
        <v>4089.24</v>
      </c>
      <c r="T1867" t="n">
        <v>0</v>
      </c>
    </row>
    <row r="1868">
      <c r="A1868" t="inlineStr">
        <is>
          <t>ttJTrans</t>
        </is>
      </c>
      <c r="B1868" s="38" t="inlineStr">
        <is>
          <t>0-4006</t>
        </is>
      </c>
      <c r="C1868" t="inlineStr">
        <is>
          <t>OC</t>
        </is>
      </c>
      <c r="D1868" t="inlineStr">
        <is>
          <t>MA1012115</t>
        </is>
      </c>
      <c r="E1868" t="inlineStr">
        <is>
          <t>OC</t>
        </is>
      </c>
      <c r="F1868" t="inlineStr">
        <is>
          <t>MA1012115</t>
        </is>
      </c>
      <c r="G1868" s="42" t="n">
        <v>46164</v>
      </c>
      <c r="H1868" s="127" t="n">
        <v>46167</v>
      </c>
      <c r="I1868" t="inlineStr">
        <is>
          <t>2</t>
        </is>
      </c>
      <c r="J1868" s="38" t="inlineStr">
        <is>
          <t>0-4006</t>
        </is>
      </c>
      <c r="K1868" t="inlineStr">
        <is>
          <t>NON-RECURRING CHARGES</t>
        </is>
      </c>
      <c r="L1868" t="n">
        <v>1</v>
      </c>
      <c r="M1868" t="n">
        <v>277.5</v>
      </c>
      <c r="N1868" t="inlineStr">
        <is>
          <t>PO:COMMIT</t>
        </is>
      </c>
      <c r="O1868" t="inlineStr">
        <is>
          <t>21206</t>
        </is>
      </c>
      <c r="P1868" t="inlineStr">
        <is>
          <t>SPECTROTEL</t>
        </is>
      </c>
      <c r="Q1868" s="114" t="n">
        <v>0</v>
      </c>
      <c r="R1868" s="114" t="n">
        <v>0</v>
      </c>
      <c r="S1868" s="114" t="n">
        <v>277.5</v>
      </c>
      <c r="T1868" t="n">
        <v>0</v>
      </c>
    </row>
    <row r="1869">
      <c r="A1869" t="inlineStr">
        <is>
          <t>ttJTrans</t>
        </is>
      </c>
      <c r="B1869" s="38" t="inlineStr">
        <is>
          <t>0-4006</t>
        </is>
      </c>
      <c r="C1869" t="inlineStr">
        <is>
          <t>OC</t>
        </is>
      </c>
      <c r="E1869" t="inlineStr">
        <is>
          <t>OC</t>
        </is>
      </c>
      <c r="G1869" s="42" t="inlineStr"/>
      <c r="H1869" s="127" t="n">
        <v>46121</v>
      </c>
      <c r="J1869" s="38" t="inlineStr">
        <is>
          <t>0-4006</t>
        </is>
      </c>
      <c r="K1869" t="inlineStr">
        <is>
          <t>TOILETS TRAILERS HANDWASH STATIONS BULK PO FOR ALL SERVICES</t>
        </is>
      </c>
      <c r="L1869" t="n">
        <v>0</v>
      </c>
      <c r="M1869" t="n">
        <v>0</v>
      </c>
      <c r="O1869" t="inlineStr">
        <is>
          <t>18517</t>
        </is>
      </c>
      <c r="P1869" t="inlineStr">
        <is>
          <t>CENTURY SANITATION, LLC</t>
        </is>
      </c>
      <c r="Q1869" s="114" t="n">
        <v>0</v>
      </c>
      <c r="R1869" s="114" t="n">
        <v>979.6799999999999</v>
      </c>
      <c r="S1869" s="114" t="n">
        <v>0</v>
      </c>
      <c r="T1869" t="n">
        <v>0</v>
      </c>
    </row>
    <row r="1870">
      <c r="A1870" t="inlineStr">
        <is>
          <t>ttJTrans</t>
        </is>
      </c>
      <c r="B1870" s="38" t="inlineStr">
        <is>
          <t>0-4006</t>
        </is>
      </c>
      <c r="C1870" t="inlineStr">
        <is>
          <t>OC</t>
        </is>
      </c>
      <c r="E1870" t="inlineStr">
        <is>
          <t>OC</t>
        </is>
      </c>
      <c r="H1870" s="127" t="n">
        <v>46160</v>
      </c>
      <c r="J1870" s="38" t="inlineStr">
        <is>
          <t>0-4006</t>
        </is>
      </c>
      <c r="K1870" t="inlineStr">
        <is>
          <t>SITE OFFICE POWER 25-4005</t>
        </is>
      </c>
      <c r="L1870" t="n">
        <v>0</v>
      </c>
      <c r="M1870" t="n">
        <v>0</v>
      </c>
      <c r="O1870" t="inlineStr">
        <is>
          <t>11293</t>
        </is>
      </c>
      <c r="P1870" t="inlineStr">
        <is>
          <t>CENTERPOINT ENERGY</t>
        </is>
      </c>
      <c r="Q1870" s="114" t="n">
        <v>0</v>
      </c>
      <c r="R1870" s="114" t="n">
        <v>2004</v>
      </c>
      <c r="S1870" s="114" t="n">
        <v>0</v>
      </c>
      <c r="T1870" t="n">
        <v>0</v>
      </c>
    </row>
    <row r="1871">
      <c r="A1871" t="inlineStr">
        <is>
          <t>ttJTrans</t>
        </is>
      </c>
      <c r="B1871" s="38" t="inlineStr">
        <is>
          <t>0-4006</t>
        </is>
      </c>
      <c r="C1871" t="inlineStr">
        <is>
          <t>OC</t>
        </is>
      </c>
      <c r="E1871" t="inlineStr">
        <is>
          <t>OC</t>
        </is>
      </c>
      <c r="H1871" s="127" t="n">
        <v>46162</v>
      </c>
      <c r="J1871" s="38" t="inlineStr">
        <is>
          <t>0-4006</t>
        </is>
      </c>
      <c r="K1871" t="inlineStr">
        <is>
          <t>5/8-6/4 6plex office trailer approved by Eugene &amp; John</t>
        </is>
      </c>
      <c r="L1871" t="n">
        <v>0</v>
      </c>
      <c r="M1871" t="n">
        <v>0</v>
      </c>
      <c r="O1871" t="inlineStr">
        <is>
          <t>13196</t>
        </is>
      </c>
      <c r="P1871" t="inlineStr">
        <is>
          <t>SATELLITE SHELTERS</t>
        </is>
      </c>
      <c r="Q1871" s="114" t="n">
        <v>0</v>
      </c>
      <c r="R1871" s="114" t="n">
        <v>984.8200000000001</v>
      </c>
      <c r="S1871" s="114" t="n">
        <v>0</v>
      </c>
      <c r="T1871" t="n">
        <v>0</v>
      </c>
    </row>
    <row r="1872">
      <c r="A1872" t="inlineStr">
        <is>
          <t>ttJTrans</t>
        </is>
      </c>
      <c r="B1872" s="38" t="inlineStr">
        <is>
          <t>0-4006</t>
        </is>
      </c>
      <c r="C1872" t="inlineStr">
        <is>
          <t>OC</t>
        </is>
      </c>
      <c r="E1872" t="inlineStr">
        <is>
          <t>OC</t>
        </is>
      </c>
      <c r="H1872" s="127" t="n">
        <v>46162</v>
      </c>
      <c r="J1872" s="38" t="inlineStr">
        <is>
          <t>0-4006</t>
        </is>
      </c>
      <c r="K1872" t="inlineStr">
        <is>
          <t>5/8-6/4 6plex office trailer approved by Eugene &amp; John</t>
        </is>
      </c>
      <c r="L1872" t="n">
        <v>0</v>
      </c>
      <c r="M1872" t="n">
        <v>0</v>
      </c>
      <c r="O1872" t="inlineStr">
        <is>
          <t>13196</t>
        </is>
      </c>
      <c r="P1872" t="inlineStr">
        <is>
          <t>SATELLITE SHELTERS</t>
        </is>
      </c>
      <c r="Q1872" s="114" t="n">
        <v>0</v>
      </c>
      <c r="R1872" s="114" t="n">
        <v>27305.24</v>
      </c>
      <c r="S1872" s="114" t="n">
        <v>0</v>
      </c>
      <c r="T1872" t="n">
        <v>0</v>
      </c>
    </row>
    <row r="1873">
      <c r="A1873" t="inlineStr">
        <is>
          <t>ttJTrans</t>
        </is>
      </c>
      <c r="B1873" s="38" t="inlineStr">
        <is>
          <t>0-4006</t>
        </is>
      </c>
      <c r="C1873" t="inlineStr">
        <is>
          <t>OC</t>
        </is>
      </c>
      <c r="E1873" t="inlineStr">
        <is>
          <t>OC</t>
        </is>
      </c>
      <c r="H1873" s="127" t="n">
        <v>46162</v>
      </c>
      <c r="J1873" s="38" t="inlineStr">
        <is>
          <t>0-4006</t>
        </is>
      </c>
      <c r="K1873" t="inlineStr">
        <is>
          <t>APRIL 2026 TOILETS TRAILERS HANDWASH STATIONS BULK PO FOR ALL SERVICES</t>
        </is>
      </c>
      <c r="L1873" t="n">
        <v>0</v>
      </c>
      <c r="M1873" t="n">
        <v>0</v>
      </c>
      <c r="O1873" t="inlineStr">
        <is>
          <t>18517</t>
        </is>
      </c>
      <c r="P1873" t="inlineStr">
        <is>
          <t>CENTURY SANITATION, LLC</t>
        </is>
      </c>
      <c r="Q1873" s="114" t="n">
        <v>0</v>
      </c>
      <c r="R1873" s="114" t="n">
        <v>4146.68</v>
      </c>
      <c r="S1873" s="114" t="n">
        <v>0</v>
      </c>
      <c r="T1873" t="n">
        <v>0</v>
      </c>
    </row>
    <row r="1874">
      <c r="A1874" t="inlineStr">
        <is>
          <t>ttJTrans</t>
        </is>
      </c>
      <c r="B1874" s="38" t="inlineStr">
        <is>
          <t>0-4005</t>
        </is>
      </c>
      <c r="C1874" t="inlineStr">
        <is>
          <t>LA</t>
        </is>
      </c>
      <c r="E1874" t="inlineStr">
        <is>
          <t>LA</t>
        </is>
      </c>
      <c r="H1874" s="127" t="n">
        <v>46107</v>
      </c>
      <c r="J1874" s="38" t="inlineStr">
        <is>
          <t>0-4005</t>
        </is>
      </c>
      <c r="K1874" t="inlineStr">
        <is>
          <t>PR P0COST 000523 (PR) Summary</t>
        </is>
      </c>
      <c r="L1874" t="n">
        <v>0</v>
      </c>
      <c r="M1874" t="n">
        <v>0</v>
      </c>
      <c r="Q1874" s="114" t="n">
        <v>0</v>
      </c>
      <c r="R1874" s="114" t="n">
        <v>889.84</v>
      </c>
      <c r="S1874" s="114" t="n">
        <v>0</v>
      </c>
      <c r="T1874" t="n">
        <v>8</v>
      </c>
    </row>
    <row r="1875">
      <c r="A1875" t="inlineStr">
        <is>
          <t>ttJTrans</t>
        </is>
      </c>
      <c r="B1875" s="38" t="inlineStr">
        <is>
          <t>0-4005</t>
        </is>
      </c>
      <c r="C1875" t="inlineStr">
        <is>
          <t>LA</t>
        </is>
      </c>
      <c r="E1875" t="inlineStr">
        <is>
          <t>LA</t>
        </is>
      </c>
      <c r="H1875" s="127" t="n">
        <v>46150</v>
      </c>
      <c r="J1875" s="38" t="inlineStr">
        <is>
          <t>0-4005</t>
        </is>
      </c>
      <c r="K1875" t="inlineStr">
        <is>
          <t>COST CODE TRANSFER 25-4005</t>
        </is>
      </c>
      <c r="L1875" t="n">
        <v>0</v>
      </c>
      <c r="M1875" t="n">
        <v>0</v>
      </c>
      <c r="Q1875" s="114" t="n">
        <v>0</v>
      </c>
      <c r="R1875" s="114" t="n">
        <v>-889.84</v>
      </c>
      <c r="S1875" s="114" t="n">
        <v>0</v>
      </c>
      <c r="T1875" t="n">
        <v>-8</v>
      </c>
    </row>
    <row r="1876">
      <c r="A1876" t="inlineStr">
        <is>
          <t>ttJTrans</t>
        </is>
      </c>
      <c r="B1876" s="38" t="inlineStr">
        <is>
          <t>0-4005</t>
        </is>
      </c>
      <c r="C1876" t="inlineStr">
        <is>
          <t>LA</t>
        </is>
      </c>
      <c r="E1876" t="inlineStr">
        <is>
          <t>LA</t>
        </is>
      </c>
      <c r="H1876" s="127" t="n">
        <v>46149</v>
      </c>
      <c r="J1876" s="38" t="inlineStr">
        <is>
          <t>0-4005</t>
        </is>
      </c>
      <c r="K1876" t="inlineStr">
        <is>
          <t>PR P0COST 000529 (PR) Summary</t>
        </is>
      </c>
      <c r="L1876" t="n">
        <v>0</v>
      </c>
      <c r="M1876" t="n">
        <v>0</v>
      </c>
      <c r="Q1876" s="114" t="n">
        <v>0</v>
      </c>
      <c r="R1876" s="114" t="n">
        <v>197</v>
      </c>
      <c r="S1876" s="114" t="n">
        <v>0</v>
      </c>
      <c r="T1876" t="n">
        <v>2</v>
      </c>
    </row>
    <row r="1877">
      <c r="A1877" t="inlineStr">
        <is>
          <t>ttJTrans</t>
        </is>
      </c>
      <c r="B1877" s="38" t="inlineStr">
        <is>
          <t>0-4005</t>
        </is>
      </c>
      <c r="C1877" t="inlineStr">
        <is>
          <t>LA</t>
        </is>
      </c>
      <c r="E1877" t="inlineStr">
        <is>
          <t>LA</t>
        </is>
      </c>
      <c r="H1877" s="127" t="n">
        <v>46149</v>
      </c>
      <c r="J1877" s="38" t="inlineStr">
        <is>
          <t>0-4005</t>
        </is>
      </c>
      <c r="K1877" t="inlineStr">
        <is>
          <t>PR P0COST 000529 (PR) Summary</t>
        </is>
      </c>
      <c r="L1877" t="n">
        <v>0</v>
      </c>
      <c r="M1877" t="n">
        <v>0</v>
      </c>
      <c r="Q1877" s="114" t="n">
        <v>0</v>
      </c>
      <c r="R1877" s="114" t="n">
        <v>397.47</v>
      </c>
      <c r="S1877" s="114" t="n">
        <v>0</v>
      </c>
      <c r="T1877" t="n">
        <v>6</v>
      </c>
    </row>
    <row r="1878">
      <c r="A1878" t="inlineStr">
        <is>
          <t>ttJTrans</t>
        </is>
      </c>
      <c r="B1878" s="38" t="inlineStr">
        <is>
          <t>0-4008</t>
        </is>
      </c>
      <c r="C1878" t="inlineStr">
        <is>
          <t>OC</t>
        </is>
      </c>
      <c r="D1878" t="inlineStr">
        <is>
          <t>MA1010074</t>
        </is>
      </c>
      <c r="E1878" t="inlineStr">
        <is>
          <t>OC</t>
        </is>
      </c>
      <c r="F1878" t="inlineStr">
        <is>
          <t>MA1010074</t>
        </is>
      </c>
      <c r="G1878" t="n">
        <v>46065</v>
      </c>
      <c r="H1878" s="127" t="n">
        <v>46066</v>
      </c>
      <c r="I1878" t="inlineStr">
        <is>
          <t>14</t>
        </is>
      </c>
      <c r="J1878" s="38" t="inlineStr">
        <is>
          <t>0-4008</t>
        </is>
      </c>
      <c r="K1878" t="inlineStr">
        <is>
          <t>CLIP GLOVE PLASTIC</t>
        </is>
      </c>
      <c r="L1878" t="n">
        <v>50</v>
      </c>
      <c r="M1878" t="n">
        <v>120.99</v>
      </c>
      <c r="N1878" t="inlineStr">
        <is>
          <t>PO:COMMIT</t>
        </is>
      </c>
      <c r="O1878" t="inlineStr">
        <is>
          <t>12561</t>
        </is>
      </c>
      <c r="P1878" t="inlineStr">
        <is>
          <t>CROSS COUNTRY INFRASTRUCTURE SERVICES INC.</t>
        </is>
      </c>
      <c r="Q1878" s="114" t="n">
        <v>0</v>
      </c>
      <c r="R1878" s="114" t="n">
        <v>0</v>
      </c>
      <c r="S1878" s="114" t="n">
        <v>120.99</v>
      </c>
      <c r="T1878" t="n">
        <v>0</v>
      </c>
    </row>
    <row r="1879">
      <c r="A1879" t="inlineStr">
        <is>
          <t>ttJTrans</t>
        </is>
      </c>
      <c r="B1879" s="38" t="inlineStr">
        <is>
          <t>0-4008</t>
        </is>
      </c>
      <c r="C1879" t="inlineStr">
        <is>
          <t>OC</t>
        </is>
      </c>
      <c r="D1879" t="inlineStr">
        <is>
          <t>MA1010074</t>
        </is>
      </c>
      <c r="E1879" t="inlineStr">
        <is>
          <t>OC</t>
        </is>
      </c>
      <c r="F1879" t="inlineStr">
        <is>
          <t>MA1010074</t>
        </is>
      </c>
      <c r="G1879" s="42" t="n">
        <v>46065</v>
      </c>
      <c r="H1879" s="127" t="n">
        <v>46066</v>
      </c>
      <c r="I1879" t="inlineStr">
        <is>
          <t>10</t>
        </is>
      </c>
      <c r="J1879" s="38" t="inlineStr">
        <is>
          <t>0-4008</t>
        </is>
      </c>
      <c r="K1879" t="inlineStr">
        <is>
          <t>GLOVE MAXIFLEX CUT A2 SM</t>
        </is>
      </c>
      <c r="L1879" t="n">
        <v>4</v>
      </c>
      <c r="M1879" t="n">
        <v>468.86</v>
      </c>
      <c r="N1879" t="inlineStr">
        <is>
          <t>PO:COMMIT</t>
        </is>
      </c>
      <c r="O1879" t="inlineStr">
        <is>
          <t>12561</t>
        </is>
      </c>
      <c r="P1879" t="inlineStr">
        <is>
          <t>CROSS COUNTRY INFRASTRUCTURE SERVICES INC.</t>
        </is>
      </c>
      <c r="Q1879" s="114" t="n">
        <v>0</v>
      </c>
      <c r="R1879" s="114" t="n">
        <v>0</v>
      </c>
      <c r="S1879" s="114" t="n">
        <v>468.86</v>
      </c>
      <c r="T1879" t="n">
        <v>0</v>
      </c>
    </row>
    <row r="1880">
      <c r="A1880" t="inlineStr">
        <is>
          <t>ttJTrans</t>
        </is>
      </c>
      <c r="B1880" s="38" t="inlineStr">
        <is>
          <t>0-4008</t>
        </is>
      </c>
      <c r="C1880" t="inlineStr">
        <is>
          <t>OC</t>
        </is>
      </c>
      <c r="D1880" t="inlineStr">
        <is>
          <t>MA1010074</t>
        </is>
      </c>
      <c r="E1880" t="inlineStr">
        <is>
          <t>OC</t>
        </is>
      </c>
      <c r="F1880" t="inlineStr">
        <is>
          <t>MA1010074</t>
        </is>
      </c>
      <c r="G1880" s="42" t="n">
        <v>46065</v>
      </c>
      <c r="H1880" s="127" t="n">
        <v>46066</v>
      </c>
      <c r="I1880" t="inlineStr">
        <is>
          <t>11</t>
        </is>
      </c>
      <c r="J1880" s="38" t="inlineStr">
        <is>
          <t>0-4008</t>
        </is>
      </c>
      <c r="K1880" t="inlineStr">
        <is>
          <t>GLOVE MAXIFLEX CUT A2 MD</t>
        </is>
      </c>
      <c r="L1880" t="n">
        <v>4</v>
      </c>
      <c r="M1880" t="n">
        <v>468.86</v>
      </c>
      <c r="N1880" t="inlineStr">
        <is>
          <t>PO:COMMIT</t>
        </is>
      </c>
      <c r="O1880" t="inlineStr">
        <is>
          <t>12561</t>
        </is>
      </c>
      <c r="P1880" t="inlineStr">
        <is>
          <t>CROSS COUNTRY INFRASTRUCTURE SERVICES INC.</t>
        </is>
      </c>
      <c r="Q1880" s="114" t="n">
        <v>0</v>
      </c>
      <c r="R1880" s="114" t="n">
        <v>0</v>
      </c>
      <c r="S1880" s="114" t="n">
        <v>468.86</v>
      </c>
      <c r="T1880" t="n">
        <v>0</v>
      </c>
    </row>
    <row r="1881">
      <c r="A1881" t="inlineStr">
        <is>
          <t>ttJTrans</t>
        </is>
      </c>
      <c r="B1881" s="38" t="inlineStr">
        <is>
          <t>0-4008</t>
        </is>
      </c>
      <c r="C1881" t="inlineStr">
        <is>
          <t>OC</t>
        </is>
      </c>
      <c r="D1881" t="inlineStr">
        <is>
          <t>MA1010074</t>
        </is>
      </c>
      <c r="E1881" t="inlineStr">
        <is>
          <t>OC</t>
        </is>
      </c>
      <c r="F1881" t="inlineStr">
        <is>
          <t>MA1010074</t>
        </is>
      </c>
      <c r="G1881" s="42" t="n">
        <v>46065</v>
      </c>
      <c r="H1881" s="127" t="n">
        <v>46066</v>
      </c>
      <c r="I1881" t="inlineStr">
        <is>
          <t>12</t>
        </is>
      </c>
      <c r="J1881" s="38" t="inlineStr">
        <is>
          <t>0-4008</t>
        </is>
      </c>
      <c r="K1881" t="inlineStr">
        <is>
          <t>GLOVE MAXIFLEX CUT A2 L</t>
        </is>
      </c>
      <c r="L1881" t="n">
        <v>3</v>
      </c>
      <c r="M1881" t="n">
        <v>351.65</v>
      </c>
      <c r="N1881" t="inlineStr">
        <is>
          <t>PO:COMMIT</t>
        </is>
      </c>
      <c r="O1881" t="inlineStr">
        <is>
          <t>12561</t>
        </is>
      </c>
      <c r="P1881" t="inlineStr">
        <is>
          <t>CROSS COUNTRY INFRASTRUCTURE SERVICES INC.</t>
        </is>
      </c>
      <c r="Q1881" s="114" t="n">
        <v>0</v>
      </c>
      <c r="R1881" s="114" t="n">
        <v>0</v>
      </c>
      <c r="S1881" s="114" t="n">
        <v>351.65</v>
      </c>
      <c r="T1881" t="n">
        <v>0</v>
      </c>
    </row>
    <row r="1882">
      <c r="A1882" t="inlineStr">
        <is>
          <t>ttJTrans</t>
        </is>
      </c>
      <c r="B1882" s="38" t="inlineStr">
        <is>
          <t>0-4008</t>
        </is>
      </c>
      <c r="C1882" t="inlineStr">
        <is>
          <t>OC</t>
        </is>
      </c>
      <c r="D1882" t="inlineStr">
        <is>
          <t>MA1010074</t>
        </is>
      </c>
      <c r="E1882" t="inlineStr">
        <is>
          <t>OC</t>
        </is>
      </c>
      <c r="F1882" t="inlineStr">
        <is>
          <t>MA1010074</t>
        </is>
      </c>
      <c r="G1882" s="42" t="n">
        <v>46065</v>
      </c>
      <c r="H1882" s="127" t="n">
        <v>46066</v>
      </c>
      <c r="I1882" t="inlineStr">
        <is>
          <t>13</t>
        </is>
      </c>
      <c r="J1882" s="38" t="inlineStr">
        <is>
          <t>0-4008</t>
        </is>
      </c>
      <c r="K1882" t="inlineStr">
        <is>
          <t>GLOVE MAXIFEX CUT A2 XL</t>
        </is>
      </c>
      <c r="L1882" t="n">
        <v>2</v>
      </c>
      <c r="M1882" t="n">
        <v>234.43</v>
      </c>
      <c r="N1882" t="inlineStr">
        <is>
          <t>PO:COMMIT</t>
        </is>
      </c>
      <c r="O1882" t="inlineStr">
        <is>
          <t>12561</t>
        </is>
      </c>
      <c r="P1882" t="inlineStr">
        <is>
          <t>CROSS COUNTRY INFRASTRUCTURE SERVICES INC.</t>
        </is>
      </c>
      <c r="Q1882" s="114" t="n">
        <v>0</v>
      </c>
      <c r="R1882" s="114" t="n">
        <v>0</v>
      </c>
      <c r="S1882" s="114" t="n">
        <v>234.43</v>
      </c>
      <c r="T1882" t="n">
        <v>0</v>
      </c>
    </row>
    <row r="1883">
      <c r="A1883" t="inlineStr">
        <is>
          <t>ttJTrans</t>
        </is>
      </c>
      <c r="B1883" s="38" t="inlineStr">
        <is>
          <t>0-4008</t>
        </is>
      </c>
      <c r="C1883" t="inlineStr">
        <is>
          <t>OC</t>
        </is>
      </c>
      <c r="D1883" t="inlineStr">
        <is>
          <t>MA1010074</t>
        </is>
      </c>
      <c r="E1883" t="inlineStr">
        <is>
          <t>OC</t>
        </is>
      </c>
      <c r="F1883" t="inlineStr">
        <is>
          <t>MA1010074</t>
        </is>
      </c>
      <c r="G1883" s="42" t="n">
        <v>46065</v>
      </c>
      <c r="H1883" s="127" t="n">
        <v>46066</v>
      </c>
      <c r="I1883" t="inlineStr">
        <is>
          <t>5</t>
        </is>
      </c>
      <c r="J1883" s="38" t="inlineStr">
        <is>
          <t>0-4008</t>
        </is>
      </c>
      <c r="K1883" t="inlineStr">
        <is>
          <t>GLOVES SML KNUCKLEHEAD IMPACT</t>
        </is>
      </c>
      <c r="L1883" t="n">
        <v>36</v>
      </c>
      <c r="M1883" t="n">
        <v>653.75</v>
      </c>
      <c r="N1883" t="inlineStr">
        <is>
          <t>PO:COMMIT</t>
        </is>
      </c>
      <c r="O1883" t="inlineStr">
        <is>
          <t>12561</t>
        </is>
      </c>
      <c r="P1883" t="inlineStr">
        <is>
          <t>CROSS COUNTRY INFRASTRUCTURE SERVICES INC.</t>
        </is>
      </c>
      <c r="Q1883" s="114" t="n">
        <v>0</v>
      </c>
      <c r="R1883" s="114" t="n">
        <v>0</v>
      </c>
      <c r="S1883" s="114" t="n">
        <v>653.75</v>
      </c>
      <c r="T1883" t="n">
        <v>0</v>
      </c>
    </row>
    <row r="1884">
      <c r="A1884" t="inlineStr">
        <is>
          <t>ttJTrans</t>
        </is>
      </c>
      <c r="B1884" s="38" t="inlineStr">
        <is>
          <t>0-4008</t>
        </is>
      </c>
      <c r="C1884" t="inlineStr">
        <is>
          <t>OC</t>
        </is>
      </c>
      <c r="D1884" t="inlineStr">
        <is>
          <t>MA1010074</t>
        </is>
      </c>
      <c r="E1884" t="inlineStr">
        <is>
          <t>OC</t>
        </is>
      </c>
      <c r="F1884" t="inlineStr">
        <is>
          <t>MA1010074</t>
        </is>
      </c>
      <c r="G1884" s="42" t="n">
        <v>46065</v>
      </c>
      <c r="H1884" s="127" t="n">
        <v>46066</v>
      </c>
      <c r="I1884" t="inlineStr">
        <is>
          <t>6</t>
        </is>
      </c>
      <c r="J1884" s="38" t="inlineStr">
        <is>
          <t>0-4008</t>
        </is>
      </c>
      <c r="K1884" t="inlineStr">
        <is>
          <t>GLOVES MED KNUCKLEHEAD IMPACT</t>
        </is>
      </c>
      <c r="L1884" t="n">
        <v>48</v>
      </c>
      <c r="M1884" t="n">
        <v>871.66</v>
      </c>
      <c r="N1884" t="inlineStr">
        <is>
          <t>PO:COMMIT</t>
        </is>
      </c>
      <c r="O1884" t="inlineStr">
        <is>
          <t>12561</t>
        </is>
      </c>
      <c r="P1884" t="inlineStr">
        <is>
          <t>CROSS COUNTRY INFRASTRUCTURE SERVICES INC.</t>
        </is>
      </c>
      <c r="Q1884" s="114" t="n">
        <v>0</v>
      </c>
      <c r="R1884" s="114" t="n">
        <v>0</v>
      </c>
      <c r="S1884" s="114" t="n">
        <v>871.66</v>
      </c>
      <c r="T1884" t="n">
        <v>0</v>
      </c>
    </row>
    <row r="1885">
      <c r="A1885" t="inlineStr">
        <is>
          <t>ttJTrans</t>
        </is>
      </c>
      <c r="B1885" s="38" t="inlineStr">
        <is>
          <t>0-4008</t>
        </is>
      </c>
      <c r="C1885" t="inlineStr">
        <is>
          <t>OC</t>
        </is>
      </c>
      <c r="D1885" t="inlineStr">
        <is>
          <t>MA1010074</t>
        </is>
      </c>
      <c r="E1885" t="inlineStr">
        <is>
          <t>OC</t>
        </is>
      </c>
      <c r="F1885" t="inlineStr">
        <is>
          <t>MA1010074</t>
        </is>
      </c>
      <c r="G1885" t="n">
        <v>46065</v>
      </c>
      <c r="H1885" s="127" t="n">
        <v>46066</v>
      </c>
      <c r="I1885" t="inlineStr">
        <is>
          <t>7</t>
        </is>
      </c>
      <c r="J1885" s="38" t="inlineStr">
        <is>
          <t>0-4008</t>
        </is>
      </c>
      <c r="K1885" t="inlineStr">
        <is>
          <t>GLOVES LRG KNUCKLEHEAD IMPACT</t>
        </is>
      </c>
      <c r="L1885" t="n">
        <v>36</v>
      </c>
      <c r="M1885" t="n">
        <v>653.75</v>
      </c>
      <c r="N1885" t="inlineStr">
        <is>
          <t>PO:COMMIT</t>
        </is>
      </c>
      <c r="O1885" t="inlineStr">
        <is>
          <t>12561</t>
        </is>
      </c>
      <c r="P1885" t="inlineStr">
        <is>
          <t>CROSS COUNTRY INFRASTRUCTURE SERVICES INC.</t>
        </is>
      </c>
      <c r="Q1885" s="114" t="n">
        <v>0</v>
      </c>
      <c r="R1885" s="114" t="n">
        <v>0</v>
      </c>
      <c r="S1885" s="114" t="n">
        <v>653.75</v>
      </c>
      <c r="T1885" t="n">
        <v>0</v>
      </c>
    </row>
    <row r="1886">
      <c r="A1886" t="inlineStr">
        <is>
          <t>ttJTrans</t>
        </is>
      </c>
      <c r="B1886" s="38" t="inlineStr">
        <is>
          <t>0-4008</t>
        </is>
      </c>
      <c r="C1886" t="inlineStr">
        <is>
          <t>OC</t>
        </is>
      </c>
      <c r="D1886" t="inlineStr">
        <is>
          <t>MA1010074</t>
        </is>
      </c>
      <c r="E1886" t="inlineStr">
        <is>
          <t>OC</t>
        </is>
      </c>
      <c r="F1886" t="inlineStr">
        <is>
          <t>MA1010074</t>
        </is>
      </c>
      <c r="G1886" t="n">
        <v>46065</v>
      </c>
      <c r="H1886" s="127" t="n">
        <v>46066</v>
      </c>
      <c r="I1886" t="inlineStr">
        <is>
          <t>8</t>
        </is>
      </c>
      <c r="J1886" s="38" t="inlineStr">
        <is>
          <t>0-4008</t>
        </is>
      </c>
      <c r="K1886" t="inlineStr">
        <is>
          <t>GLOVES XL KNUCKLEHEAD IMPACT</t>
        </is>
      </c>
      <c r="L1886" t="n">
        <v>24</v>
      </c>
      <c r="M1886" t="n">
        <v>435.83</v>
      </c>
      <c r="N1886" t="inlineStr">
        <is>
          <t>PO:COMMIT</t>
        </is>
      </c>
      <c r="O1886" t="inlineStr">
        <is>
          <t>12561</t>
        </is>
      </c>
      <c r="P1886" t="inlineStr">
        <is>
          <t>CROSS COUNTRY INFRASTRUCTURE SERVICES INC.</t>
        </is>
      </c>
      <c r="Q1886" s="114" t="n">
        <v>0</v>
      </c>
      <c r="R1886" s="114" t="n">
        <v>0</v>
      </c>
      <c r="S1886" s="114" t="n">
        <v>435.83</v>
      </c>
      <c r="T1886" t="n">
        <v>0</v>
      </c>
    </row>
    <row r="1887">
      <c r="A1887" t="inlineStr">
        <is>
          <t>ttJTrans</t>
        </is>
      </c>
      <c r="B1887" s="38" t="inlineStr">
        <is>
          <t>0-4008</t>
        </is>
      </c>
      <c r="C1887" t="inlineStr">
        <is>
          <t>OC</t>
        </is>
      </c>
      <c r="D1887" t="inlineStr">
        <is>
          <t>MA1010074</t>
        </is>
      </c>
      <c r="E1887" t="inlineStr">
        <is>
          <t>OC</t>
        </is>
      </c>
      <c r="F1887" t="inlineStr">
        <is>
          <t>MA1010074</t>
        </is>
      </c>
      <c r="G1887" t="n">
        <v>46065</v>
      </c>
      <c r="H1887" s="127" t="n">
        <v>46066</v>
      </c>
      <c r="I1887" t="inlineStr">
        <is>
          <t>9</t>
        </is>
      </c>
      <c r="J1887" s="38" t="inlineStr">
        <is>
          <t>0-4008</t>
        </is>
      </c>
      <c r="K1887" t="inlineStr">
        <is>
          <t>GLOVES 2X KNUCKLEHEAD IMPACT</t>
        </is>
      </c>
      <c r="L1887" t="n">
        <v>24</v>
      </c>
      <c r="M1887" t="n">
        <v>435.83</v>
      </c>
      <c r="N1887" t="inlineStr">
        <is>
          <t>PO:COMMIT</t>
        </is>
      </c>
      <c r="O1887" t="inlineStr">
        <is>
          <t>12561</t>
        </is>
      </c>
      <c r="P1887" t="inlineStr">
        <is>
          <t>CROSS COUNTRY INFRASTRUCTURE SERVICES INC.</t>
        </is>
      </c>
      <c r="Q1887" s="114" t="n">
        <v>0</v>
      </c>
      <c r="R1887" s="114" t="n">
        <v>0</v>
      </c>
      <c r="S1887" s="114" t="n">
        <v>435.83</v>
      </c>
      <c r="T1887" t="n">
        <v>0</v>
      </c>
    </row>
    <row r="1888">
      <c r="A1888" t="inlineStr">
        <is>
          <t>ttJTrans</t>
        </is>
      </c>
      <c r="B1888" s="38" t="inlineStr">
        <is>
          <t>0-4008</t>
        </is>
      </c>
      <c r="C1888" t="inlineStr">
        <is>
          <t>OC</t>
        </is>
      </c>
      <c r="D1888" t="inlineStr">
        <is>
          <t>MA1010074</t>
        </is>
      </c>
      <c r="E1888" t="inlineStr">
        <is>
          <t>OC</t>
        </is>
      </c>
      <c r="F1888" t="inlineStr">
        <is>
          <t>MA1010074</t>
        </is>
      </c>
      <c r="G1888" t="n">
        <v>46065</v>
      </c>
      <c r="H1888" s="127" t="n">
        <v>46066</v>
      </c>
      <c r="I1888" t="inlineStr">
        <is>
          <t>2</t>
        </is>
      </c>
      <c r="J1888" s="38" t="inlineStr">
        <is>
          <t>0-4008</t>
        </is>
      </c>
      <c r="K1888" t="inlineStr">
        <is>
          <t>GLASSES SAFETY SMOKE RAD-SEQUE</t>
        </is>
      </c>
      <c r="L1888" t="n">
        <v>108</v>
      </c>
      <c r="M1888" t="n">
        <v>239.76</v>
      </c>
      <c r="N1888" t="inlineStr">
        <is>
          <t>PO:COMMIT</t>
        </is>
      </c>
      <c r="O1888" t="inlineStr">
        <is>
          <t>12561</t>
        </is>
      </c>
      <c r="P1888" t="inlineStr">
        <is>
          <t>CROSS COUNTRY INFRASTRUCTURE SERVICES INC.</t>
        </is>
      </c>
      <c r="Q1888" s="114" t="n">
        <v>0</v>
      </c>
      <c r="R1888" s="114" t="n">
        <v>0</v>
      </c>
      <c r="S1888" s="114" t="n">
        <v>239.76</v>
      </c>
      <c r="T1888" t="n">
        <v>0</v>
      </c>
    </row>
    <row r="1889">
      <c r="A1889" t="inlineStr">
        <is>
          <t>ttJTrans</t>
        </is>
      </c>
      <c r="B1889" s="38" t="inlineStr">
        <is>
          <t>0-4008</t>
        </is>
      </c>
      <c r="C1889" t="inlineStr">
        <is>
          <t>OC</t>
        </is>
      </c>
      <c r="D1889" t="inlineStr">
        <is>
          <t>MA1010074</t>
        </is>
      </c>
      <c r="E1889" t="inlineStr">
        <is>
          <t>OC</t>
        </is>
      </c>
      <c r="F1889" t="inlineStr">
        <is>
          <t>MA1010074</t>
        </is>
      </c>
      <c r="G1889" t="n">
        <v>46065</v>
      </c>
      <c r="H1889" s="127" t="n">
        <v>46066</v>
      </c>
      <c r="I1889" t="inlineStr">
        <is>
          <t>3</t>
        </is>
      </c>
      <c r="J1889" s="38" t="inlineStr">
        <is>
          <t>0-4008</t>
        </is>
      </c>
      <c r="K1889" t="inlineStr">
        <is>
          <t>GLASSES SAFETY IN/OUT W BLACK</t>
        </is>
      </c>
      <c r="L1889" t="n">
        <v>84</v>
      </c>
      <c r="M1889" t="n">
        <v>606.0599999999999</v>
      </c>
      <c r="N1889" t="inlineStr">
        <is>
          <t>PO:COMMIT</t>
        </is>
      </c>
      <c r="O1889" t="inlineStr">
        <is>
          <t>12561</t>
        </is>
      </c>
      <c r="P1889" t="inlineStr">
        <is>
          <t>CROSS COUNTRY INFRASTRUCTURE SERVICES INC.</t>
        </is>
      </c>
      <c r="Q1889" s="114" t="n">
        <v>0</v>
      </c>
      <c r="R1889" s="114" t="n">
        <v>0</v>
      </c>
      <c r="S1889" s="114" t="n">
        <v>606.0599999999999</v>
      </c>
      <c r="T1889" t="n">
        <v>0</v>
      </c>
    </row>
    <row r="1890">
      <c r="A1890" t="inlineStr">
        <is>
          <t>ttJTrans</t>
        </is>
      </c>
      <c r="B1890" s="38" t="inlineStr">
        <is>
          <t>0-4008</t>
        </is>
      </c>
      <c r="C1890" t="inlineStr">
        <is>
          <t>OC</t>
        </is>
      </c>
      <c r="D1890" t="inlineStr">
        <is>
          <t>MA1010074</t>
        </is>
      </c>
      <c r="E1890" t="inlineStr">
        <is>
          <t>OC</t>
        </is>
      </c>
      <c r="F1890" t="inlineStr">
        <is>
          <t>MA1010074</t>
        </is>
      </c>
      <c r="G1890" t="n">
        <v>46065</v>
      </c>
      <c r="H1890" s="127" t="n">
        <v>46066</v>
      </c>
      <c r="I1890" t="inlineStr">
        <is>
          <t>4</t>
        </is>
      </c>
      <c r="J1890" s="38" t="inlineStr">
        <is>
          <t>0-4008</t>
        </is>
      </c>
      <c r="K1890" t="inlineStr">
        <is>
          <t>SIDESHIELD VISION AID CLEAR 60</t>
        </is>
      </c>
      <c r="L1890" t="n">
        <v>60</v>
      </c>
      <c r="M1890" t="n">
        <v>181.82</v>
      </c>
      <c r="N1890" t="inlineStr">
        <is>
          <t>PO:COMMIT</t>
        </is>
      </c>
      <c r="O1890" t="inlineStr">
        <is>
          <t>12561</t>
        </is>
      </c>
      <c r="P1890" t="inlineStr">
        <is>
          <t>CROSS COUNTRY INFRASTRUCTURE SERVICES INC.</t>
        </is>
      </c>
      <c r="Q1890" s="114" t="n">
        <v>0</v>
      </c>
      <c r="R1890" s="114" t="n">
        <v>0</v>
      </c>
      <c r="S1890" s="114" t="n">
        <v>181.82</v>
      </c>
      <c r="T1890" t="n">
        <v>0</v>
      </c>
    </row>
    <row r="1891">
      <c r="A1891" t="inlineStr">
        <is>
          <t>ttJTrans</t>
        </is>
      </c>
      <c r="B1891" s="38" t="inlineStr">
        <is>
          <t>0-4008</t>
        </is>
      </c>
      <c r="C1891" t="inlineStr">
        <is>
          <t>OC</t>
        </is>
      </c>
      <c r="D1891" t="inlineStr">
        <is>
          <t>MA1010074</t>
        </is>
      </c>
      <c r="E1891" t="inlineStr">
        <is>
          <t>OC</t>
        </is>
      </c>
      <c r="F1891" t="inlineStr">
        <is>
          <t>MA1010074</t>
        </is>
      </c>
      <c r="G1891" t="n">
        <v>46065</v>
      </c>
      <c r="H1891" s="127" t="n">
        <v>46066</v>
      </c>
      <c r="I1891" t="inlineStr">
        <is>
          <t>1</t>
        </is>
      </c>
      <c r="J1891" s="38" t="inlineStr">
        <is>
          <t>0-4008</t>
        </is>
      </c>
      <c r="K1891" t="inlineStr">
        <is>
          <t>GLASSES SAFETY CLEAR RAD-SEQUE</t>
        </is>
      </c>
      <c r="L1891" t="n">
        <v>84</v>
      </c>
      <c r="M1891" t="n">
        <v>166.9</v>
      </c>
      <c r="N1891" t="inlineStr">
        <is>
          <t>PO:COMMIT</t>
        </is>
      </c>
      <c r="O1891" t="inlineStr">
        <is>
          <t>12561</t>
        </is>
      </c>
      <c r="P1891" t="inlineStr">
        <is>
          <t>CROSS COUNTRY INFRASTRUCTURE SERVICES INC.</t>
        </is>
      </c>
      <c r="Q1891" s="114" t="n">
        <v>0</v>
      </c>
      <c r="R1891" s="114" t="n">
        <v>0</v>
      </c>
      <c r="S1891" s="114" t="n">
        <v>166.9</v>
      </c>
      <c r="T1891" t="n">
        <v>0</v>
      </c>
    </row>
    <row r="1892">
      <c r="A1892" t="inlineStr">
        <is>
          <t>ttJTrans</t>
        </is>
      </c>
      <c r="B1892" s="38" t="inlineStr">
        <is>
          <t>0-4008</t>
        </is>
      </c>
      <c r="C1892" t="inlineStr">
        <is>
          <t>OC</t>
        </is>
      </c>
      <c r="D1892" t="inlineStr">
        <is>
          <t>MA1010074</t>
        </is>
      </c>
      <c r="E1892" t="inlineStr">
        <is>
          <t>OC</t>
        </is>
      </c>
      <c r="F1892" t="inlineStr">
        <is>
          <t>MA1010074</t>
        </is>
      </c>
      <c r="G1892" t="n">
        <v>46065</v>
      </c>
      <c r="H1892" s="127" t="n">
        <v>46066</v>
      </c>
      <c r="I1892" t="inlineStr">
        <is>
          <t>1</t>
        </is>
      </c>
      <c r="J1892" s="38" t="inlineStr">
        <is>
          <t>0-4008</t>
        </is>
      </c>
      <c r="K1892" t="inlineStr">
        <is>
          <t>GLASSES SAFETY CLEAR RAD-SEQUE</t>
        </is>
      </c>
      <c r="L1892" t="n">
        <v>84</v>
      </c>
      <c r="M1892" t="n">
        <v>166.9</v>
      </c>
      <c r="N1892" t="inlineStr">
        <is>
          <t>INVOICE:ADJ-COMMIT</t>
        </is>
      </c>
      <c r="O1892" t="inlineStr">
        <is>
          <t>12561</t>
        </is>
      </c>
      <c r="P1892" t="inlineStr">
        <is>
          <t>CROSS COUNTRY INFRASTRUCTURE SERVICES INC.</t>
        </is>
      </c>
      <c r="Q1892" s="114" t="n">
        <v>0</v>
      </c>
      <c r="R1892" s="114" t="n">
        <v>0</v>
      </c>
      <c r="S1892" s="114" t="n">
        <v>-166.9</v>
      </c>
      <c r="T1892" t="n">
        <v>0</v>
      </c>
    </row>
    <row r="1893">
      <c r="A1893" t="inlineStr">
        <is>
          <t>ttJTrans</t>
        </is>
      </c>
      <c r="B1893" s="38" t="inlineStr">
        <is>
          <t>0-4008</t>
        </is>
      </c>
      <c r="C1893" t="inlineStr">
        <is>
          <t>OC</t>
        </is>
      </c>
      <c r="D1893" t="inlineStr">
        <is>
          <t>MA1010074</t>
        </is>
      </c>
      <c r="E1893" t="inlineStr">
        <is>
          <t>OC</t>
        </is>
      </c>
      <c r="F1893" t="inlineStr">
        <is>
          <t>MA1010074</t>
        </is>
      </c>
      <c r="G1893" t="n">
        <v>46065</v>
      </c>
      <c r="H1893" s="127" t="n">
        <v>46066</v>
      </c>
      <c r="I1893" t="inlineStr">
        <is>
          <t>2</t>
        </is>
      </c>
      <c r="J1893" s="38" t="inlineStr">
        <is>
          <t>0-4008</t>
        </is>
      </c>
      <c r="K1893" t="inlineStr">
        <is>
          <t>GLASSES SAFETY SMOKE RAD-SEQUE</t>
        </is>
      </c>
      <c r="L1893" t="n">
        <v>108</v>
      </c>
      <c r="M1893" t="n">
        <v>239.76</v>
      </c>
      <c r="N1893" t="inlineStr">
        <is>
          <t>INVOICE:ADJ-COMMIT</t>
        </is>
      </c>
      <c r="O1893" t="inlineStr">
        <is>
          <t>12561</t>
        </is>
      </c>
      <c r="P1893" t="inlineStr">
        <is>
          <t>CROSS COUNTRY INFRASTRUCTURE SERVICES INC.</t>
        </is>
      </c>
      <c r="Q1893" s="114" t="n">
        <v>0</v>
      </c>
      <c r="R1893" s="114" t="n">
        <v>0</v>
      </c>
      <c r="S1893" s="114" t="n">
        <v>-239.76</v>
      </c>
      <c r="T1893" t="n">
        <v>0</v>
      </c>
    </row>
    <row r="1894">
      <c r="A1894" t="inlineStr">
        <is>
          <t>ttJTrans</t>
        </is>
      </c>
      <c r="B1894" s="38" t="inlineStr">
        <is>
          <t>0-4008</t>
        </is>
      </c>
      <c r="C1894" t="inlineStr">
        <is>
          <t>OC</t>
        </is>
      </c>
      <c r="D1894" t="inlineStr">
        <is>
          <t>MA1010074</t>
        </is>
      </c>
      <c r="E1894" t="inlineStr">
        <is>
          <t>OC</t>
        </is>
      </c>
      <c r="F1894" t="inlineStr">
        <is>
          <t>MA1010074</t>
        </is>
      </c>
      <c r="G1894" t="n">
        <v>46065</v>
      </c>
      <c r="H1894" s="127" t="n">
        <v>46066</v>
      </c>
      <c r="I1894" t="inlineStr">
        <is>
          <t>3</t>
        </is>
      </c>
      <c r="J1894" s="38" t="inlineStr">
        <is>
          <t>0-4008</t>
        </is>
      </c>
      <c r="K1894" t="inlineStr">
        <is>
          <t>GLASSES SAFETY IN/OUT W BLACK</t>
        </is>
      </c>
      <c r="L1894" t="n">
        <v>84</v>
      </c>
      <c r="M1894" t="n">
        <v>606.0599999999999</v>
      </c>
      <c r="N1894" t="inlineStr">
        <is>
          <t>INVOICE:ADJ-COMMIT</t>
        </is>
      </c>
      <c r="O1894" t="inlineStr">
        <is>
          <t>12561</t>
        </is>
      </c>
      <c r="P1894" t="inlineStr">
        <is>
          <t>CROSS COUNTRY INFRASTRUCTURE SERVICES INC.</t>
        </is>
      </c>
      <c r="Q1894" s="114" t="n">
        <v>0</v>
      </c>
      <c r="R1894" s="114" t="n">
        <v>0</v>
      </c>
      <c r="S1894" s="114" t="n">
        <v>-606.0599999999999</v>
      </c>
      <c r="T1894" t="n">
        <v>0</v>
      </c>
    </row>
    <row r="1895">
      <c r="A1895" t="inlineStr">
        <is>
          <t>ttJTrans</t>
        </is>
      </c>
      <c r="B1895" s="38" t="inlineStr">
        <is>
          <t>0-4008</t>
        </is>
      </c>
      <c r="C1895" t="inlineStr">
        <is>
          <t>OC</t>
        </is>
      </c>
      <c r="D1895" t="inlineStr">
        <is>
          <t>MA1010074</t>
        </is>
      </c>
      <c r="E1895" t="inlineStr">
        <is>
          <t>OC</t>
        </is>
      </c>
      <c r="F1895" t="inlineStr">
        <is>
          <t>MA1010074</t>
        </is>
      </c>
      <c r="G1895" t="n">
        <v>46065</v>
      </c>
      <c r="H1895" s="127" t="n">
        <v>46066</v>
      </c>
      <c r="I1895" t="inlineStr">
        <is>
          <t>4</t>
        </is>
      </c>
      <c r="J1895" s="38" t="inlineStr">
        <is>
          <t>0-4008</t>
        </is>
      </c>
      <c r="K1895" t="inlineStr">
        <is>
          <t>SIDESHIELD VISION AID CLEAR 60</t>
        </is>
      </c>
      <c r="L1895" t="n">
        <v>60</v>
      </c>
      <c r="M1895" t="n">
        <v>181.82</v>
      </c>
      <c r="N1895" t="inlineStr">
        <is>
          <t>INVOICE:ADJ-COMMIT</t>
        </is>
      </c>
      <c r="O1895" t="inlineStr">
        <is>
          <t>12561</t>
        </is>
      </c>
      <c r="P1895" t="inlineStr">
        <is>
          <t>CROSS COUNTRY INFRASTRUCTURE SERVICES INC.</t>
        </is>
      </c>
      <c r="Q1895" s="114" t="n">
        <v>0</v>
      </c>
      <c r="R1895" s="114" t="n">
        <v>0</v>
      </c>
      <c r="S1895" s="114" t="n">
        <v>-181.82</v>
      </c>
      <c r="T1895" t="n">
        <v>0</v>
      </c>
    </row>
    <row r="1896">
      <c r="A1896" t="inlineStr">
        <is>
          <t>ttJTrans</t>
        </is>
      </c>
      <c r="B1896" s="38" t="inlineStr">
        <is>
          <t>0-4008</t>
        </is>
      </c>
      <c r="C1896" t="inlineStr">
        <is>
          <t>OC</t>
        </is>
      </c>
      <c r="D1896" t="inlineStr">
        <is>
          <t>MA1010074</t>
        </is>
      </c>
      <c r="E1896" t="inlineStr">
        <is>
          <t>OC</t>
        </is>
      </c>
      <c r="F1896" t="inlineStr">
        <is>
          <t>MA1010074</t>
        </is>
      </c>
      <c r="G1896" t="n">
        <v>46065</v>
      </c>
      <c r="H1896" s="127" t="n">
        <v>46066</v>
      </c>
      <c r="I1896" t="inlineStr">
        <is>
          <t>11</t>
        </is>
      </c>
      <c r="J1896" s="38" t="inlineStr">
        <is>
          <t>0-4008</t>
        </is>
      </c>
      <c r="K1896" t="inlineStr">
        <is>
          <t>GLOVE MAXIFLEX CUT A2 MD</t>
        </is>
      </c>
      <c r="L1896" t="n">
        <v>4</v>
      </c>
      <c r="M1896" t="n">
        <v>468.86</v>
      </c>
      <c r="N1896" t="inlineStr">
        <is>
          <t>INVOICE:ADJ-COMMIT</t>
        </is>
      </c>
      <c r="O1896" t="inlineStr">
        <is>
          <t>12561</t>
        </is>
      </c>
      <c r="P1896" t="inlineStr">
        <is>
          <t>CROSS COUNTRY INFRASTRUCTURE SERVICES INC.</t>
        </is>
      </c>
      <c r="Q1896" s="114" t="n">
        <v>0</v>
      </c>
      <c r="R1896" s="114" t="n">
        <v>0</v>
      </c>
      <c r="S1896" s="114" t="n">
        <v>-468.86</v>
      </c>
      <c r="T1896" t="n">
        <v>0</v>
      </c>
    </row>
    <row r="1897">
      <c r="A1897" t="inlineStr">
        <is>
          <t>ttJTrans</t>
        </is>
      </c>
      <c r="B1897" s="38" t="inlineStr">
        <is>
          <t>0-4008</t>
        </is>
      </c>
      <c r="C1897" t="inlineStr">
        <is>
          <t>OC</t>
        </is>
      </c>
      <c r="D1897" t="inlineStr">
        <is>
          <t>MA1010074</t>
        </is>
      </c>
      <c r="E1897" t="inlineStr">
        <is>
          <t>OC</t>
        </is>
      </c>
      <c r="F1897" t="inlineStr">
        <is>
          <t>MA1010074</t>
        </is>
      </c>
      <c r="G1897" t="n">
        <v>46065</v>
      </c>
      <c r="H1897" s="127" t="n">
        <v>46066</v>
      </c>
      <c r="I1897" t="inlineStr">
        <is>
          <t>12</t>
        </is>
      </c>
      <c r="J1897" s="38" t="inlineStr">
        <is>
          <t>0-4008</t>
        </is>
      </c>
      <c r="K1897" t="inlineStr">
        <is>
          <t>GLOVE MAXIFLEX CUT A2 L</t>
        </is>
      </c>
      <c r="L1897" t="n">
        <v>3</v>
      </c>
      <c r="M1897" t="n">
        <v>351.65</v>
      </c>
      <c r="N1897" t="inlineStr">
        <is>
          <t>INVOICE:ADJ-COMMIT</t>
        </is>
      </c>
      <c r="O1897" t="inlineStr">
        <is>
          <t>12561</t>
        </is>
      </c>
      <c r="P1897" t="inlineStr">
        <is>
          <t>CROSS COUNTRY INFRASTRUCTURE SERVICES INC.</t>
        </is>
      </c>
      <c r="Q1897" s="114" t="n">
        <v>0</v>
      </c>
      <c r="R1897" s="114" t="n">
        <v>0</v>
      </c>
      <c r="S1897" s="114" t="n">
        <v>-351.65</v>
      </c>
      <c r="T1897" t="n">
        <v>0</v>
      </c>
    </row>
    <row r="1898">
      <c r="A1898" t="inlineStr">
        <is>
          <t>ttJTrans</t>
        </is>
      </c>
      <c r="B1898" s="38" t="inlineStr">
        <is>
          <t>0-4008</t>
        </is>
      </c>
      <c r="C1898" t="inlineStr">
        <is>
          <t>OC</t>
        </is>
      </c>
      <c r="D1898" t="inlineStr">
        <is>
          <t>MA1010074</t>
        </is>
      </c>
      <c r="E1898" t="inlineStr">
        <is>
          <t>OC</t>
        </is>
      </c>
      <c r="F1898" t="inlineStr">
        <is>
          <t>MA1010074</t>
        </is>
      </c>
      <c r="G1898" t="n">
        <v>46065</v>
      </c>
      <c r="H1898" s="127" t="n">
        <v>46066</v>
      </c>
      <c r="I1898" t="inlineStr">
        <is>
          <t>6</t>
        </is>
      </c>
      <c r="J1898" s="38" t="inlineStr">
        <is>
          <t>0-4008</t>
        </is>
      </c>
      <c r="K1898" t="inlineStr">
        <is>
          <t>GLOVES MED KNUCKLEHEAD IMPACT</t>
        </is>
      </c>
      <c r="L1898" t="n">
        <v>48</v>
      </c>
      <c r="M1898" t="n">
        <v>871.66</v>
      </c>
      <c r="N1898" t="inlineStr">
        <is>
          <t>INVOICE:ADJ-COMMIT</t>
        </is>
      </c>
      <c r="O1898" t="inlineStr">
        <is>
          <t>12561</t>
        </is>
      </c>
      <c r="P1898" t="inlineStr">
        <is>
          <t>CROSS COUNTRY INFRASTRUCTURE SERVICES INC.</t>
        </is>
      </c>
      <c r="Q1898" s="114" t="n">
        <v>0</v>
      </c>
      <c r="R1898" s="114" t="n">
        <v>0</v>
      </c>
      <c r="S1898" s="114" t="n">
        <v>-871.66</v>
      </c>
      <c r="T1898" t="n">
        <v>0</v>
      </c>
    </row>
    <row r="1899">
      <c r="A1899" t="inlineStr">
        <is>
          <t>ttJTrans</t>
        </is>
      </c>
      <c r="B1899" s="38" t="inlineStr">
        <is>
          <t>0-4008</t>
        </is>
      </c>
      <c r="C1899" t="inlineStr">
        <is>
          <t>OC</t>
        </is>
      </c>
      <c r="D1899" t="inlineStr">
        <is>
          <t>MA1010074</t>
        </is>
      </c>
      <c r="E1899" t="inlineStr">
        <is>
          <t>OC</t>
        </is>
      </c>
      <c r="F1899" t="inlineStr">
        <is>
          <t>MA1010074</t>
        </is>
      </c>
      <c r="G1899" t="n">
        <v>46065</v>
      </c>
      <c r="H1899" s="127" t="n">
        <v>46066</v>
      </c>
      <c r="I1899" t="inlineStr">
        <is>
          <t>7</t>
        </is>
      </c>
      <c r="J1899" s="38" t="inlineStr">
        <is>
          <t>0-4008</t>
        </is>
      </c>
      <c r="K1899" t="inlineStr">
        <is>
          <t>GLOVES LRG KNUCKLEHEAD IMPACT</t>
        </is>
      </c>
      <c r="L1899" t="n">
        <v>36</v>
      </c>
      <c r="M1899" t="n">
        <v>653.75</v>
      </c>
      <c r="N1899" t="inlineStr">
        <is>
          <t>INVOICE:ADJ-COMMIT</t>
        </is>
      </c>
      <c r="O1899" t="inlineStr">
        <is>
          <t>12561</t>
        </is>
      </c>
      <c r="P1899" t="inlineStr">
        <is>
          <t>CROSS COUNTRY INFRASTRUCTURE SERVICES INC.</t>
        </is>
      </c>
      <c r="Q1899" s="114" t="n">
        <v>0</v>
      </c>
      <c r="R1899" s="114" t="n">
        <v>0</v>
      </c>
      <c r="S1899" s="114" t="n">
        <v>-653.75</v>
      </c>
      <c r="T1899" t="n">
        <v>0</v>
      </c>
    </row>
    <row r="1900">
      <c r="A1900" t="inlineStr">
        <is>
          <t>ttJTrans</t>
        </is>
      </c>
      <c r="B1900" s="38" t="inlineStr">
        <is>
          <t>0-4008</t>
        </is>
      </c>
      <c r="C1900" t="inlineStr">
        <is>
          <t>OC</t>
        </is>
      </c>
      <c r="D1900" t="inlineStr">
        <is>
          <t>MA1010074</t>
        </is>
      </c>
      <c r="E1900" t="inlineStr">
        <is>
          <t>OC</t>
        </is>
      </c>
      <c r="F1900" t="inlineStr">
        <is>
          <t>MA1010074</t>
        </is>
      </c>
      <c r="G1900" t="n">
        <v>46065</v>
      </c>
      <c r="H1900" s="127" t="n">
        <v>46066</v>
      </c>
      <c r="I1900" t="inlineStr">
        <is>
          <t>8</t>
        </is>
      </c>
      <c r="J1900" s="38" t="inlineStr">
        <is>
          <t>0-4008</t>
        </is>
      </c>
      <c r="K1900" t="inlineStr">
        <is>
          <t>GLOVES XL KNUCKLEHEAD IMPACT</t>
        </is>
      </c>
      <c r="L1900" t="n">
        <v>24</v>
      </c>
      <c r="M1900" t="n">
        <v>435.83</v>
      </c>
      <c r="N1900" t="inlineStr">
        <is>
          <t>INVOICE:ADJ-COMMIT</t>
        </is>
      </c>
      <c r="O1900" t="inlineStr">
        <is>
          <t>12561</t>
        </is>
      </c>
      <c r="P1900" t="inlineStr">
        <is>
          <t>CROSS COUNTRY INFRASTRUCTURE SERVICES INC.</t>
        </is>
      </c>
      <c r="Q1900" s="114" t="n">
        <v>0</v>
      </c>
      <c r="R1900" s="114" t="n">
        <v>0</v>
      </c>
      <c r="S1900" s="114" t="n">
        <v>-435.83</v>
      </c>
      <c r="T1900" t="n">
        <v>0</v>
      </c>
    </row>
    <row r="1901">
      <c r="A1901" t="inlineStr">
        <is>
          <t>ttJTrans</t>
        </is>
      </c>
      <c r="B1901" s="38" t="inlineStr">
        <is>
          <t>0-4008</t>
        </is>
      </c>
      <c r="C1901" t="inlineStr">
        <is>
          <t>OC</t>
        </is>
      </c>
      <c r="D1901" t="inlineStr">
        <is>
          <t>MA1010074</t>
        </is>
      </c>
      <c r="E1901" t="inlineStr">
        <is>
          <t>OC</t>
        </is>
      </c>
      <c r="F1901" t="inlineStr">
        <is>
          <t>MA1010074</t>
        </is>
      </c>
      <c r="G1901" t="n">
        <v>46065</v>
      </c>
      <c r="H1901" s="127" t="n">
        <v>46066</v>
      </c>
      <c r="I1901" t="inlineStr">
        <is>
          <t>9</t>
        </is>
      </c>
      <c r="J1901" s="38" t="inlineStr">
        <is>
          <t>0-4008</t>
        </is>
      </c>
      <c r="K1901" t="inlineStr">
        <is>
          <t>GLOVES 2X KNUCKLEHEAD IMPACT</t>
        </is>
      </c>
      <c r="L1901" t="n">
        <v>24</v>
      </c>
      <c r="M1901" t="n">
        <v>435.83</v>
      </c>
      <c r="N1901" t="inlineStr">
        <is>
          <t>INVOICE:ADJ-COMMIT</t>
        </is>
      </c>
      <c r="O1901" t="inlineStr">
        <is>
          <t>12561</t>
        </is>
      </c>
      <c r="P1901" t="inlineStr">
        <is>
          <t>CROSS COUNTRY INFRASTRUCTURE SERVICES INC.</t>
        </is>
      </c>
      <c r="Q1901" s="114" t="n">
        <v>0</v>
      </c>
      <c r="R1901" s="114" t="n">
        <v>0</v>
      </c>
      <c r="S1901" s="114" t="n">
        <v>-435.83</v>
      </c>
      <c r="T1901" t="n">
        <v>0</v>
      </c>
    </row>
    <row r="1902">
      <c r="A1902" t="inlineStr">
        <is>
          <t>ttJTrans</t>
        </is>
      </c>
      <c r="B1902" s="38" t="inlineStr">
        <is>
          <t>0-4008</t>
        </is>
      </c>
      <c r="C1902" t="inlineStr">
        <is>
          <t>OC</t>
        </is>
      </c>
      <c r="D1902" t="inlineStr">
        <is>
          <t>MA1010074</t>
        </is>
      </c>
      <c r="E1902" t="inlineStr">
        <is>
          <t>OC</t>
        </is>
      </c>
      <c r="F1902" t="inlineStr">
        <is>
          <t>MA1010074</t>
        </is>
      </c>
      <c r="G1902" t="n">
        <v>46065</v>
      </c>
      <c r="H1902" s="127" t="n">
        <v>46066</v>
      </c>
      <c r="I1902" t="inlineStr">
        <is>
          <t>10</t>
        </is>
      </c>
      <c r="J1902" s="38" t="inlineStr">
        <is>
          <t>0-4008</t>
        </is>
      </c>
      <c r="K1902" t="inlineStr">
        <is>
          <t>GLOVE MAXIFLEX CUT A2 SM</t>
        </is>
      </c>
      <c r="L1902" t="n">
        <v>4</v>
      </c>
      <c r="M1902" t="n">
        <v>468.86</v>
      </c>
      <c r="N1902" t="inlineStr">
        <is>
          <t>INVOICE:ADJ-COMMIT</t>
        </is>
      </c>
      <c r="O1902" t="inlineStr">
        <is>
          <t>12561</t>
        </is>
      </c>
      <c r="P1902" t="inlineStr">
        <is>
          <t>CROSS COUNTRY INFRASTRUCTURE SERVICES INC.</t>
        </is>
      </c>
      <c r="Q1902" s="114" t="n">
        <v>0</v>
      </c>
      <c r="R1902" s="114" t="n">
        <v>0</v>
      </c>
      <c r="S1902" s="114" t="n">
        <v>-468.86</v>
      </c>
      <c r="T1902" t="n">
        <v>0</v>
      </c>
    </row>
    <row r="1903">
      <c r="A1903" t="inlineStr">
        <is>
          <t>ttJTrans</t>
        </is>
      </c>
      <c r="B1903" s="38" t="inlineStr">
        <is>
          <t>0-4008</t>
        </is>
      </c>
      <c r="C1903" t="inlineStr">
        <is>
          <t>OC</t>
        </is>
      </c>
      <c r="D1903" t="inlineStr">
        <is>
          <t>MA1010074</t>
        </is>
      </c>
      <c r="E1903" t="inlineStr">
        <is>
          <t>OC</t>
        </is>
      </c>
      <c r="F1903" t="inlineStr">
        <is>
          <t>MA1010074</t>
        </is>
      </c>
      <c r="G1903" t="n">
        <v>46065</v>
      </c>
      <c r="H1903" s="127" t="n">
        <v>46066</v>
      </c>
      <c r="I1903" t="inlineStr">
        <is>
          <t>13</t>
        </is>
      </c>
      <c r="J1903" s="38" t="inlineStr">
        <is>
          <t>0-4008</t>
        </is>
      </c>
      <c r="K1903" t="inlineStr">
        <is>
          <t>GLOVE MAXIFEX CUT A2 XL</t>
        </is>
      </c>
      <c r="L1903" t="n">
        <v>2</v>
      </c>
      <c r="M1903" t="n">
        <v>234.43</v>
      </c>
      <c r="N1903" t="inlineStr">
        <is>
          <t>INVOICE:ADJ-COMMIT</t>
        </is>
      </c>
      <c r="O1903" t="inlineStr">
        <is>
          <t>12561</t>
        </is>
      </c>
      <c r="P1903" t="inlineStr">
        <is>
          <t>CROSS COUNTRY INFRASTRUCTURE SERVICES INC.</t>
        </is>
      </c>
      <c r="Q1903" s="114" t="n">
        <v>0</v>
      </c>
      <c r="R1903" s="114" t="n">
        <v>0</v>
      </c>
      <c r="S1903" s="114" t="n">
        <v>-234.43</v>
      </c>
      <c r="T1903" t="n">
        <v>0</v>
      </c>
    </row>
    <row r="1904">
      <c r="A1904" t="inlineStr">
        <is>
          <t>ttJTrans</t>
        </is>
      </c>
      <c r="B1904" s="38" t="inlineStr">
        <is>
          <t>0-4008</t>
        </is>
      </c>
      <c r="C1904" t="inlineStr">
        <is>
          <t>OC</t>
        </is>
      </c>
      <c r="D1904" t="inlineStr">
        <is>
          <t>MA1010074</t>
        </is>
      </c>
      <c r="E1904" t="inlineStr">
        <is>
          <t>OC</t>
        </is>
      </c>
      <c r="F1904" t="inlineStr">
        <is>
          <t>MA1010074</t>
        </is>
      </c>
      <c r="G1904" t="n">
        <v>46065</v>
      </c>
      <c r="H1904" s="127" t="n">
        <v>46066</v>
      </c>
      <c r="I1904" t="inlineStr">
        <is>
          <t>14</t>
        </is>
      </c>
      <c r="J1904" s="38" t="inlineStr">
        <is>
          <t>0-4008</t>
        </is>
      </c>
      <c r="K1904" t="inlineStr">
        <is>
          <t>CLIP GLOVE PLASTIC</t>
        </is>
      </c>
      <c r="L1904" t="n">
        <v>50</v>
      </c>
      <c r="M1904" t="n">
        <v>120.99</v>
      </c>
      <c r="N1904" t="inlineStr">
        <is>
          <t>INVOICE:ADJ-COMMIT</t>
        </is>
      </c>
      <c r="O1904" t="inlineStr">
        <is>
          <t>12561</t>
        </is>
      </c>
      <c r="P1904" t="inlineStr">
        <is>
          <t>CROSS COUNTRY INFRASTRUCTURE SERVICES INC.</t>
        </is>
      </c>
      <c r="Q1904" s="114" t="n">
        <v>0</v>
      </c>
      <c r="R1904" s="114" t="n">
        <v>0</v>
      </c>
      <c r="S1904" s="114" t="n">
        <v>-120.99</v>
      </c>
      <c r="T1904" t="n">
        <v>0</v>
      </c>
    </row>
    <row r="1905">
      <c r="A1905" t="inlineStr">
        <is>
          <t>ttJTrans</t>
        </is>
      </c>
      <c r="B1905" s="38" t="inlineStr">
        <is>
          <t>0-4008</t>
        </is>
      </c>
      <c r="C1905" t="inlineStr">
        <is>
          <t>OC</t>
        </is>
      </c>
      <c r="D1905" t="inlineStr">
        <is>
          <t>MA1010074</t>
        </is>
      </c>
      <c r="E1905" t="inlineStr">
        <is>
          <t>OC</t>
        </is>
      </c>
      <c r="F1905" t="inlineStr">
        <is>
          <t>MA1010074</t>
        </is>
      </c>
      <c r="G1905" t="n">
        <v>46065</v>
      </c>
      <c r="H1905" s="127" t="n">
        <v>46066</v>
      </c>
      <c r="I1905" t="inlineStr">
        <is>
          <t>5</t>
        </is>
      </c>
      <c r="J1905" s="38" t="inlineStr">
        <is>
          <t>0-4008</t>
        </is>
      </c>
      <c r="K1905" t="inlineStr">
        <is>
          <t>GLOVES SML KNUCKLEHEAD IMPACT</t>
        </is>
      </c>
      <c r="L1905" t="n">
        <v>36</v>
      </c>
      <c r="M1905" t="n">
        <v>653.75</v>
      </c>
      <c r="N1905" t="inlineStr">
        <is>
          <t>INVOICE:ADJ-COMMIT</t>
        </is>
      </c>
      <c r="O1905" t="inlineStr">
        <is>
          <t>12561</t>
        </is>
      </c>
      <c r="P1905" t="inlineStr">
        <is>
          <t>CROSS COUNTRY INFRASTRUCTURE SERVICES INC.</t>
        </is>
      </c>
      <c r="Q1905" s="114" t="n">
        <v>0</v>
      </c>
      <c r="R1905" s="114" t="n">
        <v>0</v>
      </c>
      <c r="S1905" s="114" t="n">
        <v>-653.75</v>
      </c>
      <c r="T1905" t="n">
        <v>0</v>
      </c>
    </row>
    <row r="1906">
      <c r="A1906" t="inlineStr">
        <is>
          <t>ttJTrans</t>
        </is>
      </c>
      <c r="B1906" s="38" t="inlineStr">
        <is>
          <t>0-4008</t>
        </is>
      </c>
      <c r="C1906" t="inlineStr">
        <is>
          <t>OC</t>
        </is>
      </c>
      <c r="D1906" t="inlineStr">
        <is>
          <t>MA1010074</t>
        </is>
      </c>
      <c r="E1906" t="inlineStr">
        <is>
          <t>OC</t>
        </is>
      </c>
      <c r="F1906" t="inlineStr">
        <is>
          <t>MA1010074</t>
        </is>
      </c>
      <c r="G1906" t="n">
        <v>46065</v>
      </c>
      <c r="H1906" s="127" t="n">
        <v>46078</v>
      </c>
      <c r="I1906" t="inlineStr">
        <is>
          <t>7</t>
        </is>
      </c>
      <c r="J1906" s="38" t="inlineStr">
        <is>
          <t>0-4008</t>
        </is>
      </c>
      <c r="K1906" t="inlineStr">
        <is>
          <t>GLOVES LRG KNUCKLEHEAD IMPACT</t>
        </is>
      </c>
      <c r="L1906" t="n">
        <v>36</v>
      </c>
      <c r="M1906" t="n">
        <v>653.75</v>
      </c>
      <c r="N1906" t="inlineStr">
        <is>
          <t>INVOICE</t>
        </is>
      </c>
      <c r="O1906" t="inlineStr">
        <is>
          <t>12561</t>
        </is>
      </c>
      <c r="P1906" t="inlineStr">
        <is>
          <t>CROSS COUNTRY INFRASTRUCTURE SERVICES INC.</t>
        </is>
      </c>
      <c r="Q1906" s="114" t="n">
        <v>0</v>
      </c>
      <c r="R1906" s="114" t="n">
        <v>0</v>
      </c>
      <c r="S1906" s="114" t="n">
        <v>0</v>
      </c>
      <c r="T1906" t="n">
        <v>0</v>
      </c>
    </row>
    <row r="1907">
      <c r="A1907" t="inlineStr">
        <is>
          <t>ttJTrans</t>
        </is>
      </c>
      <c r="B1907" s="38" t="inlineStr">
        <is>
          <t>0-4008</t>
        </is>
      </c>
      <c r="C1907" t="inlineStr">
        <is>
          <t>OC</t>
        </is>
      </c>
      <c r="D1907" t="inlineStr">
        <is>
          <t>MA1010074</t>
        </is>
      </c>
      <c r="E1907" t="inlineStr">
        <is>
          <t>OC</t>
        </is>
      </c>
      <c r="F1907" t="inlineStr">
        <is>
          <t>MA1010074</t>
        </is>
      </c>
      <c r="G1907" t="n">
        <v>46065</v>
      </c>
      <c r="H1907" s="127" t="n">
        <v>46078</v>
      </c>
      <c r="I1907" t="inlineStr">
        <is>
          <t>1</t>
        </is>
      </c>
      <c r="J1907" s="38" t="inlineStr">
        <is>
          <t>0-4008</t>
        </is>
      </c>
      <c r="K1907" t="inlineStr">
        <is>
          <t>GLASSES SAFETY CLEAR RAD-SEQUE</t>
        </is>
      </c>
      <c r="L1907" t="n">
        <v>84</v>
      </c>
      <c r="M1907" t="n">
        <v>166.9</v>
      </c>
      <c r="N1907" t="inlineStr">
        <is>
          <t>INVOICE</t>
        </is>
      </c>
      <c r="O1907" t="inlineStr">
        <is>
          <t>12561</t>
        </is>
      </c>
      <c r="P1907" t="inlineStr">
        <is>
          <t>CROSS COUNTRY INFRASTRUCTURE SERVICES INC.</t>
        </is>
      </c>
      <c r="Q1907" s="114" t="n">
        <v>0</v>
      </c>
      <c r="R1907" s="114" t="n">
        <v>0</v>
      </c>
      <c r="S1907" s="114" t="n">
        <v>0</v>
      </c>
      <c r="T1907" t="n">
        <v>0</v>
      </c>
    </row>
    <row r="1908">
      <c r="A1908" t="inlineStr">
        <is>
          <t>ttJTrans</t>
        </is>
      </c>
      <c r="B1908" s="38" t="inlineStr">
        <is>
          <t>0-4008</t>
        </is>
      </c>
      <c r="C1908" t="inlineStr">
        <is>
          <t>OC</t>
        </is>
      </c>
      <c r="D1908" t="inlineStr">
        <is>
          <t>MA1010074</t>
        </is>
      </c>
      <c r="E1908" t="inlineStr">
        <is>
          <t>OC</t>
        </is>
      </c>
      <c r="F1908" t="inlineStr">
        <is>
          <t>MA1010074</t>
        </is>
      </c>
      <c r="G1908" t="n">
        <v>46065</v>
      </c>
      <c r="H1908" s="127" t="n">
        <v>46078</v>
      </c>
      <c r="I1908" t="inlineStr">
        <is>
          <t>2</t>
        </is>
      </c>
      <c r="J1908" s="38" t="inlineStr">
        <is>
          <t>0-4008</t>
        </is>
      </c>
      <c r="K1908" t="inlineStr">
        <is>
          <t>GLASSES SAFETY SMOKE RAD-SEQUE</t>
        </is>
      </c>
      <c r="L1908" t="n">
        <v>108</v>
      </c>
      <c r="M1908" t="n">
        <v>239.76</v>
      </c>
      <c r="N1908" t="inlineStr">
        <is>
          <t>INVOICE</t>
        </is>
      </c>
      <c r="O1908" t="inlineStr">
        <is>
          <t>12561</t>
        </is>
      </c>
      <c r="P1908" t="inlineStr">
        <is>
          <t>CROSS COUNTRY INFRASTRUCTURE SERVICES INC.</t>
        </is>
      </c>
      <c r="Q1908" s="114" t="n">
        <v>0</v>
      </c>
      <c r="R1908" s="114" t="n">
        <v>0</v>
      </c>
      <c r="S1908" s="114" t="n">
        <v>0</v>
      </c>
      <c r="T1908" t="n">
        <v>0</v>
      </c>
    </row>
    <row r="1909">
      <c r="A1909" t="inlineStr">
        <is>
          <t>ttJTrans</t>
        </is>
      </c>
      <c r="B1909" s="38" t="inlineStr">
        <is>
          <t>0-4008</t>
        </is>
      </c>
      <c r="C1909" t="inlineStr">
        <is>
          <t>OC</t>
        </is>
      </c>
      <c r="D1909" t="inlineStr">
        <is>
          <t>MA1010074</t>
        </is>
      </c>
      <c r="E1909" t="inlineStr">
        <is>
          <t>OC</t>
        </is>
      </c>
      <c r="F1909" t="inlineStr">
        <is>
          <t>MA1010074</t>
        </is>
      </c>
      <c r="G1909" t="n">
        <v>46065</v>
      </c>
      <c r="H1909" s="127" t="n">
        <v>46078</v>
      </c>
      <c r="I1909" t="inlineStr">
        <is>
          <t>3</t>
        </is>
      </c>
      <c r="J1909" s="38" t="inlineStr">
        <is>
          <t>0-4008</t>
        </is>
      </c>
      <c r="K1909" t="inlineStr">
        <is>
          <t>GLASSES SAFETY IN/OUT W BLACK</t>
        </is>
      </c>
      <c r="L1909" t="n">
        <v>84</v>
      </c>
      <c r="M1909" t="n">
        <v>606.0599999999999</v>
      </c>
      <c r="N1909" t="inlineStr">
        <is>
          <t>INVOICE</t>
        </is>
      </c>
      <c r="O1909" t="inlineStr">
        <is>
          <t>12561</t>
        </is>
      </c>
      <c r="P1909" t="inlineStr">
        <is>
          <t>CROSS COUNTRY INFRASTRUCTURE SERVICES INC.</t>
        </is>
      </c>
      <c r="Q1909" s="114" t="n">
        <v>0</v>
      </c>
      <c r="R1909" s="114" t="n">
        <v>0</v>
      </c>
      <c r="S1909" s="114" t="n">
        <v>0</v>
      </c>
      <c r="T1909" t="n">
        <v>0</v>
      </c>
    </row>
    <row r="1910">
      <c r="A1910" t="inlineStr">
        <is>
          <t>ttJTrans</t>
        </is>
      </c>
      <c r="B1910" s="38" t="inlineStr">
        <is>
          <t>0-4008</t>
        </is>
      </c>
      <c r="C1910" t="inlineStr">
        <is>
          <t>OC</t>
        </is>
      </c>
      <c r="D1910" t="inlineStr">
        <is>
          <t>MA1010074</t>
        </is>
      </c>
      <c r="E1910" t="inlineStr">
        <is>
          <t>OC</t>
        </is>
      </c>
      <c r="F1910" t="inlineStr">
        <is>
          <t>MA1010074</t>
        </is>
      </c>
      <c r="G1910" t="n">
        <v>46065</v>
      </c>
      <c r="H1910" s="127" t="n">
        <v>46078</v>
      </c>
      <c r="I1910" t="inlineStr">
        <is>
          <t>4</t>
        </is>
      </c>
      <c r="J1910" s="38" t="inlineStr">
        <is>
          <t>0-4008</t>
        </is>
      </c>
      <c r="K1910" t="inlineStr">
        <is>
          <t>SIDESHIELD VISION AID CLEAR 60</t>
        </is>
      </c>
      <c r="L1910" t="n">
        <v>60</v>
      </c>
      <c r="M1910" t="n">
        <v>181.82</v>
      </c>
      <c r="N1910" t="inlineStr">
        <is>
          <t>INVOICE</t>
        </is>
      </c>
      <c r="O1910" t="inlineStr">
        <is>
          <t>12561</t>
        </is>
      </c>
      <c r="P1910" t="inlineStr">
        <is>
          <t>CROSS COUNTRY INFRASTRUCTURE SERVICES INC.</t>
        </is>
      </c>
      <c r="Q1910" s="114" t="n">
        <v>0</v>
      </c>
      <c r="R1910" s="114" t="n">
        <v>0</v>
      </c>
      <c r="S1910" s="114" t="n">
        <v>0</v>
      </c>
      <c r="T1910" t="n">
        <v>0</v>
      </c>
    </row>
    <row r="1911">
      <c r="A1911" t="inlineStr">
        <is>
          <t>ttJTrans</t>
        </is>
      </c>
      <c r="B1911" s="38" t="inlineStr">
        <is>
          <t>0-4008</t>
        </is>
      </c>
      <c r="C1911" t="inlineStr">
        <is>
          <t>OC</t>
        </is>
      </c>
      <c r="D1911" t="inlineStr">
        <is>
          <t>MA1010074</t>
        </is>
      </c>
      <c r="E1911" t="inlineStr">
        <is>
          <t>OC</t>
        </is>
      </c>
      <c r="F1911" t="inlineStr">
        <is>
          <t>MA1010074</t>
        </is>
      </c>
      <c r="G1911" t="n">
        <v>46065</v>
      </c>
      <c r="H1911" s="127" t="n">
        <v>46078</v>
      </c>
      <c r="I1911" t="inlineStr">
        <is>
          <t>11</t>
        </is>
      </c>
      <c r="J1911" s="38" t="inlineStr">
        <is>
          <t>0-4008</t>
        </is>
      </c>
      <c r="K1911" t="inlineStr">
        <is>
          <t>GLOVE MAXIFLEX CUT A2 MD</t>
        </is>
      </c>
      <c r="L1911" t="n">
        <v>4</v>
      </c>
      <c r="M1911" t="n">
        <v>468.86</v>
      </c>
      <c r="N1911" t="inlineStr">
        <is>
          <t>INVOICE</t>
        </is>
      </c>
      <c r="O1911" t="inlineStr">
        <is>
          <t>12561</t>
        </is>
      </c>
      <c r="P1911" t="inlineStr">
        <is>
          <t>CROSS COUNTRY INFRASTRUCTURE SERVICES INC.</t>
        </is>
      </c>
      <c r="Q1911" s="114" t="n">
        <v>0</v>
      </c>
      <c r="R1911" s="114" t="n">
        <v>0</v>
      </c>
      <c r="S1911" s="114" t="n">
        <v>0</v>
      </c>
      <c r="T1911" t="n">
        <v>0</v>
      </c>
    </row>
    <row r="1912">
      <c r="A1912" t="inlineStr">
        <is>
          <t>ttJTrans</t>
        </is>
      </c>
      <c r="B1912" s="38" t="inlineStr">
        <is>
          <t>0-4008</t>
        </is>
      </c>
      <c r="C1912" t="inlineStr">
        <is>
          <t>OC</t>
        </is>
      </c>
      <c r="D1912" t="inlineStr">
        <is>
          <t>MA1010074</t>
        </is>
      </c>
      <c r="E1912" t="inlineStr">
        <is>
          <t>OC</t>
        </is>
      </c>
      <c r="F1912" t="inlineStr">
        <is>
          <t>MA1010074</t>
        </is>
      </c>
      <c r="G1912" t="n">
        <v>46065</v>
      </c>
      <c r="H1912" s="127" t="n">
        <v>46078</v>
      </c>
      <c r="I1912" t="inlineStr">
        <is>
          <t>12</t>
        </is>
      </c>
      <c r="J1912" s="38" t="inlineStr">
        <is>
          <t>0-4008</t>
        </is>
      </c>
      <c r="K1912" t="inlineStr">
        <is>
          <t>GLOVE MAXIFLEX CUT A2 L</t>
        </is>
      </c>
      <c r="L1912" t="n">
        <v>3</v>
      </c>
      <c r="M1912" t="n">
        <v>351.65</v>
      </c>
      <c r="N1912" t="inlineStr">
        <is>
          <t>INVOICE</t>
        </is>
      </c>
      <c r="O1912" t="inlineStr">
        <is>
          <t>12561</t>
        </is>
      </c>
      <c r="P1912" t="inlineStr">
        <is>
          <t>CROSS COUNTRY INFRASTRUCTURE SERVICES INC.</t>
        </is>
      </c>
      <c r="Q1912" s="114" t="n">
        <v>0</v>
      </c>
      <c r="R1912" s="114" t="n">
        <v>0</v>
      </c>
      <c r="S1912" s="114" t="n">
        <v>0</v>
      </c>
      <c r="T1912" t="n">
        <v>0</v>
      </c>
    </row>
    <row r="1913">
      <c r="A1913" t="inlineStr">
        <is>
          <t>ttJTrans</t>
        </is>
      </c>
      <c r="B1913" s="38" t="inlineStr">
        <is>
          <t>0-4008</t>
        </is>
      </c>
      <c r="C1913" t="inlineStr">
        <is>
          <t>OC</t>
        </is>
      </c>
      <c r="D1913" t="inlineStr">
        <is>
          <t>MA1010074</t>
        </is>
      </c>
      <c r="E1913" t="inlineStr">
        <is>
          <t>OC</t>
        </is>
      </c>
      <c r="F1913" t="inlineStr">
        <is>
          <t>MA1010074</t>
        </is>
      </c>
      <c r="G1913" t="n">
        <v>46065</v>
      </c>
      <c r="H1913" s="127" t="n">
        <v>46078</v>
      </c>
      <c r="I1913" t="inlineStr">
        <is>
          <t>6</t>
        </is>
      </c>
      <c r="J1913" s="38" t="inlineStr">
        <is>
          <t>0-4008</t>
        </is>
      </c>
      <c r="K1913" t="inlineStr">
        <is>
          <t>GLOVES MED KNUCKLEHEAD IMPACT</t>
        </is>
      </c>
      <c r="L1913" t="n">
        <v>48</v>
      </c>
      <c r="M1913" t="n">
        <v>871.66</v>
      </c>
      <c r="N1913" t="inlineStr">
        <is>
          <t>INVOICE</t>
        </is>
      </c>
      <c r="O1913" t="inlineStr">
        <is>
          <t>12561</t>
        </is>
      </c>
      <c r="P1913" t="inlineStr">
        <is>
          <t>CROSS COUNTRY INFRASTRUCTURE SERVICES INC.</t>
        </is>
      </c>
      <c r="Q1913" s="114" t="n">
        <v>0</v>
      </c>
      <c r="R1913" s="114" t="n">
        <v>0</v>
      </c>
      <c r="S1913" s="114" t="n">
        <v>0</v>
      </c>
      <c r="T1913" t="n">
        <v>0</v>
      </c>
    </row>
    <row r="1914">
      <c r="A1914" t="inlineStr">
        <is>
          <t>ttJTrans</t>
        </is>
      </c>
      <c r="B1914" s="38" t="inlineStr">
        <is>
          <t>0-4008</t>
        </is>
      </c>
      <c r="C1914" t="inlineStr">
        <is>
          <t>OC</t>
        </is>
      </c>
      <c r="D1914" t="inlineStr">
        <is>
          <t>MA1010074</t>
        </is>
      </c>
      <c r="E1914" t="inlineStr">
        <is>
          <t>OC</t>
        </is>
      </c>
      <c r="F1914" t="inlineStr">
        <is>
          <t>MA1010074</t>
        </is>
      </c>
      <c r="G1914" t="n">
        <v>46065</v>
      </c>
      <c r="H1914" s="127" t="n">
        <v>46078</v>
      </c>
      <c r="I1914" t="inlineStr">
        <is>
          <t>5</t>
        </is>
      </c>
      <c r="J1914" s="38" t="inlineStr">
        <is>
          <t>0-4008</t>
        </is>
      </c>
      <c r="K1914" t="inlineStr">
        <is>
          <t>GLOVES SML KNUCKLEHEAD IMPACT</t>
        </is>
      </c>
      <c r="L1914" t="n">
        <v>36</v>
      </c>
      <c r="M1914" t="n">
        <v>653.75</v>
      </c>
      <c r="N1914" t="inlineStr">
        <is>
          <t>INVOICE</t>
        </is>
      </c>
      <c r="O1914" t="inlineStr">
        <is>
          <t>12561</t>
        </is>
      </c>
      <c r="P1914" t="inlineStr">
        <is>
          <t>CROSS COUNTRY INFRASTRUCTURE SERVICES INC.</t>
        </is>
      </c>
      <c r="Q1914" s="114" t="n">
        <v>0</v>
      </c>
      <c r="R1914" s="114" t="n">
        <v>0</v>
      </c>
      <c r="S1914" s="114" t="n">
        <v>0</v>
      </c>
      <c r="T1914" t="n">
        <v>0</v>
      </c>
    </row>
    <row r="1915">
      <c r="A1915" t="inlineStr">
        <is>
          <t>ttJTrans</t>
        </is>
      </c>
      <c r="B1915" s="38" t="inlineStr">
        <is>
          <t>0-4008</t>
        </is>
      </c>
      <c r="C1915" t="inlineStr">
        <is>
          <t>OC</t>
        </is>
      </c>
      <c r="D1915" t="inlineStr">
        <is>
          <t>MA1010074</t>
        </is>
      </c>
      <c r="E1915" t="inlineStr">
        <is>
          <t>OC</t>
        </is>
      </c>
      <c r="F1915" t="inlineStr">
        <is>
          <t>MA1010074</t>
        </is>
      </c>
      <c r="G1915" t="n">
        <v>46065</v>
      </c>
      <c r="H1915" s="127" t="n">
        <v>46078</v>
      </c>
      <c r="I1915" t="inlineStr">
        <is>
          <t>9</t>
        </is>
      </c>
      <c r="J1915" s="38" t="inlineStr">
        <is>
          <t>0-4008</t>
        </is>
      </c>
      <c r="K1915" t="inlineStr">
        <is>
          <t>GLOVES 2X KNUCKLEHEAD IMPACT</t>
        </is>
      </c>
      <c r="L1915" t="n">
        <v>24</v>
      </c>
      <c r="M1915" t="n">
        <v>435.83</v>
      </c>
      <c r="N1915" t="inlineStr">
        <is>
          <t>INVOICE</t>
        </is>
      </c>
      <c r="O1915" t="inlineStr">
        <is>
          <t>12561</t>
        </is>
      </c>
      <c r="P1915" t="inlineStr">
        <is>
          <t>CROSS COUNTRY INFRASTRUCTURE SERVICES INC.</t>
        </is>
      </c>
      <c r="Q1915" s="114" t="n">
        <v>0</v>
      </c>
      <c r="R1915" s="114" t="n">
        <v>0</v>
      </c>
      <c r="S1915" s="114" t="n">
        <v>0</v>
      </c>
      <c r="T1915" t="n">
        <v>0</v>
      </c>
    </row>
    <row r="1916">
      <c r="A1916" t="inlineStr">
        <is>
          <t>ttJTrans</t>
        </is>
      </c>
      <c r="B1916" s="38" t="inlineStr">
        <is>
          <t>0-4008</t>
        </is>
      </c>
      <c r="C1916" t="inlineStr">
        <is>
          <t>OC</t>
        </is>
      </c>
      <c r="D1916" t="inlineStr">
        <is>
          <t>MA1010074</t>
        </is>
      </c>
      <c r="E1916" t="inlineStr">
        <is>
          <t>OC</t>
        </is>
      </c>
      <c r="F1916" t="inlineStr">
        <is>
          <t>MA1010074</t>
        </is>
      </c>
      <c r="G1916" t="n">
        <v>46065</v>
      </c>
      <c r="H1916" s="127" t="n">
        <v>46078</v>
      </c>
      <c r="I1916" t="inlineStr">
        <is>
          <t>8</t>
        </is>
      </c>
      <c r="J1916" s="38" t="inlineStr">
        <is>
          <t>0-4008</t>
        </is>
      </c>
      <c r="K1916" t="inlineStr">
        <is>
          <t>GLOVES XL KNUCKLEHEAD IMPACT</t>
        </is>
      </c>
      <c r="L1916" t="n">
        <v>24</v>
      </c>
      <c r="M1916" t="n">
        <v>435.83</v>
      </c>
      <c r="N1916" t="inlineStr">
        <is>
          <t>INVOICE</t>
        </is>
      </c>
      <c r="O1916" t="inlineStr">
        <is>
          <t>12561</t>
        </is>
      </c>
      <c r="P1916" t="inlineStr">
        <is>
          <t>CROSS COUNTRY INFRASTRUCTURE SERVICES INC.</t>
        </is>
      </c>
      <c r="Q1916" s="114" t="n">
        <v>0</v>
      </c>
      <c r="R1916" s="114" t="n">
        <v>0</v>
      </c>
      <c r="S1916" s="114" t="n">
        <v>0</v>
      </c>
      <c r="T1916" t="n">
        <v>0</v>
      </c>
    </row>
    <row r="1917">
      <c r="A1917" t="inlineStr">
        <is>
          <t>ttJTrans</t>
        </is>
      </c>
      <c r="B1917" s="38" t="inlineStr">
        <is>
          <t>0-4008</t>
        </is>
      </c>
      <c r="C1917" t="inlineStr">
        <is>
          <t>OC</t>
        </is>
      </c>
      <c r="D1917" t="inlineStr">
        <is>
          <t>MA1010074</t>
        </is>
      </c>
      <c r="E1917" t="inlineStr">
        <is>
          <t>OC</t>
        </is>
      </c>
      <c r="F1917" t="inlineStr">
        <is>
          <t>MA1010074</t>
        </is>
      </c>
      <c r="G1917" t="n">
        <v>46065</v>
      </c>
      <c r="H1917" s="127" t="n">
        <v>46078</v>
      </c>
      <c r="I1917" t="inlineStr">
        <is>
          <t>14</t>
        </is>
      </c>
      <c r="J1917" s="38" t="inlineStr">
        <is>
          <t>0-4008</t>
        </is>
      </c>
      <c r="K1917" t="inlineStr">
        <is>
          <t>CLIP GLOVE PLASTIC</t>
        </is>
      </c>
      <c r="L1917" t="n">
        <v>50</v>
      </c>
      <c r="M1917" t="n">
        <v>120.99</v>
      </c>
      <c r="N1917" t="inlineStr">
        <is>
          <t>INVOICE</t>
        </is>
      </c>
      <c r="O1917" t="inlineStr">
        <is>
          <t>12561</t>
        </is>
      </c>
      <c r="P1917" t="inlineStr">
        <is>
          <t>CROSS COUNTRY INFRASTRUCTURE SERVICES INC.</t>
        </is>
      </c>
      <c r="Q1917" s="114" t="n">
        <v>0</v>
      </c>
      <c r="R1917" s="114" t="n">
        <v>0</v>
      </c>
      <c r="S1917" s="114" t="n">
        <v>0</v>
      </c>
      <c r="T1917" t="n">
        <v>0</v>
      </c>
    </row>
    <row r="1918">
      <c r="A1918" t="inlineStr">
        <is>
          <t>ttJTrans</t>
        </is>
      </c>
      <c r="B1918" s="38" t="inlineStr">
        <is>
          <t>0-4008</t>
        </is>
      </c>
      <c r="C1918" t="inlineStr">
        <is>
          <t>OC</t>
        </is>
      </c>
      <c r="D1918" t="inlineStr">
        <is>
          <t>MA1010074</t>
        </is>
      </c>
      <c r="E1918" t="inlineStr">
        <is>
          <t>OC</t>
        </is>
      </c>
      <c r="F1918" t="inlineStr">
        <is>
          <t>MA1010074</t>
        </is>
      </c>
      <c r="G1918" t="n">
        <v>46065</v>
      </c>
      <c r="H1918" s="127" t="n">
        <v>46078</v>
      </c>
      <c r="I1918" t="inlineStr">
        <is>
          <t>13</t>
        </is>
      </c>
      <c r="J1918" s="38" t="inlineStr">
        <is>
          <t>0-4008</t>
        </is>
      </c>
      <c r="K1918" t="inlineStr">
        <is>
          <t>GLOVE MAXIFEX CUT A2 XL</t>
        </is>
      </c>
      <c r="L1918" t="n">
        <v>2</v>
      </c>
      <c r="M1918" t="n">
        <v>234.43</v>
      </c>
      <c r="N1918" t="inlineStr">
        <is>
          <t>INVOICE</t>
        </is>
      </c>
      <c r="O1918" t="inlineStr">
        <is>
          <t>12561</t>
        </is>
      </c>
      <c r="P1918" t="inlineStr">
        <is>
          <t>CROSS COUNTRY INFRASTRUCTURE SERVICES INC.</t>
        </is>
      </c>
      <c r="Q1918" s="114" t="n">
        <v>0</v>
      </c>
      <c r="R1918" s="114" t="n">
        <v>0</v>
      </c>
      <c r="S1918" s="114" t="n">
        <v>0</v>
      </c>
      <c r="T1918" t="n">
        <v>0</v>
      </c>
    </row>
    <row r="1919">
      <c r="A1919" t="inlineStr">
        <is>
          <t>ttJTrans</t>
        </is>
      </c>
      <c r="B1919" s="38" t="inlineStr">
        <is>
          <t>0-4008</t>
        </is>
      </c>
      <c r="C1919" t="inlineStr">
        <is>
          <t>OC</t>
        </is>
      </c>
      <c r="D1919" t="inlineStr">
        <is>
          <t>MA1010074</t>
        </is>
      </c>
      <c r="E1919" t="inlineStr">
        <is>
          <t>OC</t>
        </is>
      </c>
      <c r="F1919" t="inlineStr">
        <is>
          <t>MA1010074</t>
        </is>
      </c>
      <c r="G1919" t="n">
        <v>46065</v>
      </c>
      <c r="H1919" s="127" t="n">
        <v>46078</v>
      </c>
      <c r="I1919" t="inlineStr">
        <is>
          <t>10</t>
        </is>
      </c>
      <c r="J1919" s="38" t="inlineStr">
        <is>
          <t>0-4008</t>
        </is>
      </c>
      <c r="K1919" t="inlineStr">
        <is>
          <t>GLOVE MAXIFLEX CUT A2 SM</t>
        </is>
      </c>
      <c r="L1919" t="n">
        <v>4</v>
      </c>
      <c r="M1919" t="n">
        <v>468.86</v>
      </c>
      <c r="N1919" t="inlineStr">
        <is>
          <t>INVOICE</t>
        </is>
      </c>
      <c r="O1919" t="inlineStr">
        <is>
          <t>12561</t>
        </is>
      </c>
      <c r="P1919" t="inlineStr">
        <is>
          <t>CROSS COUNTRY INFRASTRUCTURE SERVICES INC.</t>
        </is>
      </c>
      <c r="Q1919" s="114" t="n">
        <v>0</v>
      </c>
      <c r="R1919" s="114" t="n">
        <v>0</v>
      </c>
      <c r="S1919" s="114" t="n">
        <v>0</v>
      </c>
      <c r="T1919" t="n">
        <v>0</v>
      </c>
    </row>
    <row r="1920">
      <c r="A1920" t="inlineStr">
        <is>
          <t>ttJTrans</t>
        </is>
      </c>
      <c r="B1920" s="38" t="inlineStr">
        <is>
          <t>0-4008</t>
        </is>
      </c>
      <c r="C1920" t="inlineStr">
        <is>
          <t>OC</t>
        </is>
      </c>
      <c r="D1920" t="inlineStr">
        <is>
          <t>MA1010382</t>
        </is>
      </c>
      <c r="E1920" t="inlineStr">
        <is>
          <t>OC</t>
        </is>
      </c>
      <c r="F1920" t="inlineStr">
        <is>
          <t>MA1010382</t>
        </is>
      </c>
      <c r="G1920" t="n">
        <v>46083</v>
      </c>
      <c r="H1920" s="127" t="n">
        <v>46106</v>
      </c>
      <c r="I1920" t="inlineStr">
        <is>
          <t>1</t>
        </is>
      </c>
      <c r="J1920" s="38" t="inlineStr">
        <is>
          <t>0-4008</t>
        </is>
      </c>
      <c r="K1920" t="inlineStr">
        <is>
          <t>48'' Rollups Non Reflective</t>
        </is>
      </c>
      <c r="L1920" t="n">
        <v>9</v>
      </c>
      <c r="M1920" t="n">
        <v>684.3200000000001</v>
      </c>
      <c r="N1920" t="inlineStr">
        <is>
          <t>INVOICE</t>
        </is>
      </c>
      <c r="O1920" t="inlineStr">
        <is>
          <t>12177</t>
        </is>
      </c>
      <c r="P1920" t="inlineStr">
        <is>
          <t>TRAFFIC CONTROL PRODUCTS OF LOUISIANA CO. INC.</t>
        </is>
      </c>
      <c r="Q1920" s="114" t="n">
        <v>0</v>
      </c>
      <c r="R1920" s="114" t="n">
        <v>0</v>
      </c>
      <c r="S1920" s="114" t="n">
        <v>0</v>
      </c>
      <c r="T1920" t="n">
        <v>0</v>
      </c>
    </row>
    <row r="1921">
      <c r="A1921" t="inlineStr">
        <is>
          <t>ttJTrans</t>
        </is>
      </c>
      <c r="B1921" s="38" t="inlineStr">
        <is>
          <t>0-4008</t>
        </is>
      </c>
      <c r="C1921" t="inlineStr">
        <is>
          <t>OC</t>
        </is>
      </c>
      <c r="D1921" t="inlineStr">
        <is>
          <t>MA1010382</t>
        </is>
      </c>
      <c r="E1921" t="inlineStr">
        <is>
          <t>OC</t>
        </is>
      </c>
      <c r="F1921" t="inlineStr">
        <is>
          <t>MA1010382</t>
        </is>
      </c>
      <c r="G1921" t="n">
        <v>46083</v>
      </c>
      <c r="H1921" s="127" t="n">
        <v>46106</v>
      </c>
      <c r="I1921" t="inlineStr">
        <is>
          <t>2</t>
        </is>
      </c>
      <c r="J1921" s="38" t="inlineStr">
        <is>
          <t>0-4008</t>
        </is>
      </c>
      <c r="K1921" t="inlineStr">
        <is>
          <t>48'' Rollups Non Reflective Trucks</t>
        </is>
      </c>
      <c r="L1921" t="n">
        <v>9</v>
      </c>
      <c r="M1921" t="n">
        <v>684.3200000000001</v>
      </c>
      <c r="N1921" t="inlineStr">
        <is>
          <t>INVOICE</t>
        </is>
      </c>
      <c r="O1921" t="inlineStr">
        <is>
          <t>12177</t>
        </is>
      </c>
      <c r="P1921" t="inlineStr">
        <is>
          <t>TRAFFIC CONTROL PRODUCTS OF LOUISIANA CO. INC.</t>
        </is>
      </c>
      <c r="Q1921" s="114" t="n">
        <v>0</v>
      </c>
      <c r="R1921" s="114" t="n">
        <v>0</v>
      </c>
      <c r="S1921" s="114" t="n">
        <v>0</v>
      </c>
      <c r="T1921" t="n">
        <v>0</v>
      </c>
    </row>
    <row r="1922">
      <c r="A1922" t="inlineStr">
        <is>
          <t>ttJTrans</t>
        </is>
      </c>
      <c r="B1922" s="38" t="inlineStr">
        <is>
          <t>0-4008</t>
        </is>
      </c>
      <c r="C1922" t="inlineStr">
        <is>
          <t>OC</t>
        </is>
      </c>
      <c r="D1922" t="inlineStr">
        <is>
          <t>MA1010382</t>
        </is>
      </c>
      <c r="E1922" t="inlineStr">
        <is>
          <t>OC</t>
        </is>
      </c>
      <c r="F1922" t="inlineStr">
        <is>
          <t>MA1010382</t>
        </is>
      </c>
      <c r="G1922" t="n">
        <v>46083</v>
      </c>
      <c r="H1922" s="127" t="n">
        <v>46106</v>
      </c>
      <c r="I1922" t="inlineStr">
        <is>
          <t>5</t>
        </is>
      </c>
      <c r="J1922" s="38" t="inlineStr">
        <is>
          <t>0-4008</t>
        </is>
      </c>
      <c r="K1922" t="inlineStr">
        <is>
          <t>SHIPPING COSTS</t>
        </is>
      </c>
      <c r="L1922" t="n">
        <v>1</v>
      </c>
      <c r="M1922" t="n">
        <v>166.5</v>
      </c>
      <c r="N1922" t="inlineStr">
        <is>
          <t>INVOICE</t>
        </is>
      </c>
      <c r="O1922" t="inlineStr">
        <is>
          <t>12177</t>
        </is>
      </c>
      <c r="P1922" t="inlineStr">
        <is>
          <t>TRAFFIC CONTROL PRODUCTS OF LOUISIANA CO. INC.</t>
        </is>
      </c>
      <c r="Q1922" s="114" t="n">
        <v>0</v>
      </c>
      <c r="R1922" s="114" t="n">
        <v>0</v>
      </c>
      <c r="S1922" s="114" t="n">
        <v>0</v>
      </c>
      <c r="T1922" t="n">
        <v>0</v>
      </c>
    </row>
    <row r="1923">
      <c r="A1923" t="inlineStr">
        <is>
          <t>ttJTrans</t>
        </is>
      </c>
      <c r="B1923" s="38" t="inlineStr">
        <is>
          <t>0-4008</t>
        </is>
      </c>
      <c r="C1923" t="inlineStr">
        <is>
          <t>OC</t>
        </is>
      </c>
      <c r="D1923" t="inlineStr">
        <is>
          <t>MA1010382</t>
        </is>
      </c>
      <c r="E1923" t="inlineStr">
        <is>
          <t>OC</t>
        </is>
      </c>
      <c r="F1923" t="inlineStr">
        <is>
          <t>MA1010382</t>
        </is>
      </c>
      <c r="G1923" t="n">
        <v>46083</v>
      </c>
      <c r="H1923" s="127" t="n">
        <v>46106</v>
      </c>
      <c r="I1923" t="inlineStr">
        <is>
          <t>4</t>
        </is>
      </c>
      <c r="J1923" s="38" t="inlineStr">
        <is>
          <t>0-4008</t>
        </is>
      </c>
      <c r="K1923" t="inlineStr">
        <is>
          <t>Empty Sand Bags White</t>
        </is>
      </c>
      <c r="L1923" t="n">
        <v>100</v>
      </c>
      <c r="M1923" t="n">
        <v>166.5</v>
      </c>
      <c r="N1923" t="inlineStr">
        <is>
          <t>INVOICE</t>
        </is>
      </c>
      <c r="O1923" t="inlineStr">
        <is>
          <t>12177</t>
        </is>
      </c>
      <c r="P1923" t="inlineStr">
        <is>
          <t>TRAFFIC CONTROL PRODUCTS OF LOUISIANA CO. INC.</t>
        </is>
      </c>
      <c r="Q1923" s="114" t="n">
        <v>0</v>
      </c>
      <c r="R1923" s="114" t="n">
        <v>0</v>
      </c>
      <c r="S1923" s="114" t="n">
        <v>0</v>
      </c>
      <c r="T1923" t="n">
        <v>0</v>
      </c>
    </row>
    <row r="1924">
      <c r="A1924" t="inlineStr">
        <is>
          <t>ttJTrans</t>
        </is>
      </c>
      <c r="B1924" s="38" t="inlineStr">
        <is>
          <t>0-4008</t>
        </is>
      </c>
      <c r="C1924" t="inlineStr">
        <is>
          <t>OC</t>
        </is>
      </c>
      <c r="D1924" t="inlineStr">
        <is>
          <t>MA1010382</t>
        </is>
      </c>
      <c r="E1924" t="inlineStr">
        <is>
          <t>OC</t>
        </is>
      </c>
      <c r="F1924" t="inlineStr">
        <is>
          <t>MA1010382</t>
        </is>
      </c>
      <c r="G1924" t="n">
        <v>46083</v>
      </c>
      <c r="H1924" s="127" t="n">
        <v>46106</v>
      </c>
      <c r="I1924" t="inlineStr">
        <is>
          <t>3</t>
        </is>
      </c>
      <c r="J1924" s="38" t="inlineStr">
        <is>
          <t>0-4008</t>
        </is>
      </c>
      <c r="K1924" t="inlineStr">
        <is>
          <t>48'' Rollups Non Reflective Be</t>
        </is>
      </c>
      <c r="L1924" t="n">
        <v>9</v>
      </c>
      <c r="M1924" t="n">
        <v>684.3200000000001</v>
      </c>
      <c r="N1924" t="inlineStr">
        <is>
          <t>INVOICE</t>
        </is>
      </c>
      <c r="O1924" t="inlineStr">
        <is>
          <t>12177</t>
        </is>
      </c>
      <c r="P1924" t="inlineStr">
        <is>
          <t>TRAFFIC CONTROL PRODUCTS OF LOUISIANA CO. INC.</t>
        </is>
      </c>
      <c r="Q1924" s="114" t="n">
        <v>0</v>
      </c>
      <c r="R1924" s="114" t="n">
        <v>0</v>
      </c>
      <c r="S1924" s="114" t="n">
        <v>0</v>
      </c>
      <c r="T1924" t="n">
        <v>0</v>
      </c>
    </row>
    <row r="1925">
      <c r="A1925" t="inlineStr">
        <is>
          <t>ttJTrans</t>
        </is>
      </c>
      <c r="B1925" s="38" t="inlineStr">
        <is>
          <t>0-4008</t>
        </is>
      </c>
      <c r="C1925" t="inlineStr">
        <is>
          <t>OC</t>
        </is>
      </c>
      <c r="D1925" t="inlineStr">
        <is>
          <t>MA1010382</t>
        </is>
      </c>
      <c r="E1925" t="inlineStr">
        <is>
          <t>OC</t>
        </is>
      </c>
      <c r="F1925" t="inlineStr">
        <is>
          <t>MA1010382</t>
        </is>
      </c>
      <c r="G1925" t="n">
        <v>46083</v>
      </c>
      <c r="H1925" s="127" t="n">
        <v>46084</v>
      </c>
      <c r="I1925" t="inlineStr">
        <is>
          <t>1</t>
        </is>
      </c>
      <c r="J1925" s="38" t="inlineStr">
        <is>
          <t>0-4008</t>
        </is>
      </c>
      <c r="K1925" t="inlineStr">
        <is>
          <t>48'' Rollups Non Reflective</t>
        </is>
      </c>
      <c r="L1925" t="n">
        <v>9</v>
      </c>
      <c r="M1925" t="n">
        <v>684.3200000000001</v>
      </c>
      <c r="N1925" t="inlineStr">
        <is>
          <t>PO:COMMIT</t>
        </is>
      </c>
      <c r="O1925" t="inlineStr">
        <is>
          <t>12177</t>
        </is>
      </c>
      <c r="P1925" t="inlineStr">
        <is>
          <t>TRAFFIC CONTROL PRODUCTS OF LOUISIANA CO. INC.</t>
        </is>
      </c>
      <c r="Q1925" s="114" t="n">
        <v>684.3200000000001</v>
      </c>
      <c r="R1925" s="114" t="n">
        <v>0</v>
      </c>
      <c r="S1925" s="114" t="n">
        <v>0</v>
      </c>
      <c r="T1925" t="n">
        <v>0</v>
      </c>
    </row>
    <row r="1926">
      <c r="A1926" t="inlineStr">
        <is>
          <t>ttJTrans</t>
        </is>
      </c>
      <c r="B1926" s="38" t="inlineStr">
        <is>
          <t>0-4008</t>
        </is>
      </c>
      <c r="C1926" t="inlineStr">
        <is>
          <t>OC</t>
        </is>
      </c>
      <c r="D1926" t="inlineStr">
        <is>
          <t>MA1010382</t>
        </is>
      </c>
      <c r="E1926" t="inlineStr">
        <is>
          <t>OC</t>
        </is>
      </c>
      <c r="F1926" t="inlineStr">
        <is>
          <t>MA1010382</t>
        </is>
      </c>
      <c r="G1926" t="n">
        <v>46083</v>
      </c>
      <c r="H1926" s="127" t="n">
        <v>46084</v>
      </c>
      <c r="I1926" t="inlineStr">
        <is>
          <t>4</t>
        </is>
      </c>
      <c r="J1926" s="38" t="inlineStr">
        <is>
          <t>0-4008</t>
        </is>
      </c>
      <c r="K1926" t="inlineStr">
        <is>
          <t>Empty Sand Bags White</t>
        </is>
      </c>
      <c r="L1926" t="n">
        <v>100</v>
      </c>
      <c r="M1926" t="n">
        <v>166.5</v>
      </c>
      <c r="N1926" t="inlineStr">
        <is>
          <t>PO:COMMIT</t>
        </is>
      </c>
      <c r="O1926" t="inlineStr">
        <is>
          <t>12177</t>
        </is>
      </c>
      <c r="P1926" t="inlineStr">
        <is>
          <t>TRAFFIC CONTROL PRODUCTS OF LOUISIANA CO. INC.</t>
        </is>
      </c>
      <c r="Q1926" s="114" t="n">
        <v>166.5</v>
      </c>
      <c r="R1926" s="114" t="n">
        <v>0</v>
      </c>
      <c r="S1926" s="114" t="n">
        <v>0</v>
      </c>
      <c r="T1926" t="n">
        <v>0</v>
      </c>
    </row>
    <row r="1927">
      <c r="A1927" t="inlineStr">
        <is>
          <t>ttJTrans</t>
        </is>
      </c>
      <c r="B1927" s="38" t="inlineStr">
        <is>
          <t>0-4008</t>
        </is>
      </c>
      <c r="C1927" t="inlineStr">
        <is>
          <t>OC</t>
        </is>
      </c>
      <c r="D1927" t="inlineStr">
        <is>
          <t>MA1010382</t>
        </is>
      </c>
      <c r="E1927" t="inlineStr">
        <is>
          <t>OC</t>
        </is>
      </c>
      <c r="F1927" t="inlineStr">
        <is>
          <t>MA1010382</t>
        </is>
      </c>
      <c r="G1927" t="n">
        <v>46083</v>
      </c>
      <c r="H1927" s="127" t="n">
        <v>46084</v>
      </c>
      <c r="I1927" t="inlineStr">
        <is>
          <t>5</t>
        </is>
      </c>
      <c r="J1927" s="38" t="inlineStr">
        <is>
          <t>0-4008</t>
        </is>
      </c>
      <c r="K1927" t="inlineStr">
        <is>
          <t>SHIPPING COSTS</t>
        </is>
      </c>
      <c r="L1927" t="n">
        <v>1</v>
      </c>
      <c r="M1927" t="n">
        <v>166.5</v>
      </c>
      <c r="N1927" t="inlineStr">
        <is>
          <t>PO:COMMIT</t>
        </is>
      </c>
      <c r="O1927" t="inlineStr">
        <is>
          <t>12177</t>
        </is>
      </c>
      <c r="P1927" t="inlineStr">
        <is>
          <t>TRAFFIC CONTROL PRODUCTS OF LOUISIANA CO. INC.</t>
        </is>
      </c>
      <c r="Q1927" s="114" t="n">
        <v>166.5</v>
      </c>
      <c r="R1927" s="114" t="n">
        <v>0</v>
      </c>
      <c r="S1927" s="114" t="n">
        <v>0</v>
      </c>
      <c r="T1927" t="n">
        <v>0</v>
      </c>
    </row>
    <row r="1928">
      <c r="A1928" t="inlineStr">
        <is>
          <t>ttJTrans</t>
        </is>
      </c>
      <c r="B1928" s="38" t="inlineStr">
        <is>
          <t>0-4008</t>
        </is>
      </c>
      <c r="C1928" t="inlineStr">
        <is>
          <t>OC</t>
        </is>
      </c>
      <c r="D1928" t="inlineStr">
        <is>
          <t>MA1010382</t>
        </is>
      </c>
      <c r="E1928" t="inlineStr">
        <is>
          <t>OC</t>
        </is>
      </c>
      <c r="F1928" t="inlineStr">
        <is>
          <t>MA1010382</t>
        </is>
      </c>
      <c r="G1928" t="n">
        <v>46083</v>
      </c>
      <c r="H1928" s="127" t="n">
        <v>46084</v>
      </c>
      <c r="I1928" t="inlineStr">
        <is>
          <t>2</t>
        </is>
      </c>
      <c r="J1928" s="38" t="inlineStr">
        <is>
          <t>0-4008</t>
        </is>
      </c>
      <c r="K1928" t="inlineStr">
        <is>
          <t>48'' Rollups Non Reflective Trucks</t>
        </is>
      </c>
      <c r="L1928" t="n">
        <v>9</v>
      </c>
      <c r="M1928" t="n">
        <v>684.3200000000001</v>
      </c>
      <c r="N1928" t="inlineStr">
        <is>
          <t>PO:COMMIT</t>
        </is>
      </c>
      <c r="O1928" t="inlineStr">
        <is>
          <t>12177</t>
        </is>
      </c>
      <c r="P1928" t="inlineStr">
        <is>
          <t>TRAFFIC CONTROL PRODUCTS OF LOUISIANA CO. INC.</t>
        </is>
      </c>
      <c r="Q1928" s="114" t="n">
        <v>684.3200000000001</v>
      </c>
      <c r="R1928" s="114" t="n">
        <v>0</v>
      </c>
      <c r="S1928" s="114" t="n">
        <v>0</v>
      </c>
      <c r="T1928" t="n">
        <v>0</v>
      </c>
    </row>
    <row r="1929">
      <c r="A1929" t="inlineStr">
        <is>
          <t>ttJTrans</t>
        </is>
      </c>
      <c r="B1929" s="38" t="inlineStr">
        <is>
          <t>0-4008</t>
        </is>
      </c>
      <c r="C1929" t="inlineStr">
        <is>
          <t>OC</t>
        </is>
      </c>
      <c r="D1929" t="inlineStr">
        <is>
          <t>MA1010382</t>
        </is>
      </c>
      <c r="E1929" t="inlineStr">
        <is>
          <t>OC</t>
        </is>
      </c>
      <c r="F1929" t="inlineStr">
        <is>
          <t>MA1010382</t>
        </is>
      </c>
      <c r="G1929" t="n">
        <v>46083</v>
      </c>
      <c r="H1929" s="127" t="n">
        <v>46084</v>
      </c>
      <c r="I1929" t="inlineStr">
        <is>
          <t>3</t>
        </is>
      </c>
      <c r="J1929" s="38" t="inlineStr">
        <is>
          <t>0-4008</t>
        </is>
      </c>
      <c r="K1929" t="inlineStr">
        <is>
          <t>48'' Rollups Non Reflective Be</t>
        </is>
      </c>
      <c r="L1929" t="n">
        <v>9</v>
      </c>
      <c r="M1929" t="n">
        <v>684.3200000000001</v>
      </c>
      <c r="N1929" t="inlineStr">
        <is>
          <t>PO:COMMIT</t>
        </is>
      </c>
      <c r="O1929" t="inlineStr">
        <is>
          <t>12177</t>
        </is>
      </c>
      <c r="P1929" t="inlineStr">
        <is>
          <t>TRAFFIC CONTROL PRODUCTS OF LOUISIANA CO. INC.</t>
        </is>
      </c>
      <c r="Q1929" s="114" t="n">
        <v>684.3200000000001</v>
      </c>
      <c r="R1929" s="114" t="n">
        <v>0</v>
      </c>
      <c r="S1929" s="114" t="n">
        <v>0</v>
      </c>
      <c r="T1929" t="n">
        <v>0</v>
      </c>
    </row>
    <row r="1930">
      <c r="A1930" t="inlineStr">
        <is>
          <t>ttJTrans</t>
        </is>
      </c>
      <c r="B1930" s="38" t="inlineStr">
        <is>
          <t>0-4008</t>
        </is>
      </c>
      <c r="C1930" t="inlineStr">
        <is>
          <t>OC</t>
        </is>
      </c>
      <c r="D1930" t="inlineStr">
        <is>
          <t>MA1010382</t>
        </is>
      </c>
      <c r="E1930" t="inlineStr">
        <is>
          <t>OC</t>
        </is>
      </c>
      <c r="F1930" t="inlineStr">
        <is>
          <t>MA1010382</t>
        </is>
      </c>
      <c r="G1930" t="n">
        <v>46083</v>
      </c>
      <c r="H1930" s="127" t="n">
        <v>46084</v>
      </c>
      <c r="I1930" t="inlineStr">
        <is>
          <t>2</t>
        </is>
      </c>
      <c r="J1930" s="38" t="inlineStr">
        <is>
          <t>0-4008</t>
        </is>
      </c>
      <c r="K1930" t="inlineStr">
        <is>
          <t>48'' Rollups Non Reflective Trucks</t>
        </is>
      </c>
      <c r="L1930" t="n">
        <v>9</v>
      </c>
      <c r="M1930" t="n">
        <v>684.3200000000001</v>
      </c>
      <c r="N1930" t="inlineStr">
        <is>
          <t>INVOICE:ADJ-ACCRUAL</t>
        </is>
      </c>
      <c r="O1930" t="inlineStr">
        <is>
          <t>12177</t>
        </is>
      </c>
      <c r="P1930" t="inlineStr">
        <is>
          <t>TRAFFIC CONTROL PRODUCTS OF LOUISIANA CO. INC.</t>
        </is>
      </c>
      <c r="Q1930" s="114" t="n">
        <v>-684.3200000000001</v>
      </c>
      <c r="R1930" s="114" t="n">
        <v>0</v>
      </c>
      <c r="S1930" s="114" t="n">
        <v>0</v>
      </c>
      <c r="T1930" t="n">
        <v>0</v>
      </c>
    </row>
    <row r="1931">
      <c r="A1931" t="inlineStr">
        <is>
          <t>ttJTrans</t>
        </is>
      </c>
      <c r="B1931" s="38" t="inlineStr">
        <is>
          <t>0-4008</t>
        </is>
      </c>
      <c r="C1931" t="inlineStr">
        <is>
          <t>OC</t>
        </is>
      </c>
      <c r="D1931" t="inlineStr">
        <is>
          <t>MA1010382</t>
        </is>
      </c>
      <c r="E1931" t="inlineStr">
        <is>
          <t>OC</t>
        </is>
      </c>
      <c r="F1931" t="inlineStr">
        <is>
          <t>MA1010382</t>
        </is>
      </c>
      <c r="G1931" t="n">
        <v>46083</v>
      </c>
      <c r="H1931" s="127" t="n">
        <v>46084</v>
      </c>
      <c r="I1931" t="inlineStr">
        <is>
          <t>5</t>
        </is>
      </c>
      <c r="J1931" s="38" t="inlineStr">
        <is>
          <t>0-4008</t>
        </is>
      </c>
      <c r="K1931" t="inlineStr">
        <is>
          <t>SHIPPING COSTS</t>
        </is>
      </c>
      <c r="L1931" t="n">
        <v>1</v>
      </c>
      <c r="M1931" t="n">
        <v>166.5</v>
      </c>
      <c r="N1931" t="inlineStr">
        <is>
          <t>INVOICE:ADJ-ACCRUAL</t>
        </is>
      </c>
      <c r="O1931" t="inlineStr">
        <is>
          <t>12177</t>
        </is>
      </c>
      <c r="P1931" t="inlineStr">
        <is>
          <t>TRAFFIC CONTROL PRODUCTS OF LOUISIANA CO. INC.</t>
        </is>
      </c>
      <c r="Q1931" s="114" t="n">
        <v>-166.5</v>
      </c>
      <c r="R1931" s="114" t="n">
        <v>0</v>
      </c>
      <c r="S1931" s="114" t="n">
        <v>0</v>
      </c>
      <c r="T1931" t="n">
        <v>0</v>
      </c>
    </row>
    <row r="1932">
      <c r="A1932" t="inlineStr">
        <is>
          <t>ttJTrans</t>
        </is>
      </c>
      <c r="B1932" s="38" t="inlineStr">
        <is>
          <t>0-4008</t>
        </is>
      </c>
      <c r="C1932" t="inlineStr">
        <is>
          <t>OC</t>
        </is>
      </c>
      <c r="D1932" t="inlineStr">
        <is>
          <t>MA1010382</t>
        </is>
      </c>
      <c r="E1932" t="inlineStr">
        <is>
          <t>OC</t>
        </is>
      </c>
      <c r="F1932" t="inlineStr">
        <is>
          <t>MA1010382</t>
        </is>
      </c>
      <c r="G1932" t="n">
        <v>46083</v>
      </c>
      <c r="H1932" s="127" t="n">
        <v>46084</v>
      </c>
      <c r="I1932" t="inlineStr">
        <is>
          <t>1</t>
        </is>
      </c>
      <c r="J1932" s="38" t="inlineStr">
        <is>
          <t>0-4008</t>
        </is>
      </c>
      <c r="K1932" t="inlineStr">
        <is>
          <t>48'' Rollups Non Reflective</t>
        </is>
      </c>
      <c r="L1932" t="n">
        <v>9</v>
      </c>
      <c r="M1932" t="n">
        <v>684.3200000000001</v>
      </c>
      <c r="N1932" t="inlineStr">
        <is>
          <t>INVOICE:ADJ-ACCRUAL</t>
        </is>
      </c>
      <c r="O1932" t="inlineStr">
        <is>
          <t>12177</t>
        </is>
      </c>
      <c r="P1932" t="inlineStr">
        <is>
          <t>TRAFFIC CONTROL PRODUCTS OF LOUISIANA CO. INC.</t>
        </is>
      </c>
      <c r="Q1932" s="114" t="n">
        <v>-684.3200000000001</v>
      </c>
      <c r="R1932" s="114" t="n">
        <v>0</v>
      </c>
      <c r="S1932" s="114" t="n">
        <v>0</v>
      </c>
      <c r="T1932" t="n">
        <v>0</v>
      </c>
    </row>
    <row r="1933">
      <c r="A1933" t="inlineStr">
        <is>
          <t>ttJTrans</t>
        </is>
      </c>
      <c r="B1933" s="38" t="inlineStr">
        <is>
          <t>0-4008</t>
        </is>
      </c>
      <c r="C1933" t="inlineStr">
        <is>
          <t>OC</t>
        </is>
      </c>
      <c r="D1933" t="inlineStr">
        <is>
          <t>MA1010382</t>
        </is>
      </c>
      <c r="E1933" t="inlineStr">
        <is>
          <t>OC</t>
        </is>
      </c>
      <c r="F1933" t="inlineStr">
        <is>
          <t>MA1010382</t>
        </is>
      </c>
      <c r="G1933" t="n">
        <v>46083</v>
      </c>
      <c r="H1933" s="127" t="n">
        <v>46084</v>
      </c>
      <c r="I1933" t="inlineStr">
        <is>
          <t>4</t>
        </is>
      </c>
      <c r="J1933" s="38" t="inlineStr">
        <is>
          <t>0-4008</t>
        </is>
      </c>
      <c r="K1933" t="inlineStr">
        <is>
          <t>Empty Sand Bags White</t>
        </is>
      </c>
      <c r="L1933" t="n">
        <v>100</v>
      </c>
      <c r="M1933" t="n">
        <v>166.5</v>
      </c>
      <c r="N1933" t="inlineStr">
        <is>
          <t>INVOICE:ADJ-ACCRUAL</t>
        </is>
      </c>
      <c r="O1933" t="inlineStr">
        <is>
          <t>12177</t>
        </is>
      </c>
      <c r="P1933" t="inlineStr">
        <is>
          <t>TRAFFIC CONTROL PRODUCTS OF LOUISIANA CO. INC.</t>
        </is>
      </c>
      <c r="Q1933" s="114" t="n">
        <v>-166.5</v>
      </c>
      <c r="R1933" s="114" t="n">
        <v>0</v>
      </c>
      <c r="S1933" s="114" t="n">
        <v>0</v>
      </c>
      <c r="T1933" t="n">
        <v>0</v>
      </c>
    </row>
    <row r="1934">
      <c r="A1934" t="inlineStr">
        <is>
          <t>ttJTrans</t>
        </is>
      </c>
      <c r="B1934" s="38" t="inlineStr">
        <is>
          <t>0-4008</t>
        </is>
      </c>
      <c r="C1934" t="inlineStr">
        <is>
          <t>OC</t>
        </is>
      </c>
      <c r="D1934" t="inlineStr">
        <is>
          <t>MA1010382</t>
        </is>
      </c>
      <c r="E1934" t="inlineStr">
        <is>
          <t>OC</t>
        </is>
      </c>
      <c r="F1934" t="inlineStr">
        <is>
          <t>MA1010382</t>
        </is>
      </c>
      <c r="G1934" t="n">
        <v>46083</v>
      </c>
      <c r="H1934" s="127" t="n">
        <v>46084</v>
      </c>
      <c r="I1934" t="inlineStr">
        <is>
          <t>3</t>
        </is>
      </c>
      <c r="J1934" s="38" t="inlineStr">
        <is>
          <t>0-4008</t>
        </is>
      </c>
      <c r="K1934" t="inlineStr">
        <is>
          <t>48'' Rollups Non Reflective Be</t>
        </is>
      </c>
      <c r="L1934" t="n">
        <v>9</v>
      </c>
      <c r="M1934" t="n">
        <v>684.3200000000001</v>
      </c>
      <c r="N1934" t="inlineStr">
        <is>
          <t>INVOICE:ADJ-ACCRUAL</t>
        </is>
      </c>
      <c r="O1934" t="inlineStr">
        <is>
          <t>12177</t>
        </is>
      </c>
      <c r="P1934" t="inlineStr">
        <is>
          <t>TRAFFIC CONTROL PRODUCTS OF LOUISIANA CO. INC.</t>
        </is>
      </c>
      <c r="Q1934" s="114" t="n">
        <v>-684.3200000000001</v>
      </c>
      <c r="R1934" s="114" t="n">
        <v>0</v>
      </c>
      <c r="S1934" s="114" t="n">
        <v>0</v>
      </c>
      <c r="T1934" t="n">
        <v>0</v>
      </c>
    </row>
    <row r="1935">
      <c r="A1935" t="inlineStr">
        <is>
          <t>ttJTrans</t>
        </is>
      </c>
      <c r="B1935" s="38" t="inlineStr">
        <is>
          <t>0-4008</t>
        </is>
      </c>
      <c r="C1935" t="inlineStr">
        <is>
          <t>OC</t>
        </is>
      </c>
      <c r="D1935" t="inlineStr">
        <is>
          <t>MA1010423</t>
        </is>
      </c>
      <c r="E1935" t="inlineStr">
        <is>
          <t>OC</t>
        </is>
      </c>
      <c r="F1935" t="inlineStr">
        <is>
          <t>MA1010423</t>
        </is>
      </c>
      <c r="G1935" t="n">
        <v>46085</v>
      </c>
      <c r="H1935" s="127" t="n">
        <v>46086</v>
      </c>
      <c r="I1935" t="inlineStr">
        <is>
          <t>1</t>
        </is>
      </c>
      <c r="J1935" s="38" t="inlineStr">
        <is>
          <t>0-4008</t>
        </is>
      </c>
      <c r="K1935" t="inlineStr">
        <is>
          <t>SAFETY SUPPLIES - QUOTE ATTACHED</t>
        </is>
      </c>
      <c r="L1935" t="n">
        <v>1</v>
      </c>
      <c r="M1935" t="n">
        <v>2064.77</v>
      </c>
      <c r="N1935" t="inlineStr">
        <is>
          <t>PO:COMMIT</t>
        </is>
      </c>
      <c r="O1935" t="inlineStr">
        <is>
          <t>12561</t>
        </is>
      </c>
      <c r="P1935" t="inlineStr">
        <is>
          <t>CROSS COUNTRY INFRASTRUCTURE SERVICES INC.</t>
        </is>
      </c>
      <c r="Q1935" s="114" t="n">
        <v>0</v>
      </c>
      <c r="R1935" s="114" t="n">
        <v>0</v>
      </c>
      <c r="S1935" s="114" t="n">
        <v>2064.77</v>
      </c>
      <c r="T1935" t="n">
        <v>0</v>
      </c>
    </row>
    <row r="1936">
      <c r="A1936" t="inlineStr">
        <is>
          <t>ttJTrans</t>
        </is>
      </c>
      <c r="B1936" s="38" t="inlineStr">
        <is>
          <t>0-4008</t>
        </is>
      </c>
      <c r="C1936" t="inlineStr">
        <is>
          <t>OC</t>
        </is>
      </c>
      <c r="D1936" t="inlineStr">
        <is>
          <t>MA1010423</t>
        </is>
      </c>
      <c r="E1936" t="inlineStr">
        <is>
          <t>OC</t>
        </is>
      </c>
      <c r="F1936" t="inlineStr">
        <is>
          <t>MA1010423</t>
        </is>
      </c>
      <c r="G1936" t="n">
        <v>46085</v>
      </c>
      <c r="H1936" s="127" t="n">
        <v>46086</v>
      </c>
      <c r="I1936" t="inlineStr">
        <is>
          <t>1</t>
        </is>
      </c>
      <c r="J1936" s="38" t="inlineStr">
        <is>
          <t>0-4008</t>
        </is>
      </c>
      <c r="K1936" t="inlineStr">
        <is>
          <t>SAFETY SUPPLIES - QUOTE ATTACHED</t>
        </is>
      </c>
      <c r="L1936" t="n">
        <v>1</v>
      </c>
      <c r="M1936" t="n">
        <v>2064.77</v>
      </c>
      <c r="N1936" t="inlineStr">
        <is>
          <t>INVOICE:ADJ-COMMIT</t>
        </is>
      </c>
      <c r="O1936" t="inlineStr">
        <is>
          <t>12561</t>
        </is>
      </c>
      <c r="P1936" t="inlineStr">
        <is>
          <t>CROSS COUNTRY INFRASTRUCTURE SERVICES INC.</t>
        </is>
      </c>
      <c r="Q1936" s="114" t="n">
        <v>0</v>
      </c>
      <c r="R1936" s="114" t="n">
        <v>0</v>
      </c>
      <c r="S1936" s="114" t="n">
        <v>-2064.77</v>
      </c>
      <c r="T1936" t="n">
        <v>0</v>
      </c>
    </row>
    <row r="1937">
      <c r="A1937" t="inlineStr">
        <is>
          <t>ttJTrans</t>
        </is>
      </c>
      <c r="B1937" s="38" t="inlineStr">
        <is>
          <t>0-4008</t>
        </is>
      </c>
      <c r="C1937" t="inlineStr">
        <is>
          <t>OC</t>
        </is>
      </c>
      <c r="D1937" t="inlineStr">
        <is>
          <t>MA1010423</t>
        </is>
      </c>
      <c r="E1937" t="inlineStr">
        <is>
          <t>OC</t>
        </is>
      </c>
      <c r="F1937" t="inlineStr">
        <is>
          <t>MA1010423</t>
        </is>
      </c>
      <c r="G1937" t="n">
        <v>46085</v>
      </c>
      <c r="H1937" s="127" t="n">
        <v>46112</v>
      </c>
      <c r="I1937" t="inlineStr">
        <is>
          <t>1</t>
        </is>
      </c>
      <c r="J1937" s="38" t="inlineStr">
        <is>
          <t>0-4008</t>
        </is>
      </c>
      <c r="K1937" t="inlineStr">
        <is>
          <t>SAFETY SUPPLIES - QUOTE ATTACHED</t>
        </is>
      </c>
      <c r="L1937" t="n">
        <v>1</v>
      </c>
      <c r="M1937" t="n">
        <v>2064.77</v>
      </c>
      <c r="N1937" t="inlineStr">
        <is>
          <t>INVOICE</t>
        </is>
      </c>
      <c r="O1937" t="inlineStr">
        <is>
          <t>12561</t>
        </is>
      </c>
      <c r="P1937" t="inlineStr">
        <is>
          <t>CROSS COUNTRY INFRASTRUCTURE SERVICES INC.</t>
        </is>
      </c>
      <c r="Q1937" s="114" t="n">
        <v>0</v>
      </c>
      <c r="R1937" s="114" t="n">
        <v>0</v>
      </c>
      <c r="S1937" s="114" t="n">
        <v>0</v>
      </c>
      <c r="T1937" t="n">
        <v>0</v>
      </c>
    </row>
    <row r="1938">
      <c r="A1938" t="inlineStr">
        <is>
          <t>ttJTrans</t>
        </is>
      </c>
      <c r="B1938" s="38" t="inlineStr">
        <is>
          <t>0-4008</t>
        </is>
      </c>
      <c r="C1938" t="inlineStr">
        <is>
          <t>OC</t>
        </is>
      </c>
      <c r="D1938" t="inlineStr">
        <is>
          <t>MA1010467</t>
        </is>
      </c>
      <c r="E1938" t="inlineStr">
        <is>
          <t>OC</t>
        </is>
      </c>
      <c r="F1938" t="inlineStr">
        <is>
          <t>MA1010467</t>
        </is>
      </c>
      <c r="G1938" t="n">
        <v>46092</v>
      </c>
      <c r="H1938" s="127" t="n">
        <v>46113</v>
      </c>
      <c r="I1938" t="inlineStr">
        <is>
          <t>1</t>
        </is>
      </c>
      <c r="J1938" s="38" t="inlineStr">
        <is>
          <t>0-4008</t>
        </is>
      </c>
      <c r="K1938" t="inlineStr">
        <is>
          <t>LEASE 18 DIGGING MATS FOR 14 DAYS</t>
        </is>
      </c>
      <c r="L1938" t="n">
        <v>18</v>
      </c>
      <c r="M1938" t="n">
        <v>576.45</v>
      </c>
      <c r="N1938" t="inlineStr">
        <is>
          <t>INVOICE</t>
        </is>
      </c>
      <c r="O1938" t="inlineStr">
        <is>
          <t>20401</t>
        </is>
      </c>
      <c r="P1938" t="inlineStr">
        <is>
          <t>RDC HOLDINGS LLC</t>
        </is>
      </c>
      <c r="Q1938" s="114" t="n">
        <v>0</v>
      </c>
      <c r="R1938" s="114" t="n">
        <v>0</v>
      </c>
      <c r="S1938" s="114" t="n">
        <v>0</v>
      </c>
      <c r="T1938" t="n">
        <v>0</v>
      </c>
    </row>
    <row r="1939">
      <c r="A1939" t="inlineStr">
        <is>
          <t>ttJTrans</t>
        </is>
      </c>
      <c r="B1939" s="38" t="inlineStr">
        <is>
          <t>0-4008</t>
        </is>
      </c>
      <c r="C1939" t="inlineStr">
        <is>
          <t>OC</t>
        </is>
      </c>
      <c r="D1939" t="inlineStr">
        <is>
          <t>MA1010467</t>
        </is>
      </c>
      <c r="E1939" t="inlineStr">
        <is>
          <t>OC</t>
        </is>
      </c>
      <c r="F1939" t="inlineStr">
        <is>
          <t>MA1010467</t>
        </is>
      </c>
      <c r="G1939" t="n">
        <v>46092</v>
      </c>
      <c r="H1939" s="127" t="n">
        <v>46113</v>
      </c>
      <c r="I1939" t="inlineStr">
        <is>
          <t>2</t>
        </is>
      </c>
      <c r="J1939" s="38" t="inlineStr">
        <is>
          <t>0-4008</t>
        </is>
      </c>
      <c r="K1939" t="inlineStr">
        <is>
          <t>FREIGHT IN AND OUT</t>
        </is>
      </c>
      <c r="L1939" t="n">
        <v>18</v>
      </c>
      <c r="M1939" t="n">
        <v>2209.73</v>
      </c>
      <c r="N1939" t="inlineStr">
        <is>
          <t>INVOICE</t>
        </is>
      </c>
      <c r="O1939" t="inlineStr">
        <is>
          <t>20401</t>
        </is>
      </c>
      <c r="P1939" t="inlineStr">
        <is>
          <t>RDC HOLDINGS LLC</t>
        </is>
      </c>
      <c r="Q1939" s="114" t="n">
        <v>0</v>
      </c>
      <c r="R1939" s="114" t="n">
        <v>0</v>
      </c>
      <c r="S1939" s="114" t="n">
        <v>0</v>
      </c>
      <c r="T1939" t="n">
        <v>0</v>
      </c>
    </row>
    <row r="1940">
      <c r="A1940" t="inlineStr">
        <is>
          <t>ttJTrans</t>
        </is>
      </c>
      <c r="B1940" s="38" t="inlineStr">
        <is>
          <t>0-4008</t>
        </is>
      </c>
      <c r="C1940" t="inlineStr">
        <is>
          <t>OC</t>
        </is>
      </c>
      <c r="D1940" t="inlineStr">
        <is>
          <t>MA1010467</t>
        </is>
      </c>
      <c r="E1940" t="inlineStr">
        <is>
          <t>OC</t>
        </is>
      </c>
      <c r="F1940" t="inlineStr">
        <is>
          <t>MA1010467</t>
        </is>
      </c>
      <c r="G1940" t="n">
        <v>46092</v>
      </c>
      <c r="H1940" s="127" t="n">
        <v>46087</v>
      </c>
      <c r="I1940" t="inlineStr">
        <is>
          <t>2</t>
        </is>
      </c>
      <c r="J1940" s="38" t="inlineStr">
        <is>
          <t>0-4008</t>
        </is>
      </c>
      <c r="K1940" t="inlineStr">
        <is>
          <t>FREIGHT IN AND OUT</t>
        </is>
      </c>
      <c r="L1940" t="n">
        <v>18</v>
      </c>
      <c r="M1940" t="n">
        <v>2209.73</v>
      </c>
      <c r="N1940" t="inlineStr">
        <is>
          <t>INVOICE:ADJ-COMMIT</t>
        </is>
      </c>
      <c r="O1940" t="inlineStr">
        <is>
          <t>20401</t>
        </is>
      </c>
      <c r="P1940" t="inlineStr">
        <is>
          <t>RDC HOLDINGS LLC</t>
        </is>
      </c>
      <c r="Q1940" s="114" t="n">
        <v>0</v>
      </c>
      <c r="R1940" s="114" t="n">
        <v>0</v>
      </c>
      <c r="S1940" s="114" t="n">
        <v>-2135</v>
      </c>
      <c r="T1940" t="n">
        <v>0</v>
      </c>
    </row>
    <row r="1941">
      <c r="A1941" t="inlineStr">
        <is>
          <t>ttJTrans</t>
        </is>
      </c>
      <c r="B1941" s="38" t="inlineStr">
        <is>
          <t>0-4008</t>
        </is>
      </c>
      <c r="C1941" t="inlineStr">
        <is>
          <t>OC</t>
        </is>
      </c>
      <c r="D1941" t="inlineStr">
        <is>
          <t>MA1010467</t>
        </is>
      </c>
      <c r="E1941" t="inlineStr">
        <is>
          <t>OC</t>
        </is>
      </c>
      <c r="F1941" t="inlineStr">
        <is>
          <t>MA1010467</t>
        </is>
      </c>
      <c r="G1941" t="n">
        <v>46092</v>
      </c>
      <c r="H1941" s="127" t="n">
        <v>46087</v>
      </c>
      <c r="I1941" t="inlineStr">
        <is>
          <t>1</t>
        </is>
      </c>
      <c r="J1941" s="38" t="inlineStr">
        <is>
          <t>0-4008</t>
        </is>
      </c>
      <c r="K1941" t="inlineStr">
        <is>
          <t>LEASE 18 DIGGING MATS FOR 14 DAYS</t>
        </is>
      </c>
      <c r="L1941" t="n">
        <v>18</v>
      </c>
      <c r="M1941" t="n">
        <v>576.45</v>
      </c>
      <c r="N1941" t="inlineStr">
        <is>
          <t>PO:COMMIT</t>
        </is>
      </c>
      <c r="O1941" t="inlineStr">
        <is>
          <t>20401</t>
        </is>
      </c>
      <c r="P1941" t="inlineStr">
        <is>
          <t>RDC HOLDINGS LLC</t>
        </is>
      </c>
      <c r="Q1941" s="114" t="n">
        <v>0</v>
      </c>
      <c r="R1941" s="114" t="n">
        <v>0</v>
      </c>
      <c r="S1941" s="114" t="n">
        <v>576.45</v>
      </c>
      <c r="T1941" t="n">
        <v>0</v>
      </c>
    </row>
    <row r="1942">
      <c r="A1942" t="inlineStr">
        <is>
          <t>ttJTrans</t>
        </is>
      </c>
      <c r="B1942" s="38" t="inlineStr">
        <is>
          <t>0-4008</t>
        </is>
      </c>
      <c r="C1942" t="inlineStr">
        <is>
          <t>OC</t>
        </is>
      </c>
      <c r="D1942" t="inlineStr">
        <is>
          <t>MA1010467</t>
        </is>
      </c>
      <c r="E1942" t="inlineStr">
        <is>
          <t>OC</t>
        </is>
      </c>
      <c r="F1942" t="inlineStr">
        <is>
          <t>MA1010467</t>
        </is>
      </c>
      <c r="G1942" t="n">
        <v>46092</v>
      </c>
      <c r="H1942" s="127" t="n">
        <v>46087</v>
      </c>
      <c r="I1942" t="inlineStr">
        <is>
          <t>2</t>
        </is>
      </c>
      <c r="J1942" s="38" t="inlineStr">
        <is>
          <t>0-4008</t>
        </is>
      </c>
      <c r="K1942" t="inlineStr">
        <is>
          <t>FREIGHT IN AND OUT</t>
        </is>
      </c>
      <c r="L1942" t="n">
        <v>18</v>
      </c>
      <c r="M1942" t="n">
        <v>2209.73</v>
      </c>
      <c r="N1942" t="inlineStr">
        <is>
          <t>PO:COMMIT</t>
        </is>
      </c>
      <c r="O1942" t="inlineStr">
        <is>
          <t>20401</t>
        </is>
      </c>
      <c r="P1942" t="inlineStr">
        <is>
          <t>RDC HOLDINGS LLC</t>
        </is>
      </c>
      <c r="Q1942" s="114" t="n">
        <v>0</v>
      </c>
      <c r="R1942" s="114" t="n">
        <v>0</v>
      </c>
      <c r="S1942" s="114" t="n">
        <v>2209.73</v>
      </c>
      <c r="T1942" t="n">
        <v>0</v>
      </c>
    </row>
    <row r="1943">
      <c r="A1943" t="inlineStr">
        <is>
          <t>ttJTrans</t>
        </is>
      </c>
      <c r="B1943" s="38" t="inlineStr">
        <is>
          <t>0-4008</t>
        </is>
      </c>
      <c r="C1943" t="inlineStr">
        <is>
          <t>OC</t>
        </is>
      </c>
      <c r="D1943" t="inlineStr">
        <is>
          <t>MA1010467</t>
        </is>
      </c>
      <c r="E1943" t="inlineStr">
        <is>
          <t>OC</t>
        </is>
      </c>
      <c r="F1943" t="inlineStr">
        <is>
          <t>MA1010467</t>
        </is>
      </c>
      <c r="G1943" t="n">
        <v>46092</v>
      </c>
      <c r="H1943" s="127" t="n">
        <v>46087</v>
      </c>
      <c r="I1943" t="inlineStr">
        <is>
          <t>1</t>
        </is>
      </c>
      <c r="J1943" s="38" t="inlineStr">
        <is>
          <t>0-4008</t>
        </is>
      </c>
      <c r="K1943" t="inlineStr">
        <is>
          <t>LEASE 18 DIGGING MATS FOR 14 DAYS</t>
        </is>
      </c>
      <c r="L1943" t="n">
        <v>18</v>
      </c>
      <c r="M1943" t="n">
        <v>576.45</v>
      </c>
      <c r="N1943" t="inlineStr">
        <is>
          <t>INVOICE:ADJ-COMMIT</t>
        </is>
      </c>
      <c r="O1943" t="inlineStr">
        <is>
          <t>20401</t>
        </is>
      </c>
      <c r="P1943" t="inlineStr">
        <is>
          <t>RDC HOLDINGS LLC</t>
        </is>
      </c>
      <c r="Q1943" s="114" t="n">
        <v>0</v>
      </c>
      <c r="R1943" s="114" t="n">
        <v>0</v>
      </c>
      <c r="S1943" s="114" t="n">
        <v>-576.45</v>
      </c>
      <c r="T1943" t="n">
        <v>0</v>
      </c>
    </row>
    <row r="1944">
      <c r="A1944" t="inlineStr">
        <is>
          <t>ttJTrans</t>
        </is>
      </c>
      <c r="B1944" s="38" t="inlineStr">
        <is>
          <t>0-4008</t>
        </is>
      </c>
      <c r="C1944" t="inlineStr">
        <is>
          <t>OC</t>
        </is>
      </c>
      <c r="D1944" t="inlineStr">
        <is>
          <t>MA1010533</t>
        </is>
      </c>
      <c r="E1944" t="inlineStr">
        <is>
          <t>OC</t>
        </is>
      </c>
      <c r="F1944" t="inlineStr">
        <is>
          <t>MA1010533</t>
        </is>
      </c>
      <c r="G1944" t="n">
        <v>46092</v>
      </c>
      <c r="H1944" s="127" t="n">
        <v>46093</v>
      </c>
      <c r="I1944" t="inlineStr">
        <is>
          <t>2</t>
        </is>
      </c>
      <c r="J1944" s="38" t="inlineStr">
        <is>
          <t>0-4008</t>
        </is>
      </c>
      <c r="K1944" t="inlineStr">
        <is>
          <t>DEMAND FLOW REGULATOR</t>
        </is>
      </c>
      <c r="L1944" t="n">
        <v>1</v>
      </c>
      <c r="M1944" t="n">
        <v>111</v>
      </c>
      <c r="N1944" t="inlineStr">
        <is>
          <t>PO:COMMIT</t>
        </is>
      </c>
      <c r="O1944" t="inlineStr">
        <is>
          <t>12287</t>
        </is>
      </c>
      <c r="P1944" t="inlineStr">
        <is>
          <t>24 HOUR SAFETY LLC</t>
        </is>
      </c>
      <c r="Q1944" s="114" t="n">
        <v>0</v>
      </c>
      <c r="R1944" s="114" t="n">
        <v>0</v>
      </c>
      <c r="S1944" s="114" t="n">
        <v>111</v>
      </c>
      <c r="T1944" t="n">
        <v>0</v>
      </c>
    </row>
    <row r="1945">
      <c r="A1945" t="inlineStr">
        <is>
          <t>ttJTrans</t>
        </is>
      </c>
      <c r="B1945" s="38" t="inlineStr">
        <is>
          <t>0-4008</t>
        </is>
      </c>
      <c r="C1945" t="inlineStr">
        <is>
          <t>OC</t>
        </is>
      </c>
      <c r="D1945" t="inlineStr">
        <is>
          <t>MA1010533</t>
        </is>
      </c>
      <c r="E1945" t="inlineStr">
        <is>
          <t>OC</t>
        </is>
      </c>
      <c r="F1945" t="inlineStr">
        <is>
          <t>MA1010533</t>
        </is>
      </c>
      <c r="G1945" t="n">
        <v>46092</v>
      </c>
      <c r="H1945" s="127" t="n">
        <v>46093</v>
      </c>
      <c r="I1945" t="inlineStr">
        <is>
          <t>1</t>
        </is>
      </c>
      <c r="J1945" s="38" t="inlineStr">
        <is>
          <t>0-4008</t>
        </is>
      </c>
      <c r="K1945" t="inlineStr">
        <is>
          <t>GAS ALERT MAX XT</t>
        </is>
      </c>
      <c r="L1945" t="n">
        <v>4</v>
      </c>
      <c r="M1945" t="n">
        <v>2442</v>
      </c>
      <c r="N1945" t="inlineStr">
        <is>
          <t>PO:COMMIT</t>
        </is>
      </c>
      <c r="O1945" t="inlineStr">
        <is>
          <t>12287</t>
        </is>
      </c>
      <c r="P1945" t="inlineStr">
        <is>
          <t>24 HOUR SAFETY LLC</t>
        </is>
      </c>
      <c r="Q1945" s="114" t="n">
        <v>0</v>
      </c>
      <c r="R1945" s="114" t="n">
        <v>0</v>
      </c>
      <c r="S1945" s="114" t="n">
        <v>2442</v>
      </c>
      <c r="T1945" t="n">
        <v>0</v>
      </c>
    </row>
    <row r="1946">
      <c r="A1946" t="inlineStr">
        <is>
          <t>ttJTrans</t>
        </is>
      </c>
      <c r="B1946" s="38" t="inlineStr">
        <is>
          <t>0-4008</t>
        </is>
      </c>
      <c r="C1946" t="inlineStr">
        <is>
          <t>OC</t>
        </is>
      </c>
      <c r="D1946" t="inlineStr">
        <is>
          <t>MA1010533</t>
        </is>
      </c>
      <c r="E1946" t="inlineStr">
        <is>
          <t>OC</t>
        </is>
      </c>
      <c r="F1946" t="inlineStr">
        <is>
          <t>MA1010533</t>
        </is>
      </c>
      <c r="G1946" t="n">
        <v>46092</v>
      </c>
      <c r="H1946" s="127" t="n">
        <v>46093</v>
      </c>
      <c r="I1946" t="inlineStr">
        <is>
          <t>3</t>
        </is>
      </c>
      <c r="J1946" s="38" t="inlineStr">
        <is>
          <t>0-4008</t>
        </is>
      </c>
      <c r="K1946" t="inlineStr">
        <is>
          <t>CAL GAS 25PPM H2S 100PPM CO 2.5% CH4 18% O2</t>
        </is>
      </c>
      <c r="L1946" t="n">
        <v>1</v>
      </c>
      <c r="M1946" t="n">
        <v>287.82</v>
      </c>
      <c r="N1946" t="inlineStr">
        <is>
          <t>PO:COMMIT</t>
        </is>
      </c>
      <c r="O1946" t="inlineStr">
        <is>
          <t>12287</t>
        </is>
      </c>
      <c r="P1946" t="inlineStr">
        <is>
          <t>24 HOUR SAFETY LLC</t>
        </is>
      </c>
      <c r="Q1946" s="114" t="n">
        <v>0</v>
      </c>
      <c r="R1946" s="114" t="n">
        <v>0</v>
      </c>
      <c r="S1946" s="114" t="n">
        <v>287.82</v>
      </c>
      <c r="T1946" t="n">
        <v>0</v>
      </c>
    </row>
    <row r="1947">
      <c r="A1947" t="inlineStr">
        <is>
          <t>ttJTrans</t>
        </is>
      </c>
      <c r="B1947" s="38" t="inlineStr">
        <is>
          <t>0-4008</t>
        </is>
      </c>
      <c r="C1947" t="inlineStr">
        <is>
          <t>OC</t>
        </is>
      </c>
      <c r="D1947" t="inlineStr">
        <is>
          <t>MA1010533</t>
        </is>
      </c>
      <c r="E1947" t="inlineStr">
        <is>
          <t>OC</t>
        </is>
      </c>
      <c r="F1947" t="inlineStr">
        <is>
          <t>MA1010533</t>
        </is>
      </c>
      <c r="G1947" t="n">
        <v>46092</v>
      </c>
      <c r="H1947" s="127" t="n">
        <v>46093</v>
      </c>
      <c r="I1947" t="inlineStr">
        <is>
          <t>2</t>
        </is>
      </c>
      <c r="J1947" s="38" t="inlineStr">
        <is>
          <t>0-4008</t>
        </is>
      </c>
      <c r="K1947" t="inlineStr">
        <is>
          <t>DEMAND FLOW REGULATOR</t>
        </is>
      </c>
      <c r="L1947" t="n">
        <v>1</v>
      </c>
      <c r="M1947" t="n">
        <v>111</v>
      </c>
      <c r="N1947" t="inlineStr">
        <is>
          <t>INVOICE:ADJ-COMMIT</t>
        </is>
      </c>
      <c r="O1947" t="inlineStr">
        <is>
          <t>12287</t>
        </is>
      </c>
      <c r="P1947" t="inlineStr">
        <is>
          <t>24 HOUR SAFETY LLC</t>
        </is>
      </c>
      <c r="Q1947" s="114" t="n">
        <v>0</v>
      </c>
      <c r="R1947" s="114" t="n">
        <v>0</v>
      </c>
      <c r="S1947" s="114" t="n">
        <v>-111</v>
      </c>
      <c r="T1947" t="n">
        <v>0</v>
      </c>
    </row>
    <row r="1948">
      <c r="A1948" t="inlineStr">
        <is>
          <t>ttJTrans</t>
        </is>
      </c>
      <c r="B1948" s="38" t="inlineStr">
        <is>
          <t>0-4008</t>
        </is>
      </c>
      <c r="C1948" t="inlineStr">
        <is>
          <t>OC</t>
        </is>
      </c>
      <c r="D1948" t="inlineStr">
        <is>
          <t>MA1010533</t>
        </is>
      </c>
      <c r="E1948" t="inlineStr">
        <is>
          <t>OC</t>
        </is>
      </c>
      <c r="F1948" t="inlineStr">
        <is>
          <t>MA1010533</t>
        </is>
      </c>
      <c r="G1948" t="n">
        <v>46092</v>
      </c>
      <c r="H1948" s="127" t="n">
        <v>46093</v>
      </c>
      <c r="I1948" t="inlineStr">
        <is>
          <t>3</t>
        </is>
      </c>
      <c r="J1948" s="38" t="inlineStr">
        <is>
          <t>0-4008</t>
        </is>
      </c>
      <c r="K1948" t="inlineStr">
        <is>
          <t>CAL GAS 25PPM H2S 100PPM CO 2.5% CH4 18% O2</t>
        </is>
      </c>
      <c r="L1948" t="n">
        <v>1</v>
      </c>
      <c r="M1948" t="n">
        <v>287.82</v>
      </c>
      <c r="N1948" t="inlineStr">
        <is>
          <t>INVOICE:ADJ-COMMIT</t>
        </is>
      </c>
      <c r="O1948" t="inlineStr">
        <is>
          <t>12287</t>
        </is>
      </c>
      <c r="P1948" t="inlineStr">
        <is>
          <t>24 HOUR SAFETY LLC</t>
        </is>
      </c>
      <c r="Q1948" s="114" t="n">
        <v>0</v>
      </c>
      <c r="R1948" s="114" t="n">
        <v>0</v>
      </c>
      <c r="S1948" s="114" t="n">
        <v>-287.82</v>
      </c>
      <c r="T1948" t="n">
        <v>0</v>
      </c>
    </row>
    <row r="1949">
      <c r="A1949" t="inlineStr">
        <is>
          <t>ttJTrans</t>
        </is>
      </c>
      <c r="B1949" s="38" t="inlineStr">
        <is>
          <t>0-4008</t>
        </is>
      </c>
      <c r="C1949" t="inlineStr">
        <is>
          <t>OC</t>
        </is>
      </c>
      <c r="D1949" t="inlineStr">
        <is>
          <t>MA1010533</t>
        </is>
      </c>
      <c r="E1949" t="inlineStr">
        <is>
          <t>OC</t>
        </is>
      </c>
      <c r="F1949" t="inlineStr">
        <is>
          <t>MA1010533</t>
        </is>
      </c>
      <c r="G1949" t="n">
        <v>46092</v>
      </c>
      <c r="H1949" s="127" t="n">
        <v>46093</v>
      </c>
      <c r="I1949" t="inlineStr">
        <is>
          <t>1</t>
        </is>
      </c>
      <c r="J1949" s="38" t="inlineStr">
        <is>
          <t>0-4008</t>
        </is>
      </c>
      <c r="K1949" t="inlineStr">
        <is>
          <t>GAS ALERT MAX XT</t>
        </is>
      </c>
      <c r="L1949" t="n">
        <v>4</v>
      </c>
      <c r="M1949" t="n">
        <v>2442</v>
      </c>
      <c r="N1949" t="inlineStr">
        <is>
          <t>INVOICE:ADJ-COMMIT</t>
        </is>
      </c>
      <c r="O1949" t="inlineStr">
        <is>
          <t>12287</t>
        </is>
      </c>
      <c r="P1949" t="inlineStr">
        <is>
          <t>24 HOUR SAFETY LLC</t>
        </is>
      </c>
      <c r="Q1949" s="114" t="n">
        <v>0</v>
      </c>
      <c r="R1949" s="114" t="n">
        <v>0</v>
      </c>
      <c r="S1949" s="114" t="n">
        <v>-2442</v>
      </c>
      <c r="T1949" t="n">
        <v>0</v>
      </c>
    </row>
    <row r="1950">
      <c r="A1950" t="inlineStr">
        <is>
          <t>ttJTrans</t>
        </is>
      </c>
      <c r="B1950" s="38" t="inlineStr">
        <is>
          <t>0-4008</t>
        </is>
      </c>
      <c r="C1950" t="inlineStr">
        <is>
          <t>OC</t>
        </is>
      </c>
      <c r="D1950" t="inlineStr">
        <is>
          <t>MA1010533</t>
        </is>
      </c>
      <c r="E1950" t="inlineStr">
        <is>
          <t>OC</t>
        </is>
      </c>
      <c r="F1950" t="inlineStr">
        <is>
          <t>MA1010533</t>
        </is>
      </c>
      <c r="G1950" t="n">
        <v>46092</v>
      </c>
      <c r="H1950" s="127" t="n">
        <v>46161</v>
      </c>
      <c r="I1950" t="inlineStr">
        <is>
          <t>1</t>
        </is>
      </c>
      <c r="J1950" s="38" t="inlineStr">
        <is>
          <t>0-4008</t>
        </is>
      </c>
      <c r="K1950" t="inlineStr">
        <is>
          <t>GAS ALERT MAX XT</t>
        </is>
      </c>
      <c r="L1950" t="n">
        <v>4</v>
      </c>
      <c r="M1950" t="n">
        <v>2442</v>
      </c>
      <c r="N1950" t="inlineStr">
        <is>
          <t>INVOICE</t>
        </is>
      </c>
      <c r="O1950" t="inlineStr">
        <is>
          <t>12287</t>
        </is>
      </c>
      <c r="P1950" t="inlineStr">
        <is>
          <t>24 HOUR SAFETY LLC</t>
        </is>
      </c>
      <c r="Q1950" s="114" t="n">
        <v>0</v>
      </c>
      <c r="R1950" s="114" t="n">
        <v>0</v>
      </c>
      <c r="S1950" s="114" t="n">
        <v>0</v>
      </c>
      <c r="T1950" t="n">
        <v>0</v>
      </c>
    </row>
    <row r="1951">
      <c r="A1951" t="inlineStr">
        <is>
          <t>ttJTrans</t>
        </is>
      </c>
      <c r="B1951" s="38" t="inlineStr">
        <is>
          <t>0-4008</t>
        </is>
      </c>
      <c r="C1951" t="inlineStr">
        <is>
          <t>OC</t>
        </is>
      </c>
      <c r="D1951" t="inlineStr">
        <is>
          <t>MA1010533</t>
        </is>
      </c>
      <c r="E1951" t="inlineStr">
        <is>
          <t>OC</t>
        </is>
      </c>
      <c r="F1951" t="inlineStr">
        <is>
          <t>MA1010533</t>
        </is>
      </c>
      <c r="G1951" t="n">
        <v>46092</v>
      </c>
      <c r="H1951" s="127" t="n">
        <v>46161</v>
      </c>
      <c r="I1951" t="inlineStr">
        <is>
          <t>2</t>
        </is>
      </c>
      <c r="J1951" s="38" t="inlineStr">
        <is>
          <t>0-4008</t>
        </is>
      </c>
      <c r="K1951" t="inlineStr">
        <is>
          <t>DEMAND FLOW REGULATOR</t>
        </is>
      </c>
      <c r="L1951" t="n">
        <v>1</v>
      </c>
      <c r="M1951" t="n">
        <v>111</v>
      </c>
      <c r="N1951" t="inlineStr">
        <is>
          <t>INVOICE</t>
        </is>
      </c>
      <c r="O1951" t="inlineStr">
        <is>
          <t>12287</t>
        </is>
      </c>
      <c r="P1951" t="inlineStr">
        <is>
          <t>24 HOUR SAFETY LLC</t>
        </is>
      </c>
      <c r="Q1951" s="114" t="n">
        <v>0</v>
      </c>
      <c r="R1951" s="114" t="n">
        <v>0</v>
      </c>
      <c r="S1951" s="114" t="n">
        <v>0</v>
      </c>
      <c r="T1951" t="n">
        <v>0</v>
      </c>
    </row>
    <row r="1952">
      <c r="A1952" t="inlineStr">
        <is>
          <t>ttJTrans</t>
        </is>
      </c>
      <c r="B1952" s="38" t="inlineStr">
        <is>
          <t>0-4008</t>
        </is>
      </c>
      <c r="C1952" t="inlineStr">
        <is>
          <t>OC</t>
        </is>
      </c>
      <c r="D1952" t="inlineStr">
        <is>
          <t>MA1010533</t>
        </is>
      </c>
      <c r="E1952" t="inlineStr">
        <is>
          <t>OC</t>
        </is>
      </c>
      <c r="F1952" t="inlineStr">
        <is>
          <t>MA1010533</t>
        </is>
      </c>
      <c r="G1952" t="n">
        <v>46092</v>
      </c>
      <c r="H1952" s="127" t="n">
        <v>46161</v>
      </c>
      <c r="I1952" t="inlineStr">
        <is>
          <t>3</t>
        </is>
      </c>
      <c r="J1952" s="38" t="inlineStr">
        <is>
          <t>0-4008</t>
        </is>
      </c>
      <c r="K1952" t="inlineStr">
        <is>
          <t>CAL GAS 25PPM H2S 100PPM CO 2.5% CH4 18% O2</t>
        </is>
      </c>
      <c r="L1952" t="n">
        <v>1</v>
      </c>
      <c r="M1952" t="n">
        <v>287.82</v>
      </c>
      <c r="N1952" t="inlineStr">
        <is>
          <t>INVOICE</t>
        </is>
      </c>
      <c r="O1952" t="inlineStr">
        <is>
          <t>12287</t>
        </is>
      </c>
      <c r="P1952" t="inlineStr">
        <is>
          <t>24 HOUR SAFETY LLC</t>
        </is>
      </c>
      <c r="Q1952" s="114" t="n">
        <v>0</v>
      </c>
      <c r="R1952" s="114" t="n">
        <v>0</v>
      </c>
      <c r="S1952" s="114" t="n">
        <v>0</v>
      </c>
      <c r="T1952" t="n">
        <v>0</v>
      </c>
    </row>
    <row r="1953">
      <c r="A1953" t="inlineStr">
        <is>
          <t>ttJTrans</t>
        </is>
      </c>
      <c r="B1953" s="38" t="inlineStr">
        <is>
          <t>0-4008</t>
        </is>
      </c>
      <c r="C1953" t="inlineStr">
        <is>
          <t>OC</t>
        </is>
      </c>
      <c r="D1953" t="inlineStr">
        <is>
          <t>MA1010561</t>
        </is>
      </c>
      <c r="E1953" t="inlineStr">
        <is>
          <t>OC</t>
        </is>
      </c>
      <c r="F1953" t="inlineStr">
        <is>
          <t>MA1010561</t>
        </is>
      </c>
      <c r="G1953" t="n">
        <v>46093</v>
      </c>
      <c r="H1953" s="127" t="n">
        <v>46113</v>
      </c>
      <c r="I1953" t="inlineStr">
        <is>
          <t>2</t>
        </is>
      </c>
      <c r="J1953" s="38" t="inlineStr">
        <is>
          <t>0-4008</t>
        </is>
      </c>
      <c r="K1953" t="inlineStr">
        <is>
          <t>DIAGONAL PLIRS BLK/RD 7"</t>
        </is>
      </c>
      <c r="L1953" t="n">
        <v>1</v>
      </c>
      <c r="M1953" t="n">
        <v>16.64</v>
      </c>
      <c r="N1953" t="inlineStr">
        <is>
          <t>INVOICE</t>
        </is>
      </c>
      <c r="O1953" t="inlineStr">
        <is>
          <t>21265</t>
        </is>
      </c>
      <c r="P1953" t="inlineStr">
        <is>
          <t>WHARTON FEED &amp; SUPPLY LLC</t>
        </is>
      </c>
      <c r="Q1953" s="114" t="n">
        <v>0</v>
      </c>
      <c r="R1953" s="114" t="n">
        <v>0</v>
      </c>
      <c r="S1953" s="114" t="n">
        <v>0</v>
      </c>
      <c r="T1953" t="n">
        <v>0</v>
      </c>
    </row>
    <row r="1954">
      <c r="A1954" t="inlineStr">
        <is>
          <t>ttJTrans</t>
        </is>
      </c>
      <c r="B1954" s="38" t="inlineStr">
        <is>
          <t>0-4008</t>
        </is>
      </c>
      <c r="C1954" t="inlineStr">
        <is>
          <t>OC</t>
        </is>
      </c>
      <c r="D1954" t="inlineStr">
        <is>
          <t>MA1010561</t>
        </is>
      </c>
      <c r="E1954" t="inlineStr">
        <is>
          <t>OC</t>
        </is>
      </c>
      <c r="F1954" t="inlineStr">
        <is>
          <t>MA1010561</t>
        </is>
      </c>
      <c r="G1954" t="n">
        <v>46093</v>
      </c>
      <c r="H1954" s="127" t="n">
        <v>46113</v>
      </c>
      <c r="I1954" t="inlineStr">
        <is>
          <t>3</t>
        </is>
      </c>
      <c r="J1954" s="38" t="inlineStr">
        <is>
          <t>0-4008</t>
        </is>
      </c>
      <c r="K1954" t="inlineStr">
        <is>
          <t>LINESMAN PLIRS BLK/RD 8"</t>
        </is>
      </c>
      <c r="L1954" t="n">
        <v>1</v>
      </c>
      <c r="M1954" t="n">
        <v>19.97</v>
      </c>
      <c r="N1954" t="inlineStr">
        <is>
          <t>INVOICE</t>
        </is>
      </c>
      <c r="O1954" t="inlineStr">
        <is>
          <t>21265</t>
        </is>
      </c>
      <c r="P1954" t="inlineStr">
        <is>
          <t>WHARTON FEED &amp; SUPPLY LLC</t>
        </is>
      </c>
      <c r="Q1954" s="114" t="n">
        <v>0</v>
      </c>
      <c r="R1954" s="114" t="n">
        <v>0</v>
      </c>
      <c r="S1954" s="114" t="n">
        <v>0</v>
      </c>
      <c r="T1954" t="n">
        <v>0</v>
      </c>
    </row>
    <row r="1955">
      <c r="A1955" t="inlineStr">
        <is>
          <t>ttJTrans</t>
        </is>
      </c>
      <c r="B1955" s="38" t="inlineStr">
        <is>
          <t>0-4008</t>
        </is>
      </c>
      <c r="C1955" t="inlineStr">
        <is>
          <t>OC</t>
        </is>
      </c>
      <c r="D1955" t="inlineStr">
        <is>
          <t>MA1010561</t>
        </is>
      </c>
      <c r="E1955" t="inlineStr">
        <is>
          <t>OC</t>
        </is>
      </c>
      <c r="F1955" t="inlineStr">
        <is>
          <t>MA1010561</t>
        </is>
      </c>
      <c r="G1955" t="n">
        <v>46093</v>
      </c>
      <c r="H1955" s="127" t="n">
        <v>46113</v>
      </c>
      <c r="I1955" t="inlineStr">
        <is>
          <t>4</t>
        </is>
      </c>
      <c r="J1955" s="38" t="inlineStr">
        <is>
          <t>0-4008</t>
        </is>
      </c>
      <c r="K1955" t="inlineStr">
        <is>
          <t>HI LEVRAGE CUT PLIER 3PC</t>
        </is>
      </c>
      <c r="L1955" t="n">
        <v>1</v>
      </c>
      <c r="M1955" t="n">
        <v>38.84</v>
      </c>
      <c r="N1955" t="inlineStr">
        <is>
          <t>INVOICE</t>
        </is>
      </c>
      <c r="O1955" t="inlineStr">
        <is>
          <t>21265</t>
        </is>
      </c>
      <c r="P1955" t="inlineStr">
        <is>
          <t>WHARTON FEED &amp; SUPPLY LLC</t>
        </is>
      </c>
      <c r="Q1955" s="114" t="n">
        <v>0</v>
      </c>
      <c r="R1955" s="114" t="n">
        <v>0</v>
      </c>
      <c r="S1955" s="114" t="n">
        <v>0</v>
      </c>
      <c r="T1955" t="n">
        <v>0</v>
      </c>
    </row>
    <row r="1956">
      <c r="A1956" t="inlineStr">
        <is>
          <t>ttJTrans</t>
        </is>
      </c>
      <c r="B1956" s="38" t="inlineStr">
        <is>
          <t>0-4008</t>
        </is>
      </c>
      <c r="C1956" t="inlineStr">
        <is>
          <t>OC</t>
        </is>
      </c>
      <c r="D1956" t="inlineStr">
        <is>
          <t>MA1010561</t>
        </is>
      </c>
      <c r="E1956" t="inlineStr">
        <is>
          <t>OC</t>
        </is>
      </c>
      <c r="F1956" t="inlineStr">
        <is>
          <t>MA1010561</t>
        </is>
      </c>
      <c r="G1956" t="n">
        <v>46093</v>
      </c>
      <c r="H1956" s="127" t="n">
        <v>46113</v>
      </c>
      <c r="I1956" t="inlineStr">
        <is>
          <t>5</t>
        </is>
      </c>
      <c r="J1956" s="38" t="inlineStr">
        <is>
          <t>0-4008</t>
        </is>
      </c>
      <c r="K1956" t="inlineStr">
        <is>
          <t>TIRE WIRE 16GA 340 FT</t>
        </is>
      </c>
      <c r="L1956" t="n">
        <v>1</v>
      </c>
      <c r="M1956" t="n">
        <v>8.869999999999999</v>
      </c>
      <c r="N1956" t="inlineStr">
        <is>
          <t>INVOICE</t>
        </is>
      </c>
      <c r="O1956" t="inlineStr">
        <is>
          <t>21265</t>
        </is>
      </c>
      <c r="P1956" t="inlineStr">
        <is>
          <t>WHARTON FEED &amp; SUPPLY LLC</t>
        </is>
      </c>
      <c r="Q1956" s="114" t="n">
        <v>0</v>
      </c>
      <c r="R1956" s="114" t="n">
        <v>0</v>
      </c>
      <c r="S1956" s="114" t="n">
        <v>0</v>
      </c>
      <c r="T1956" t="n">
        <v>0</v>
      </c>
    </row>
    <row r="1957">
      <c r="A1957" t="inlineStr">
        <is>
          <t>ttJTrans</t>
        </is>
      </c>
      <c r="B1957" s="38" t="inlineStr">
        <is>
          <t>0-4008</t>
        </is>
      </c>
      <c r="C1957" t="inlineStr">
        <is>
          <t>OC</t>
        </is>
      </c>
      <c r="D1957" t="inlineStr">
        <is>
          <t>MA1010561</t>
        </is>
      </c>
      <c r="E1957" t="inlineStr">
        <is>
          <t>OC</t>
        </is>
      </c>
      <c r="F1957" t="inlineStr">
        <is>
          <t>MA1010561</t>
        </is>
      </c>
      <c r="G1957" t="n">
        <v>46093</v>
      </c>
      <c r="H1957" s="127" t="n">
        <v>46113</v>
      </c>
      <c r="I1957" t="inlineStr">
        <is>
          <t>9</t>
        </is>
      </c>
      <c r="J1957" s="38" t="inlineStr">
        <is>
          <t>0-4008</t>
        </is>
      </c>
      <c r="K1957" t="inlineStr">
        <is>
          <t>POST DRIVER W/2 HANDLE HD</t>
        </is>
      </c>
      <c r="L1957" t="n">
        <v>1</v>
      </c>
      <c r="M1957" t="n">
        <v>52.16</v>
      </c>
      <c r="N1957" t="inlineStr">
        <is>
          <t>INVOICE</t>
        </is>
      </c>
      <c r="O1957" t="inlineStr">
        <is>
          <t>21265</t>
        </is>
      </c>
      <c r="P1957" t="inlineStr">
        <is>
          <t>WHARTON FEED &amp; SUPPLY LLC</t>
        </is>
      </c>
      <c r="Q1957" s="114" t="n">
        <v>0</v>
      </c>
      <c r="R1957" s="114" t="n">
        <v>0</v>
      </c>
      <c r="S1957" s="114" t="n">
        <v>0</v>
      </c>
      <c r="T1957" t="n">
        <v>0</v>
      </c>
    </row>
    <row r="1958">
      <c r="A1958" t="inlineStr">
        <is>
          <t>ttJTrans</t>
        </is>
      </c>
      <c r="B1958" s="38" t="inlineStr">
        <is>
          <t>0-4008</t>
        </is>
      </c>
      <c r="C1958" t="inlineStr">
        <is>
          <t>OC</t>
        </is>
      </c>
      <c r="D1958" t="inlineStr">
        <is>
          <t>MA1010561</t>
        </is>
      </c>
      <c r="E1958" t="inlineStr">
        <is>
          <t>OC</t>
        </is>
      </c>
      <c r="F1958" t="inlineStr">
        <is>
          <t>MA1010561</t>
        </is>
      </c>
      <c r="G1958" t="n">
        <v>46093</v>
      </c>
      <c r="H1958" s="127" t="n">
        <v>46094</v>
      </c>
      <c r="I1958" t="inlineStr">
        <is>
          <t>4</t>
        </is>
      </c>
      <c r="J1958" s="38" t="inlineStr">
        <is>
          <t>0-4008</t>
        </is>
      </c>
      <c r="K1958" t="inlineStr">
        <is>
          <t>HI LEVRAGE CUT PLIER 3PC</t>
        </is>
      </c>
      <c r="L1958" t="n">
        <v>1</v>
      </c>
      <c r="M1958" t="n">
        <v>38.84</v>
      </c>
      <c r="N1958" t="inlineStr">
        <is>
          <t>INVOICE:ADJ-COMMIT</t>
        </is>
      </c>
      <c r="O1958" t="inlineStr">
        <is>
          <t>21265</t>
        </is>
      </c>
      <c r="P1958" t="inlineStr">
        <is>
          <t>WHARTON FEED &amp; SUPPLY LLC</t>
        </is>
      </c>
      <c r="Q1958" s="114" t="n">
        <v>0</v>
      </c>
      <c r="R1958" s="114" t="n">
        <v>0</v>
      </c>
      <c r="S1958" s="114" t="n">
        <v>-38.84</v>
      </c>
      <c r="T1958" t="n">
        <v>0</v>
      </c>
    </row>
    <row r="1959">
      <c r="A1959" t="inlineStr">
        <is>
          <t>ttJTrans</t>
        </is>
      </c>
      <c r="B1959" s="38" t="inlineStr">
        <is>
          <t>0-4008</t>
        </is>
      </c>
      <c r="C1959" t="inlineStr">
        <is>
          <t>OC</t>
        </is>
      </c>
      <c r="D1959" t="inlineStr">
        <is>
          <t>MA1010561</t>
        </is>
      </c>
      <c r="E1959" t="inlineStr">
        <is>
          <t>OC</t>
        </is>
      </c>
      <c r="F1959" t="inlineStr">
        <is>
          <t>MA1010561</t>
        </is>
      </c>
      <c r="G1959" t="n">
        <v>46093</v>
      </c>
      <c r="H1959" s="127" t="n">
        <v>46094</v>
      </c>
      <c r="I1959" t="inlineStr">
        <is>
          <t>3</t>
        </is>
      </c>
      <c r="J1959" s="38" t="inlineStr">
        <is>
          <t>0-4008</t>
        </is>
      </c>
      <c r="K1959" t="inlineStr">
        <is>
          <t>LINESMAN PLIRS BLK/RD 8"</t>
        </is>
      </c>
      <c r="L1959" t="n">
        <v>1</v>
      </c>
      <c r="M1959" t="n">
        <v>19.97</v>
      </c>
      <c r="N1959" t="inlineStr">
        <is>
          <t>INVOICE:ADJ-COMMIT</t>
        </is>
      </c>
      <c r="O1959" t="inlineStr">
        <is>
          <t>21265</t>
        </is>
      </c>
      <c r="P1959" t="inlineStr">
        <is>
          <t>WHARTON FEED &amp; SUPPLY LLC</t>
        </is>
      </c>
      <c r="Q1959" s="114" t="n">
        <v>0</v>
      </c>
      <c r="R1959" s="114" t="n">
        <v>0</v>
      </c>
      <c r="S1959" s="114" t="n">
        <v>-19.97</v>
      </c>
      <c r="T1959" t="n">
        <v>0</v>
      </c>
    </row>
    <row r="1960">
      <c r="A1960" t="inlineStr">
        <is>
          <t>ttJTrans</t>
        </is>
      </c>
      <c r="B1960" s="38" t="inlineStr">
        <is>
          <t>0-4008</t>
        </is>
      </c>
      <c r="C1960" t="inlineStr">
        <is>
          <t>OC</t>
        </is>
      </c>
      <c r="D1960" t="inlineStr">
        <is>
          <t>MA1010561</t>
        </is>
      </c>
      <c r="E1960" t="inlineStr">
        <is>
          <t>OC</t>
        </is>
      </c>
      <c r="F1960" t="inlineStr">
        <is>
          <t>MA1010561</t>
        </is>
      </c>
      <c r="G1960" t="n">
        <v>46093</v>
      </c>
      <c r="H1960" s="127" t="n">
        <v>46094</v>
      </c>
      <c r="I1960" t="inlineStr">
        <is>
          <t>9</t>
        </is>
      </c>
      <c r="J1960" s="38" t="inlineStr">
        <is>
          <t>0-4008</t>
        </is>
      </c>
      <c r="K1960" t="inlineStr">
        <is>
          <t>POST DRIVER W/2 HANDLE HD</t>
        </is>
      </c>
      <c r="L1960" t="n">
        <v>1</v>
      </c>
      <c r="M1960" t="n">
        <v>52.16</v>
      </c>
      <c r="N1960" t="inlineStr">
        <is>
          <t>INVOICE:ADJ-COMMIT</t>
        </is>
      </c>
      <c r="O1960" t="inlineStr">
        <is>
          <t>21265</t>
        </is>
      </c>
      <c r="P1960" t="inlineStr">
        <is>
          <t>WHARTON FEED &amp; SUPPLY LLC</t>
        </is>
      </c>
      <c r="Q1960" s="114" t="n">
        <v>0</v>
      </c>
      <c r="R1960" s="114" t="n">
        <v>0</v>
      </c>
      <c r="S1960" s="114" t="n">
        <v>-52.16</v>
      </c>
      <c r="T1960" t="n">
        <v>0</v>
      </c>
    </row>
    <row r="1961">
      <c r="A1961" t="inlineStr">
        <is>
          <t>ttJTrans</t>
        </is>
      </c>
      <c r="B1961" s="38" t="inlineStr">
        <is>
          <t>0-4008</t>
        </is>
      </c>
      <c r="C1961" t="inlineStr">
        <is>
          <t>OC</t>
        </is>
      </c>
      <c r="D1961" t="inlineStr">
        <is>
          <t>MA1010561</t>
        </is>
      </c>
      <c r="E1961" t="inlineStr">
        <is>
          <t>OC</t>
        </is>
      </c>
      <c r="F1961" t="inlineStr">
        <is>
          <t>MA1010561</t>
        </is>
      </c>
      <c r="G1961" t="n">
        <v>46093</v>
      </c>
      <c r="H1961" s="127" t="n">
        <v>46094</v>
      </c>
      <c r="I1961" t="inlineStr">
        <is>
          <t>2</t>
        </is>
      </c>
      <c r="J1961" s="38" t="inlineStr">
        <is>
          <t>0-4008</t>
        </is>
      </c>
      <c r="K1961" t="inlineStr">
        <is>
          <t>DIAGONAL PLIRS BLK/RD 7"</t>
        </is>
      </c>
      <c r="L1961" t="n">
        <v>1</v>
      </c>
      <c r="M1961" t="n">
        <v>16.64</v>
      </c>
      <c r="N1961" t="inlineStr">
        <is>
          <t>INVOICE:ADJ-COMMIT</t>
        </is>
      </c>
      <c r="O1961" t="inlineStr">
        <is>
          <t>21265</t>
        </is>
      </c>
      <c r="P1961" t="inlineStr">
        <is>
          <t>WHARTON FEED &amp; SUPPLY LLC</t>
        </is>
      </c>
      <c r="Q1961" s="114" t="n">
        <v>0</v>
      </c>
      <c r="R1961" s="114" t="n">
        <v>0</v>
      </c>
      <c r="S1961" s="114" t="n">
        <v>-16.64</v>
      </c>
      <c r="T1961" t="n">
        <v>0</v>
      </c>
    </row>
    <row r="1962">
      <c r="A1962" t="inlineStr">
        <is>
          <t>ttJTrans</t>
        </is>
      </c>
      <c r="B1962" s="38" t="inlineStr">
        <is>
          <t>0-4008</t>
        </is>
      </c>
      <c r="C1962" t="inlineStr">
        <is>
          <t>OC</t>
        </is>
      </c>
      <c r="D1962" t="inlineStr">
        <is>
          <t>MA1010561</t>
        </is>
      </c>
      <c r="E1962" t="inlineStr">
        <is>
          <t>OC</t>
        </is>
      </c>
      <c r="F1962" t="inlineStr">
        <is>
          <t>MA1010561</t>
        </is>
      </c>
      <c r="G1962" t="n">
        <v>46093</v>
      </c>
      <c r="H1962" s="127" t="n">
        <v>46094</v>
      </c>
      <c r="I1962" t="inlineStr">
        <is>
          <t>5</t>
        </is>
      </c>
      <c r="J1962" s="38" t="inlineStr">
        <is>
          <t>0-4008</t>
        </is>
      </c>
      <c r="K1962" t="inlineStr">
        <is>
          <t>TIRE WIRE 16GA 340 FT</t>
        </is>
      </c>
      <c r="L1962" t="n">
        <v>1</v>
      </c>
      <c r="M1962" t="n">
        <v>8.869999999999999</v>
      </c>
      <c r="N1962" t="inlineStr">
        <is>
          <t>INVOICE:ADJ-COMMIT</t>
        </is>
      </c>
      <c r="O1962" t="inlineStr">
        <is>
          <t>21265</t>
        </is>
      </c>
      <c r="P1962" t="inlineStr">
        <is>
          <t>WHARTON FEED &amp; SUPPLY LLC</t>
        </is>
      </c>
      <c r="Q1962" s="114" t="n">
        <v>0</v>
      </c>
      <c r="R1962" s="114" t="n">
        <v>0</v>
      </c>
      <c r="S1962" s="114" t="n">
        <v>-8.869999999999999</v>
      </c>
      <c r="T1962" t="n">
        <v>0</v>
      </c>
    </row>
    <row r="1963">
      <c r="A1963" t="inlineStr">
        <is>
          <t>ttJTrans</t>
        </is>
      </c>
      <c r="B1963" s="38" t="inlineStr">
        <is>
          <t>0-4008</t>
        </is>
      </c>
      <c r="C1963" t="inlineStr">
        <is>
          <t>OC</t>
        </is>
      </c>
      <c r="D1963" t="inlineStr">
        <is>
          <t>MA1010561</t>
        </is>
      </c>
      <c r="E1963" t="inlineStr">
        <is>
          <t>OC</t>
        </is>
      </c>
      <c r="F1963" t="inlineStr">
        <is>
          <t>MA1010561</t>
        </is>
      </c>
      <c r="G1963" t="n">
        <v>46093</v>
      </c>
      <c r="H1963" s="127" t="n">
        <v>46094</v>
      </c>
      <c r="I1963" t="inlineStr">
        <is>
          <t>5</t>
        </is>
      </c>
      <c r="J1963" s="38" t="inlineStr">
        <is>
          <t>0-4008</t>
        </is>
      </c>
      <c r="K1963" t="inlineStr">
        <is>
          <t>TIRE WIRE 16GA 340 FT</t>
        </is>
      </c>
      <c r="L1963" t="n">
        <v>1</v>
      </c>
      <c r="M1963" t="n">
        <v>8.869999999999999</v>
      </c>
      <c r="N1963" t="inlineStr">
        <is>
          <t>PO:COMMIT</t>
        </is>
      </c>
      <c r="O1963" t="inlineStr">
        <is>
          <t>21265</t>
        </is>
      </c>
      <c r="P1963" t="inlineStr">
        <is>
          <t>WHARTON FEED &amp; SUPPLY LLC</t>
        </is>
      </c>
      <c r="Q1963" s="114" t="n">
        <v>0</v>
      </c>
      <c r="R1963" s="114" t="n">
        <v>0</v>
      </c>
      <c r="S1963" s="114" t="n">
        <v>8.869999999999999</v>
      </c>
      <c r="T1963" t="n">
        <v>0</v>
      </c>
    </row>
    <row r="1964">
      <c r="A1964" t="inlineStr">
        <is>
          <t>ttJTrans</t>
        </is>
      </c>
      <c r="B1964" s="38" t="inlineStr">
        <is>
          <t>0-4008</t>
        </is>
      </c>
      <c r="C1964" t="inlineStr">
        <is>
          <t>OC</t>
        </is>
      </c>
      <c r="D1964" t="inlineStr">
        <is>
          <t>MA1010561</t>
        </is>
      </c>
      <c r="E1964" t="inlineStr">
        <is>
          <t>OC</t>
        </is>
      </c>
      <c r="F1964" t="inlineStr">
        <is>
          <t>MA1010561</t>
        </is>
      </c>
      <c r="G1964" t="n">
        <v>46093</v>
      </c>
      <c r="H1964" s="127" t="n">
        <v>46094</v>
      </c>
      <c r="I1964" t="inlineStr">
        <is>
          <t>3</t>
        </is>
      </c>
      <c r="J1964" s="38" t="inlineStr">
        <is>
          <t>0-4008</t>
        </is>
      </c>
      <c r="K1964" t="inlineStr">
        <is>
          <t>LINESMAN PLIRS BLK/RD 8"</t>
        </is>
      </c>
      <c r="L1964" t="n">
        <v>1</v>
      </c>
      <c r="M1964" t="n">
        <v>19.97</v>
      </c>
      <c r="N1964" t="inlineStr">
        <is>
          <t>PO:COMMIT</t>
        </is>
      </c>
      <c r="O1964" t="inlineStr">
        <is>
          <t>21265</t>
        </is>
      </c>
      <c r="P1964" t="inlineStr">
        <is>
          <t>WHARTON FEED &amp; SUPPLY LLC</t>
        </is>
      </c>
      <c r="Q1964" s="114" t="n">
        <v>0</v>
      </c>
      <c r="R1964" s="114" t="n">
        <v>0</v>
      </c>
      <c r="S1964" s="114" t="n">
        <v>19.97</v>
      </c>
      <c r="T1964" t="n">
        <v>0</v>
      </c>
    </row>
    <row r="1965">
      <c r="A1965" t="inlineStr">
        <is>
          <t>ttJTrans</t>
        </is>
      </c>
      <c r="B1965" s="38" t="inlineStr">
        <is>
          <t>0-4008</t>
        </is>
      </c>
      <c r="C1965" t="inlineStr">
        <is>
          <t>OC</t>
        </is>
      </c>
      <c r="D1965" t="inlineStr">
        <is>
          <t>MA1010561</t>
        </is>
      </c>
      <c r="E1965" t="inlineStr">
        <is>
          <t>OC</t>
        </is>
      </c>
      <c r="F1965" t="inlineStr">
        <is>
          <t>MA1010561</t>
        </is>
      </c>
      <c r="G1965" t="n">
        <v>46093</v>
      </c>
      <c r="H1965" s="127" t="n">
        <v>46094</v>
      </c>
      <c r="I1965" t="inlineStr">
        <is>
          <t>9</t>
        </is>
      </c>
      <c r="J1965" s="38" t="inlineStr">
        <is>
          <t>0-4008</t>
        </is>
      </c>
      <c r="K1965" t="inlineStr">
        <is>
          <t>POST DRIVER W/2 HANDLE HD</t>
        </is>
      </c>
      <c r="L1965" t="n">
        <v>1</v>
      </c>
      <c r="M1965" t="n">
        <v>52.16</v>
      </c>
      <c r="N1965" t="inlineStr">
        <is>
          <t>PO:COMMIT</t>
        </is>
      </c>
      <c r="O1965" t="inlineStr">
        <is>
          <t>21265</t>
        </is>
      </c>
      <c r="P1965" t="inlineStr">
        <is>
          <t>WHARTON FEED &amp; SUPPLY LLC</t>
        </is>
      </c>
      <c r="Q1965" s="114" t="n">
        <v>0</v>
      </c>
      <c r="R1965" s="114" t="n">
        <v>0</v>
      </c>
      <c r="S1965" s="114" t="n">
        <v>52.16</v>
      </c>
      <c r="T1965" t="n">
        <v>0</v>
      </c>
    </row>
    <row r="1966">
      <c r="A1966" t="inlineStr">
        <is>
          <t>ttJTrans</t>
        </is>
      </c>
      <c r="B1966" s="38" t="inlineStr">
        <is>
          <t>0-4008</t>
        </is>
      </c>
      <c r="C1966" t="inlineStr">
        <is>
          <t>OC</t>
        </is>
      </c>
      <c r="D1966" t="inlineStr">
        <is>
          <t>MA1010561</t>
        </is>
      </c>
      <c r="E1966" t="inlineStr">
        <is>
          <t>OC</t>
        </is>
      </c>
      <c r="F1966" t="inlineStr">
        <is>
          <t>MA1010561</t>
        </is>
      </c>
      <c r="G1966" t="n">
        <v>46093</v>
      </c>
      <c r="H1966" s="127" t="n">
        <v>46094</v>
      </c>
      <c r="I1966" t="inlineStr">
        <is>
          <t>4</t>
        </is>
      </c>
      <c r="J1966" s="38" t="inlineStr">
        <is>
          <t>0-4008</t>
        </is>
      </c>
      <c r="K1966" t="inlineStr">
        <is>
          <t>HI LEVRAGE CUT PLIER 3PC</t>
        </is>
      </c>
      <c r="L1966" t="n">
        <v>1</v>
      </c>
      <c r="M1966" t="n">
        <v>38.84</v>
      </c>
      <c r="N1966" t="inlineStr">
        <is>
          <t>PO:COMMIT</t>
        </is>
      </c>
      <c r="O1966" t="inlineStr">
        <is>
          <t>21265</t>
        </is>
      </c>
      <c r="P1966" t="inlineStr">
        <is>
          <t>WHARTON FEED &amp; SUPPLY LLC</t>
        </is>
      </c>
      <c r="Q1966" s="114" t="n">
        <v>0</v>
      </c>
      <c r="R1966" s="114" t="n">
        <v>0</v>
      </c>
      <c r="S1966" s="114" t="n">
        <v>38.84</v>
      </c>
      <c r="T1966" t="n">
        <v>0</v>
      </c>
    </row>
    <row r="1967">
      <c r="A1967" t="inlineStr">
        <is>
          <t>ttJTrans</t>
        </is>
      </c>
      <c r="B1967" s="38" t="inlineStr">
        <is>
          <t>0-4008</t>
        </is>
      </c>
      <c r="C1967" t="inlineStr">
        <is>
          <t>OC</t>
        </is>
      </c>
      <c r="D1967" t="inlineStr">
        <is>
          <t>MA1010561</t>
        </is>
      </c>
      <c r="E1967" t="inlineStr">
        <is>
          <t>OC</t>
        </is>
      </c>
      <c r="F1967" t="inlineStr">
        <is>
          <t>MA1010561</t>
        </is>
      </c>
      <c r="G1967" t="n">
        <v>46093</v>
      </c>
      <c r="H1967" s="127" t="n">
        <v>46094</v>
      </c>
      <c r="I1967" t="inlineStr">
        <is>
          <t>2</t>
        </is>
      </c>
      <c r="J1967" s="38" t="inlineStr">
        <is>
          <t>0-4008</t>
        </is>
      </c>
      <c r="K1967" t="inlineStr">
        <is>
          <t>DIAGONAL PLIRS BLK/RD 7"</t>
        </is>
      </c>
      <c r="L1967" t="n">
        <v>1</v>
      </c>
      <c r="M1967" t="n">
        <v>16.64</v>
      </c>
      <c r="N1967" t="inlineStr">
        <is>
          <t>PO:COMMIT</t>
        </is>
      </c>
      <c r="O1967" t="inlineStr">
        <is>
          <t>21265</t>
        </is>
      </c>
      <c r="P1967" t="inlineStr">
        <is>
          <t>WHARTON FEED &amp; SUPPLY LLC</t>
        </is>
      </c>
      <c r="Q1967" s="114" t="n">
        <v>0</v>
      </c>
      <c r="R1967" s="114" t="n">
        <v>0</v>
      </c>
      <c r="S1967" s="114" t="n">
        <v>16.64</v>
      </c>
      <c r="T1967" t="n">
        <v>0</v>
      </c>
    </row>
    <row r="1968">
      <c r="A1968" t="inlineStr">
        <is>
          <t>ttJTrans</t>
        </is>
      </c>
      <c r="B1968" s="38" t="inlineStr">
        <is>
          <t>0-4008</t>
        </is>
      </c>
      <c r="C1968" t="inlineStr">
        <is>
          <t>OC</t>
        </is>
      </c>
      <c r="D1968" t="inlineStr">
        <is>
          <t>MA1010837</t>
        </is>
      </c>
      <c r="E1968" t="inlineStr">
        <is>
          <t>OC</t>
        </is>
      </c>
      <c r="F1968" t="inlineStr">
        <is>
          <t>MA1010837</t>
        </is>
      </c>
      <c r="G1968" t="n">
        <v>46140</v>
      </c>
      <c r="H1968" s="127" t="n">
        <v>46143</v>
      </c>
      <c r="I1968" t="inlineStr">
        <is>
          <t>14</t>
        </is>
      </c>
      <c r="J1968" s="38" t="inlineStr">
        <is>
          <t>0-4008</t>
        </is>
      </c>
      <c r="K1968" t="inlineStr">
        <is>
          <t>CAP T-POST SLIP-ON SOFT 25/BAG</t>
        </is>
      </c>
      <c r="L1968" t="n">
        <v>8</v>
      </c>
      <c r="M1968" t="n">
        <v>180.71</v>
      </c>
      <c r="N1968" t="inlineStr">
        <is>
          <t>PO:COMMIT</t>
        </is>
      </c>
      <c r="O1968" t="inlineStr">
        <is>
          <t>12561</t>
        </is>
      </c>
      <c r="P1968" t="inlineStr">
        <is>
          <t>CROSS COUNTRY INFRASTRUCTURE SERVICES INC.</t>
        </is>
      </c>
      <c r="Q1968" s="114" t="n">
        <v>0</v>
      </c>
      <c r="R1968" s="114" t="n">
        <v>0</v>
      </c>
      <c r="S1968" s="114" t="n">
        <v>180.71</v>
      </c>
      <c r="T1968" t="n">
        <v>0</v>
      </c>
    </row>
    <row r="1969">
      <c r="A1969" t="inlineStr">
        <is>
          <t>ttJTrans</t>
        </is>
      </c>
      <c r="B1969" s="38" t="inlineStr">
        <is>
          <t>0-4008</t>
        </is>
      </c>
      <c r="C1969" t="inlineStr">
        <is>
          <t>OC</t>
        </is>
      </c>
      <c r="D1969" t="inlineStr">
        <is>
          <t>MA1010837</t>
        </is>
      </c>
      <c r="E1969" t="inlineStr">
        <is>
          <t>OC</t>
        </is>
      </c>
      <c r="F1969" t="inlineStr">
        <is>
          <t>MA1010837</t>
        </is>
      </c>
      <c r="G1969" t="n">
        <v>46140</v>
      </c>
      <c r="H1969" s="127" t="n">
        <v>46143</v>
      </c>
      <c r="I1969" t="inlineStr">
        <is>
          <t>13</t>
        </is>
      </c>
      <c r="J1969" s="38" t="inlineStr">
        <is>
          <t>0-4008</t>
        </is>
      </c>
      <c r="K1969" t="inlineStr">
        <is>
          <t>T-POST 6FT GREEN 1-1/4# W KIC</t>
        </is>
      </c>
      <c r="L1969" t="n">
        <v>400</v>
      </c>
      <c r="M1969" t="n">
        <v>2819.4</v>
      </c>
      <c r="N1969" t="inlineStr">
        <is>
          <t>PO:COMMIT</t>
        </is>
      </c>
      <c r="O1969" t="inlineStr">
        <is>
          <t>12561</t>
        </is>
      </c>
      <c r="P1969" t="inlineStr">
        <is>
          <t>CROSS COUNTRY INFRASTRUCTURE SERVICES INC.</t>
        </is>
      </c>
      <c r="Q1969" s="114" t="n">
        <v>0</v>
      </c>
      <c r="R1969" s="114" t="n">
        <v>0</v>
      </c>
      <c r="S1969" s="114" t="n">
        <v>2819.4</v>
      </c>
      <c r="T1969" t="n">
        <v>0</v>
      </c>
    </row>
    <row r="1970">
      <c r="A1970" t="inlineStr">
        <is>
          <t>ttJTrans</t>
        </is>
      </c>
      <c r="B1970" s="38" t="inlineStr">
        <is>
          <t>0-4008</t>
        </is>
      </c>
      <c r="C1970" t="inlineStr">
        <is>
          <t>OC</t>
        </is>
      </c>
      <c r="D1970" t="inlineStr">
        <is>
          <t>MA1010837</t>
        </is>
      </c>
      <c r="E1970" t="inlineStr">
        <is>
          <t>OC</t>
        </is>
      </c>
      <c r="F1970" t="inlineStr">
        <is>
          <t>MA1010837</t>
        </is>
      </c>
      <c r="G1970" t="n">
        <v>46140</v>
      </c>
      <c r="H1970" s="127" t="n">
        <v>46143</v>
      </c>
      <c r="I1970" t="inlineStr">
        <is>
          <t>10</t>
        </is>
      </c>
      <c r="J1970" s="38" t="inlineStr">
        <is>
          <t>0-4008</t>
        </is>
      </c>
      <c r="K1970" t="inlineStr">
        <is>
          <t>ZIP TIE 8IN UV BLK 1000/PK 75L</t>
        </is>
      </c>
      <c r="L1970" t="n">
        <v>4</v>
      </c>
      <c r="M1970" t="n">
        <v>124.32</v>
      </c>
      <c r="N1970" t="inlineStr">
        <is>
          <t>PO:COMMIT</t>
        </is>
      </c>
      <c r="O1970" t="inlineStr">
        <is>
          <t>12561</t>
        </is>
      </c>
      <c r="P1970" t="inlineStr">
        <is>
          <t>CROSS COUNTRY INFRASTRUCTURE SERVICES INC.</t>
        </is>
      </c>
      <c r="Q1970" s="114" t="n">
        <v>0</v>
      </c>
      <c r="R1970" s="114" t="n">
        <v>0</v>
      </c>
      <c r="S1970" s="114" t="n">
        <v>124.32</v>
      </c>
      <c r="T1970" t="n">
        <v>0</v>
      </c>
    </row>
    <row r="1971">
      <c r="A1971" t="inlineStr">
        <is>
          <t>ttJTrans</t>
        </is>
      </c>
      <c r="B1971" s="38" t="inlineStr">
        <is>
          <t>0-4008</t>
        </is>
      </c>
      <c r="C1971" t="inlineStr">
        <is>
          <t>OC</t>
        </is>
      </c>
      <c r="D1971" t="inlineStr">
        <is>
          <t>MA1010837</t>
        </is>
      </c>
      <c r="E1971" t="inlineStr">
        <is>
          <t>OC</t>
        </is>
      </c>
      <c r="F1971" t="inlineStr">
        <is>
          <t>MA1010837</t>
        </is>
      </c>
      <c r="G1971" t="n">
        <v>46140</v>
      </c>
      <c r="H1971" s="127" t="n">
        <v>46143</v>
      </c>
      <c r="I1971" t="inlineStr">
        <is>
          <t>9</t>
        </is>
      </c>
      <c r="J1971" s="38" t="inlineStr">
        <is>
          <t>0-4008</t>
        </is>
      </c>
      <c r="K1971" t="inlineStr">
        <is>
          <t>1/2IN X 50FT AIR HOSE</t>
        </is>
      </c>
      <c r="L1971" t="n">
        <v>2</v>
      </c>
      <c r="M1971" t="n">
        <v>144.3</v>
      </c>
      <c r="N1971" t="inlineStr">
        <is>
          <t>PO:COMMIT</t>
        </is>
      </c>
      <c r="O1971" t="inlineStr">
        <is>
          <t>12561</t>
        </is>
      </c>
      <c r="P1971" t="inlineStr">
        <is>
          <t>CROSS COUNTRY INFRASTRUCTURE SERVICES INC.</t>
        </is>
      </c>
      <c r="Q1971" s="114" t="n">
        <v>0</v>
      </c>
      <c r="R1971" s="114" t="n">
        <v>0</v>
      </c>
      <c r="S1971" s="114" t="n">
        <v>144.3</v>
      </c>
      <c r="T1971" t="n">
        <v>0</v>
      </c>
    </row>
    <row r="1972">
      <c r="A1972" t="inlineStr">
        <is>
          <t>ttJTrans</t>
        </is>
      </c>
      <c r="B1972" s="38" t="inlineStr">
        <is>
          <t>0-4008</t>
        </is>
      </c>
      <c r="C1972" t="inlineStr">
        <is>
          <t>OC</t>
        </is>
      </c>
      <c r="D1972" t="inlineStr">
        <is>
          <t>MA1010837</t>
        </is>
      </c>
      <c r="E1972" t="inlineStr">
        <is>
          <t>OC</t>
        </is>
      </c>
      <c r="F1972" t="inlineStr">
        <is>
          <t>MA1010837</t>
        </is>
      </c>
      <c r="G1972" t="n">
        <v>46140</v>
      </c>
      <c r="H1972" s="127" t="n">
        <v>46143</v>
      </c>
      <c r="I1972" t="inlineStr">
        <is>
          <t>8</t>
        </is>
      </c>
      <c r="J1972" s="38" t="inlineStr">
        <is>
          <t>0-4008</t>
        </is>
      </c>
      <c r="K1972" t="inlineStr">
        <is>
          <t>7/16 X 5/8 STAPLE W/CAP 2000/B</t>
        </is>
      </c>
      <c r="L1972" t="n">
        <v>40</v>
      </c>
      <c r="M1972" t="n">
        <v>2775</v>
      </c>
      <c r="N1972" t="inlineStr">
        <is>
          <t>PO:COMMIT</t>
        </is>
      </c>
      <c r="O1972" t="inlineStr">
        <is>
          <t>12561</t>
        </is>
      </c>
      <c r="P1972" t="inlineStr">
        <is>
          <t>CROSS COUNTRY INFRASTRUCTURE SERVICES INC.</t>
        </is>
      </c>
      <c r="Q1972" s="114" t="n">
        <v>0</v>
      </c>
      <c r="R1972" s="114" t="n">
        <v>0</v>
      </c>
      <c r="S1972" s="114" t="n">
        <v>2775</v>
      </c>
      <c r="T1972" t="n">
        <v>0</v>
      </c>
    </row>
    <row r="1973">
      <c r="A1973" t="inlineStr">
        <is>
          <t>ttJTrans</t>
        </is>
      </c>
      <c r="B1973" s="38" t="inlineStr">
        <is>
          <t>0-4008</t>
        </is>
      </c>
      <c r="C1973" t="inlineStr">
        <is>
          <t>OC</t>
        </is>
      </c>
      <c r="D1973" t="inlineStr">
        <is>
          <t>MA1010837</t>
        </is>
      </c>
      <c r="E1973" t="inlineStr">
        <is>
          <t>OC</t>
        </is>
      </c>
      <c r="F1973" t="inlineStr">
        <is>
          <t>MA1010837</t>
        </is>
      </c>
      <c r="G1973" t="n">
        <v>46140</v>
      </c>
      <c r="H1973" s="127" t="n">
        <v>46143</v>
      </c>
      <c r="I1973" t="inlineStr">
        <is>
          <t>7</t>
        </is>
      </c>
      <c r="J1973" s="38" t="inlineStr">
        <is>
          <t>0-4008</t>
        </is>
      </c>
      <c r="K1973" t="inlineStr">
        <is>
          <t>STINGER NAIL GUN</t>
        </is>
      </c>
      <c r="L1973" t="n">
        <v>5</v>
      </c>
      <c r="M1973" t="n">
        <v>1692.75</v>
      </c>
      <c r="N1973" t="inlineStr">
        <is>
          <t>PO:COMMIT</t>
        </is>
      </c>
      <c r="O1973" t="inlineStr">
        <is>
          <t>12561</t>
        </is>
      </c>
      <c r="P1973" t="inlineStr">
        <is>
          <t>CROSS COUNTRY INFRASTRUCTURE SERVICES INC.</t>
        </is>
      </c>
      <c r="Q1973" s="114" t="n">
        <v>0</v>
      </c>
      <c r="R1973" s="114" t="n">
        <v>0</v>
      </c>
      <c r="S1973" s="114" t="n">
        <v>1692.75</v>
      </c>
      <c r="T1973" t="n">
        <v>0</v>
      </c>
    </row>
    <row r="1974">
      <c r="A1974" t="inlineStr">
        <is>
          <t>ttJTrans</t>
        </is>
      </c>
      <c r="B1974" s="38" t="inlineStr">
        <is>
          <t>0-4008</t>
        </is>
      </c>
      <c r="C1974" t="inlineStr">
        <is>
          <t>OC</t>
        </is>
      </c>
      <c r="D1974" t="inlineStr">
        <is>
          <t>MA1010837</t>
        </is>
      </c>
      <c r="E1974" t="inlineStr">
        <is>
          <t>OC</t>
        </is>
      </c>
      <c r="F1974" t="inlineStr">
        <is>
          <t>MA1010837</t>
        </is>
      </c>
      <c r="G1974" t="n">
        <v>46140</v>
      </c>
      <c r="H1974" s="127" t="n">
        <v>46143</v>
      </c>
      <c r="I1974" t="inlineStr">
        <is>
          <t>6</t>
        </is>
      </c>
      <c r="J1974" s="38" t="inlineStr">
        <is>
          <t>0-4008</t>
        </is>
      </c>
      <c r="K1974" t="inlineStr">
        <is>
          <t>CAP T-POST SLIP-ON SOFT 25/BAG</t>
        </is>
      </c>
      <c r="L1974" t="n">
        <v>16</v>
      </c>
      <c r="M1974" t="n">
        <v>361.42</v>
      </c>
      <c r="N1974" t="inlineStr">
        <is>
          <t>PO:COMMIT</t>
        </is>
      </c>
      <c r="O1974" t="inlineStr">
        <is>
          <t>12561</t>
        </is>
      </c>
      <c r="P1974" t="inlineStr">
        <is>
          <t>CROSS COUNTRY INFRASTRUCTURE SERVICES INC.</t>
        </is>
      </c>
      <c r="Q1974" s="114" t="n">
        <v>0</v>
      </c>
      <c r="R1974" s="114" t="n">
        <v>0</v>
      </c>
      <c r="S1974" s="114" t="n">
        <v>361.42</v>
      </c>
      <c r="T1974" t="n">
        <v>0</v>
      </c>
    </row>
    <row r="1975">
      <c r="A1975" t="inlineStr">
        <is>
          <t>ttJTrans</t>
        </is>
      </c>
      <c r="B1975" s="38" t="inlineStr">
        <is>
          <t>0-4008</t>
        </is>
      </c>
      <c r="C1975" t="inlineStr">
        <is>
          <t>OC</t>
        </is>
      </c>
      <c r="D1975" t="inlineStr">
        <is>
          <t>MA1010837</t>
        </is>
      </c>
      <c r="E1975" t="inlineStr">
        <is>
          <t>OC</t>
        </is>
      </c>
      <c r="F1975" t="inlineStr">
        <is>
          <t>MA1010837</t>
        </is>
      </c>
      <c r="G1975" t="n">
        <v>46140</v>
      </c>
      <c r="H1975" s="127" t="n">
        <v>46143</v>
      </c>
      <c r="I1975" t="inlineStr">
        <is>
          <t>5</t>
        </is>
      </c>
      <c r="J1975" s="38" t="inlineStr">
        <is>
          <t>0-4008</t>
        </is>
      </c>
      <c r="K1975" t="inlineStr">
        <is>
          <t>T-POST 4FT NO KICK PLATE META</t>
        </is>
      </c>
      <c r="L1975" t="n">
        <v>400</v>
      </c>
      <c r="M1975" t="n">
        <v>1309.8</v>
      </c>
      <c r="N1975" t="inlineStr">
        <is>
          <t>PO:COMMIT</t>
        </is>
      </c>
      <c r="O1975" t="inlineStr">
        <is>
          <t>12561</t>
        </is>
      </c>
      <c r="P1975" t="inlineStr">
        <is>
          <t>CROSS COUNTRY INFRASTRUCTURE SERVICES INC.</t>
        </is>
      </c>
      <c r="Q1975" s="114" t="n">
        <v>0</v>
      </c>
      <c r="R1975" s="114" t="n">
        <v>0</v>
      </c>
      <c r="S1975" s="114" t="n">
        <v>1309.8</v>
      </c>
      <c r="T1975" t="n">
        <v>0</v>
      </c>
    </row>
    <row r="1976">
      <c r="A1976" t="inlineStr">
        <is>
          <t>ttJTrans</t>
        </is>
      </c>
      <c r="B1976" s="38" t="inlineStr">
        <is>
          <t>0-4008</t>
        </is>
      </c>
      <c r="C1976" t="inlineStr">
        <is>
          <t>OC</t>
        </is>
      </c>
      <c r="D1976" t="inlineStr">
        <is>
          <t>MA1010837</t>
        </is>
      </c>
      <c r="E1976" t="inlineStr">
        <is>
          <t>OC</t>
        </is>
      </c>
      <c r="F1976" t="inlineStr">
        <is>
          <t>MA1010837</t>
        </is>
      </c>
      <c r="G1976" t="n">
        <v>46140</v>
      </c>
      <c r="H1976" s="127" t="n">
        <v>46143</v>
      </c>
      <c r="I1976" t="inlineStr">
        <is>
          <t>12</t>
        </is>
      </c>
      <c r="J1976" s="38" t="inlineStr">
        <is>
          <t>0-4008</t>
        </is>
      </c>
      <c r="K1976" t="inlineStr">
        <is>
          <t>ROPE POLY 3/8INX600FT YELLOW</t>
        </is>
      </c>
      <c r="L1976" t="n">
        <v>5</v>
      </c>
      <c r="M1976" t="n">
        <v>218</v>
      </c>
      <c r="N1976" t="inlineStr">
        <is>
          <t>INVOICE:ADJ-COMMIT</t>
        </is>
      </c>
      <c r="O1976" t="inlineStr">
        <is>
          <t>12561</t>
        </is>
      </c>
      <c r="P1976" t="inlineStr">
        <is>
          <t>CROSS COUNTRY INFRASTRUCTURE SERVICES INC.</t>
        </is>
      </c>
      <c r="Q1976" s="114" t="n">
        <v>0</v>
      </c>
      <c r="R1976" s="114" t="n">
        <v>0</v>
      </c>
      <c r="S1976" s="114" t="n">
        <v>-218</v>
      </c>
      <c r="T1976" t="n">
        <v>0</v>
      </c>
    </row>
    <row r="1977">
      <c r="A1977" t="inlineStr">
        <is>
          <t>ttJTrans</t>
        </is>
      </c>
      <c r="B1977" s="38" t="inlineStr">
        <is>
          <t>0-4008</t>
        </is>
      </c>
      <c r="C1977" t="inlineStr">
        <is>
          <t>OC</t>
        </is>
      </c>
      <c r="D1977" t="inlineStr">
        <is>
          <t>MA1010837</t>
        </is>
      </c>
      <c r="E1977" t="inlineStr">
        <is>
          <t>OC</t>
        </is>
      </c>
      <c r="F1977" t="inlineStr">
        <is>
          <t>MA1010837</t>
        </is>
      </c>
      <c r="G1977" t="n">
        <v>46140</v>
      </c>
      <c r="H1977" s="127" t="n">
        <v>46143</v>
      </c>
      <c r="I1977" t="inlineStr">
        <is>
          <t>6</t>
        </is>
      </c>
      <c r="J1977" s="38" t="inlineStr">
        <is>
          <t>0-4008</t>
        </is>
      </c>
      <c r="K1977" t="inlineStr">
        <is>
          <t>CAP T-POST SLIP-ON SOFT 25/BAG</t>
        </is>
      </c>
      <c r="L1977" t="n">
        <v>16</v>
      </c>
      <c r="M1977" t="n">
        <v>361.42</v>
      </c>
      <c r="N1977" t="inlineStr">
        <is>
          <t>INVOICE:ADJ-COMMIT</t>
        </is>
      </c>
      <c r="O1977" t="inlineStr">
        <is>
          <t>12561</t>
        </is>
      </c>
      <c r="P1977" t="inlineStr">
        <is>
          <t>CROSS COUNTRY INFRASTRUCTURE SERVICES INC.</t>
        </is>
      </c>
      <c r="Q1977" s="114" t="n">
        <v>0</v>
      </c>
      <c r="R1977" s="114" t="n">
        <v>0</v>
      </c>
      <c r="S1977" s="114" t="n">
        <v>-45.18</v>
      </c>
      <c r="T1977" t="n">
        <v>0</v>
      </c>
    </row>
    <row r="1978">
      <c r="A1978" t="inlineStr">
        <is>
          <t>ttJTrans</t>
        </is>
      </c>
      <c r="B1978" s="38" t="inlineStr">
        <is>
          <t>0-4008</t>
        </is>
      </c>
      <c r="C1978" t="inlineStr">
        <is>
          <t>OC</t>
        </is>
      </c>
      <c r="D1978" t="inlineStr">
        <is>
          <t>MA1010837</t>
        </is>
      </c>
      <c r="E1978" t="inlineStr">
        <is>
          <t>OC</t>
        </is>
      </c>
      <c r="F1978" t="inlineStr">
        <is>
          <t>MA1010837</t>
        </is>
      </c>
      <c r="G1978" t="n">
        <v>46140</v>
      </c>
      <c r="H1978" s="127" t="n">
        <v>46143</v>
      </c>
      <c r="I1978" t="inlineStr">
        <is>
          <t>5</t>
        </is>
      </c>
      <c r="J1978" s="38" t="inlineStr">
        <is>
          <t>0-4008</t>
        </is>
      </c>
      <c r="K1978" t="inlineStr">
        <is>
          <t>T-POST 4FT NO KICK PLATE META</t>
        </is>
      </c>
      <c r="L1978" t="n">
        <v>400</v>
      </c>
      <c r="M1978" t="n">
        <v>1309.8</v>
      </c>
      <c r="N1978" t="inlineStr">
        <is>
          <t>INVOICE:ADJ-COMMIT</t>
        </is>
      </c>
      <c r="O1978" t="inlineStr">
        <is>
          <t>12561</t>
        </is>
      </c>
      <c r="P1978" t="inlineStr">
        <is>
          <t>CROSS COUNTRY INFRASTRUCTURE SERVICES INC.</t>
        </is>
      </c>
      <c r="Q1978" s="114" t="n">
        <v>0</v>
      </c>
      <c r="R1978" s="114" t="n">
        <v>0</v>
      </c>
      <c r="S1978" s="114" t="n">
        <v>-1309.8</v>
      </c>
      <c r="T1978" t="n">
        <v>0</v>
      </c>
    </row>
    <row r="1979">
      <c r="A1979" t="inlineStr">
        <is>
          <t>ttJTrans</t>
        </is>
      </c>
      <c r="B1979" s="38" t="inlineStr">
        <is>
          <t>0-4008</t>
        </is>
      </c>
      <c r="C1979" t="inlineStr">
        <is>
          <t>OC</t>
        </is>
      </c>
      <c r="D1979" t="inlineStr">
        <is>
          <t>MA1010837</t>
        </is>
      </c>
      <c r="E1979" t="inlineStr">
        <is>
          <t>OC</t>
        </is>
      </c>
      <c r="F1979" t="inlineStr">
        <is>
          <t>MA1010837</t>
        </is>
      </c>
      <c r="G1979" t="n">
        <v>46140</v>
      </c>
      <c r="H1979" s="127" t="n">
        <v>46143</v>
      </c>
      <c r="I1979" t="inlineStr">
        <is>
          <t>7</t>
        </is>
      </c>
      <c r="J1979" s="38" t="inlineStr">
        <is>
          <t>0-4008</t>
        </is>
      </c>
      <c r="K1979" t="inlineStr">
        <is>
          <t>STINGER NAIL GUN</t>
        </is>
      </c>
      <c r="L1979" t="n">
        <v>5</v>
      </c>
      <c r="M1979" t="n">
        <v>1692.75</v>
      </c>
      <c r="N1979" t="inlineStr">
        <is>
          <t>INVOICE:ADJ-COMMIT</t>
        </is>
      </c>
      <c r="O1979" t="inlineStr">
        <is>
          <t>12561</t>
        </is>
      </c>
      <c r="P1979" t="inlineStr">
        <is>
          <t>CROSS COUNTRY INFRASTRUCTURE SERVICES INC.</t>
        </is>
      </c>
      <c r="Q1979" s="114" t="n">
        <v>0</v>
      </c>
      <c r="R1979" s="114" t="n">
        <v>0</v>
      </c>
      <c r="S1979" s="114" t="n">
        <v>-677.1</v>
      </c>
      <c r="T1979" t="n">
        <v>0</v>
      </c>
    </row>
    <row r="1980">
      <c r="A1980" t="inlineStr">
        <is>
          <t>ttJTrans</t>
        </is>
      </c>
      <c r="B1980" s="38" t="inlineStr">
        <is>
          <t>0-4008</t>
        </is>
      </c>
      <c r="C1980" t="inlineStr">
        <is>
          <t>OC</t>
        </is>
      </c>
      <c r="D1980" t="inlineStr">
        <is>
          <t>MA1010837</t>
        </is>
      </c>
      <c r="E1980" t="inlineStr">
        <is>
          <t>OC</t>
        </is>
      </c>
      <c r="F1980" t="inlineStr">
        <is>
          <t>MA1010837</t>
        </is>
      </c>
      <c r="G1980" t="n">
        <v>46140</v>
      </c>
      <c r="H1980" s="127" t="n">
        <v>46143</v>
      </c>
      <c r="I1980" t="inlineStr">
        <is>
          <t>21</t>
        </is>
      </c>
      <c r="J1980" s="38" t="inlineStr">
        <is>
          <t>0-4008</t>
        </is>
      </c>
      <c r="K1980" t="inlineStr">
        <is>
          <t>FREIGHT EST TBD</t>
        </is>
      </c>
      <c r="L1980" t="n">
        <v>1</v>
      </c>
      <c r="M1980" t="n">
        <v>3330</v>
      </c>
      <c r="N1980" t="inlineStr">
        <is>
          <t>INVOICE:ADJ-COMMIT</t>
        </is>
      </c>
      <c r="O1980" t="inlineStr">
        <is>
          <t>12561</t>
        </is>
      </c>
      <c r="P1980" t="inlineStr">
        <is>
          <t>CROSS COUNTRY INFRASTRUCTURE SERVICES INC.</t>
        </is>
      </c>
      <c r="Q1980" s="114" t="n">
        <v>0</v>
      </c>
      <c r="R1980" s="114" t="n">
        <v>0</v>
      </c>
      <c r="S1980" s="114" t="n">
        <v>-3330</v>
      </c>
      <c r="T1980" t="n">
        <v>0</v>
      </c>
    </row>
    <row r="1981">
      <c r="A1981" t="inlineStr">
        <is>
          <t>ttJTrans</t>
        </is>
      </c>
      <c r="B1981" s="38" t="inlineStr">
        <is>
          <t>0-4008</t>
        </is>
      </c>
      <c r="C1981" t="inlineStr">
        <is>
          <t>OC</t>
        </is>
      </c>
      <c r="D1981" t="inlineStr">
        <is>
          <t>MA1010837</t>
        </is>
      </c>
      <c r="E1981" t="inlineStr">
        <is>
          <t>OC</t>
        </is>
      </c>
      <c r="F1981" t="inlineStr">
        <is>
          <t>MA1010837</t>
        </is>
      </c>
      <c r="G1981" t="n">
        <v>46140</v>
      </c>
      <c r="H1981" s="127" t="n">
        <v>46143</v>
      </c>
      <c r="I1981" t="inlineStr">
        <is>
          <t>9</t>
        </is>
      </c>
      <c r="J1981" s="38" t="inlineStr">
        <is>
          <t>0-4008</t>
        </is>
      </c>
      <c r="K1981" t="inlineStr">
        <is>
          <t>1/2IN X 50FT AIR HOSE</t>
        </is>
      </c>
      <c r="L1981" t="n">
        <v>2</v>
      </c>
      <c r="M1981" t="n">
        <v>144.3</v>
      </c>
      <c r="N1981" t="inlineStr">
        <is>
          <t>INVOICE:ADJ-COMMIT</t>
        </is>
      </c>
      <c r="O1981" t="inlineStr">
        <is>
          <t>12561</t>
        </is>
      </c>
      <c r="P1981" t="inlineStr">
        <is>
          <t>CROSS COUNTRY INFRASTRUCTURE SERVICES INC.</t>
        </is>
      </c>
      <c r="Q1981" s="114" t="n">
        <v>0</v>
      </c>
      <c r="R1981" s="114" t="n">
        <v>0</v>
      </c>
      <c r="S1981" s="114" t="n">
        <v>-144.3</v>
      </c>
      <c r="T1981" t="n">
        <v>0</v>
      </c>
    </row>
    <row r="1982">
      <c r="A1982" t="inlineStr">
        <is>
          <t>ttJTrans</t>
        </is>
      </c>
      <c r="B1982" s="38" t="inlineStr">
        <is>
          <t>0-4008</t>
        </is>
      </c>
      <c r="C1982" t="inlineStr">
        <is>
          <t>OC</t>
        </is>
      </c>
      <c r="D1982" t="inlineStr">
        <is>
          <t>MA1010837</t>
        </is>
      </c>
      <c r="E1982" t="inlineStr">
        <is>
          <t>OC</t>
        </is>
      </c>
      <c r="F1982" t="inlineStr">
        <is>
          <t>MA1010837</t>
        </is>
      </c>
      <c r="G1982" t="n">
        <v>46140</v>
      </c>
      <c r="H1982" s="127" t="n">
        <v>46143</v>
      </c>
      <c r="I1982" t="inlineStr">
        <is>
          <t>8</t>
        </is>
      </c>
      <c r="J1982" s="38" t="inlineStr">
        <is>
          <t>0-4008</t>
        </is>
      </c>
      <c r="K1982" t="inlineStr">
        <is>
          <t>7/16 X 5/8 STAPLE W/CAP 2000/B</t>
        </is>
      </c>
      <c r="L1982" t="n">
        <v>40</v>
      </c>
      <c r="M1982" t="n">
        <v>2775</v>
      </c>
      <c r="N1982" t="inlineStr">
        <is>
          <t>INVOICE:ADJ-COMMIT</t>
        </is>
      </c>
      <c r="O1982" t="inlineStr">
        <is>
          <t>12561</t>
        </is>
      </c>
      <c r="P1982" t="inlineStr">
        <is>
          <t>CROSS COUNTRY INFRASTRUCTURE SERVICES INC.</t>
        </is>
      </c>
      <c r="Q1982" s="114" t="n">
        <v>0</v>
      </c>
      <c r="R1982" s="114" t="n">
        <v>0</v>
      </c>
      <c r="S1982" s="114" t="n">
        <v>-2636.25</v>
      </c>
      <c r="T1982" t="n">
        <v>0</v>
      </c>
    </row>
    <row r="1983">
      <c r="A1983" t="inlineStr">
        <is>
          <t>ttJTrans</t>
        </is>
      </c>
      <c r="B1983" s="38" t="inlineStr">
        <is>
          <t>0-4008</t>
        </is>
      </c>
      <c r="C1983" t="inlineStr">
        <is>
          <t>OC</t>
        </is>
      </c>
      <c r="D1983" t="inlineStr">
        <is>
          <t>MA1010837</t>
        </is>
      </c>
      <c r="E1983" t="inlineStr">
        <is>
          <t>OC</t>
        </is>
      </c>
      <c r="F1983" t="inlineStr">
        <is>
          <t>MA1010837</t>
        </is>
      </c>
      <c r="G1983" t="n">
        <v>46140</v>
      </c>
      <c r="H1983" s="127" t="n">
        <v>46143</v>
      </c>
      <c r="I1983" t="inlineStr">
        <is>
          <t>10</t>
        </is>
      </c>
      <c r="J1983" s="38" t="inlineStr">
        <is>
          <t>0-4008</t>
        </is>
      </c>
      <c r="K1983" t="inlineStr">
        <is>
          <t>ZIP TIE 8IN UV BLK 1000/PK 75L</t>
        </is>
      </c>
      <c r="L1983" t="n">
        <v>4</v>
      </c>
      <c r="M1983" t="n">
        <v>124.32</v>
      </c>
      <c r="N1983" t="inlineStr">
        <is>
          <t>INVOICE:ADJ-COMMIT</t>
        </is>
      </c>
      <c r="O1983" t="inlineStr">
        <is>
          <t>12561</t>
        </is>
      </c>
      <c r="P1983" t="inlineStr">
        <is>
          <t>CROSS COUNTRY INFRASTRUCTURE SERVICES INC.</t>
        </is>
      </c>
      <c r="Q1983" s="114" t="n">
        <v>0</v>
      </c>
      <c r="R1983" s="114" t="n">
        <v>0</v>
      </c>
      <c r="S1983" s="114" t="n">
        <v>-124.32</v>
      </c>
      <c r="T1983" t="n">
        <v>0</v>
      </c>
    </row>
    <row r="1984">
      <c r="A1984" t="inlineStr">
        <is>
          <t>ttJTrans</t>
        </is>
      </c>
      <c r="B1984" s="38" t="inlineStr">
        <is>
          <t>0-4008</t>
        </is>
      </c>
      <c r="C1984" t="inlineStr">
        <is>
          <t>OC</t>
        </is>
      </c>
      <c r="D1984" t="inlineStr">
        <is>
          <t>MA1010837</t>
        </is>
      </c>
      <c r="E1984" t="inlineStr">
        <is>
          <t>OC</t>
        </is>
      </c>
      <c r="F1984" t="inlineStr">
        <is>
          <t>MA1010837</t>
        </is>
      </c>
      <c r="G1984" t="n">
        <v>46140</v>
      </c>
      <c r="H1984" s="127" t="n">
        <v>46143</v>
      </c>
      <c r="I1984" t="inlineStr">
        <is>
          <t>17</t>
        </is>
      </c>
      <c r="J1984" s="38" t="inlineStr">
        <is>
          <t>0-4008</t>
        </is>
      </c>
      <c r="K1984" t="inlineStr">
        <is>
          <t>STAPLE FENCE 1-1/2IN HG 9GA 1L</t>
        </is>
      </c>
      <c r="L1984" t="n">
        <v>10</v>
      </c>
      <c r="M1984" t="n">
        <v>46.95</v>
      </c>
      <c r="N1984" t="inlineStr">
        <is>
          <t>PO:COMMIT</t>
        </is>
      </c>
      <c r="O1984" t="inlineStr">
        <is>
          <t>12561</t>
        </is>
      </c>
      <c r="P1984" t="inlineStr">
        <is>
          <t>CROSS COUNTRY INFRASTRUCTURE SERVICES INC.</t>
        </is>
      </c>
      <c r="Q1984" s="114" t="n">
        <v>0</v>
      </c>
      <c r="R1984" s="114" t="n">
        <v>0</v>
      </c>
      <c r="S1984" s="114" t="n">
        <v>46.95</v>
      </c>
      <c r="T1984" t="n">
        <v>0</v>
      </c>
    </row>
    <row r="1985">
      <c r="A1985" t="inlineStr">
        <is>
          <t>ttJTrans</t>
        </is>
      </c>
      <c r="B1985" s="38" t="inlineStr">
        <is>
          <t>0-4008</t>
        </is>
      </c>
      <c r="C1985" t="inlineStr">
        <is>
          <t>OC</t>
        </is>
      </c>
      <c r="D1985" t="inlineStr">
        <is>
          <t>MA1010837</t>
        </is>
      </c>
      <c r="E1985" t="inlineStr">
        <is>
          <t>OC</t>
        </is>
      </c>
      <c r="F1985" t="inlineStr">
        <is>
          <t>MA1010837</t>
        </is>
      </c>
      <c r="G1985" t="n">
        <v>46140</v>
      </c>
      <c r="H1985" s="127" t="n">
        <v>46143</v>
      </c>
      <c r="I1985" t="inlineStr">
        <is>
          <t>18</t>
        </is>
      </c>
      <c r="J1985" s="38" t="inlineStr">
        <is>
          <t>0-4008</t>
        </is>
      </c>
      <c r="K1985" t="inlineStr">
        <is>
          <t>STAND ALONE FENCE/BARRIER 8-1/2X40'</t>
        </is>
      </c>
      <c r="L1985" t="n">
        <v>5</v>
      </c>
      <c r="M1985" t="n">
        <v>943.5</v>
      </c>
      <c r="N1985" t="inlineStr">
        <is>
          <t>PO:COMMIT</t>
        </is>
      </c>
      <c r="O1985" t="inlineStr">
        <is>
          <t>12561</t>
        </is>
      </c>
      <c r="P1985" t="inlineStr">
        <is>
          <t>CROSS COUNTRY INFRASTRUCTURE SERVICES INC.</t>
        </is>
      </c>
      <c r="Q1985" s="114" t="n">
        <v>0</v>
      </c>
      <c r="R1985" s="114" t="n">
        <v>0</v>
      </c>
      <c r="S1985" s="114" t="n">
        <v>943.5</v>
      </c>
      <c r="T1985" t="n">
        <v>0</v>
      </c>
    </row>
    <row r="1986">
      <c r="A1986" t="inlineStr">
        <is>
          <t>ttJTrans</t>
        </is>
      </c>
      <c r="B1986" s="38" t="inlineStr">
        <is>
          <t>0-4008</t>
        </is>
      </c>
      <c r="C1986" t="inlineStr">
        <is>
          <t>OC</t>
        </is>
      </c>
      <c r="D1986" t="inlineStr">
        <is>
          <t>MA1010837</t>
        </is>
      </c>
      <c r="E1986" t="inlineStr">
        <is>
          <t>OC</t>
        </is>
      </c>
      <c r="F1986" t="inlineStr">
        <is>
          <t>MA1010837</t>
        </is>
      </c>
      <c r="G1986" t="n">
        <v>46140</v>
      </c>
      <c r="H1986" s="127" t="n">
        <v>46143</v>
      </c>
      <c r="I1986" t="inlineStr">
        <is>
          <t>21</t>
        </is>
      </c>
      <c r="J1986" s="38" t="inlineStr">
        <is>
          <t>0-4008</t>
        </is>
      </c>
      <c r="K1986" t="inlineStr">
        <is>
          <t>FREIGHT EST TBD</t>
        </is>
      </c>
      <c r="L1986" t="n">
        <v>1</v>
      </c>
      <c r="M1986" t="n">
        <v>3330</v>
      </c>
      <c r="N1986" t="inlineStr">
        <is>
          <t>PO:COMMIT</t>
        </is>
      </c>
      <c r="O1986" t="inlineStr">
        <is>
          <t>12561</t>
        </is>
      </c>
      <c r="P1986" t="inlineStr">
        <is>
          <t>CROSS COUNTRY INFRASTRUCTURE SERVICES INC.</t>
        </is>
      </c>
      <c r="Q1986" s="114" t="n">
        <v>0</v>
      </c>
      <c r="R1986" s="114" t="n">
        <v>0</v>
      </c>
      <c r="S1986" s="114" t="n">
        <v>1110</v>
      </c>
      <c r="T1986" t="n">
        <v>0</v>
      </c>
    </row>
    <row r="1987">
      <c r="A1987" t="inlineStr">
        <is>
          <t>ttJTrans</t>
        </is>
      </c>
      <c r="B1987" s="38" t="inlineStr">
        <is>
          <t>0-4008</t>
        </is>
      </c>
      <c r="C1987" t="inlineStr">
        <is>
          <t>OC</t>
        </is>
      </c>
      <c r="D1987" t="inlineStr">
        <is>
          <t>MA1010837</t>
        </is>
      </c>
      <c r="E1987" t="inlineStr">
        <is>
          <t>OC</t>
        </is>
      </c>
      <c r="F1987" t="inlineStr">
        <is>
          <t>MA1010837</t>
        </is>
      </c>
      <c r="G1987" t="n">
        <v>46140</v>
      </c>
      <c r="H1987" s="127" t="n">
        <v>46143</v>
      </c>
      <c r="I1987" t="inlineStr">
        <is>
          <t>13</t>
        </is>
      </c>
      <c r="J1987" s="38" t="inlineStr">
        <is>
          <t>0-4008</t>
        </is>
      </c>
      <c r="K1987" t="inlineStr">
        <is>
          <t>T-POST 6FT GREEN 1-1/4# W KIC</t>
        </is>
      </c>
      <c r="L1987" t="n">
        <v>400</v>
      </c>
      <c r="M1987" t="n">
        <v>2819.4</v>
      </c>
      <c r="N1987" t="inlineStr">
        <is>
          <t>INVOICE:ADJ-COMMIT</t>
        </is>
      </c>
      <c r="O1987" t="inlineStr">
        <is>
          <t>12561</t>
        </is>
      </c>
      <c r="P1987" t="inlineStr">
        <is>
          <t>CROSS COUNTRY INFRASTRUCTURE SERVICES INC.</t>
        </is>
      </c>
      <c r="Q1987" s="114" t="n">
        <v>0</v>
      </c>
      <c r="R1987" s="114" t="n">
        <v>0</v>
      </c>
      <c r="S1987" s="114" t="n">
        <v>-2819.4</v>
      </c>
      <c r="T1987" t="n">
        <v>0</v>
      </c>
    </row>
    <row r="1988">
      <c r="A1988" t="inlineStr">
        <is>
          <t>ttJTrans</t>
        </is>
      </c>
      <c r="B1988" s="38" t="inlineStr">
        <is>
          <t>0-4008</t>
        </is>
      </c>
      <c r="C1988" t="inlineStr">
        <is>
          <t>OC</t>
        </is>
      </c>
      <c r="D1988" t="inlineStr">
        <is>
          <t>MA1010837</t>
        </is>
      </c>
      <c r="E1988" t="inlineStr">
        <is>
          <t>OC</t>
        </is>
      </c>
      <c r="F1988" t="inlineStr">
        <is>
          <t>MA1010837</t>
        </is>
      </c>
      <c r="G1988" t="n">
        <v>46140</v>
      </c>
      <c r="H1988" s="127" t="n">
        <v>46143</v>
      </c>
      <c r="I1988" t="inlineStr">
        <is>
          <t>15</t>
        </is>
      </c>
      <c r="J1988" s="38" t="inlineStr">
        <is>
          <t>0-4008</t>
        </is>
      </c>
      <c r="K1988" t="inlineStr">
        <is>
          <t>TAPE DUCT 2IN X 60YD BLACK 24/</t>
        </is>
      </c>
      <c r="L1988" t="n">
        <v>96</v>
      </c>
      <c r="M1988" t="n">
        <v>507.23</v>
      </c>
      <c r="N1988" t="inlineStr">
        <is>
          <t>PO:COMMIT</t>
        </is>
      </c>
      <c r="O1988" t="inlineStr">
        <is>
          <t>12561</t>
        </is>
      </c>
      <c r="P1988" t="inlineStr">
        <is>
          <t>CROSS COUNTRY INFRASTRUCTURE SERVICES INC.</t>
        </is>
      </c>
      <c r="Q1988" s="114" t="n">
        <v>0</v>
      </c>
      <c r="R1988" s="114" t="n">
        <v>0</v>
      </c>
      <c r="S1988" s="114" t="n">
        <v>507.23</v>
      </c>
      <c r="T1988" t="n">
        <v>0</v>
      </c>
    </row>
    <row r="1989">
      <c r="A1989" t="inlineStr">
        <is>
          <t>ttJTrans</t>
        </is>
      </c>
      <c r="B1989" s="38" t="inlineStr">
        <is>
          <t>0-4008</t>
        </is>
      </c>
      <c r="C1989" t="inlineStr">
        <is>
          <t>OC</t>
        </is>
      </c>
      <c r="D1989" t="inlineStr">
        <is>
          <t>MA1010837</t>
        </is>
      </c>
      <c r="E1989" t="inlineStr">
        <is>
          <t>OC</t>
        </is>
      </c>
      <c r="F1989" t="inlineStr">
        <is>
          <t>MA1010837</t>
        </is>
      </c>
      <c r="G1989" t="n">
        <v>46140</v>
      </c>
      <c r="H1989" s="127" t="n">
        <v>46143</v>
      </c>
      <c r="I1989" t="inlineStr">
        <is>
          <t>12</t>
        </is>
      </c>
      <c r="J1989" s="38" t="inlineStr">
        <is>
          <t>0-4008</t>
        </is>
      </c>
      <c r="K1989" t="inlineStr">
        <is>
          <t>ROPE POLY 3/8INX600FT YELLOW</t>
        </is>
      </c>
      <c r="L1989" t="n">
        <v>5</v>
      </c>
      <c r="M1989" t="n">
        <v>218</v>
      </c>
      <c r="N1989" t="inlineStr">
        <is>
          <t>PO:COMMIT</t>
        </is>
      </c>
      <c r="O1989" t="inlineStr">
        <is>
          <t>12561</t>
        </is>
      </c>
      <c r="P1989" t="inlineStr">
        <is>
          <t>CROSS COUNTRY INFRASTRUCTURE SERVICES INC.</t>
        </is>
      </c>
      <c r="Q1989" s="114" t="n">
        <v>0</v>
      </c>
      <c r="R1989" s="114" t="n">
        <v>0</v>
      </c>
      <c r="S1989" s="114" t="n">
        <v>218</v>
      </c>
      <c r="T1989" t="n">
        <v>0</v>
      </c>
    </row>
    <row r="1990">
      <c r="A1990" t="inlineStr">
        <is>
          <t>ttJTrans</t>
        </is>
      </c>
      <c r="B1990" s="38" t="inlineStr">
        <is>
          <t>0-4008</t>
        </is>
      </c>
      <c r="C1990" t="inlineStr">
        <is>
          <t>OC</t>
        </is>
      </c>
      <c r="D1990" t="inlineStr">
        <is>
          <t>MA1010837</t>
        </is>
      </c>
      <c r="E1990" t="inlineStr">
        <is>
          <t>OC</t>
        </is>
      </c>
      <c r="F1990" t="inlineStr">
        <is>
          <t>MA1010837</t>
        </is>
      </c>
      <c r="G1990" t="n">
        <v>46140</v>
      </c>
      <c r="H1990" s="127" t="n">
        <v>46143</v>
      </c>
      <c r="I1990" t="inlineStr">
        <is>
          <t>17</t>
        </is>
      </c>
      <c r="J1990" s="38" t="inlineStr">
        <is>
          <t>0-4008</t>
        </is>
      </c>
      <c r="K1990" t="inlineStr">
        <is>
          <t>STAPLE FENCE 1-1/2IN HG 9GA 1L</t>
        </is>
      </c>
      <c r="L1990" t="n">
        <v>10</v>
      </c>
      <c r="M1990" t="n">
        <v>46.95</v>
      </c>
      <c r="N1990" t="inlineStr">
        <is>
          <t>INVOICE:ADJ-COMMIT</t>
        </is>
      </c>
      <c r="O1990" t="inlineStr">
        <is>
          <t>12561</t>
        </is>
      </c>
      <c r="P1990" t="inlineStr">
        <is>
          <t>CROSS COUNTRY INFRASTRUCTURE SERVICES INC.</t>
        </is>
      </c>
      <c r="Q1990" s="114" t="n">
        <v>0</v>
      </c>
      <c r="R1990" s="114" t="n">
        <v>0</v>
      </c>
      <c r="S1990" s="114" t="n">
        <v>-46.95</v>
      </c>
      <c r="T1990" t="n">
        <v>0</v>
      </c>
    </row>
    <row r="1991">
      <c r="A1991" t="inlineStr">
        <is>
          <t>ttJTrans</t>
        </is>
      </c>
      <c r="B1991" s="38" t="inlineStr">
        <is>
          <t>0-4008</t>
        </is>
      </c>
      <c r="C1991" t="inlineStr">
        <is>
          <t>OC</t>
        </is>
      </c>
      <c r="D1991" t="inlineStr">
        <is>
          <t>MA1010837</t>
        </is>
      </c>
      <c r="E1991" t="inlineStr">
        <is>
          <t>OC</t>
        </is>
      </c>
      <c r="F1991" t="inlineStr">
        <is>
          <t>MA1010837</t>
        </is>
      </c>
      <c r="G1991" t="n">
        <v>46140</v>
      </c>
      <c r="H1991" s="127" t="n">
        <v>46143</v>
      </c>
      <c r="I1991" t="inlineStr">
        <is>
          <t>15</t>
        </is>
      </c>
      <c r="J1991" s="38" t="inlineStr">
        <is>
          <t>0-4008</t>
        </is>
      </c>
      <c r="K1991" t="inlineStr">
        <is>
          <t>TAPE DUCT 2IN X 60YD BLACK 24/</t>
        </is>
      </c>
      <c r="L1991" t="n">
        <v>96</v>
      </c>
      <c r="M1991" t="n">
        <v>507.23</v>
      </c>
      <c r="N1991" t="inlineStr">
        <is>
          <t>INVOICE:ADJ-COMMIT</t>
        </is>
      </c>
      <c r="O1991" t="inlineStr">
        <is>
          <t>12561</t>
        </is>
      </c>
      <c r="P1991" t="inlineStr">
        <is>
          <t>CROSS COUNTRY INFRASTRUCTURE SERVICES INC.</t>
        </is>
      </c>
      <c r="Q1991" s="114" t="n">
        <v>0</v>
      </c>
      <c r="R1991" s="114" t="n">
        <v>0</v>
      </c>
      <c r="S1991" s="114" t="n">
        <v>-507.23</v>
      </c>
      <c r="T1991" t="n">
        <v>0</v>
      </c>
    </row>
    <row r="1992">
      <c r="A1992" t="inlineStr">
        <is>
          <t>ttJTrans</t>
        </is>
      </c>
      <c r="B1992" s="38" t="inlineStr">
        <is>
          <t>0-4008</t>
        </is>
      </c>
      <c r="C1992" t="inlineStr">
        <is>
          <t>OC</t>
        </is>
      </c>
      <c r="D1992" t="inlineStr">
        <is>
          <t>MA1010837</t>
        </is>
      </c>
      <c r="E1992" t="inlineStr">
        <is>
          <t>OC</t>
        </is>
      </c>
      <c r="F1992" t="inlineStr">
        <is>
          <t>MA1010837</t>
        </is>
      </c>
      <c r="G1992" t="n">
        <v>46140</v>
      </c>
      <c r="H1992" s="127" t="n">
        <v>46143</v>
      </c>
      <c r="I1992" t="inlineStr">
        <is>
          <t>18</t>
        </is>
      </c>
      <c r="J1992" s="38" t="inlineStr">
        <is>
          <t>0-4008</t>
        </is>
      </c>
      <c r="K1992" t="inlineStr">
        <is>
          <t>STAND ALONE FENCE/BARRIER 8-1/2X40'</t>
        </is>
      </c>
      <c r="L1992" t="n">
        <v>5</v>
      </c>
      <c r="M1992" t="n">
        <v>943.5</v>
      </c>
      <c r="N1992" t="inlineStr">
        <is>
          <t>INVOICE:ADJ-COMMIT</t>
        </is>
      </c>
      <c r="O1992" t="inlineStr">
        <is>
          <t>12561</t>
        </is>
      </c>
      <c r="P1992" t="inlineStr">
        <is>
          <t>CROSS COUNTRY INFRASTRUCTURE SERVICES INC.</t>
        </is>
      </c>
      <c r="Q1992" s="114" t="n">
        <v>0</v>
      </c>
      <c r="R1992" s="114" t="n">
        <v>0</v>
      </c>
      <c r="S1992" s="114" t="n">
        <v>-943.5</v>
      </c>
      <c r="T1992" t="n">
        <v>0</v>
      </c>
    </row>
    <row r="1993">
      <c r="A1993" t="inlineStr">
        <is>
          <t>ttJTrans</t>
        </is>
      </c>
      <c r="B1993" s="38" t="inlineStr">
        <is>
          <t>0-4008</t>
        </is>
      </c>
      <c r="C1993" t="inlineStr">
        <is>
          <t>OC</t>
        </is>
      </c>
      <c r="D1993" t="inlineStr">
        <is>
          <t>MA1010837</t>
        </is>
      </c>
      <c r="E1993" t="inlineStr">
        <is>
          <t>OC</t>
        </is>
      </c>
      <c r="F1993" t="inlineStr">
        <is>
          <t>MA1010837</t>
        </is>
      </c>
      <c r="G1993" t="n">
        <v>46140</v>
      </c>
      <c r="H1993" s="127" t="n">
        <v>46143</v>
      </c>
      <c r="I1993" t="inlineStr">
        <is>
          <t>21</t>
        </is>
      </c>
      <c r="J1993" s="38" t="inlineStr">
        <is>
          <t>0-4008</t>
        </is>
      </c>
      <c r="K1993" t="inlineStr">
        <is>
          <t>FREIGHT EST TBD</t>
        </is>
      </c>
      <c r="L1993" t="n">
        <v>1</v>
      </c>
      <c r="M1993" t="n">
        <v>3330</v>
      </c>
      <c r="N1993" t="inlineStr">
        <is>
          <t>PO:COMMIT</t>
        </is>
      </c>
      <c r="O1993" t="inlineStr">
        <is>
          <t>12561</t>
        </is>
      </c>
      <c r="P1993" t="inlineStr">
        <is>
          <t>CROSS COUNTRY INFRASTRUCTURE SERVICES INC.</t>
        </is>
      </c>
      <c r="Q1993" s="114" t="n">
        <v>0</v>
      </c>
      <c r="R1993" s="114" t="n">
        <v>0</v>
      </c>
      <c r="S1993" s="114" t="n">
        <v>2220</v>
      </c>
      <c r="T1993" t="n">
        <v>0</v>
      </c>
    </row>
    <row r="1994">
      <c r="A1994" t="inlineStr">
        <is>
          <t>ttJTrans</t>
        </is>
      </c>
      <c r="B1994" s="38" t="inlineStr">
        <is>
          <t>0-4008</t>
        </is>
      </c>
      <c r="C1994" t="inlineStr">
        <is>
          <t>OC</t>
        </is>
      </c>
      <c r="D1994" t="inlineStr">
        <is>
          <t>MA1010837</t>
        </is>
      </c>
      <c r="E1994" t="inlineStr">
        <is>
          <t>OC</t>
        </is>
      </c>
      <c r="F1994" t="inlineStr">
        <is>
          <t>MA1010837</t>
        </is>
      </c>
      <c r="G1994" t="n">
        <v>46140</v>
      </c>
      <c r="H1994" s="127" t="n">
        <v>46149</v>
      </c>
      <c r="I1994" t="inlineStr">
        <is>
          <t>8</t>
        </is>
      </c>
      <c r="J1994" s="38" t="inlineStr">
        <is>
          <t>0-4008</t>
        </is>
      </c>
      <c r="K1994" t="inlineStr">
        <is>
          <t>7/16 X 5/8 STAPLE W/CAP 2000/B</t>
        </is>
      </c>
      <c r="L1994" t="n">
        <v>40</v>
      </c>
      <c r="M1994" t="n">
        <v>2775</v>
      </c>
      <c r="N1994" t="inlineStr">
        <is>
          <t>INVOICE</t>
        </is>
      </c>
      <c r="O1994" t="inlineStr">
        <is>
          <t>12561</t>
        </is>
      </c>
      <c r="P1994" t="inlineStr">
        <is>
          <t>CROSS COUNTRY INFRASTRUCTURE SERVICES INC.</t>
        </is>
      </c>
      <c r="Q1994" s="114" t="n">
        <v>0</v>
      </c>
      <c r="R1994" s="114" t="n">
        <v>0</v>
      </c>
      <c r="S1994" s="114" t="n">
        <v>0</v>
      </c>
      <c r="T1994" t="n">
        <v>0</v>
      </c>
    </row>
    <row r="1995">
      <c r="A1995" t="inlineStr">
        <is>
          <t>ttJTrans</t>
        </is>
      </c>
      <c r="B1995" s="38" t="inlineStr">
        <is>
          <t>0-4008</t>
        </is>
      </c>
      <c r="C1995" t="inlineStr">
        <is>
          <t>OC</t>
        </is>
      </c>
      <c r="D1995" t="inlineStr">
        <is>
          <t>MA1010837</t>
        </is>
      </c>
      <c r="E1995" t="inlineStr">
        <is>
          <t>OC</t>
        </is>
      </c>
      <c r="F1995" t="inlineStr">
        <is>
          <t>MA1010837</t>
        </is>
      </c>
      <c r="G1995" t="n">
        <v>46140</v>
      </c>
      <c r="H1995" s="127" t="n">
        <v>46149</v>
      </c>
      <c r="I1995" t="inlineStr">
        <is>
          <t>9</t>
        </is>
      </c>
      <c r="J1995" s="38" t="inlineStr">
        <is>
          <t>0-4008</t>
        </is>
      </c>
      <c r="K1995" t="inlineStr">
        <is>
          <t>1/2IN X 50FT AIR HOSE</t>
        </is>
      </c>
      <c r="L1995" t="n">
        <v>2</v>
      </c>
      <c r="M1995" t="n">
        <v>144.3</v>
      </c>
      <c r="N1995" t="inlineStr">
        <is>
          <t>INVOICE</t>
        </is>
      </c>
      <c r="O1995" t="inlineStr">
        <is>
          <t>12561</t>
        </is>
      </c>
      <c r="P1995" t="inlineStr">
        <is>
          <t>CROSS COUNTRY INFRASTRUCTURE SERVICES INC.</t>
        </is>
      </c>
      <c r="Q1995" s="114" t="n">
        <v>0</v>
      </c>
      <c r="R1995" s="114" t="n">
        <v>0</v>
      </c>
      <c r="S1995" s="114" t="n">
        <v>0</v>
      </c>
      <c r="T1995" t="n">
        <v>0</v>
      </c>
    </row>
    <row r="1996">
      <c r="A1996" t="inlineStr">
        <is>
          <t>ttJTrans</t>
        </is>
      </c>
      <c r="B1996" s="38" t="inlineStr">
        <is>
          <t>0-4008</t>
        </is>
      </c>
      <c r="C1996" t="inlineStr">
        <is>
          <t>OC</t>
        </is>
      </c>
      <c r="D1996" t="inlineStr">
        <is>
          <t>MA1010837</t>
        </is>
      </c>
      <c r="E1996" t="inlineStr">
        <is>
          <t>OC</t>
        </is>
      </c>
      <c r="F1996" t="inlineStr">
        <is>
          <t>MA1010837</t>
        </is>
      </c>
      <c r="G1996" t="n">
        <v>46140</v>
      </c>
      <c r="H1996" s="127" t="n">
        <v>46149</v>
      </c>
      <c r="I1996" t="inlineStr">
        <is>
          <t>21</t>
        </is>
      </c>
      <c r="J1996" s="38" t="inlineStr">
        <is>
          <t>0-4008</t>
        </is>
      </c>
      <c r="K1996" t="inlineStr">
        <is>
          <t>FREIGHT EST TBD</t>
        </is>
      </c>
      <c r="L1996" t="n">
        <v>1</v>
      </c>
      <c r="M1996" t="n">
        <v>3330</v>
      </c>
      <c r="N1996" t="inlineStr">
        <is>
          <t>INVOICE</t>
        </is>
      </c>
      <c r="O1996" t="inlineStr">
        <is>
          <t>12561</t>
        </is>
      </c>
      <c r="P1996" t="inlineStr">
        <is>
          <t>CROSS COUNTRY INFRASTRUCTURE SERVICES INC.</t>
        </is>
      </c>
      <c r="Q1996" s="114" t="n">
        <v>0</v>
      </c>
      <c r="R1996" s="114" t="n">
        <v>0</v>
      </c>
      <c r="S1996" s="114" t="n">
        <v>0</v>
      </c>
      <c r="T1996" t="n">
        <v>0</v>
      </c>
    </row>
    <row r="1997">
      <c r="A1997" t="inlineStr">
        <is>
          <t>ttJTrans</t>
        </is>
      </c>
      <c r="B1997" s="38" t="inlineStr">
        <is>
          <t>0-4008</t>
        </is>
      </c>
      <c r="C1997" t="inlineStr">
        <is>
          <t>OC</t>
        </is>
      </c>
      <c r="D1997" t="inlineStr">
        <is>
          <t>MA1010837</t>
        </is>
      </c>
      <c r="E1997" t="inlineStr">
        <is>
          <t>OC</t>
        </is>
      </c>
      <c r="F1997" t="inlineStr">
        <is>
          <t>MA1010837</t>
        </is>
      </c>
      <c r="G1997" t="n">
        <v>46140</v>
      </c>
      <c r="H1997" s="127" t="n">
        <v>46149</v>
      </c>
      <c r="I1997" t="inlineStr">
        <is>
          <t>6</t>
        </is>
      </c>
      <c r="J1997" s="38" t="inlineStr">
        <is>
          <t>0-4008</t>
        </is>
      </c>
      <c r="K1997" t="inlineStr">
        <is>
          <t>CAP T-POST SLIP-ON SOFT 25/BAG</t>
        </is>
      </c>
      <c r="L1997" t="n">
        <v>16</v>
      </c>
      <c r="M1997" t="n">
        <v>361.42</v>
      </c>
      <c r="N1997" t="inlineStr">
        <is>
          <t>INVOICE</t>
        </is>
      </c>
      <c r="O1997" t="inlineStr">
        <is>
          <t>12561</t>
        </is>
      </c>
      <c r="P1997" t="inlineStr">
        <is>
          <t>CROSS COUNTRY INFRASTRUCTURE SERVICES INC.</t>
        </is>
      </c>
      <c r="Q1997" s="114" t="n">
        <v>0</v>
      </c>
      <c r="R1997" s="114" t="n">
        <v>0</v>
      </c>
      <c r="S1997" s="114" t="n">
        <v>0</v>
      </c>
      <c r="T1997" t="n">
        <v>0</v>
      </c>
    </row>
    <row r="1998">
      <c r="A1998" t="inlineStr">
        <is>
          <t>ttJTrans</t>
        </is>
      </c>
      <c r="B1998" s="38" t="inlineStr">
        <is>
          <t>0-4008</t>
        </is>
      </c>
      <c r="C1998" t="inlineStr">
        <is>
          <t>OC</t>
        </is>
      </c>
      <c r="D1998" t="inlineStr">
        <is>
          <t>MA1010837</t>
        </is>
      </c>
      <c r="E1998" t="inlineStr">
        <is>
          <t>OC</t>
        </is>
      </c>
      <c r="F1998" t="inlineStr">
        <is>
          <t>MA1010837</t>
        </is>
      </c>
      <c r="G1998" t="n">
        <v>46140</v>
      </c>
      <c r="H1998" s="127" t="n">
        <v>46149</v>
      </c>
      <c r="I1998" t="inlineStr">
        <is>
          <t>12</t>
        </is>
      </c>
      <c r="J1998" s="38" t="inlineStr">
        <is>
          <t>0-4008</t>
        </is>
      </c>
      <c r="K1998" t="inlineStr">
        <is>
          <t>ROPE POLY 3/8INX600FT YELLOW</t>
        </is>
      </c>
      <c r="L1998" t="n">
        <v>5</v>
      </c>
      <c r="M1998" t="n">
        <v>218</v>
      </c>
      <c r="N1998" t="inlineStr">
        <is>
          <t>INVOICE</t>
        </is>
      </c>
      <c r="O1998" t="inlineStr">
        <is>
          <t>12561</t>
        </is>
      </c>
      <c r="P1998" t="inlineStr">
        <is>
          <t>CROSS COUNTRY INFRASTRUCTURE SERVICES INC.</t>
        </is>
      </c>
      <c r="Q1998" s="114" t="n">
        <v>0</v>
      </c>
      <c r="R1998" s="114" t="n">
        <v>0</v>
      </c>
      <c r="S1998" s="114" t="n">
        <v>0</v>
      </c>
      <c r="T1998" t="n">
        <v>0</v>
      </c>
    </row>
    <row r="1999">
      <c r="A1999" t="inlineStr">
        <is>
          <t>ttJTrans</t>
        </is>
      </c>
      <c r="B1999" s="38" t="inlineStr">
        <is>
          <t>0-4008</t>
        </is>
      </c>
      <c r="C1999" t="inlineStr">
        <is>
          <t>OC</t>
        </is>
      </c>
      <c r="D1999" t="inlineStr">
        <is>
          <t>MA1010837</t>
        </is>
      </c>
      <c r="E1999" t="inlineStr">
        <is>
          <t>OC</t>
        </is>
      </c>
      <c r="F1999" t="inlineStr">
        <is>
          <t>MA1010837</t>
        </is>
      </c>
      <c r="G1999" t="n">
        <v>46140</v>
      </c>
      <c r="H1999" s="127" t="n">
        <v>46149</v>
      </c>
      <c r="I1999" t="inlineStr">
        <is>
          <t>13</t>
        </is>
      </c>
      <c r="J1999" s="38" t="inlineStr">
        <is>
          <t>0-4008</t>
        </is>
      </c>
      <c r="K1999" t="inlineStr">
        <is>
          <t>T-POST 6FT GREEN 1-1/4# W KIC</t>
        </is>
      </c>
      <c r="L1999" t="n">
        <v>400</v>
      </c>
      <c r="M1999" t="n">
        <v>2819.4</v>
      </c>
      <c r="N1999" t="inlineStr">
        <is>
          <t>INVOICE</t>
        </is>
      </c>
      <c r="O1999" t="inlineStr">
        <is>
          <t>12561</t>
        </is>
      </c>
      <c r="P1999" t="inlineStr">
        <is>
          <t>CROSS COUNTRY INFRASTRUCTURE SERVICES INC.</t>
        </is>
      </c>
      <c r="Q1999" s="114" t="n">
        <v>0</v>
      </c>
      <c r="R1999" s="114" t="n">
        <v>0</v>
      </c>
      <c r="S1999" s="114" t="n">
        <v>0</v>
      </c>
      <c r="T1999" t="n">
        <v>0</v>
      </c>
    </row>
    <row r="2000">
      <c r="A2000" t="inlineStr">
        <is>
          <t>ttJTrans</t>
        </is>
      </c>
      <c r="B2000" s="38" t="inlineStr">
        <is>
          <t>0-4008</t>
        </is>
      </c>
      <c r="C2000" t="inlineStr">
        <is>
          <t>OC</t>
        </is>
      </c>
      <c r="D2000" t="inlineStr">
        <is>
          <t>MA1010837</t>
        </is>
      </c>
      <c r="E2000" t="inlineStr">
        <is>
          <t>OC</t>
        </is>
      </c>
      <c r="F2000" t="inlineStr">
        <is>
          <t>MA1010837</t>
        </is>
      </c>
      <c r="G2000" t="n">
        <v>46140</v>
      </c>
      <c r="H2000" s="127" t="n">
        <v>46149</v>
      </c>
      <c r="I2000" t="inlineStr">
        <is>
          <t>15</t>
        </is>
      </c>
      <c r="J2000" s="38" t="inlineStr">
        <is>
          <t>0-4008</t>
        </is>
      </c>
      <c r="K2000" t="inlineStr">
        <is>
          <t>TAPE DUCT 2IN X 60YD BLACK 24/</t>
        </is>
      </c>
      <c r="L2000" t="n">
        <v>96</v>
      </c>
      <c r="M2000" t="n">
        <v>507.23</v>
      </c>
      <c r="N2000" t="inlineStr">
        <is>
          <t>INVOICE</t>
        </is>
      </c>
      <c r="O2000" t="inlineStr">
        <is>
          <t>12561</t>
        </is>
      </c>
      <c r="P2000" t="inlineStr">
        <is>
          <t>CROSS COUNTRY INFRASTRUCTURE SERVICES INC.</t>
        </is>
      </c>
      <c r="Q2000" s="114" t="n">
        <v>0</v>
      </c>
      <c r="R2000" s="114" t="n">
        <v>0</v>
      </c>
      <c r="S2000" s="114" t="n">
        <v>0</v>
      </c>
      <c r="T2000" t="n">
        <v>0</v>
      </c>
    </row>
    <row r="2001">
      <c r="A2001" t="inlineStr">
        <is>
          <t>ttJTrans</t>
        </is>
      </c>
      <c r="B2001" s="38" t="inlineStr">
        <is>
          <t>0-4008</t>
        </is>
      </c>
      <c r="C2001" t="inlineStr">
        <is>
          <t>OC</t>
        </is>
      </c>
      <c r="D2001" t="inlineStr">
        <is>
          <t>MA1010837</t>
        </is>
      </c>
      <c r="E2001" t="inlineStr">
        <is>
          <t>OC</t>
        </is>
      </c>
      <c r="F2001" t="inlineStr">
        <is>
          <t>MA1010837</t>
        </is>
      </c>
      <c r="G2001" t="n">
        <v>46140</v>
      </c>
      <c r="H2001" s="127" t="n">
        <v>46149</v>
      </c>
      <c r="I2001" t="inlineStr">
        <is>
          <t>17</t>
        </is>
      </c>
      <c r="J2001" s="38" t="inlineStr">
        <is>
          <t>0-4008</t>
        </is>
      </c>
      <c r="K2001" t="inlineStr">
        <is>
          <t>STAPLE FENCE 1-1/2IN HG 9GA 1L</t>
        </is>
      </c>
      <c r="L2001" t="n">
        <v>10</v>
      </c>
      <c r="M2001" t="n">
        <v>46.95</v>
      </c>
      <c r="N2001" t="inlineStr">
        <is>
          <t>INVOICE</t>
        </is>
      </c>
      <c r="O2001" t="inlineStr">
        <is>
          <t>12561</t>
        </is>
      </c>
      <c r="P2001" t="inlineStr">
        <is>
          <t>CROSS COUNTRY INFRASTRUCTURE SERVICES INC.</t>
        </is>
      </c>
      <c r="Q2001" s="114" t="n">
        <v>0</v>
      </c>
      <c r="R2001" s="114" t="n">
        <v>0</v>
      </c>
      <c r="S2001" s="114" t="n">
        <v>0</v>
      </c>
      <c r="T2001" t="n">
        <v>0</v>
      </c>
    </row>
    <row r="2002">
      <c r="A2002" t="inlineStr">
        <is>
          <t>ttJTrans</t>
        </is>
      </c>
      <c r="B2002" s="38" t="inlineStr">
        <is>
          <t>0-4008</t>
        </is>
      </c>
      <c r="C2002" t="inlineStr">
        <is>
          <t>OC</t>
        </is>
      </c>
      <c r="D2002" t="inlineStr">
        <is>
          <t>MA1010837</t>
        </is>
      </c>
      <c r="E2002" t="inlineStr">
        <is>
          <t>OC</t>
        </is>
      </c>
      <c r="F2002" t="inlineStr">
        <is>
          <t>MA1010837</t>
        </is>
      </c>
      <c r="G2002" t="n">
        <v>46140</v>
      </c>
      <c r="H2002" s="127" t="n">
        <v>46149</v>
      </c>
      <c r="I2002" t="inlineStr">
        <is>
          <t>18</t>
        </is>
      </c>
      <c r="J2002" s="38" t="inlineStr">
        <is>
          <t>0-4008</t>
        </is>
      </c>
      <c r="K2002" t="inlineStr">
        <is>
          <t>STAND ALONE FENCE/BARRIER 8-1/2X40'</t>
        </is>
      </c>
      <c r="L2002" t="n">
        <v>5</v>
      </c>
      <c r="M2002" t="n">
        <v>943.5</v>
      </c>
      <c r="N2002" t="inlineStr">
        <is>
          <t>INVOICE</t>
        </is>
      </c>
      <c r="O2002" t="inlineStr">
        <is>
          <t>12561</t>
        </is>
      </c>
      <c r="P2002" t="inlineStr">
        <is>
          <t>CROSS COUNTRY INFRASTRUCTURE SERVICES INC.</t>
        </is>
      </c>
      <c r="Q2002" s="114" t="n">
        <v>0</v>
      </c>
      <c r="R2002" s="114" t="n">
        <v>0</v>
      </c>
      <c r="S2002" s="114" t="n">
        <v>0</v>
      </c>
      <c r="T2002" t="n">
        <v>0</v>
      </c>
    </row>
    <row r="2003">
      <c r="A2003" t="inlineStr">
        <is>
          <t>ttJTrans</t>
        </is>
      </c>
      <c r="B2003" s="38" t="inlineStr">
        <is>
          <t>0-4008</t>
        </is>
      </c>
      <c r="C2003" t="inlineStr">
        <is>
          <t>OC</t>
        </is>
      </c>
      <c r="D2003" t="inlineStr">
        <is>
          <t>MA1010837</t>
        </is>
      </c>
      <c r="E2003" t="inlineStr">
        <is>
          <t>OC</t>
        </is>
      </c>
      <c r="F2003" t="inlineStr">
        <is>
          <t>MA1010837</t>
        </is>
      </c>
      <c r="G2003" t="n">
        <v>46140</v>
      </c>
      <c r="H2003" s="127" t="n">
        <v>46149</v>
      </c>
      <c r="I2003" t="inlineStr">
        <is>
          <t>5</t>
        </is>
      </c>
      <c r="J2003" s="38" t="inlineStr">
        <is>
          <t>0-4008</t>
        </is>
      </c>
      <c r="K2003" t="inlineStr">
        <is>
          <t>T-POST 4FT NO KICK PLATE META</t>
        </is>
      </c>
      <c r="L2003" t="n">
        <v>400</v>
      </c>
      <c r="M2003" t="n">
        <v>1309.8</v>
      </c>
      <c r="N2003" t="inlineStr">
        <is>
          <t>INVOICE</t>
        </is>
      </c>
      <c r="O2003" t="inlineStr">
        <is>
          <t>12561</t>
        </is>
      </c>
      <c r="P2003" t="inlineStr">
        <is>
          <t>CROSS COUNTRY INFRASTRUCTURE SERVICES INC.</t>
        </is>
      </c>
      <c r="Q2003" s="114" t="n">
        <v>0</v>
      </c>
      <c r="R2003" s="114" t="n">
        <v>0</v>
      </c>
      <c r="S2003" s="114" t="n">
        <v>0</v>
      </c>
      <c r="T2003" t="n">
        <v>0</v>
      </c>
    </row>
    <row r="2004">
      <c r="A2004" t="inlineStr">
        <is>
          <t>ttJTrans</t>
        </is>
      </c>
      <c r="B2004" s="38" t="inlineStr">
        <is>
          <t>0-4008</t>
        </is>
      </c>
      <c r="C2004" t="inlineStr">
        <is>
          <t>OC</t>
        </is>
      </c>
      <c r="D2004" t="inlineStr">
        <is>
          <t>MA1010837</t>
        </is>
      </c>
      <c r="E2004" t="inlineStr">
        <is>
          <t>OC</t>
        </is>
      </c>
      <c r="F2004" t="inlineStr">
        <is>
          <t>MA1010837</t>
        </is>
      </c>
      <c r="G2004" t="n">
        <v>46140</v>
      </c>
      <c r="H2004" s="127" t="n">
        <v>46149</v>
      </c>
      <c r="I2004" t="inlineStr">
        <is>
          <t>7</t>
        </is>
      </c>
      <c r="J2004" s="38" t="inlineStr">
        <is>
          <t>0-4008</t>
        </is>
      </c>
      <c r="K2004" t="inlineStr">
        <is>
          <t>STINGER NAIL GUN</t>
        </is>
      </c>
      <c r="L2004" t="n">
        <v>5</v>
      </c>
      <c r="M2004" t="n">
        <v>1692.75</v>
      </c>
      <c r="N2004" t="inlineStr">
        <is>
          <t>INVOICE</t>
        </is>
      </c>
      <c r="O2004" t="inlineStr">
        <is>
          <t>12561</t>
        </is>
      </c>
      <c r="P2004" t="inlineStr">
        <is>
          <t>CROSS COUNTRY INFRASTRUCTURE SERVICES INC.</t>
        </is>
      </c>
      <c r="Q2004" s="114" t="n">
        <v>0</v>
      </c>
      <c r="R2004" s="114" t="n">
        <v>0</v>
      </c>
      <c r="S2004" s="114" t="n">
        <v>0</v>
      </c>
      <c r="T2004" t="n">
        <v>0</v>
      </c>
    </row>
    <row r="2005">
      <c r="A2005" t="inlineStr">
        <is>
          <t>ttJTrans</t>
        </is>
      </c>
      <c r="B2005" s="38" t="inlineStr">
        <is>
          <t>0-4008</t>
        </is>
      </c>
      <c r="C2005" t="inlineStr">
        <is>
          <t>OC</t>
        </is>
      </c>
      <c r="D2005" t="inlineStr">
        <is>
          <t>MA1010837</t>
        </is>
      </c>
      <c r="E2005" t="inlineStr">
        <is>
          <t>OC</t>
        </is>
      </c>
      <c r="F2005" t="inlineStr">
        <is>
          <t>MA1010837</t>
        </is>
      </c>
      <c r="G2005" t="n">
        <v>46140</v>
      </c>
      <c r="H2005" s="127" t="n">
        <v>46149</v>
      </c>
      <c r="I2005" t="inlineStr">
        <is>
          <t>10</t>
        </is>
      </c>
      <c r="J2005" s="38" t="inlineStr">
        <is>
          <t>0-4008</t>
        </is>
      </c>
      <c r="K2005" t="inlineStr">
        <is>
          <t>ZIP TIE 8IN UV BLK 1000/PK 75L</t>
        </is>
      </c>
      <c r="L2005" t="n">
        <v>4</v>
      </c>
      <c r="M2005" t="n">
        <v>124.32</v>
      </c>
      <c r="N2005" t="inlineStr">
        <is>
          <t>INVOICE</t>
        </is>
      </c>
      <c r="O2005" t="inlineStr">
        <is>
          <t>12561</t>
        </is>
      </c>
      <c r="P2005" t="inlineStr">
        <is>
          <t>CROSS COUNTRY INFRASTRUCTURE SERVICES INC.</t>
        </is>
      </c>
      <c r="Q2005" s="114" t="n">
        <v>0</v>
      </c>
      <c r="R2005" s="114" t="n">
        <v>0</v>
      </c>
      <c r="S2005" s="114" t="n">
        <v>0</v>
      </c>
      <c r="T2005" t="n">
        <v>0</v>
      </c>
    </row>
    <row r="2006">
      <c r="A2006" t="inlineStr">
        <is>
          <t>ttJTrans</t>
        </is>
      </c>
      <c r="B2006" s="38" t="inlineStr">
        <is>
          <t>0-4008</t>
        </is>
      </c>
      <c r="C2006" t="inlineStr">
        <is>
          <t>OC</t>
        </is>
      </c>
      <c r="D2006" t="inlineStr">
        <is>
          <t>MA1010901</t>
        </is>
      </c>
      <c r="E2006" t="inlineStr">
        <is>
          <t>OC</t>
        </is>
      </c>
      <c r="F2006" t="inlineStr">
        <is>
          <t>MA1010901</t>
        </is>
      </c>
      <c r="G2006" t="n">
        <v>46112</v>
      </c>
      <c r="H2006" s="127" t="n">
        <v>46149</v>
      </c>
      <c r="I2006" t="inlineStr">
        <is>
          <t>1</t>
        </is>
      </c>
      <c r="J2006" s="38" t="inlineStr">
        <is>
          <t>0-4008</t>
        </is>
      </c>
      <c r="K2006" t="inlineStr">
        <is>
          <t>WHC HATS</t>
        </is>
      </c>
      <c r="L2006" t="n">
        <v>1</v>
      </c>
      <c r="M2006" t="n">
        <v>5165.66</v>
      </c>
      <c r="N2006" t="inlineStr">
        <is>
          <t>INVOICE</t>
        </is>
      </c>
      <c r="O2006" t="inlineStr">
        <is>
          <t>12311</t>
        </is>
      </c>
      <c r="P2006" t="inlineStr">
        <is>
          <t>ACTION SPECIALTIES, LLC</t>
        </is>
      </c>
      <c r="Q2006" s="114" t="n">
        <v>0</v>
      </c>
      <c r="R2006" s="114" t="n">
        <v>0</v>
      </c>
      <c r="S2006" s="114" t="n">
        <v>0</v>
      </c>
      <c r="T2006" t="n">
        <v>0</v>
      </c>
    </row>
    <row r="2007">
      <c r="A2007" t="inlineStr">
        <is>
          <t>ttJTrans</t>
        </is>
      </c>
      <c r="B2007" s="38" t="inlineStr">
        <is>
          <t>0-4008</t>
        </is>
      </c>
      <c r="C2007" t="inlineStr">
        <is>
          <t>OC</t>
        </is>
      </c>
      <c r="D2007" t="inlineStr">
        <is>
          <t>MA1010901</t>
        </is>
      </c>
      <c r="E2007" t="inlineStr">
        <is>
          <t>OC</t>
        </is>
      </c>
      <c r="F2007" t="inlineStr">
        <is>
          <t>MA1010901</t>
        </is>
      </c>
      <c r="G2007" t="n">
        <v>46112</v>
      </c>
      <c r="H2007" s="127" t="n">
        <v>46112</v>
      </c>
      <c r="I2007" t="inlineStr">
        <is>
          <t>1</t>
        </is>
      </c>
      <c r="J2007" s="38" t="inlineStr">
        <is>
          <t>0-4008</t>
        </is>
      </c>
      <c r="K2007" t="inlineStr">
        <is>
          <t>WHC HATS</t>
        </is>
      </c>
      <c r="L2007" t="n">
        <v>1</v>
      </c>
      <c r="M2007" t="n">
        <v>5165.66</v>
      </c>
      <c r="N2007" t="inlineStr">
        <is>
          <t>INVOICE:ADJ-COMMIT</t>
        </is>
      </c>
      <c r="O2007" t="inlineStr">
        <is>
          <t>12311</t>
        </is>
      </c>
      <c r="P2007" t="inlineStr">
        <is>
          <t>ACTION SPECIALTIES, LLC</t>
        </is>
      </c>
      <c r="Q2007" s="114" t="n">
        <v>0</v>
      </c>
      <c r="R2007" s="114" t="n">
        <v>0</v>
      </c>
      <c r="S2007" s="114" t="n">
        <v>-5165.66</v>
      </c>
      <c r="T2007" t="n">
        <v>0</v>
      </c>
    </row>
    <row r="2008">
      <c r="A2008" t="inlineStr">
        <is>
          <t>ttJTrans</t>
        </is>
      </c>
      <c r="B2008" s="38" t="inlineStr">
        <is>
          <t>0-4008</t>
        </is>
      </c>
      <c r="C2008" t="inlineStr">
        <is>
          <t>OC</t>
        </is>
      </c>
      <c r="D2008" t="inlineStr">
        <is>
          <t>MA1010901</t>
        </is>
      </c>
      <c r="E2008" t="inlineStr">
        <is>
          <t>OC</t>
        </is>
      </c>
      <c r="F2008" t="inlineStr">
        <is>
          <t>MA1010901</t>
        </is>
      </c>
      <c r="G2008" t="n">
        <v>46112</v>
      </c>
      <c r="H2008" s="127" t="n">
        <v>46112</v>
      </c>
      <c r="I2008" t="inlineStr">
        <is>
          <t>1</t>
        </is>
      </c>
      <c r="J2008" s="38" t="inlineStr">
        <is>
          <t>0-4008</t>
        </is>
      </c>
      <c r="K2008" t="inlineStr">
        <is>
          <t>WHC HATS</t>
        </is>
      </c>
      <c r="L2008" t="n">
        <v>1</v>
      </c>
      <c r="M2008" t="n">
        <v>5165.66</v>
      </c>
      <c r="N2008" t="inlineStr">
        <is>
          <t>PO:COMMIT</t>
        </is>
      </c>
      <c r="O2008" t="inlineStr">
        <is>
          <t>12311</t>
        </is>
      </c>
      <c r="P2008" t="inlineStr">
        <is>
          <t>ACTION SPECIALTIES, LLC</t>
        </is>
      </c>
      <c r="Q2008" s="114" t="n">
        <v>0</v>
      </c>
      <c r="R2008" s="114" t="n">
        <v>0</v>
      </c>
      <c r="S2008" s="114" t="n">
        <v>5165.66</v>
      </c>
      <c r="T2008" t="n">
        <v>0</v>
      </c>
    </row>
    <row r="2009">
      <c r="A2009" t="inlineStr">
        <is>
          <t>ttJTrans</t>
        </is>
      </c>
      <c r="B2009" s="38" t="inlineStr">
        <is>
          <t>0-4008</t>
        </is>
      </c>
      <c r="C2009" t="inlineStr">
        <is>
          <t>OC</t>
        </is>
      </c>
      <c r="D2009" t="inlineStr">
        <is>
          <t>MA1010987</t>
        </is>
      </c>
      <c r="E2009" t="inlineStr">
        <is>
          <t>OC</t>
        </is>
      </c>
      <c r="F2009" t="inlineStr">
        <is>
          <t>MA1010987</t>
        </is>
      </c>
      <c r="G2009" t="n">
        <v>46118</v>
      </c>
      <c r="H2009" s="127" t="n">
        <v>46119</v>
      </c>
      <c r="I2009" t="inlineStr">
        <is>
          <t>2</t>
        </is>
      </c>
      <c r="J2009" s="38" t="inlineStr">
        <is>
          <t>0-4008</t>
        </is>
      </c>
      <c r="K2009" t="inlineStr">
        <is>
          <t>REVERSE PARKING ONLY - 24" X 12" DOUBLE</t>
        </is>
      </c>
      <c r="L2009" t="n">
        <v>40</v>
      </c>
      <c r="M2009" t="n">
        <v>532.8</v>
      </c>
      <c r="N2009" t="inlineStr">
        <is>
          <t>INVOICE:ADJ-COMMIT</t>
        </is>
      </c>
      <c r="O2009" t="inlineStr">
        <is>
          <t>21346</t>
        </is>
      </c>
      <c r="P2009" t="inlineStr">
        <is>
          <t>LOWRY'S SIGN SHOP</t>
        </is>
      </c>
      <c r="Q2009" s="114" t="n">
        <v>0</v>
      </c>
      <c r="R2009" s="114" t="n">
        <v>0</v>
      </c>
      <c r="S2009" s="114" t="n">
        <v>-532.8</v>
      </c>
      <c r="T2009" t="n">
        <v>0</v>
      </c>
    </row>
    <row r="2010">
      <c r="A2010" t="inlineStr">
        <is>
          <t>ttJTrans</t>
        </is>
      </c>
      <c r="B2010" s="38" t="inlineStr">
        <is>
          <t>0-4008</t>
        </is>
      </c>
      <c r="C2010" t="inlineStr">
        <is>
          <t>OC</t>
        </is>
      </c>
      <c r="D2010" t="inlineStr">
        <is>
          <t>MA1010987</t>
        </is>
      </c>
      <c r="E2010" t="inlineStr">
        <is>
          <t>OC</t>
        </is>
      </c>
      <c r="F2010" t="inlineStr">
        <is>
          <t>MA1010987</t>
        </is>
      </c>
      <c r="G2010" t="n">
        <v>46118</v>
      </c>
      <c r="H2010" s="127" t="n">
        <v>46119</v>
      </c>
      <c r="I2010" t="inlineStr">
        <is>
          <t>4</t>
        </is>
      </c>
      <c r="J2010" s="38" t="inlineStr">
        <is>
          <t>0-4008</t>
        </is>
      </c>
      <c r="K2010" t="inlineStr">
        <is>
          <t>STOP ON WHC ACCESS - 24" X 24" DOUBLE SIDED</t>
        </is>
      </c>
      <c r="L2010" t="n">
        <v>20</v>
      </c>
      <c r="M2010" t="n">
        <v>710.4</v>
      </c>
      <c r="N2010" t="inlineStr">
        <is>
          <t>PO:COMMIT</t>
        </is>
      </c>
      <c r="O2010" t="inlineStr">
        <is>
          <t>21346</t>
        </is>
      </c>
      <c r="P2010" t="inlineStr">
        <is>
          <t>LOWRY'S SIGN SHOP</t>
        </is>
      </c>
      <c r="Q2010" s="114" t="n">
        <v>0</v>
      </c>
      <c r="R2010" s="114" t="n">
        <v>0</v>
      </c>
      <c r="S2010" s="114" t="n">
        <v>710.4</v>
      </c>
      <c r="T2010" t="n">
        <v>0</v>
      </c>
    </row>
    <row r="2011">
      <c r="A2011" t="inlineStr">
        <is>
          <t>ttJTrans</t>
        </is>
      </c>
      <c r="B2011" s="38" t="inlineStr">
        <is>
          <t>0-4008</t>
        </is>
      </c>
      <c r="C2011" t="inlineStr">
        <is>
          <t>OC</t>
        </is>
      </c>
      <c r="D2011" t="inlineStr">
        <is>
          <t>MA1010987</t>
        </is>
      </c>
      <c r="E2011" t="inlineStr">
        <is>
          <t>OC</t>
        </is>
      </c>
      <c r="F2011" t="inlineStr">
        <is>
          <t>MA1010987</t>
        </is>
      </c>
      <c r="G2011" t="n">
        <v>46118</v>
      </c>
      <c r="H2011" s="127" t="n">
        <v>46119</v>
      </c>
      <c r="I2011" t="inlineStr">
        <is>
          <t>5</t>
        </is>
      </c>
      <c r="J2011" s="38" t="inlineStr">
        <is>
          <t>0-4008</t>
        </is>
      </c>
      <c r="K2011" t="inlineStr">
        <is>
          <t>BOX/HANDLING</t>
        </is>
      </c>
      <c r="L2011" t="n">
        <v>1</v>
      </c>
      <c r="M2011" t="n">
        <v>27.75</v>
      </c>
      <c r="N2011" t="inlineStr">
        <is>
          <t>PO:COMMIT</t>
        </is>
      </c>
      <c r="O2011" t="inlineStr">
        <is>
          <t>21346</t>
        </is>
      </c>
      <c r="P2011" t="inlineStr">
        <is>
          <t>LOWRY'S SIGN SHOP</t>
        </is>
      </c>
      <c r="Q2011" s="114" t="n">
        <v>0</v>
      </c>
      <c r="R2011" s="114" t="n">
        <v>0</v>
      </c>
      <c r="S2011" s="114" t="n">
        <v>27.75</v>
      </c>
      <c r="T2011" t="n">
        <v>0</v>
      </c>
    </row>
    <row r="2012">
      <c r="A2012" t="inlineStr">
        <is>
          <t>ttJTrans</t>
        </is>
      </c>
      <c r="B2012" s="38" t="inlineStr">
        <is>
          <t>0-4008</t>
        </is>
      </c>
      <c r="C2012" t="inlineStr">
        <is>
          <t>OC</t>
        </is>
      </c>
      <c r="D2012" t="inlineStr">
        <is>
          <t>MA1010987</t>
        </is>
      </c>
      <c r="E2012" t="inlineStr">
        <is>
          <t>OC</t>
        </is>
      </c>
      <c r="F2012" t="inlineStr">
        <is>
          <t>MA1010987</t>
        </is>
      </c>
      <c r="G2012" t="n">
        <v>46118</v>
      </c>
      <c r="H2012" s="127" t="n">
        <v>46119</v>
      </c>
      <c r="I2012" t="inlineStr">
        <is>
          <t>4</t>
        </is>
      </c>
      <c r="J2012" s="38" t="inlineStr">
        <is>
          <t>0-4008</t>
        </is>
      </c>
      <c r="K2012" t="inlineStr">
        <is>
          <t>STOP ON WHC ACCESS - 24" X 24" DOUBLE SIDED</t>
        </is>
      </c>
      <c r="L2012" t="n">
        <v>20</v>
      </c>
      <c r="M2012" t="n">
        <v>710.4</v>
      </c>
      <c r="N2012" t="inlineStr">
        <is>
          <t>INVOICE:ADJ-COMMIT</t>
        </is>
      </c>
      <c r="O2012" t="inlineStr">
        <is>
          <t>21346</t>
        </is>
      </c>
      <c r="P2012" t="inlineStr">
        <is>
          <t>LOWRY'S SIGN SHOP</t>
        </is>
      </c>
      <c r="Q2012" s="114" t="n">
        <v>0</v>
      </c>
      <c r="R2012" s="114" t="n">
        <v>0</v>
      </c>
      <c r="S2012" s="114" t="n">
        <v>-710.4</v>
      </c>
      <c r="T2012" t="n">
        <v>0</v>
      </c>
    </row>
    <row r="2013">
      <c r="A2013" t="inlineStr">
        <is>
          <t>ttJTrans</t>
        </is>
      </c>
      <c r="B2013" s="38" t="inlineStr">
        <is>
          <t>0-4008</t>
        </is>
      </c>
      <c r="C2013" t="inlineStr">
        <is>
          <t>OC</t>
        </is>
      </c>
      <c r="D2013" t="inlineStr">
        <is>
          <t>MA1010987</t>
        </is>
      </c>
      <c r="E2013" t="inlineStr">
        <is>
          <t>OC</t>
        </is>
      </c>
      <c r="F2013" t="inlineStr">
        <is>
          <t>MA1010987</t>
        </is>
      </c>
      <c r="G2013" t="n">
        <v>46118</v>
      </c>
      <c r="H2013" s="127" t="n">
        <v>46119</v>
      </c>
      <c r="I2013" t="inlineStr">
        <is>
          <t>2</t>
        </is>
      </c>
      <c r="J2013" s="38" t="inlineStr">
        <is>
          <t>0-4008</t>
        </is>
      </c>
      <c r="K2013" t="inlineStr">
        <is>
          <t>REVERSE PARKING ONLY - 24" X 12" DOUBLE</t>
        </is>
      </c>
      <c r="L2013" t="n">
        <v>40</v>
      </c>
      <c r="M2013" t="n">
        <v>532.8</v>
      </c>
      <c r="N2013" t="inlineStr">
        <is>
          <t>PO:COMMIT</t>
        </is>
      </c>
      <c r="O2013" t="inlineStr">
        <is>
          <t>21346</t>
        </is>
      </c>
      <c r="P2013" t="inlineStr">
        <is>
          <t>LOWRY'S SIGN SHOP</t>
        </is>
      </c>
      <c r="Q2013" s="114" t="n">
        <v>0</v>
      </c>
      <c r="R2013" s="114" t="n">
        <v>0</v>
      </c>
      <c r="S2013" s="114" t="n">
        <v>532.8</v>
      </c>
      <c r="T2013" t="n">
        <v>0</v>
      </c>
    </row>
    <row r="2014">
      <c r="A2014" t="inlineStr">
        <is>
          <t>ttJTrans</t>
        </is>
      </c>
      <c r="B2014" s="38" t="inlineStr">
        <is>
          <t>0-4008</t>
        </is>
      </c>
      <c r="C2014" t="inlineStr">
        <is>
          <t>OC</t>
        </is>
      </c>
      <c r="D2014" t="inlineStr">
        <is>
          <t>MA1010987</t>
        </is>
      </c>
      <c r="E2014" t="inlineStr">
        <is>
          <t>OC</t>
        </is>
      </c>
      <c r="F2014" t="inlineStr">
        <is>
          <t>MA1010987</t>
        </is>
      </c>
      <c r="G2014" t="n">
        <v>46118</v>
      </c>
      <c r="H2014" s="127" t="n">
        <v>46119</v>
      </c>
      <c r="I2014" t="inlineStr">
        <is>
          <t>1</t>
        </is>
      </c>
      <c r="J2014" s="38" t="inlineStr">
        <is>
          <t>0-4008</t>
        </is>
      </c>
      <c r="K2014" t="inlineStr">
        <is>
          <t>DANGER OVERHEAD POWER LINES ARROW UP - 24" X</t>
        </is>
      </c>
      <c r="L2014" t="n">
        <v>30</v>
      </c>
      <c r="M2014" t="n">
        <v>915.75</v>
      </c>
      <c r="N2014" t="inlineStr">
        <is>
          <t>PO:COMMIT</t>
        </is>
      </c>
      <c r="O2014" t="inlineStr">
        <is>
          <t>21346</t>
        </is>
      </c>
      <c r="P2014" t="inlineStr">
        <is>
          <t>LOWRY'S SIGN SHOP</t>
        </is>
      </c>
      <c r="Q2014" s="114" t="n">
        <v>0</v>
      </c>
      <c r="R2014" s="114" t="n">
        <v>0</v>
      </c>
      <c r="S2014" s="114" t="n">
        <v>915.75</v>
      </c>
      <c r="T2014" t="n">
        <v>0</v>
      </c>
    </row>
    <row r="2015">
      <c r="A2015" t="inlineStr">
        <is>
          <t>ttJTrans</t>
        </is>
      </c>
      <c r="B2015" s="38" t="inlineStr">
        <is>
          <t>0-4008</t>
        </is>
      </c>
      <c r="C2015" t="inlineStr">
        <is>
          <t>OC</t>
        </is>
      </c>
      <c r="D2015" t="inlineStr">
        <is>
          <t>MA1010987</t>
        </is>
      </c>
      <c r="E2015" t="inlineStr">
        <is>
          <t>OC</t>
        </is>
      </c>
      <c r="F2015" t="inlineStr">
        <is>
          <t>MA1010987</t>
        </is>
      </c>
      <c r="G2015" t="n">
        <v>46118</v>
      </c>
      <c r="H2015" s="127" t="n">
        <v>46119</v>
      </c>
      <c r="I2015" t="inlineStr">
        <is>
          <t>6</t>
        </is>
      </c>
      <c r="J2015" s="38" t="inlineStr">
        <is>
          <t>0-4008</t>
        </is>
      </c>
      <c r="K2015" t="inlineStr">
        <is>
          <t>ESTIMATED GROUND SHIPPING TO LAKE CHARLES, LA</t>
        </is>
      </c>
      <c r="L2015" t="n">
        <v>1</v>
      </c>
      <c r="M2015" t="n">
        <v>61.05</v>
      </c>
      <c r="N2015" t="inlineStr">
        <is>
          <t>PO:COMMIT</t>
        </is>
      </c>
      <c r="O2015" t="inlineStr">
        <is>
          <t>21346</t>
        </is>
      </c>
      <c r="P2015" t="inlineStr">
        <is>
          <t>LOWRY'S SIGN SHOP</t>
        </is>
      </c>
      <c r="Q2015" s="114" t="n">
        <v>0</v>
      </c>
      <c r="R2015" s="114" t="n">
        <v>0</v>
      </c>
      <c r="S2015" s="114" t="n">
        <v>61.05</v>
      </c>
      <c r="T2015" t="n">
        <v>0</v>
      </c>
    </row>
    <row r="2016">
      <c r="A2016" t="inlineStr">
        <is>
          <t>ttJTrans</t>
        </is>
      </c>
      <c r="B2016" s="38" t="inlineStr">
        <is>
          <t>0-4008</t>
        </is>
      </c>
      <c r="C2016" t="inlineStr">
        <is>
          <t>OC</t>
        </is>
      </c>
      <c r="D2016" t="inlineStr">
        <is>
          <t>MA1010987</t>
        </is>
      </c>
      <c r="E2016" t="inlineStr">
        <is>
          <t>OC</t>
        </is>
      </c>
      <c r="F2016" t="inlineStr">
        <is>
          <t>MA1010987</t>
        </is>
      </c>
      <c r="G2016" t="n">
        <v>46118</v>
      </c>
      <c r="H2016" s="127" t="n">
        <v>46119</v>
      </c>
      <c r="I2016" t="inlineStr">
        <is>
          <t>6</t>
        </is>
      </c>
      <c r="J2016" s="38" t="inlineStr">
        <is>
          <t>0-4008</t>
        </is>
      </c>
      <c r="K2016" t="inlineStr">
        <is>
          <t>ESTIMATED GROUND SHIPPING TO LAKE CHARLES, LA</t>
        </is>
      </c>
      <c r="L2016" t="n">
        <v>1</v>
      </c>
      <c r="M2016" t="n">
        <v>61.05</v>
      </c>
      <c r="N2016" t="inlineStr">
        <is>
          <t>INVOICE:ADJ-COMMIT</t>
        </is>
      </c>
      <c r="O2016" t="inlineStr">
        <is>
          <t>21346</t>
        </is>
      </c>
      <c r="P2016" t="inlineStr">
        <is>
          <t>LOWRY'S SIGN SHOP</t>
        </is>
      </c>
      <c r="Q2016" s="114" t="n">
        <v>0</v>
      </c>
      <c r="R2016" s="114" t="n">
        <v>0</v>
      </c>
      <c r="S2016" s="114" t="n">
        <v>-61.05</v>
      </c>
      <c r="T2016" t="n">
        <v>0</v>
      </c>
    </row>
    <row r="2017">
      <c r="A2017" t="inlineStr">
        <is>
          <t>ttJTrans</t>
        </is>
      </c>
      <c r="B2017" s="38" t="inlineStr">
        <is>
          <t>0-4008</t>
        </is>
      </c>
      <c r="C2017" t="inlineStr">
        <is>
          <t>OC</t>
        </is>
      </c>
      <c r="D2017" t="inlineStr">
        <is>
          <t>MA1010987</t>
        </is>
      </c>
      <c r="E2017" t="inlineStr">
        <is>
          <t>OC</t>
        </is>
      </c>
      <c r="F2017" t="inlineStr">
        <is>
          <t>MA1010987</t>
        </is>
      </c>
      <c r="G2017" t="n">
        <v>46118</v>
      </c>
      <c r="H2017" s="127" t="n">
        <v>46119</v>
      </c>
      <c r="I2017" t="inlineStr">
        <is>
          <t>3</t>
        </is>
      </c>
      <c r="J2017" s="38" t="inlineStr">
        <is>
          <t>0-4008</t>
        </is>
      </c>
      <c r="K2017" t="inlineStr">
        <is>
          <t>WHC ACCESS - 24" X 24" DOUBLE SIDED SIGNS ON</t>
        </is>
      </c>
      <c r="L2017" t="n">
        <v>20</v>
      </c>
      <c r="M2017" t="n">
        <v>710.4</v>
      </c>
      <c r="N2017" t="inlineStr">
        <is>
          <t>PO:COMMIT</t>
        </is>
      </c>
      <c r="O2017" t="inlineStr">
        <is>
          <t>21346</t>
        </is>
      </c>
      <c r="P2017" t="inlineStr">
        <is>
          <t>LOWRY'S SIGN SHOP</t>
        </is>
      </c>
      <c r="Q2017" s="114" t="n">
        <v>0</v>
      </c>
      <c r="R2017" s="114" t="n">
        <v>0</v>
      </c>
      <c r="S2017" s="114" t="n">
        <v>710.4</v>
      </c>
      <c r="T2017" t="n">
        <v>0</v>
      </c>
    </row>
    <row r="2018">
      <c r="A2018" t="inlineStr">
        <is>
          <t>ttJTrans</t>
        </is>
      </c>
      <c r="B2018" s="38" t="inlineStr">
        <is>
          <t>0-4008</t>
        </is>
      </c>
      <c r="C2018" t="inlineStr">
        <is>
          <t>OC</t>
        </is>
      </c>
      <c r="D2018" t="inlineStr">
        <is>
          <t>MA1010987</t>
        </is>
      </c>
      <c r="E2018" t="inlineStr">
        <is>
          <t>OC</t>
        </is>
      </c>
      <c r="F2018" t="inlineStr">
        <is>
          <t>MA1010987</t>
        </is>
      </c>
      <c r="G2018" t="n">
        <v>46118</v>
      </c>
      <c r="H2018" s="127" t="n">
        <v>46119</v>
      </c>
      <c r="I2018" t="inlineStr">
        <is>
          <t>1</t>
        </is>
      </c>
      <c r="J2018" s="38" t="inlineStr">
        <is>
          <t>0-4008</t>
        </is>
      </c>
      <c r="K2018" t="inlineStr">
        <is>
          <t>DANGER OVERHEAD POWER LINES ARROW UP - 24" X</t>
        </is>
      </c>
      <c r="L2018" t="n">
        <v>30</v>
      </c>
      <c r="M2018" t="n">
        <v>915.75</v>
      </c>
      <c r="N2018" t="inlineStr">
        <is>
          <t>INVOICE:ADJ-COMMIT</t>
        </is>
      </c>
      <c r="O2018" t="inlineStr">
        <is>
          <t>21346</t>
        </is>
      </c>
      <c r="P2018" t="inlineStr">
        <is>
          <t>LOWRY'S SIGN SHOP</t>
        </is>
      </c>
      <c r="Q2018" s="114" t="n">
        <v>0</v>
      </c>
      <c r="R2018" s="114" t="n">
        <v>0</v>
      </c>
      <c r="S2018" s="114" t="n">
        <v>-915.75</v>
      </c>
      <c r="T2018" t="n">
        <v>0</v>
      </c>
    </row>
    <row r="2019">
      <c r="A2019" t="inlineStr">
        <is>
          <t>ttJTrans</t>
        </is>
      </c>
      <c r="B2019" s="38" t="inlineStr">
        <is>
          <t>0-4008</t>
        </is>
      </c>
      <c r="C2019" t="inlineStr">
        <is>
          <t>OC</t>
        </is>
      </c>
      <c r="D2019" t="inlineStr">
        <is>
          <t>MA1010987</t>
        </is>
      </c>
      <c r="E2019" t="inlineStr">
        <is>
          <t>OC</t>
        </is>
      </c>
      <c r="F2019" t="inlineStr">
        <is>
          <t>MA1010987</t>
        </is>
      </c>
      <c r="G2019" t="n">
        <v>46118</v>
      </c>
      <c r="H2019" s="127" t="n">
        <v>46119</v>
      </c>
      <c r="I2019" t="inlineStr">
        <is>
          <t>3</t>
        </is>
      </c>
      <c r="J2019" s="38" t="inlineStr">
        <is>
          <t>0-4008</t>
        </is>
      </c>
      <c r="K2019" t="inlineStr">
        <is>
          <t>WHC ACCESS - 24" X 24" DOUBLE SIDED SIGNS ON</t>
        </is>
      </c>
      <c r="L2019" t="n">
        <v>20</v>
      </c>
      <c r="M2019" t="n">
        <v>710.4</v>
      </c>
      <c r="N2019" t="inlineStr">
        <is>
          <t>INVOICE:ADJ-COMMIT</t>
        </is>
      </c>
      <c r="O2019" t="inlineStr">
        <is>
          <t>21346</t>
        </is>
      </c>
      <c r="P2019" t="inlineStr">
        <is>
          <t>LOWRY'S SIGN SHOP</t>
        </is>
      </c>
      <c r="Q2019" s="114" t="n">
        <v>0</v>
      </c>
      <c r="R2019" s="114" t="n">
        <v>0</v>
      </c>
      <c r="S2019" s="114" t="n">
        <v>-710.4</v>
      </c>
      <c r="T2019" t="n">
        <v>0</v>
      </c>
    </row>
    <row r="2020">
      <c r="A2020" t="inlineStr">
        <is>
          <t>ttJTrans</t>
        </is>
      </c>
      <c r="B2020" s="38" t="inlineStr">
        <is>
          <t>0-4008</t>
        </is>
      </c>
      <c r="C2020" t="inlineStr">
        <is>
          <t>OC</t>
        </is>
      </c>
      <c r="D2020" t="inlineStr">
        <is>
          <t>MA1010987</t>
        </is>
      </c>
      <c r="E2020" t="inlineStr">
        <is>
          <t>OC</t>
        </is>
      </c>
      <c r="F2020" t="inlineStr">
        <is>
          <t>MA1010987</t>
        </is>
      </c>
      <c r="G2020" t="n">
        <v>46118</v>
      </c>
      <c r="H2020" s="127" t="n">
        <v>46119</v>
      </c>
      <c r="I2020" t="inlineStr">
        <is>
          <t>5</t>
        </is>
      </c>
      <c r="J2020" s="38" t="inlineStr">
        <is>
          <t>0-4008</t>
        </is>
      </c>
      <c r="K2020" t="inlineStr">
        <is>
          <t>BOX/HANDLING</t>
        </is>
      </c>
      <c r="L2020" t="n">
        <v>1</v>
      </c>
      <c r="M2020" t="n">
        <v>27.75</v>
      </c>
      <c r="N2020" t="inlineStr">
        <is>
          <t>INVOICE:ADJ-COMMIT</t>
        </is>
      </c>
      <c r="O2020" t="inlineStr">
        <is>
          <t>21346</t>
        </is>
      </c>
      <c r="P2020" t="inlineStr">
        <is>
          <t>LOWRY'S SIGN SHOP</t>
        </is>
      </c>
      <c r="Q2020" s="114" t="n">
        <v>0</v>
      </c>
      <c r="R2020" s="114" t="n">
        <v>0</v>
      </c>
      <c r="S2020" s="114" t="n">
        <v>-27.75</v>
      </c>
      <c r="T2020" t="n">
        <v>0</v>
      </c>
    </row>
    <row r="2021">
      <c r="A2021" t="inlineStr">
        <is>
          <t>ttJTrans</t>
        </is>
      </c>
      <c r="B2021" s="38" t="inlineStr">
        <is>
          <t>0-4008</t>
        </is>
      </c>
      <c r="C2021" t="inlineStr">
        <is>
          <t>OC</t>
        </is>
      </c>
      <c r="D2021" t="inlineStr">
        <is>
          <t>MA1010987</t>
        </is>
      </c>
      <c r="E2021" t="inlineStr">
        <is>
          <t>OC</t>
        </is>
      </c>
      <c r="F2021" t="inlineStr">
        <is>
          <t>MA1010987</t>
        </is>
      </c>
      <c r="G2021" t="n">
        <v>46118</v>
      </c>
      <c r="H2021" s="127" t="n">
        <v>46150</v>
      </c>
      <c r="I2021" t="inlineStr">
        <is>
          <t>4</t>
        </is>
      </c>
      <c r="J2021" s="38" t="inlineStr">
        <is>
          <t>0-4008</t>
        </is>
      </c>
      <c r="K2021" t="inlineStr">
        <is>
          <t>STOP ON WHC ACCESS - 24" X 24" DOUBLE SIDED</t>
        </is>
      </c>
      <c r="L2021" t="n">
        <v>20</v>
      </c>
      <c r="M2021" t="n">
        <v>710.4</v>
      </c>
      <c r="N2021" t="inlineStr">
        <is>
          <t>INVOICE</t>
        </is>
      </c>
      <c r="O2021" t="inlineStr">
        <is>
          <t>21346</t>
        </is>
      </c>
      <c r="P2021" t="inlineStr">
        <is>
          <t>LOWRY'S SIGN SHOP</t>
        </is>
      </c>
      <c r="Q2021" s="114" t="n">
        <v>0</v>
      </c>
      <c r="R2021" s="114" t="n">
        <v>0</v>
      </c>
      <c r="S2021" s="114" t="n">
        <v>0</v>
      </c>
      <c r="T2021" t="n">
        <v>0</v>
      </c>
    </row>
    <row r="2022">
      <c r="A2022" t="inlineStr">
        <is>
          <t>ttJTrans</t>
        </is>
      </c>
      <c r="B2022" s="38" t="inlineStr">
        <is>
          <t>0-4008</t>
        </is>
      </c>
      <c r="C2022" t="inlineStr">
        <is>
          <t>OC</t>
        </is>
      </c>
      <c r="D2022" t="inlineStr">
        <is>
          <t>MA1010987</t>
        </is>
      </c>
      <c r="E2022" t="inlineStr">
        <is>
          <t>OC</t>
        </is>
      </c>
      <c r="F2022" t="inlineStr">
        <is>
          <t>MA1010987</t>
        </is>
      </c>
      <c r="G2022" t="n">
        <v>46118</v>
      </c>
      <c r="H2022" s="127" t="n">
        <v>46150</v>
      </c>
      <c r="I2022" t="inlineStr">
        <is>
          <t>3</t>
        </is>
      </c>
      <c r="J2022" s="38" t="inlineStr">
        <is>
          <t>0-4008</t>
        </is>
      </c>
      <c r="K2022" t="inlineStr">
        <is>
          <t>WHC ACCESS - 24" X 24" DOUBLE SIDED SIGNS ON</t>
        </is>
      </c>
      <c r="L2022" t="n">
        <v>20</v>
      </c>
      <c r="M2022" t="n">
        <v>710.4</v>
      </c>
      <c r="N2022" t="inlineStr">
        <is>
          <t>INVOICE</t>
        </is>
      </c>
      <c r="O2022" t="inlineStr">
        <is>
          <t>21346</t>
        </is>
      </c>
      <c r="P2022" t="inlineStr">
        <is>
          <t>LOWRY'S SIGN SHOP</t>
        </is>
      </c>
      <c r="Q2022" s="114" t="n">
        <v>0</v>
      </c>
      <c r="R2022" s="114" t="n">
        <v>0</v>
      </c>
      <c r="S2022" s="114" t="n">
        <v>0</v>
      </c>
      <c r="T2022" t="n">
        <v>0</v>
      </c>
    </row>
    <row r="2023">
      <c r="A2023" t="inlineStr">
        <is>
          <t>ttJTrans</t>
        </is>
      </c>
      <c r="B2023" s="38" t="inlineStr">
        <is>
          <t>0-4008</t>
        </is>
      </c>
      <c r="C2023" t="inlineStr">
        <is>
          <t>OC</t>
        </is>
      </c>
      <c r="D2023" t="inlineStr">
        <is>
          <t>MA1010987</t>
        </is>
      </c>
      <c r="E2023" t="inlineStr">
        <is>
          <t>OC</t>
        </is>
      </c>
      <c r="F2023" t="inlineStr">
        <is>
          <t>MA1010987</t>
        </is>
      </c>
      <c r="G2023" t="n">
        <v>46118</v>
      </c>
      <c r="H2023" s="127" t="n">
        <v>46150</v>
      </c>
      <c r="I2023" t="inlineStr">
        <is>
          <t>2</t>
        </is>
      </c>
      <c r="J2023" s="38" t="inlineStr">
        <is>
          <t>0-4008</t>
        </is>
      </c>
      <c r="K2023" t="inlineStr">
        <is>
          <t>REVERSE PARKING ONLY - 24" X 12" DOUBLE</t>
        </is>
      </c>
      <c r="L2023" t="n">
        <v>40</v>
      </c>
      <c r="M2023" t="n">
        <v>532.8</v>
      </c>
      <c r="N2023" t="inlineStr">
        <is>
          <t>INVOICE</t>
        </is>
      </c>
      <c r="O2023" t="inlineStr">
        <is>
          <t>21346</t>
        </is>
      </c>
      <c r="P2023" t="inlineStr">
        <is>
          <t>LOWRY'S SIGN SHOP</t>
        </is>
      </c>
      <c r="Q2023" s="114" t="n">
        <v>0</v>
      </c>
      <c r="R2023" s="114" t="n">
        <v>0</v>
      </c>
      <c r="S2023" s="114" t="n">
        <v>0</v>
      </c>
      <c r="T2023" t="n">
        <v>0</v>
      </c>
    </row>
    <row r="2024">
      <c r="A2024" t="inlineStr">
        <is>
          <t>ttJTrans</t>
        </is>
      </c>
      <c r="B2024" s="38" t="inlineStr">
        <is>
          <t>0-4008</t>
        </is>
      </c>
      <c r="C2024" t="inlineStr">
        <is>
          <t>OC</t>
        </is>
      </c>
      <c r="D2024" t="inlineStr">
        <is>
          <t>MA1010987</t>
        </is>
      </c>
      <c r="E2024" t="inlineStr">
        <is>
          <t>OC</t>
        </is>
      </c>
      <c r="F2024" t="inlineStr">
        <is>
          <t>MA1010987</t>
        </is>
      </c>
      <c r="G2024" t="n">
        <v>46118</v>
      </c>
      <c r="H2024" s="127" t="n">
        <v>46150</v>
      </c>
      <c r="I2024" t="inlineStr">
        <is>
          <t>6</t>
        </is>
      </c>
      <c r="J2024" s="38" t="inlineStr">
        <is>
          <t>0-4008</t>
        </is>
      </c>
      <c r="K2024" t="inlineStr">
        <is>
          <t>ESTIMATED GROUND SHIPPING TO LAKE CHARLES, LA</t>
        </is>
      </c>
      <c r="L2024" t="n">
        <v>1</v>
      </c>
      <c r="M2024" t="n">
        <v>61.05</v>
      </c>
      <c r="N2024" t="inlineStr">
        <is>
          <t>INVOICE</t>
        </is>
      </c>
      <c r="O2024" t="inlineStr">
        <is>
          <t>21346</t>
        </is>
      </c>
      <c r="P2024" t="inlineStr">
        <is>
          <t>LOWRY'S SIGN SHOP</t>
        </is>
      </c>
      <c r="Q2024" s="114" t="n">
        <v>0</v>
      </c>
      <c r="R2024" s="114" t="n">
        <v>0</v>
      </c>
      <c r="S2024" s="114" t="n">
        <v>0</v>
      </c>
      <c r="T2024" t="n">
        <v>0</v>
      </c>
    </row>
    <row r="2025">
      <c r="A2025" t="inlineStr">
        <is>
          <t>ttJTrans</t>
        </is>
      </c>
      <c r="B2025" s="38" t="inlineStr">
        <is>
          <t>0-4008</t>
        </is>
      </c>
      <c r="C2025" t="inlineStr">
        <is>
          <t>OC</t>
        </is>
      </c>
      <c r="D2025" t="inlineStr">
        <is>
          <t>MA1010987</t>
        </is>
      </c>
      <c r="E2025" t="inlineStr">
        <is>
          <t>OC</t>
        </is>
      </c>
      <c r="F2025" t="inlineStr">
        <is>
          <t>MA1010987</t>
        </is>
      </c>
      <c r="G2025" t="n">
        <v>46118</v>
      </c>
      <c r="H2025" s="127" t="n">
        <v>46150</v>
      </c>
      <c r="I2025" t="inlineStr">
        <is>
          <t>5</t>
        </is>
      </c>
      <c r="J2025" s="38" t="inlineStr">
        <is>
          <t>0-4008</t>
        </is>
      </c>
      <c r="K2025" t="inlineStr">
        <is>
          <t>BOX/HANDLING</t>
        </is>
      </c>
      <c r="L2025" t="n">
        <v>1</v>
      </c>
      <c r="M2025" t="n">
        <v>27.75</v>
      </c>
      <c r="N2025" t="inlineStr">
        <is>
          <t>INVOICE</t>
        </is>
      </c>
      <c r="O2025" t="inlineStr">
        <is>
          <t>21346</t>
        </is>
      </c>
      <c r="P2025" t="inlineStr">
        <is>
          <t>LOWRY'S SIGN SHOP</t>
        </is>
      </c>
      <c r="Q2025" s="114" t="n">
        <v>0</v>
      </c>
      <c r="R2025" s="114" t="n">
        <v>0</v>
      </c>
      <c r="S2025" s="114" t="n">
        <v>0</v>
      </c>
      <c r="T2025" t="n">
        <v>0</v>
      </c>
    </row>
    <row r="2026">
      <c r="A2026" t="inlineStr">
        <is>
          <t>ttJTrans</t>
        </is>
      </c>
      <c r="B2026" s="38" t="inlineStr">
        <is>
          <t>0-4008</t>
        </is>
      </c>
      <c r="C2026" t="inlineStr">
        <is>
          <t>OC</t>
        </is>
      </c>
      <c r="D2026" t="inlineStr">
        <is>
          <t>MA1010987</t>
        </is>
      </c>
      <c r="E2026" t="inlineStr">
        <is>
          <t>OC</t>
        </is>
      </c>
      <c r="F2026" t="inlineStr">
        <is>
          <t>MA1010987</t>
        </is>
      </c>
      <c r="G2026" t="n">
        <v>46118</v>
      </c>
      <c r="H2026" s="127" t="n">
        <v>46150</v>
      </c>
      <c r="I2026" t="inlineStr">
        <is>
          <t>1</t>
        </is>
      </c>
      <c r="J2026" s="38" t="inlineStr">
        <is>
          <t>0-4008</t>
        </is>
      </c>
      <c r="K2026" t="inlineStr">
        <is>
          <t>DANGER OVERHEAD POWER LINES ARROW UP - 24" X</t>
        </is>
      </c>
      <c r="L2026" t="n">
        <v>30</v>
      </c>
      <c r="M2026" t="n">
        <v>915.75</v>
      </c>
      <c r="N2026" t="inlineStr">
        <is>
          <t>INVOICE</t>
        </is>
      </c>
      <c r="O2026" t="inlineStr">
        <is>
          <t>21346</t>
        </is>
      </c>
      <c r="P2026" t="inlineStr">
        <is>
          <t>LOWRY'S SIGN SHOP</t>
        </is>
      </c>
      <c r="Q2026" s="114" t="n">
        <v>0</v>
      </c>
      <c r="R2026" s="114" t="n">
        <v>0</v>
      </c>
      <c r="S2026" s="114" t="n">
        <v>0</v>
      </c>
      <c r="T2026" t="n">
        <v>0</v>
      </c>
    </row>
    <row r="2027">
      <c r="A2027" t="inlineStr">
        <is>
          <t>ttJTrans</t>
        </is>
      </c>
      <c r="B2027" s="38" t="inlineStr">
        <is>
          <t>0-4008</t>
        </is>
      </c>
      <c r="C2027" t="inlineStr">
        <is>
          <t>OC</t>
        </is>
      </c>
      <c r="D2027" t="inlineStr">
        <is>
          <t>MA1011009</t>
        </is>
      </c>
      <c r="E2027" t="inlineStr">
        <is>
          <t>OC</t>
        </is>
      </c>
      <c r="F2027" t="inlineStr">
        <is>
          <t>MA1011009</t>
        </is>
      </c>
      <c r="G2027" t="n">
        <v>46118</v>
      </c>
      <c r="H2027" s="127" t="n">
        <v>46135</v>
      </c>
      <c r="I2027" t="inlineStr">
        <is>
          <t>2</t>
        </is>
      </c>
      <c r="J2027" s="38" t="inlineStr">
        <is>
          <t>0-4008</t>
        </is>
      </c>
      <c r="K2027" t="inlineStr">
        <is>
          <t>FREIGHT</t>
        </is>
      </c>
      <c r="L2027" t="n">
        <v>1</v>
      </c>
      <c r="M2027" t="n">
        <v>49.95</v>
      </c>
      <c r="N2027" t="inlineStr">
        <is>
          <t>INVOICE</t>
        </is>
      </c>
      <c r="O2027" t="inlineStr">
        <is>
          <t>12561</t>
        </is>
      </c>
      <c r="P2027" t="inlineStr">
        <is>
          <t>CROSS COUNTRY INFRASTRUCTURE SERVICES INC.</t>
        </is>
      </c>
      <c r="Q2027" s="114" t="n">
        <v>0</v>
      </c>
      <c r="R2027" s="114" t="n">
        <v>0</v>
      </c>
      <c r="S2027" s="114" t="n">
        <v>0</v>
      </c>
      <c r="T2027" t="n">
        <v>0</v>
      </c>
    </row>
    <row r="2028">
      <c r="A2028" t="inlineStr">
        <is>
          <t>ttJTrans</t>
        </is>
      </c>
      <c r="B2028" s="38" t="inlineStr">
        <is>
          <t>0-4008</t>
        </is>
      </c>
      <c r="C2028" t="inlineStr">
        <is>
          <t>OC</t>
        </is>
      </c>
      <c r="D2028" t="inlineStr">
        <is>
          <t>MA1011009</t>
        </is>
      </c>
      <c r="E2028" t="inlineStr">
        <is>
          <t>OC</t>
        </is>
      </c>
      <c r="F2028" t="inlineStr">
        <is>
          <t>MA1011009</t>
        </is>
      </c>
      <c r="G2028" t="n">
        <v>46118</v>
      </c>
      <c r="H2028" s="127" t="n">
        <v>46135</v>
      </c>
      <c r="I2028" t="inlineStr">
        <is>
          <t>1</t>
        </is>
      </c>
      <c r="J2028" s="38" t="inlineStr">
        <is>
          <t>0-4008</t>
        </is>
      </c>
      <c r="K2028" t="inlineStr">
        <is>
          <t>SHADE HARDHAT W REFL TAPE 50/B</t>
        </is>
      </c>
      <c r="L2028" t="n">
        <v>100</v>
      </c>
      <c r="M2028" t="n">
        <v>749.25</v>
      </c>
      <c r="N2028" t="inlineStr">
        <is>
          <t>INVOICE</t>
        </is>
      </c>
      <c r="O2028" t="inlineStr">
        <is>
          <t>12561</t>
        </is>
      </c>
      <c r="P2028" t="inlineStr">
        <is>
          <t>CROSS COUNTRY INFRASTRUCTURE SERVICES INC.</t>
        </is>
      </c>
      <c r="Q2028" s="114" t="n">
        <v>0</v>
      </c>
      <c r="R2028" s="114" t="n">
        <v>0</v>
      </c>
      <c r="S2028" s="114" t="n">
        <v>0</v>
      </c>
      <c r="T2028" t="n">
        <v>0</v>
      </c>
    </row>
    <row r="2029">
      <c r="A2029" t="inlineStr">
        <is>
          <t>ttJTrans</t>
        </is>
      </c>
      <c r="B2029" s="38" t="inlineStr">
        <is>
          <t>0-4008</t>
        </is>
      </c>
      <c r="C2029" t="inlineStr">
        <is>
          <t>OC</t>
        </is>
      </c>
      <c r="D2029" t="inlineStr">
        <is>
          <t>MA1011009</t>
        </is>
      </c>
      <c r="E2029" t="inlineStr">
        <is>
          <t>OC</t>
        </is>
      </c>
      <c r="F2029" t="inlineStr">
        <is>
          <t>MA1011009</t>
        </is>
      </c>
      <c r="G2029" t="n">
        <v>46118</v>
      </c>
      <c r="H2029" s="127" t="n">
        <v>46119</v>
      </c>
      <c r="I2029" t="inlineStr">
        <is>
          <t>1</t>
        </is>
      </c>
      <c r="J2029" s="38" t="inlineStr">
        <is>
          <t>0-4008</t>
        </is>
      </c>
      <c r="K2029" t="inlineStr">
        <is>
          <t>SHADE HARDHAT W REFL TAPE 50/B</t>
        </is>
      </c>
      <c r="L2029" t="n">
        <v>100</v>
      </c>
      <c r="M2029" t="n">
        <v>749.25</v>
      </c>
      <c r="N2029" t="inlineStr">
        <is>
          <t>INVOICE:ADJ-COMMIT</t>
        </is>
      </c>
      <c r="O2029" t="inlineStr">
        <is>
          <t>12561</t>
        </is>
      </c>
      <c r="P2029" t="inlineStr">
        <is>
          <t>CROSS COUNTRY INFRASTRUCTURE SERVICES INC.</t>
        </is>
      </c>
      <c r="Q2029" s="114" t="n">
        <v>0</v>
      </c>
      <c r="R2029" s="114" t="n">
        <v>0</v>
      </c>
      <c r="S2029" s="114" t="n">
        <v>-749.25</v>
      </c>
      <c r="T2029" t="n">
        <v>0</v>
      </c>
    </row>
    <row r="2030">
      <c r="A2030" t="inlineStr">
        <is>
          <t>ttJTrans</t>
        </is>
      </c>
      <c r="B2030" s="38" t="inlineStr">
        <is>
          <t>0-4008</t>
        </is>
      </c>
      <c r="C2030" t="inlineStr">
        <is>
          <t>OC</t>
        </is>
      </c>
      <c r="D2030" t="inlineStr">
        <is>
          <t>MA1011009</t>
        </is>
      </c>
      <c r="E2030" t="inlineStr">
        <is>
          <t>OC</t>
        </is>
      </c>
      <c r="F2030" t="inlineStr">
        <is>
          <t>MA1011009</t>
        </is>
      </c>
      <c r="G2030" t="n">
        <v>46118</v>
      </c>
      <c r="H2030" s="127" t="n">
        <v>46119</v>
      </c>
      <c r="I2030" t="inlineStr">
        <is>
          <t>2</t>
        </is>
      </c>
      <c r="J2030" s="38" t="inlineStr">
        <is>
          <t>0-4008</t>
        </is>
      </c>
      <c r="K2030" t="inlineStr">
        <is>
          <t>FREIGHT</t>
        </is>
      </c>
      <c r="L2030" t="n">
        <v>1</v>
      </c>
      <c r="M2030" t="n">
        <v>49.95</v>
      </c>
      <c r="N2030" t="inlineStr">
        <is>
          <t>PO:COMMIT</t>
        </is>
      </c>
      <c r="O2030" t="inlineStr">
        <is>
          <t>12561</t>
        </is>
      </c>
      <c r="P2030" t="inlineStr">
        <is>
          <t>CROSS COUNTRY INFRASTRUCTURE SERVICES INC.</t>
        </is>
      </c>
      <c r="Q2030" s="114" t="n">
        <v>0</v>
      </c>
      <c r="R2030" s="114" t="n">
        <v>0</v>
      </c>
      <c r="S2030" s="114" t="n">
        <v>49.95</v>
      </c>
      <c r="T2030" t="n">
        <v>0</v>
      </c>
    </row>
    <row r="2031">
      <c r="A2031" t="inlineStr">
        <is>
          <t>ttJTrans</t>
        </is>
      </c>
      <c r="B2031" s="38" t="inlineStr">
        <is>
          <t>0-4008</t>
        </is>
      </c>
      <c r="C2031" t="inlineStr">
        <is>
          <t>OC</t>
        </is>
      </c>
      <c r="D2031" t="inlineStr">
        <is>
          <t>MA1011009</t>
        </is>
      </c>
      <c r="E2031" t="inlineStr">
        <is>
          <t>OC</t>
        </is>
      </c>
      <c r="F2031" t="inlineStr">
        <is>
          <t>MA1011009</t>
        </is>
      </c>
      <c r="G2031" t="n">
        <v>46118</v>
      </c>
      <c r="H2031" s="127" t="n">
        <v>46119</v>
      </c>
      <c r="I2031" t="inlineStr">
        <is>
          <t>2</t>
        </is>
      </c>
      <c r="J2031" s="38" t="inlineStr">
        <is>
          <t>0-4008</t>
        </is>
      </c>
      <c r="K2031" t="inlineStr">
        <is>
          <t>FREIGHT</t>
        </is>
      </c>
      <c r="L2031" t="n">
        <v>1</v>
      </c>
      <c r="M2031" t="n">
        <v>49.95</v>
      </c>
      <c r="N2031" t="inlineStr">
        <is>
          <t>INVOICE:ADJ-COMMIT</t>
        </is>
      </c>
      <c r="O2031" t="inlineStr">
        <is>
          <t>12561</t>
        </is>
      </c>
      <c r="P2031" t="inlineStr">
        <is>
          <t>CROSS COUNTRY INFRASTRUCTURE SERVICES INC.</t>
        </is>
      </c>
      <c r="Q2031" s="114" t="n">
        <v>0</v>
      </c>
      <c r="R2031" s="114" t="n">
        <v>0</v>
      </c>
      <c r="S2031" s="114" t="n">
        <v>-49.95</v>
      </c>
      <c r="T2031" t="n">
        <v>0</v>
      </c>
    </row>
    <row r="2032">
      <c r="A2032" t="inlineStr">
        <is>
          <t>ttJTrans</t>
        </is>
      </c>
      <c r="B2032" s="38" t="inlineStr">
        <is>
          <t>0-4008</t>
        </is>
      </c>
      <c r="C2032" t="inlineStr">
        <is>
          <t>OC</t>
        </is>
      </c>
      <c r="D2032" t="inlineStr">
        <is>
          <t>MA1011009</t>
        </is>
      </c>
      <c r="E2032" t="inlineStr">
        <is>
          <t>OC</t>
        </is>
      </c>
      <c r="F2032" t="inlineStr">
        <is>
          <t>MA1011009</t>
        </is>
      </c>
      <c r="G2032" t="n">
        <v>46118</v>
      </c>
      <c r="H2032" s="127" t="n">
        <v>46119</v>
      </c>
      <c r="I2032" t="inlineStr">
        <is>
          <t>1</t>
        </is>
      </c>
      <c r="J2032" s="38" t="inlineStr">
        <is>
          <t>0-4008</t>
        </is>
      </c>
      <c r="K2032" t="inlineStr">
        <is>
          <t>SHADE HARDHAT W REFL TAPE 50/B</t>
        </is>
      </c>
      <c r="L2032" t="n">
        <v>100</v>
      </c>
      <c r="M2032" t="n">
        <v>749.25</v>
      </c>
      <c r="N2032" t="inlineStr">
        <is>
          <t>PO:COMMIT</t>
        </is>
      </c>
      <c r="O2032" t="inlineStr">
        <is>
          <t>12561</t>
        </is>
      </c>
      <c r="P2032" t="inlineStr">
        <is>
          <t>CROSS COUNTRY INFRASTRUCTURE SERVICES INC.</t>
        </is>
      </c>
      <c r="Q2032" s="114" t="n">
        <v>0</v>
      </c>
      <c r="R2032" s="114" t="n">
        <v>0</v>
      </c>
      <c r="S2032" s="114" t="n">
        <v>749.25</v>
      </c>
      <c r="T2032" t="n">
        <v>0</v>
      </c>
    </row>
    <row r="2033">
      <c r="A2033" t="inlineStr">
        <is>
          <t>ttJTrans</t>
        </is>
      </c>
      <c r="B2033" s="38" t="inlineStr">
        <is>
          <t>0-4008</t>
        </is>
      </c>
      <c r="C2033" t="inlineStr">
        <is>
          <t>OC</t>
        </is>
      </c>
      <c r="D2033" t="inlineStr">
        <is>
          <t>MA1011041</t>
        </is>
      </c>
      <c r="E2033" t="inlineStr">
        <is>
          <t>OC</t>
        </is>
      </c>
      <c r="F2033" t="inlineStr">
        <is>
          <t>MA1011041</t>
        </is>
      </c>
      <c r="G2033" t="n">
        <v>46119</v>
      </c>
      <c r="H2033" s="127" t="n">
        <v>46119</v>
      </c>
      <c r="I2033" t="inlineStr">
        <is>
          <t>1</t>
        </is>
      </c>
      <c r="J2033" s="38" t="inlineStr">
        <is>
          <t>0-4008</t>
        </is>
      </c>
      <c r="K2033" t="inlineStr">
        <is>
          <t>TAPE ELEC BLACK 3/4INX60YD 10/</t>
        </is>
      </c>
      <c r="L2033" t="n">
        <v>100</v>
      </c>
      <c r="M2033" t="n">
        <v>97.68000000000001</v>
      </c>
      <c r="N2033" t="inlineStr">
        <is>
          <t>INVOICE:ADJ-COMMIT</t>
        </is>
      </c>
      <c r="O2033" t="inlineStr">
        <is>
          <t>12561</t>
        </is>
      </c>
      <c r="P2033" t="inlineStr">
        <is>
          <t>CROSS COUNTRY INFRASTRUCTURE SERVICES INC.</t>
        </is>
      </c>
      <c r="Q2033" s="114" t="n">
        <v>0</v>
      </c>
      <c r="R2033" s="114" t="n">
        <v>0</v>
      </c>
      <c r="S2033" s="114" t="n">
        <v>-97.68000000000001</v>
      </c>
      <c r="T2033" t="n">
        <v>0</v>
      </c>
    </row>
    <row r="2034">
      <c r="A2034" t="inlineStr">
        <is>
          <t>ttJTrans</t>
        </is>
      </c>
      <c r="B2034" s="38" t="inlineStr">
        <is>
          <t>0-4008</t>
        </is>
      </c>
      <c r="C2034" t="inlineStr">
        <is>
          <t>OC</t>
        </is>
      </c>
      <c r="D2034" t="inlineStr">
        <is>
          <t>MA1011041</t>
        </is>
      </c>
      <c r="E2034" t="inlineStr">
        <is>
          <t>OC</t>
        </is>
      </c>
      <c r="F2034" t="inlineStr">
        <is>
          <t>MA1011041</t>
        </is>
      </c>
      <c r="G2034" t="n">
        <v>46119</v>
      </c>
      <c r="H2034" s="127" t="n">
        <v>46119</v>
      </c>
      <c r="I2034" t="inlineStr">
        <is>
          <t>2</t>
        </is>
      </c>
      <c r="J2034" s="38" t="inlineStr">
        <is>
          <t>0-4008</t>
        </is>
      </c>
      <c r="K2034" t="inlineStr">
        <is>
          <t>TAPE ELECTRICAL 3/4IN RED</t>
        </is>
      </c>
      <c r="L2034" t="n">
        <v>100</v>
      </c>
      <c r="M2034" t="n">
        <v>97.68000000000001</v>
      </c>
      <c r="N2034" t="inlineStr">
        <is>
          <t>INVOICE:ADJ-COMMIT</t>
        </is>
      </c>
      <c r="O2034" t="inlineStr">
        <is>
          <t>12561</t>
        </is>
      </c>
      <c r="P2034" t="inlineStr">
        <is>
          <t>CROSS COUNTRY INFRASTRUCTURE SERVICES INC.</t>
        </is>
      </c>
      <c r="Q2034" s="114" t="n">
        <v>0</v>
      </c>
      <c r="R2034" s="114" t="n">
        <v>0</v>
      </c>
      <c r="S2034" s="114" t="n">
        <v>-97.68000000000001</v>
      </c>
      <c r="T2034" t="n">
        <v>0</v>
      </c>
    </row>
    <row r="2035">
      <c r="A2035" t="inlineStr">
        <is>
          <t>ttJTrans</t>
        </is>
      </c>
      <c r="B2035" s="38" t="inlineStr">
        <is>
          <t>0-4008</t>
        </is>
      </c>
      <c r="C2035" t="inlineStr">
        <is>
          <t>OC</t>
        </is>
      </c>
      <c r="D2035" t="inlineStr">
        <is>
          <t>MA1011041</t>
        </is>
      </c>
      <c r="E2035" t="inlineStr">
        <is>
          <t>OC</t>
        </is>
      </c>
      <c r="F2035" t="inlineStr">
        <is>
          <t>MA1011041</t>
        </is>
      </c>
      <c r="G2035" t="n">
        <v>46119</v>
      </c>
      <c r="H2035" s="127" t="n">
        <v>46119</v>
      </c>
      <c r="I2035" t="inlineStr">
        <is>
          <t>7</t>
        </is>
      </c>
      <c r="J2035" s="38" t="inlineStr">
        <is>
          <t>0-4008</t>
        </is>
      </c>
      <c r="K2035" t="inlineStr">
        <is>
          <t>PORTABLE FOLDING TABLE 6FT</t>
        </is>
      </c>
      <c r="L2035" t="n">
        <v>6</v>
      </c>
      <c r="M2035" t="n">
        <v>487.18</v>
      </c>
      <c r="N2035" t="inlineStr">
        <is>
          <t>PO:COMMIT</t>
        </is>
      </c>
      <c r="O2035" t="inlineStr">
        <is>
          <t>12561</t>
        </is>
      </c>
      <c r="P2035" t="inlineStr">
        <is>
          <t>CROSS COUNTRY INFRASTRUCTURE SERVICES INC.</t>
        </is>
      </c>
      <c r="Q2035" s="114" t="n">
        <v>0</v>
      </c>
      <c r="R2035" s="114" t="n">
        <v>0</v>
      </c>
      <c r="S2035" s="114" t="n">
        <v>487.18</v>
      </c>
      <c r="T2035" t="n">
        <v>0</v>
      </c>
    </row>
    <row r="2036">
      <c r="A2036" t="inlineStr">
        <is>
          <t>ttJTrans</t>
        </is>
      </c>
      <c r="B2036" s="38" t="inlineStr">
        <is>
          <t>0-4008</t>
        </is>
      </c>
      <c r="C2036" t="inlineStr">
        <is>
          <t>OC</t>
        </is>
      </c>
      <c r="D2036" t="inlineStr">
        <is>
          <t>MA1011041</t>
        </is>
      </c>
      <c r="E2036" t="inlineStr">
        <is>
          <t>OC</t>
        </is>
      </c>
      <c r="F2036" t="inlineStr">
        <is>
          <t>MA1011041</t>
        </is>
      </c>
      <c r="G2036" t="n">
        <v>46119</v>
      </c>
      <c r="H2036" s="127" t="n">
        <v>46119</v>
      </c>
      <c r="I2036" t="inlineStr">
        <is>
          <t>3</t>
        </is>
      </c>
      <c r="J2036" s="38" t="inlineStr">
        <is>
          <t>0-4008</t>
        </is>
      </c>
      <c r="K2036" t="inlineStr">
        <is>
          <t>TAPE ELECTRIAL 3/4IN BLUE</t>
        </is>
      </c>
      <c r="L2036" t="n">
        <v>100</v>
      </c>
      <c r="M2036" t="n">
        <v>97.68000000000001</v>
      </c>
      <c r="N2036" t="inlineStr">
        <is>
          <t>PO:COMMIT</t>
        </is>
      </c>
      <c r="O2036" t="inlineStr">
        <is>
          <t>12561</t>
        </is>
      </c>
      <c r="P2036" t="inlineStr">
        <is>
          <t>CROSS COUNTRY INFRASTRUCTURE SERVICES INC.</t>
        </is>
      </c>
      <c r="Q2036" s="114" t="n">
        <v>0</v>
      </c>
      <c r="R2036" s="114" t="n">
        <v>0</v>
      </c>
      <c r="S2036" s="114" t="n">
        <v>97.68000000000001</v>
      </c>
      <c r="T2036" t="n">
        <v>0</v>
      </c>
    </row>
    <row r="2037">
      <c r="A2037" t="inlineStr">
        <is>
          <t>ttJTrans</t>
        </is>
      </c>
      <c r="B2037" s="38" t="inlineStr">
        <is>
          <t>0-4008</t>
        </is>
      </c>
      <c r="C2037" t="inlineStr">
        <is>
          <t>OC</t>
        </is>
      </c>
      <c r="D2037" t="inlineStr">
        <is>
          <t>MA1011041</t>
        </is>
      </c>
      <c r="E2037" t="inlineStr">
        <is>
          <t>OC</t>
        </is>
      </c>
      <c r="F2037" t="inlineStr">
        <is>
          <t>MA1011041</t>
        </is>
      </c>
      <c r="G2037" t="n">
        <v>46119</v>
      </c>
      <c r="H2037" s="127" t="n">
        <v>46119</v>
      </c>
      <c r="I2037" t="inlineStr">
        <is>
          <t>4</t>
        </is>
      </c>
      <c r="J2037" s="38" t="inlineStr">
        <is>
          <t>0-4008</t>
        </is>
      </c>
      <c r="K2037" t="inlineStr">
        <is>
          <t>BALL MARKER LOCATOR 5 FT RANGE</t>
        </is>
      </c>
      <c r="L2037" t="n">
        <v>60</v>
      </c>
      <c r="M2037" t="n">
        <v>1756.24</v>
      </c>
      <c r="N2037" t="inlineStr">
        <is>
          <t>INVOICE:ADJ-COMMIT</t>
        </is>
      </c>
      <c r="O2037" t="inlineStr">
        <is>
          <t>12561</t>
        </is>
      </c>
      <c r="P2037" t="inlineStr">
        <is>
          <t>CROSS COUNTRY INFRASTRUCTURE SERVICES INC.</t>
        </is>
      </c>
      <c r="Q2037" s="114" t="n">
        <v>0</v>
      </c>
      <c r="R2037" s="114" t="n">
        <v>0</v>
      </c>
      <c r="S2037" s="114" t="n">
        <v>-1756.24</v>
      </c>
      <c r="T2037" t="n">
        <v>0</v>
      </c>
    </row>
    <row r="2038">
      <c r="A2038" t="inlineStr">
        <is>
          <t>ttJTrans</t>
        </is>
      </c>
      <c r="B2038" s="38" t="inlineStr">
        <is>
          <t>0-4008</t>
        </is>
      </c>
      <c r="C2038" t="inlineStr">
        <is>
          <t>OC</t>
        </is>
      </c>
      <c r="D2038" t="inlineStr">
        <is>
          <t>MA1011041</t>
        </is>
      </c>
      <c r="E2038" t="inlineStr">
        <is>
          <t>OC</t>
        </is>
      </c>
      <c r="F2038" t="inlineStr">
        <is>
          <t>MA1011041</t>
        </is>
      </c>
      <c r="G2038" t="n">
        <v>46119</v>
      </c>
      <c r="H2038" s="127" t="n">
        <v>46119</v>
      </c>
      <c r="I2038" t="inlineStr">
        <is>
          <t>6</t>
        </is>
      </c>
      <c r="J2038" s="38" t="inlineStr">
        <is>
          <t>0-4008</t>
        </is>
      </c>
      <c r="K2038" t="inlineStr">
        <is>
          <t>TENT CANOPY BLUE 12X12 BLUE</t>
        </is>
      </c>
      <c r="L2038" t="n">
        <v>6</v>
      </c>
      <c r="M2038" t="n">
        <v>799.2</v>
      </c>
      <c r="N2038" t="inlineStr">
        <is>
          <t>PO:COMMIT</t>
        </is>
      </c>
      <c r="O2038" t="inlineStr">
        <is>
          <t>12561</t>
        </is>
      </c>
      <c r="P2038" t="inlineStr">
        <is>
          <t>CROSS COUNTRY INFRASTRUCTURE SERVICES INC.</t>
        </is>
      </c>
      <c r="Q2038" s="114" t="n">
        <v>0</v>
      </c>
      <c r="R2038" s="114" t="n">
        <v>0</v>
      </c>
      <c r="S2038" s="114" t="n">
        <v>799.2</v>
      </c>
      <c r="T2038" t="n">
        <v>0</v>
      </c>
    </row>
    <row r="2039">
      <c r="A2039" t="inlineStr">
        <is>
          <t>ttJTrans</t>
        </is>
      </c>
      <c r="B2039" s="38" t="inlineStr">
        <is>
          <t>0-4008</t>
        </is>
      </c>
      <c r="C2039" t="inlineStr">
        <is>
          <t>OC</t>
        </is>
      </c>
      <c r="D2039" t="inlineStr">
        <is>
          <t>MA1011041</t>
        </is>
      </c>
      <c r="E2039" t="inlineStr">
        <is>
          <t>OC</t>
        </is>
      </c>
      <c r="F2039" t="inlineStr">
        <is>
          <t>MA1011041</t>
        </is>
      </c>
      <c r="G2039" t="n">
        <v>46119</v>
      </c>
      <c r="H2039" s="127" t="n">
        <v>46119</v>
      </c>
      <c r="I2039" t="inlineStr">
        <is>
          <t>5</t>
        </is>
      </c>
      <c r="J2039" s="38" t="inlineStr">
        <is>
          <t>0-4008</t>
        </is>
      </c>
      <c r="K2039" t="inlineStr">
        <is>
          <t>TAPE ELEC SUPER 33 3/4INX52FT</t>
        </is>
      </c>
      <c r="L2039" t="n">
        <v>100</v>
      </c>
      <c r="M2039" t="n">
        <v>759.24</v>
      </c>
      <c r="N2039" t="inlineStr">
        <is>
          <t>PO:COMMIT</t>
        </is>
      </c>
      <c r="O2039" t="inlineStr">
        <is>
          <t>12561</t>
        </is>
      </c>
      <c r="P2039" t="inlineStr">
        <is>
          <t>CROSS COUNTRY INFRASTRUCTURE SERVICES INC.</t>
        </is>
      </c>
      <c r="Q2039" s="114" t="n">
        <v>0</v>
      </c>
      <c r="R2039" s="114" t="n">
        <v>0</v>
      </c>
      <c r="S2039" s="114" t="n">
        <v>759.24</v>
      </c>
      <c r="T2039" t="n">
        <v>0</v>
      </c>
    </row>
    <row r="2040">
      <c r="A2040" t="inlineStr">
        <is>
          <t>ttJTrans</t>
        </is>
      </c>
      <c r="B2040" s="38" t="inlineStr">
        <is>
          <t>0-4008</t>
        </is>
      </c>
      <c r="C2040" t="inlineStr">
        <is>
          <t>OC</t>
        </is>
      </c>
      <c r="D2040" t="inlineStr">
        <is>
          <t>MA1011041</t>
        </is>
      </c>
      <c r="E2040" t="inlineStr">
        <is>
          <t>OC</t>
        </is>
      </c>
      <c r="F2040" t="inlineStr">
        <is>
          <t>MA1011041</t>
        </is>
      </c>
      <c r="G2040" t="n">
        <v>46119</v>
      </c>
      <c r="H2040" s="127" t="n">
        <v>46119</v>
      </c>
      <c r="I2040" t="inlineStr">
        <is>
          <t>9</t>
        </is>
      </c>
      <c r="J2040" s="38" t="inlineStr">
        <is>
          <t>0-4008</t>
        </is>
      </c>
      <c r="K2040" t="inlineStr">
        <is>
          <t>Freight</t>
        </is>
      </c>
      <c r="L2040" t="n">
        <v>1</v>
      </c>
      <c r="M2040" t="n">
        <v>133.2</v>
      </c>
      <c r="N2040" t="inlineStr">
        <is>
          <t>INVOICE:ADJ-COMMIT</t>
        </is>
      </c>
      <c r="O2040" t="inlineStr">
        <is>
          <t>12561</t>
        </is>
      </c>
      <c r="P2040" t="inlineStr">
        <is>
          <t>CROSS COUNTRY INFRASTRUCTURE SERVICES INC.</t>
        </is>
      </c>
      <c r="Q2040" s="114" t="n">
        <v>0</v>
      </c>
      <c r="R2040" s="114" t="n">
        <v>0</v>
      </c>
      <c r="S2040" s="114" t="n">
        <v>-133.2</v>
      </c>
      <c r="T2040" t="n">
        <v>0</v>
      </c>
    </row>
    <row r="2041">
      <c r="A2041" t="inlineStr">
        <is>
          <t>ttJTrans</t>
        </is>
      </c>
      <c r="B2041" s="38" t="inlineStr">
        <is>
          <t>0-4008</t>
        </is>
      </c>
      <c r="C2041" t="inlineStr">
        <is>
          <t>OC</t>
        </is>
      </c>
      <c r="D2041" t="inlineStr">
        <is>
          <t>MA1011041</t>
        </is>
      </c>
      <c r="E2041" t="inlineStr">
        <is>
          <t>OC</t>
        </is>
      </c>
      <c r="F2041" t="inlineStr">
        <is>
          <t>MA1011041</t>
        </is>
      </c>
      <c r="G2041" t="n">
        <v>46119</v>
      </c>
      <c r="H2041" s="127" t="n">
        <v>46119</v>
      </c>
      <c r="I2041" t="inlineStr">
        <is>
          <t>8</t>
        </is>
      </c>
      <c r="J2041" s="38" t="inlineStr">
        <is>
          <t>0-4008</t>
        </is>
      </c>
      <c r="K2041" t="inlineStr">
        <is>
          <t>PORTABLE SAW HORSE 2PK</t>
        </is>
      </c>
      <c r="L2041" t="n">
        <v>6</v>
      </c>
      <c r="M2041" t="n">
        <v>365.3</v>
      </c>
      <c r="N2041" t="inlineStr">
        <is>
          <t>INVOICE:ADJ-COMMIT</t>
        </is>
      </c>
      <c r="O2041" t="inlineStr">
        <is>
          <t>12561</t>
        </is>
      </c>
      <c r="P2041" t="inlineStr">
        <is>
          <t>CROSS COUNTRY INFRASTRUCTURE SERVICES INC.</t>
        </is>
      </c>
      <c r="Q2041" s="114" t="n">
        <v>0</v>
      </c>
      <c r="R2041" s="114" t="n">
        <v>0</v>
      </c>
      <c r="S2041" s="114" t="n">
        <v>-365.3</v>
      </c>
      <c r="T2041" t="n">
        <v>0</v>
      </c>
    </row>
    <row r="2042">
      <c r="A2042" t="inlineStr">
        <is>
          <t>ttJTrans</t>
        </is>
      </c>
      <c r="B2042" s="38" t="inlineStr">
        <is>
          <t>0-4008</t>
        </is>
      </c>
      <c r="C2042" t="inlineStr">
        <is>
          <t>OC</t>
        </is>
      </c>
      <c r="D2042" t="inlineStr">
        <is>
          <t>MA1011041</t>
        </is>
      </c>
      <c r="E2042" t="inlineStr">
        <is>
          <t>OC</t>
        </is>
      </c>
      <c r="F2042" t="inlineStr">
        <is>
          <t>MA1011041</t>
        </is>
      </c>
      <c r="G2042" t="n">
        <v>46119</v>
      </c>
      <c r="H2042" s="127" t="n">
        <v>46119</v>
      </c>
      <c r="I2042" t="inlineStr">
        <is>
          <t>7</t>
        </is>
      </c>
      <c r="J2042" s="38" t="inlineStr">
        <is>
          <t>0-4008</t>
        </is>
      </c>
      <c r="K2042" t="inlineStr">
        <is>
          <t>PORTABLE FOLDING TABLE 6FT</t>
        </is>
      </c>
      <c r="L2042" t="n">
        <v>6</v>
      </c>
      <c r="M2042" t="n">
        <v>487.18</v>
      </c>
      <c r="N2042" t="inlineStr">
        <is>
          <t>INVOICE:ADJ-COMMIT</t>
        </is>
      </c>
      <c r="O2042" t="inlineStr">
        <is>
          <t>12561</t>
        </is>
      </c>
      <c r="P2042" t="inlineStr">
        <is>
          <t>CROSS COUNTRY INFRASTRUCTURE SERVICES INC.</t>
        </is>
      </c>
      <c r="Q2042" s="114" t="n">
        <v>0</v>
      </c>
      <c r="R2042" s="114" t="n">
        <v>0</v>
      </c>
      <c r="S2042" s="114" t="n">
        <v>-487.18</v>
      </c>
      <c r="T2042" t="n">
        <v>0</v>
      </c>
    </row>
    <row r="2043">
      <c r="A2043" t="inlineStr">
        <is>
          <t>ttJTrans</t>
        </is>
      </c>
      <c r="B2043" s="38" t="inlineStr">
        <is>
          <t>0-4008</t>
        </is>
      </c>
      <c r="C2043" t="inlineStr">
        <is>
          <t>OC</t>
        </is>
      </c>
      <c r="D2043" t="inlineStr">
        <is>
          <t>MA1011041</t>
        </is>
      </c>
      <c r="E2043" t="inlineStr">
        <is>
          <t>OC</t>
        </is>
      </c>
      <c r="F2043" t="inlineStr">
        <is>
          <t>MA1011041</t>
        </is>
      </c>
      <c r="G2043" t="n">
        <v>46119</v>
      </c>
      <c r="H2043" s="127" t="n">
        <v>46119</v>
      </c>
      <c r="I2043" t="inlineStr">
        <is>
          <t>6</t>
        </is>
      </c>
      <c r="J2043" s="38" t="inlineStr">
        <is>
          <t>0-4008</t>
        </is>
      </c>
      <c r="K2043" t="inlineStr">
        <is>
          <t>TENT CANOPY BLUE 12X12 BLUE</t>
        </is>
      </c>
      <c r="L2043" t="n">
        <v>6</v>
      </c>
      <c r="M2043" t="n">
        <v>799.2</v>
      </c>
      <c r="N2043" t="inlineStr">
        <is>
          <t>INVOICE:ADJ-COMMIT</t>
        </is>
      </c>
      <c r="O2043" t="inlineStr">
        <is>
          <t>12561</t>
        </is>
      </c>
      <c r="P2043" t="inlineStr">
        <is>
          <t>CROSS COUNTRY INFRASTRUCTURE SERVICES INC.</t>
        </is>
      </c>
      <c r="Q2043" s="114" t="n">
        <v>0</v>
      </c>
      <c r="R2043" s="114" t="n">
        <v>0</v>
      </c>
      <c r="S2043" s="114" t="n">
        <v>-799.2</v>
      </c>
      <c r="T2043" t="n">
        <v>0</v>
      </c>
    </row>
    <row r="2044">
      <c r="A2044" t="inlineStr">
        <is>
          <t>ttJTrans</t>
        </is>
      </c>
      <c r="B2044" s="38" t="inlineStr">
        <is>
          <t>0-4008</t>
        </is>
      </c>
      <c r="C2044" t="inlineStr">
        <is>
          <t>OC</t>
        </is>
      </c>
      <c r="D2044" t="inlineStr">
        <is>
          <t>MA1011041</t>
        </is>
      </c>
      <c r="E2044" t="inlineStr">
        <is>
          <t>OC</t>
        </is>
      </c>
      <c r="F2044" t="inlineStr">
        <is>
          <t>MA1011041</t>
        </is>
      </c>
      <c r="G2044" t="n">
        <v>46119</v>
      </c>
      <c r="H2044" s="127" t="n">
        <v>46119</v>
      </c>
      <c r="I2044" t="inlineStr">
        <is>
          <t>5</t>
        </is>
      </c>
      <c r="J2044" s="38" t="inlineStr">
        <is>
          <t>0-4008</t>
        </is>
      </c>
      <c r="K2044" t="inlineStr">
        <is>
          <t>TAPE ELEC SUPER 33 3/4INX52FT</t>
        </is>
      </c>
      <c r="L2044" t="n">
        <v>100</v>
      </c>
      <c r="M2044" t="n">
        <v>759.24</v>
      </c>
      <c r="N2044" t="inlineStr">
        <is>
          <t>INVOICE:ADJ-COMMIT</t>
        </is>
      </c>
      <c r="O2044" t="inlineStr">
        <is>
          <t>12561</t>
        </is>
      </c>
      <c r="P2044" t="inlineStr">
        <is>
          <t>CROSS COUNTRY INFRASTRUCTURE SERVICES INC.</t>
        </is>
      </c>
      <c r="Q2044" s="114" t="n">
        <v>0</v>
      </c>
      <c r="R2044" s="114" t="n">
        <v>0</v>
      </c>
      <c r="S2044" s="114" t="n">
        <v>-759.24</v>
      </c>
      <c r="T2044" t="n">
        <v>0</v>
      </c>
    </row>
    <row r="2045">
      <c r="A2045" t="inlineStr">
        <is>
          <t>ttJTrans</t>
        </is>
      </c>
      <c r="B2045" s="38" t="inlineStr">
        <is>
          <t>0-4008</t>
        </is>
      </c>
      <c r="C2045" t="inlineStr">
        <is>
          <t>OC</t>
        </is>
      </c>
      <c r="D2045" t="inlineStr">
        <is>
          <t>MA1011041</t>
        </is>
      </c>
      <c r="E2045" t="inlineStr">
        <is>
          <t>OC</t>
        </is>
      </c>
      <c r="F2045" t="inlineStr">
        <is>
          <t>MA1011041</t>
        </is>
      </c>
      <c r="G2045" t="n">
        <v>46119</v>
      </c>
      <c r="H2045" s="127" t="n">
        <v>46119</v>
      </c>
      <c r="I2045" t="inlineStr">
        <is>
          <t>1</t>
        </is>
      </c>
      <c r="J2045" s="38" t="inlineStr">
        <is>
          <t>0-4008</t>
        </is>
      </c>
      <c r="K2045" t="inlineStr">
        <is>
          <t>TAPE ELEC BLACK 3/4INX60YD 10/</t>
        </is>
      </c>
      <c r="L2045" t="n">
        <v>100</v>
      </c>
      <c r="M2045" t="n">
        <v>97.68000000000001</v>
      </c>
      <c r="N2045" t="inlineStr">
        <is>
          <t>PO:COMMIT</t>
        </is>
      </c>
      <c r="O2045" t="inlineStr">
        <is>
          <t>12561</t>
        </is>
      </c>
      <c r="P2045" t="inlineStr">
        <is>
          <t>CROSS COUNTRY INFRASTRUCTURE SERVICES INC.</t>
        </is>
      </c>
      <c r="Q2045" s="114" t="n">
        <v>0</v>
      </c>
      <c r="R2045" s="114" t="n">
        <v>0</v>
      </c>
      <c r="S2045" s="114" t="n">
        <v>97.68000000000001</v>
      </c>
      <c r="T2045" t="n">
        <v>0</v>
      </c>
    </row>
    <row r="2046">
      <c r="A2046" t="inlineStr">
        <is>
          <t>ttJTrans</t>
        </is>
      </c>
      <c r="B2046" s="38" t="inlineStr">
        <is>
          <t>0-4008</t>
        </is>
      </c>
      <c r="C2046" t="inlineStr">
        <is>
          <t>OC</t>
        </is>
      </c>
      <c r="D2046" t="inlineStr">
        <is>
          <t>MA1011041</t>
        </is>
      </c>
      <c r="E2046" t="inlineStr">
        <is>
          <t>OC</t>
        </is>
      </c>
      <c r="F2046" t="inlineStr">
        <is>
          <t>MA1011041</t>
        </is>
      </c>
      <c r="G2046" t="n">
        <v>46119</v>
      </c>
      <c r="H2046" s="127" t="n">
        <v>46119</v>
      </c>
      <c r="I2046" t="inlineStr">
        <is>
          <t>3</t>
        </is>
      </c>
      <c r="J2046" s="38" t="inlineStr">
        <is>
          <t>0-4008</t>
        </is>
      </c>
      <c r="K2046" t="inlineStr">
        <is>
          <t>TAPE ELECTRIAL 3/4IN BLUE</t>
        </is>
      </c>
      <c r="L2046" t="n">
        <v>100</v>
      </c>
      <c r="M2046" t="n">
        <v>97.68000000000001</v>
      </c>
      <c r="N2046" t="inlineStr">
        <is>
          <t>INVOICE:ADJ-COMMIT</t>
        </is>
      </c>
      <c r="O2046" t="inlineStr">
        <is>
          <t>12561</t>
        </is>
      </c>
      <c r="P2046" t="inlineStr">
        <is>
          <t>CROSS COUNTRY INFRASTRUCTURE SERVICES INC.</t>
        </is>
      </c>
      <c r="Q2046" s="114" t="n">
        <v>0</v>
      </c>
      <c r="R2046" s="114" t="n">
        <v>0</v>
      </c>
      <c r="S2046" s="114" t="n">
        <v>-97.68000000000001</v>
      </c>
      <c r="T2046" t="n">
        <v>0</v>
      </c>
    </row>
    <row r="2047">
      <c r="A2047" t="inlineStr">
        <is>
          <t>ttJTrans</t>
        </is>
      </c>
      <c r="B2047" s="38" t="inlineStr">
        <is>
          <t>0-4008</t>
        </is>
      </c>
      <c r="C2047" t="inlineStr">
        <is>
          <t>OC</t>
        </is>
      </c>
      <c r="D2047" t="inlineStr">
        <is>
          <t>MA1011041</t>
        </is>
      </c>
      <c r="E2047" t="inlineStr">
        <is>
          <t>OC</t>
        </is>
      </c>
      <c r="F2047" t="inlineStr">
        <is>
          <t>MA1011041</t>
        </is>
      </c>
      <c r="G2047" t="n">
        <v>46119</v>
      </c>
      <c r="H2047" s="127" t="n">
        <v>46119</v>
      </c>
      <c r="I2047" t="inlineStr">
        <is>
          <t>9</t>
        </is>
      </c>
      <c r="J2047" s="38" t="inlineStr">
        <is>
          <t>0-4008</t>
        </is>
      </c>
      <c r="K2047" t="inlineStr">
        <is>
          <t>Freight</t>
        </is>
      </c>
      <c r="L2047" t="n">
        <v>1</v>
      </c>
      <c r="M2047" t="n">
        <v>133.2</v>
      </c>
      <c r="N2047" t="inlineStr">
        <is>
          <t>PO:COMMIT</t>
        </is>
      </c>
      <c r="O2047" t="inlineStr">
        <is>
          <t>12561</t>
        </is>
      </c>
      <c r="P2047" t="inlineStr">
        <is>
          <t>CROSS COUNTRY INFRASTRUCTURE SERVICES INC.</t>
        </is>
      </c>
      <c r="Q2047" s="114" t="n">
        <v>0</v>
      </c>
      <c r="R2047" s="114" t="n">
        <v>0</v>
      </c>
      <c r="S2047" s="114" t="n">
        <v>133.2</v>
      </c>
      <c r="T2047" t="n">
        <v>0</v>
      </c>
    </row>
    <row r="2048">
      <c r="A2048" t="inlineStr">
        <is>
          <t>ttJTrans</t>
        </is>
      </c>
      <c r="B2048" s="38" t="inlineStr">
        <is>
          <t>0-4008</t>
        </is>
      </c>
      <c r="C2048" t="inlineStr">
        <is>
          <t>OC</t>
        </is>
      </c>
      <c r="D2048" t="inlineStr">
        <is>
          <t>MA1011041</t>
        </is>
      </c>
      <c r="E2048" t="inlineStr">
        <is>
          <t>OC</t>
        </is>
      </c>
      <c r="F2048" t="inlineStr">
        <is>
          <t>MA1011041</t>
        </is>
      </c>
      <c r="G2048" t="n">
        <v>46119</v>
      </c>
      <c r="H2048" s="127" t="n">
        <v>46119</v>
      </c>
      <c r="I2048" t="inlineStr">
        <is>
          <t>4</t>
        </is>
      </c>
      <c r="J2048" s="38" t="inlineStr">
        <is>
          <t>0-4008</t>
        </is>
      </c>
      <c r="K2048" t="inlineStr">
        <is>
          <t>BALL MARKER LOCATOR 5 FT RANGE</t>
        </is>
      </c>
      <c r="L2048" t="n">
        <v>60</v>
      </c>
      <c r="M2048" t="n">
        <v>1756.24</v>
      </c>
      <c r="N2048" t="inlineStr">
        <is>
          <t>PO:COMMIT</t>
        </is>
      </c>
      <c r="O2048" t="inlineStr">
        <is>
          <t>12561</t>
        </is>
      </c>
      <c r="P2048" t="inlineStr">
        <is>
          <t>CROSS COUNTRY INFRASTRUCTURE SERVICES INC.</t>
        </is>
      </c>
      <c r="Q2048" s="114" t="n">
        <v>0</v>
      </c>
      <c r="R2048" s="114" t="n">
        <v>0</v>
      </c>
      <c r="S2048" s="114" t="n">
        <v>1756.24</v>
      </c>
      <c r="T2048" t="n">
        <v>0</v>
      </c>
    </row>
    <row r="2049">
      <c r="A2049" t="inlineStr">
        <is>
          <t>ttJTrans</t>
        </is>
      </c>
      <c r="B2049" s="38" t="inlineStr">
        <is>
          <t>0-4008</t>
        </is>
      </c>
      <c r="C2049" t="inlineStr">
        <is>
          <t>OC</t>
        </is>
      </c>
      <c r="D2049" t="inlineStr">
        <is>
          <t>MA1011041</t>
        </is>
      </c>
      <c r="E2049" t="inlineStr">
        <is>
          <t>OC</t>
        </is>
      </c>
      <c r="F2049" t="inlineStr">
        <is>
          <t>MA1011041</t>
        </is>
      </c>
      <c r="G2049" t="n">
        <v>46119</v>
      </c>
      <c r="H2049" s="127" t="n">
        <v>46119</v>
      </c>
      <c r="I2049" t="inlineStr">
        <is>
          <t>8</t>
        </is>
      </c>
      <c r="J2049" s="38" t="inlineStr">
        <is>
          <t>0-4008</t>
        </is>
      </c>
      <c r="K2049" t="inlineStr">
        <is>
          <t>PORTABLE SAW HORSE 2PK</t>
        </is>
      </c>
      <c r="L2049" t="n">
        <v>6</v>
      </c>
      <c r="M2049" t="n">
        <v>365.3</v>
      </c>
      <c r="N2049" t="inlineStr">
        <is>
          <t>PO:COMMIT</t>
        </is>
      </c>
      <c r="O2049" t="inlineStr">
        <is>
          <t>12561</t>
        </is>
      </c>
      <c r="P2049" t="inlineStr">
        <is>
          <t>CROSS COUNTRY INFRASTRUCTURE SERVICES INC.</t>
        </is>
      </c>
      <c r="Q2049" s="114" t="n">
        <v>0</v>
      </c>
      <c r="R2049" s="114" t="n">
        <v>0</v>
      </c>
      <c r="S2049" s="114" t="n">
        <v>365.3</v>
      </c>
      <c r="T2049" t="n">
        <v>0</v>
      </c>
    </row>
    <row r="2050">
      <c r="A2050" t="inlineStr">
        <is>
          <t>ttJTrans</t>
        </is>
      </c>
      <c r="B2050" s="38" t="inlineStr">
        <is>
          <t>0-4008</t>
        </is>
      </c>
      <c r="C2050" t="inlineStr">
        <is>
          <t>OC</t>
        </is>
      </c>
      <c r="D2050" t="inlineStr">
        <is>
          <t>MA1011041</t>
        </is>
      </c>
      <c r="E2050" t="inlineStr">
        <is>
          <t>OC</t>
        </is>
      </c>
      <c r="F2050" t="inlineStr">
        <is>
          <t>MA1011041</t>
        </is>
      </c>
      <c r="G2050" t="n">
        <v>46119</v>
      </c>
      <c r="H2050" s="127" t="n">
        <v>46119</v>
      </c>
      <c r="I2050" t="inlineStr">
        <is>
          <t>2</t>
        </is>
      </c>
      <c r="J2050" s="38" t="inlineStr">
        <is>
          <t>0-4008</t>
        </is>
      </c>
      <c r="K2050" t="inlineStr">
        <is>
          <t>TAPE ELECTRICAL 3/4IN RED</t>
        </is>
      </c>
      <c r="L2050" t="n">
        <v>100</v>
      </c>
      <c r="M2050" t="n">
        <v>97.68000000000001</v>
      </c>
      <c r="N2050" t="inlineStr">
        <is>
          <t>PO:COMMIT</t>
        </is>
      </c>
      <c r="O2050" t="inlineStr">
        <is>
          <t>12561</t>
        </is>
      </c>
      <c r="P2050" t="inlineStr">
        <is>
          <t>CROSS COUNTRY INFRASTRUCTURE SERVICES INC.</t>
        </is>
      </c>
      <c r="Q2050" s="114" t="n">
        <v>0</v>
      </c>
      <c r="R2050" s="114" t="n">
        <v>0</v>
      </c>
      <c r="S2050" s="114" t="n">
        <v>97.68000000000001</v>
      </c>
      <c r="T2050" t="n">
        <v>0</v>
      </c>
    </row>
    <row r="2051">
      <c r="A2051" t="inlineStr">
        <is>
          <t>ttJTrans</t>
        </is>
      </c>
      <c r="B2051" s="38" t="inlineStr">
        <is>
          <t>0-4008</t>
        </is>
      </c>
      <c r="C2051" t="inlineStr">
        <is>
          <t>OC</t>
        </is>
      </c>
      <c r="D2051" t="inlineStr">
        <is>
          <t>MA1011041</t>
        </is>
      </c>
      <c r="E2051" t="inlineStr">
        <is>
          <t>OC</t>
        </is>
      </c>
      <c r="F2051" t="inlineStr">
        <is>
          <t>MA1011041</t>
        </is>
      </c>
      <c r="G2051" t="n">
        <v>46119</v>
      </c>
      <c r="H2051" s="127" t="n">
        <v>46141</v>
      </c>
      <c r="I2051" t="inlineStr">
        <is>
          <t>2</t>
        </is>
      </c>
      <c r="J2051" s="38" t="inlineStr">
        <is>
          <t>0-4008</t>
        </is>
      </c>
      <c r="K2051" t="inlineStr">
        <is>
          <t>TAPE ELECTRICAL 3/4IN RED</t>
        </is>
      </c>
      <c r="L2051" t="n">
        <v>100</v>
      </c>
      <c r="M2051" t="n">
        <v>97.68000000000001</v>
      </c>
      <c r="N2051" t="inlineStr">
        <is>
          <t>INVOICE</t>
        </is>
      </c>
      <c r="O2051" t="inlineStr">
        <is>
          <t>12561</t>
        </is>
      </c>
      <c r="P2051" t="inlineStr">
        <is>
          <t>CROSS COUNTRY INFRASTRUCTURE SERVICES INC.</t>
        </is>
      </c>
      <c r="Q2051" s="114" t="n">
        <v>0</v>
      </c>
      <c r="R2051" s="114" t="n">
        <v>0</v>
      </c>
      <c r="S2051" s="114" t="n">
        <v>0</v>
      </c>
      <c r="T2051" t="n">
        <v>0</v>
      </c>
    </row>
    <row r="2052">
      <c r="A2052" t="inlineStr">
        <is>
          <t>ttJTrans</t>
        </is>
      </c>
      <c r="B2052" s="38" t="inlineStr">
        <is>
          <t>0-4008</t>
        </is>
      </c>
      <c r="C2052" t="inlineStr">
        <is>
          <t>OC</t>
        </is>
      </c>
      <c r="D2052" t="inlineStr">
        <is>
          <t>MA1011041</t>
        </is>
      </c>
      <c r="E2052" t="inlineStr">
        <is>
          <t>OC</t>
        </is>
      </c>
      <c r="F2052" t="inlineStr">
        <is>
          <t>MA1011041</t>
        </is>
      </c>
      <c r="G2052" t="n">
        <v>46119</v>
      </c>
      <c r="H2052" s="127" t="n">
        <v>46141</v>
      </c>
      <c r="I2052" t="inlineStr">
        <is>
          <t>1</t>
        </is>
      </c>
      <c r="J2052" s="38" t="inlineStr">
        <is>
          <t>0-4008</t>
        </is>
      </c>
      <c r="K2052" t="inlineStr">
        <is>
          <t>TAPE ELEC BLACK 3/4INX60YD 10/</t>
        </is>
      </c>
      <c r="L2052" t="n">
        <v>100</v>
      </c>
      <c r="M2052" t="n">
        <v>97.68000000000001</v>
      </c>
      <c r="N2052" t="inlineStr">
        <is>
          <t>INVOICE</t>
        </is>
      </c>
      <c r="O2052" t="inlineStr">
        <is>
          <t>12561</t>
        </is>
      </c>
      <c r="P2052" t="inlineStr">
        <is>
          <t>CROSS COUNTRY INFRASTRUCTURE SERVICES INC.</t>
        </is>
      </c>
      <c r="Q2052" s="114" t="n">
        <v>0</v>
      </c>
      <c r="R2052" s="114" t="n">
        <v>0</v>
      </c>
      <c r="S2052" s="114" t="n">
        <v>0</v>
      </c>
      <c r="T2052" t="n">
        <v>0</v>
      </c>
    </row>
    <row r="2053">
      <c r="A2053" t="inlineStr">
        <is>
          <t>ttJTrans</t>
        </is>
      </c>
      <c r="B2053" s="38" t="inlineStr">
        <is>
          <t>0-4008</t>
        </is>
      </c>
      <c r="C2053" t="inlineStr">
        <is>
          <t>OC</t>
        </is>
      </c>
      <c r="D2053" t="inlineStr">
        <is>
          <t>MA1011041</t>
        </is>
      </c>
      <c r="E2053" t="inlineStr">
        <is>
          <t>OC</t>
        </is>
      </c>
      <c r="F2053" t="inlineStr">
        <is>
          <t>MA1011041</t>
        </is>
      </c>
      <c r="G2053" t="n">
        <v>46119</v>
      </c>
      <c r="H2053" s="127" t="n">
        <v>46141</v>
      </c>
      <c r="I2053" t="inlineStr">
        <is>
          <t>6</t>
        </is>
      </c>
      <c r="J2053" s="38" t="inlineStr">
        <is>
          <t>0-4008</t>
        </is>
      </c>
      <c r="K2053" t="inlineStr">
        <is>
          <t>TENT CANOPY BLUE 12X12 BLUE</t>
        </is>
      </c>
      <c r="L2053" t="n">
        <v>6</v>
      </c>
      <c r="M2053" t="n">
        <v>799.2</v>
      </c>
      <c r="N2053" t="inlineStr">
        <is>
          <t>INVOICE</t>
        </is>
      </c>
      <c r="O2053" t="inlineStr">
        <is>
          <t>12561</t>
        </is>
      </c>
      <c r="P2053" t="inlineStr">
        <is>
          <t>CROSS COUNTRY INFRASTRUCTURE SERVICES INC.</t>
        </is>
      </c>
      <c r="Q2053" s="114" t="n">
        <v>0</v>
      </c>
      <c r="R2053" s="114" t="n">
        <v>0</v>
      </c>
      <c r="S2053" s="114" t="n">
        <v>0</v>
      </c>
      <c r="T2053" t="n">
        <v>0</v>
      </c>
    </row>
    <row r="2054">
      <c r="A2054" t="inlineStr">
        <is>
          <t>ttJTrans</t>
        </is>
      </c>
      <c r="B2054" s="38" t="inlineStr">
        <is>
          <t>0-4008</t>
        </is>
      </c>
      <c r="C2054" t="inlineStr">
        <is>
          <t>OC</t>
        </is>
      </c>
      <c r="D2054" t="inlineStr">
        <is>
          <t>MA1011041</t>
        </is>
      </c>
      <c r="E2054" t="inlineStr">
        <is>
          <t>OC</t>
        </is>
      </c>
      <c r="F2054" t="inlineStr">
        <is>
          <t>MA1011041</t>
        </is>
      </c>
      <c r="G2054" t="n">
        <v>46119</v>
      </c>
      <c r="H2054" s="127" t="n">
        <v>46141</v>
      </c>
      <c r="I2054" t="inlineStr">
        <is>
          <t>9</t>
        </is>
      </c>
      <c r="J2054" s="38" t="inlineStr">
        <is>
          <t>0-4008</t>
        </is>
      </c>
      <c r="K2054" t="inlineStr">
        <is>
          <t>Freight</t>
        </is>
      </c>
      <c r="L2054" t="n">
        <v>1</v>
      </c>
      <c r="M2054" t="n">
        <v>133.2</v>
      </c>
      <c r="N2054" t="inlineStr">
        <is>
          <t>INVOICE</t>
        </is>
      </c>
      <c r="O2054" t="inlineStr">
        <is>
          <t>12561</t>
        </is>
      </c>
      <c r="P2054" t="inlineStr">
        <is>
          <t>CROSS COUNTRY INFRASTRUCTURE SERVICES INC.</t>
        </is>
      </c>
      <c r="Q2054" s="114" t="n">
        <v>0</v>
      </c>
      <c r="R2054" s="114" t="n">
        <v>0</v>
      </c>
      <c r="S2054" s="114" t="n">
        <v>0</v>
      </c>
      <c r="T2054" t="n">
        <v>0</v>
      </c>
    </row>
    <row r="2055">
      <c r="A2055" t="inlineStr">
        <is>
          <t>ttJTrans</t>
        </is>
      </c>
      <c r="B2055" s="38" t="inlineStr">
        <is>
          <t>0-4008</t>
        </is>
      </c>
      <c r="C2055" t="inlineStr">
        <is>
          <t>OC</t>
        </is>
      </c>
      <c r="D2055" t="inlineStr">
        <is>
          <t>MA1011041</t>
        </is>
      </c>
      <c r="E2055" t="inlineStr">
        <is>
          <t>OC</t>
        </is>
      </c>
      <c r="F2055" t="inlineStr">
        <is>
          <t>MA1011041</t>
        </is>
      </c>
      <c r="G2055" t="n">
        <v>46119</v>
      </c>
      <c r="H2055" s="127" t="n">
        <v>46141</v>
      </c>
      <c r="I2055" t="inlineStr">
        <is>
          <t>8</t>
        </is>
      </c>
      <c r="J2055" s="38" t="inlineStr">
        <is>
          <t>0-4008</t>
        </is>
      </c>
      <c r="K2055" t="inlineStr">
        <is>
          <t>PORTABLE SAW HORSE 2PK</t>
        </is>
      </c>
      <c r="L2055" t="n">
        <v>6</v>
      </c>
      <c r="M2055" t="n">
        <v>365.3</v>
      </c>
      <c r="N2055" t="inlineStr">
        <is>
          <t>INVOICE</t>
        </is>
      </c>
      <c r="O2055" t="inlineStr">
        <is>
          <t>12561</t>
        </is>
      </c>
      <c r="P2055" t="inlineStr">
        <is>
          <t>CROSS COUNTRY INFRASTRUCTURE SERVICES INC.</t>
        </is>
      </c>
      <c r="Q2055" s="114" t="n">
        <v>0</v>
      </c>
      <c r="R2055" s="114" t="n">
        <v>0</v>
      </c>
      <c r="S2055" s="114" t="n">
        <v>0</v>
      </c>
      <c r="T2055" t="n">
        <v>0</v>
      </c>
    </row>
    <row r="2056">
      <c r="A2056" t="inlineStr">
        <is>
          <t>ttJTrans</t>
        </is>
      </c>
      <c r="B2056" s="38" t="inlineStr">
        <is>
          <t>0-4008</t>
        </is>
      </c>
      <c r="C2056" t="inlineStr">
        <is>
          <t>OC</t>
        </is>
      </c>
      <c r="D2056" t="inlineStr">
        <is>
          <t>MA1011041</t>
        </is>
      </c>
      <c r="E2056" t="inlineStr">
        <is>
          <t>OC</t>
        </is>
      </c>
      <c r="F2056" t="inlineStr">
        <is>
          <t>MA1011041</t>
        </is>
      </c>
      <c r="G2056" t="n">
        <v>46119</v>
      </c>
      <c r="H2056" s="127" t="n">
        <v>46141</v>
      </c>
      <c r="I2056" t="inlineStr">
        <is>
          <t>7</t>
        </is>
      </c>
      <c r="J2056" s="38" t="inlineStr">
        <is>
          <t>0-4008</t>
        </is>
      </c>
      <c r="K2056" t="inlineStr">
        <is>
          <t>PORTABLE FOLDING TABLE 6FT</t>
        </is>
      </c>
      <c r="L2056" t="n">
        <v>6</v>
      </c>
      <c r="M2056" t="n">
        <v>487.18</v>
      </c>
      <c r="N2056" t="inlineStr">
        <is>
          <t>INVOICE</t>
        </is>
      </c>
      <c r="O2056" t="inlineStr">
        <is>
          <t>12561</t>
        </is>
      </c>
      <c r="P2056" t="inlineStr">
        <is>
          <t>CROSS COUNTRY INFRASTRUCTURE SERVICES INC.</t>
        </is>
      </c>
      <c r="Q2056" s="114" t="n">
        <v>0</v>
      </c>
      <c r="R2056" s="114" t="n">
        <v>0</v>
      </c>
      <c r="S2056" s="114" t="n">
        <v>0</v>
      </c>
      <c r="T2056" t="n">
        <v>0</v>
      </c>
    </row>
    <row r="2057">
      <c r="A2057" t="inlineStr">
        <is>
          <t>ttJTrans</t>
        </is>
      </c>
      <c r="B2057" s="38" t="inlineStr">
        <is>
          <t>0-4008</t>
        </is>
      </c>
      <c r="C2057" t="inlineStr">
        <is>
          <t>OC</t>
        </is>
      </c>
      <c r="D2057" t="inlineStr">
        <is>
          <t>MA1011041</t>
        </is>
      </c>
      <c r="E2057" t="inlineStr">
        <is>
          <t>OC</t>
        </is>
      </c>
      <c r="F2057" t="inlineStr">
        <is>
          <t>MA1011041</t>
        </is>
      </c>
      <c r="G2057" t="n">
        <v>46119</v>
      </c>
      <c r="H2057" s="127" t="n">
        <v>46141</v>
      </c>
      <c r="I2057" t="inlineStr">
        <is>
          <t>5</t>
        </is>
      </c>
      <c r="J2057" s="38" t="inlineStr">
        <is>
          <t>0-4008</t>
        </is>
      </c>
      <c r="K2057" t="inlineStr">
        <is>
          <t>TAPE ELEC SUPER 33 3/4INX52FT</t>
        </is>
      </c>
      <c r="L2057" t="n">
        <v>100</v>
      </c>
      <c r="M2057" t="n">
        <v>759.24</v>
      </c>
      <c r="N2057" t="inlineStr">
        <is>
          <t>INVOICE</t>
        </is>
      </c>
      <c r="O2057" t="inlineStr">
        <is>
          <t>12561</t>
        </is>
      </c>
      <c r="P2057" t="inlineStr">
        <is>
          <t>CROSS COUNTRY INFRASTRUCTURE SERVICES INC.</t>
        </is>
      </c>
      <c r="Q2057" s="114" t="n">
        <v>0</v>
      </c>
      <c r="R2057" s="114" t="n">
        <v>0</v>
      </c>
      <c r="S2057" s="114" t="n">
        <v>0</v>
      </c>
      <c r="T2057" t="n">
        <v>0</v>
      </c>
    </row>
    <row r="2058">
      <c r="A2058" t="inlineStr">
        <is>
          <t>ttJTrans</t>
        </is>
      </c>
      <c r="B2058" s="38" t="inlineStr">
        <is>
          <t>0-4008</t>
        </is>
      </c>
      <c r="C2058" t="inlineStr">
        <is>
          <t>OC</t>
        </is>
      </c>
      <c r="D2058" t="inlineStr">
        <is>
          <t>MA1011041</t>
        </is>
      </c>
      <c r="E2058" t="inlineStr">
        <is>
          <t>OC</t>
        </is>
      </c>
      <c r="F2058" t="inlineStr">
        <is>
          <t>MA1011041</t>
        </is>
      </c>
      <c r="G2058" t="n">
        <v>46119</v>
      </c>
      <c r="H2058" s="127" t="n">
        <v>46141</v>
      </c>
      <c r="I2058" t="inlineStr">
        <is>
          <t>4</t>
        </is>
      </c>
      <c r="J2058" s="38" t="inlineStr">
        <is>
          <t>0-4008</t>
        </is>
      </c>
      <c r="K2058" t="inlineStr">
        <is>
          <t>BALL MARKER LOCATOR 5 FT RANGE</t>
        </is>
      </c>
      <c r="L2058" t="n">
        <v>60</v>
      </c>
      <c r="M2058" t="n">
        <v>1756.24</v>
      </c>
      <c r="N2058" t="inlineStr">
        <is>
          <t>INVOICE</t>
        </is>
      </c>
      <c r="O2058" t="inlineStr">
        <is>
          <t>12561</t>
        </is>
      </c>
      <c r="P2058" t="inlineStr">
        <is>
          <t>CROSS COUNTRY INFRASTRUCTURE SERVICES INC.</t>
        </is>
      </c>
      <c r="Q2058" s="114" t="n">
        <v>0</v>
      </c>
      <c r="R2058" s="114" t="n">
        <v>0</v>
      </c>
      <c r="S2058" s="114" t="n">
        <v>0</v>
      </c>
      <c r="T2058" t="n">
        <v>0</v>
      </c>
    </row>
    <row r="2059">
      <c r="A2059" t="inlineStr">
        <is>
          <t>ttJTrans</t>
        </is>
      </c>
      <c r="B2059" s="38" t="inlineStr">
        <is>
          <t>0-4008</t>
        </is>
      </c>
      <c r="C2059" t="inlineStr">
        <is>
          <t>OC</t>
        </is>
      </c>
      <c r="D2059" t="inlineStr">
        <is>
          <t>MA1011041</t>
        </is>
      </c>
      <c r="E2059" t="inlineStr">
        <is>
          <t>OC</t>
        </is>
      </c>
      <c r="F2059" t="inlineStr">
        <is>
          <t>MA1011041</t>
        </is>
      </c>
      <c r="G2059" t="n">
        <v>46119</v>
      </c>
      <c r="H2059" s="127" t="n">
        <v>46141</v>
      </c>
      <c r="I2059" t="inlineStr">
        <is>
          <t>3</t>
        </is>
      </c>
      <c r="J2059" s="38" t="inlineStr">
        <is>
          <t>0-4008</t>
        </is>
      </c>
      <c r="K2059" t="inlineStr">
        <is>
          <t>TAPE ELECTRIAL 3/4IN BLUE</t>
        </is>
      </c>
      <c r="L2059" t="n">
        <v>100</v>
      </c>
      <c r="M2059" t="n">
        <v>97.68000000000001</v>
      </c>
      <c r="N2059" t="inlineStr">
        <is>
          <t>INVOICE</t>
        </is>
      </c>
      <c r="O2059" t="inlineStr">
        <is>
          <t>12561</t>
        </is>
      </c>
      <c r="P2059" t="inlineStr">
        <is>
          <t>CROSS COUNTRY INFRASTRUCTURE SERVICES INC.</t>
        </is>
      </c>
      <c r="Q2059" s="114" t="n">
        <v>0</v>
      </c>
      <c r="R2059" s="114" t="n">
        <v>0</v>
      </c>
      <c r="S2059" s="114" t="n">
        <v>0</v>
      </c>
      <c r="T2059" t="n">
        <v>0</v>
      </c>
    </row>
    <row r="2060">
      <c r="A2060" t="inlineStr">
        <is>
          <t>ttJTrans</t>
        </is>
      </c>
      <c r="B2060" s="38" t="inlineStr">
        <is>
          <t>0-4008</t>
        </is>
      </c>
      <c r="C2060" t="inlineStr">
        <is>
          <t>OC</t>
        </is>
      </c>
      <c r="D2060" t="inlineStr">
        <is>
          <t>MA1011064</t>
        </is>
      </c>
      <c r="E2060" t="inlineStr">
        <is>
          <t>OC</t>
        </is>
      </c>
      <c r="F2060" t="inlineStr">
        <is>
          <t>MA1011064</t>
        </is>
      </c>
      <c r="G2060" t="n">
        <v>46120</v>
      </c>
      <c r="H2060" s="127" t="n">
        <v>46135</v>
      </c>
      <c r="I2060" t="inlineStr">
        <is>
          <t>2</t>
        </is>
      </c>
      <c r="J2060" s="38" t="inlineStr">
        <is>
          <t>0-4008</t>
        </is>
      </c>
      <c r="K2060" t="inlineStr">
        <is>
          <t>Shipping</t>
        </is>
      </c>
      <c r="L2060" t="n">
        <v>1</v>
      </c>
      <c r="M2060" t="n">
        <v>15.08</v>
      </c>
      <c r="N2060" t="inlineStr">
        <is>
          <t>INVOICE</t>
        </is>
      </c>
      <c r="O2060" t="inlineStr">
        <is>
          <t>12747</t>
        </is>
      </c>
      <c r="P2060" t="inlineStr">
        <is>
          <t>GRAINGER, INC.</t>
        </is>
      </c>
      <c r="Q2060" s="114" t="n">
        <v>0</v>
      </c>
      <c r="R2060" s="114" t="n">
        <v>0</v>
      </c>
      <c r="S2060" s="114" t="n">
        <v>0</v>
      </c>
      <c r="T2060" t="n">
        <v>0</v>
      </c>
    </row>
    <row r="2061">
      <c r="A2061" t="inlineStr">
        <is>
          <t>ttJTrans</t>
        </is>
      </c>
      <c r="B2061" s="38" t="inlineStr">
        <is>
          <t>0-4008</t>
        </is>
      </c>
      <c r="C2061" t="inlineStr">
        <is>
          <t>OC</t>
        </is>
      </c>
      <c r="D2061" t="inlineStr">
        <is>
          <t>MA1011064</t>
        </is>
      </c>
      <c r="E2061" t="inlineStr">
        <is>
          <t>OC</t>
        </is>
      </c>
      <c r="F2061" t="inlineStr">
        <is>
          <t>MA1011064</t>
        </is>
      </c>
      <c r="G2061" t="n">
        <v>46120</v>
      </c>
      <c r="H2061" s="127" t="n">
        <v>46135</v>
      </c>
      <c r="I2061" t="inlineStr">
        <is>
          <t>1</t>
        </is>
      </c>
      <c r="J2061" s="38" t="inlineStr">
        <is>
          <t>0-4008</t>
        </is>
      </c>
      <c r="K2061" t="inlineStr">
        <is>
          <t>Spill containment patches</t>
        </is>
      </c>
      <c r="L2061" t="n">
        <v>6</v>
      </c>
      <c r="M2061" t="n">
        <v>233.5</v>
      </c>
      <c r="N2061" t="inlineStr">
        <is>
          <t>INVOICE</t>
        </is>
      </c>
      <c r="O2061" t="inlineStr">
        <is>
          <t>12747</t>
        </is>
      </c>
      <c r="P2061" t="inlineStr">
        <is>
          <t>GRAINGER, INC.</t>
        </is>
      </c>
      <c r="Q2061" s="114" t="n">
        <v>0</v>
      </c>
      <c r="R2061" s="114" t="n">
        <v>0</v>
      </c>
      <c r="S2061" s="114" t="n">
        <v>0</v>
      </c>
      <c r="T2061" t="n">
        <v>0</v>
      </c>
    </row>
    <row r="2062">
      <c r="A2062" t="inlineStr">
        <is>
          <t>ttJTrans</t>
        </is>
      </c>
      <c r="B2062" s="38" t="inlineStr">
        <is>
          <t>0-4008</t>
        </is>
      </c>
      <c r="C2062" t="inlineStr">
        <is>
          <t>OC</t>
        </is>
      </c>
      <c r="D2062" t="inlineStr">
        <is>
          <t>MA1011064</t>
        </is>
      </c>
      <c r="E2062" t="inlineStr">
        <is>
          <t>OC</t>
        </is>
      </c>
      <c r="F2062" t="inlineStr">
        <is>
          <t>MA1011064</t>
        </is>
      </c>
      <c r="G2062" t="n">
        <v>46120</v>
      </c>
      <c r="H2062" s="127" t="n">
        <v>46120</v>
      </c>
      <c r="I2062" t="inlineStr">
        <is>
          <t>1</t>
        </is>
      </c>
      <c r="J2062" s="38" t="inlineStr">
        <is>
          <t>0-4008</t>
        </is>
      </c>
      <c r="K2062" t="inlineStr">
        <is>
          <t>Spill containment patches</t>
        </is>
      </c>
      <c r="L2062" t="n">
        <v>6</v>
      </c>
      <c r="M2062" t="n">
        <v>233.5</v>
      </c>
      <c r="N2062" t="inlineStr">
        <is>
          <t>PO:COMMIT</t>
        </is>
      </c>
      <c r="O2062" t="inlineStr">
        <is>
          <t>12747</t>
        </is>
      </c>
      <c r="P2062" t="inlineStr">
        <is>
          <t>GRAINGER, INC.</t>
        </is>
      </c>
      <c r="Q2062" s="114" t="n">
        <v>0</v>
      </c>
      <c r="R2062" s="114" t="n">
        <v>0</v>
      </c>
      <c r="S2062" s="114" t="n">
        <v>233.5</v>
      </c>
      <c r="T2062" t="n">
        <v>0</v>
      </c>
    </row>
    <row r="2063">
      <c r="A2063" t="inlineStr">
        <is>
          <t>ttJTrans</t>
        </is>
      </c>
      <c r="B2063" s="38" t="inlineStr">
        <is>
          <t>0-4008</t>
        </is>
      </c>
      <c r="C2063" t="inlineStr">
        <is>
          <t>OC</t>
        </is>
      </c>
      <c r="D2063" t="inlineStr">
        <is>
          <t>MA1011064</t>
        </is>
      </c>
      <c r="E2063" t="inlineStr">
        <is>
          <t>OC</t>
        </is>
      </c>
      <c r="F2063" t="inlineStr">
        <is>
          <t>MA1011064</t>
        </is>
      </c>
      <c r="G2063" t="n">
        <v>46120</v>
      </c>
      <c r="H2063" s="127" t="n">
        <v>46120</v>
      </c>
      <c r="I2063" t="inlineStr">
        <is>
          <t>1</t>
        </is>
      </c>
      <c r="J2063" s="38" t="inlineStr">
        <is>
          <t>0-4008</t>
        </is>
      </c>
      <c r="K2063" t="inlineStr">
        <is>
          <t>Spill containment patches</t>
        </is>
      </c>
      <c r="L2063" t="n">
        <v>6</v>
      </c>
      <c r="M2063" t="n">
        <v>233.5</v>
      </c>
      <c r="N2063" t="inlineStr">
        <is>
          <t>INVOICE:ADJ-COMMIT</t>
        </is>
      </c>
      <c r="O2063" t="inlineStr">
        <is>
          <t>12747</t>
        </is>
      </c>
      <c r="P2063" t="inlineStr">
        <is>
          <t>GRAINGER, INC.</t>
        </is>
      </c>
      <c r="Q2063" s="114" t="n">
        <v>0</v>
      </c>
      <c r="R2063" s="114" t="n">
        <v>0</v>
      </c>
      <c r="S2063" s="114" t="n">
        <v>-233.5</v>
      </c>
      <c r="T2063" t="n">
        <v>0</v>
      </c>
    </row>
    <row r="2064">
      <c r="A2064" t="inlineStr">
        <is>
          <t>ttJTrans</t>
        </is>
      </c>
      <c r="B2064" s="38" t="inlineStr">
        <is>
          <t>0-4008</t>
        </is>
      </c>
      <c r="C2064" t="inlineStr">
        <is>
          <t>OC</t>
        </is>
      </c>
      <c r="D2064" t="inlineStr">
        <is>
          <t>MA1011064</t>
        </is>
      </c>
      <c r="E2064" t="inlineStr">
        <is>
          <t>OC</t>
        </is>
      </c>
      <c r="F2064" t="inlineStr">
        <is>
          <t>MA1011064</t>
        </is>
      </c>
      <c r="G2064" t="n">
        <v>46120</v>
      </c>
      <c r="H2064" s="127" t="n">
        <v>46120</v>
      </c>
      <c r="I2064" t="inlineStr">
        <is>
          <t>2</t>
        </is>
      </c>
      <c r="J2064" s="38" t="inlineStr">
        <is>
          <t>0-4008</t>
        </is>
      </c>
      <c r="K2064" t="inlineStr">
        <is>
          <t>Shipping</t>
        </is>
      </c>
      <c r="L2064" t="n">
        <v>1</v>
      </c>
      <c r="M2064" t="n">
        <v>15.08</v>
      </c>
      <c r="N2064" t="inlineStr">
        <is>
          <t>INVOICE:ADJ-COMMIT</t>
        </is>
      </c>
      <c r="O2064" t="inlineStr">
        <is>
          <t>12747</t>
        </is>
      </c>
      <c r="P2064" t="inlineStr">
        <is>
          <t>GRAINGER, INC.</t>
        </is>
      </c>
      <c r="Q2064" s="114" t="n">
        <v>0</v>
      </c>
      <c r="R2064" s="114" t="n">
        <v>0</v>
      </c>
      <c r="S2064" s="114" t="n">
        <v>-15.08</v>
      </c>
      <c r="T2064" t="n">
        <v>0</v>
      </c>
    </row>
    <row r="2065">
      <c r="A2065" t="inlineStr">
        <is>
          <t>ttJTrans</t>
        </is>
      </c>
      <c r="B2065" s="38" t="inlineStr">
        <is>
          <t>0-4008</t>
        </is>
      </c>
      <c r="C2065" t="inlineStr">
        <is>
          <t>OC</t>
        </is>
      </c>
      <c r="D2065" t="inlineStr">
        <is>
          <t>MA1011064</t>
        </is>
      </c>
      <c r="E2065" t="inlineStr">
        <is>
          <t>OC</t>
        </is>
      </c>
      <c r="F2065" t="inlineStr">
        <is>
          <t>MA1011064</t>
        </is>
      </c>
      <c r="G2065" t="n">
        <v>46120</v>
      </c>
      <c r="H2065" s="127" t="n">
        <v>46120</v>
      </c>
      <c r="I2065" t="inlineStr">
        <is>
          <t>2</t>
        </is>
      </c>
      <c r="J2065" s="38" t="inlineStr">
        <is>
          <t>0-4008</t>
        </is>
      </c>
      <c r="K2065" t="inlineStr">
        <is>
          <t>Shipping</t>
        </is>
      </c>
      <c r="L2065" t="n">
        <v>1</v>
      </c>
      <c r="M2065" t="n">
        <v>15.08</v>
      </c>
      <c r="N2065" t="inlineStr">
        <is>
          <t>PO:COMMIT</t>
        </is>
      </c>
      <c r="O2065" t="inlineStr">
        <is>
          <t>12747</t>
        </is>
      </c>
      <c r="P2065" t="inlineStr">
        <is>
          <t>GRAINGER, INC.</t>
        </is>
      </c>
      <c r="Q2065" s="114" t="n">
        <v>0</v>
      </c>
      <c r="R2065" s="114" t="n">
        <v>0</v>
      </c>
      <c r="S2065" s="114" t="n">
        <v>15.08</v>
      </c>
      <c r="T2065" t="n">
        <v>0</v>
      </c>
    </row>
    <row r="2066">
      <c r="A2066" t="inlineStr">
        <is>
          <t>ttJTrans</t>
        </is>
      </c>
      <c r="B2066" s="38" t="inlineStr">
        <is>
          <t>0-4008</t>
        </is>
      </c>
      <c r="C2066" t="inlineStr">
        <is>
          <t>OC</t>
        </is>
      </c>
      <c r="D2066" t="inlineStr">
        <is>
          <t>MA1011067</t>
        </is>
      </c>
      <c r="E2066" t="inlineStr">
        <is>
          <t>OC</t>
        </is>
      </c>
      <c r="F2066" t="inlineStr">
        <is>
          <t>MA1011067</t>
        </is>
      </c>
      <c r="G2066" t="n">
        <v>46120</v>
      </c>
      <c r="H2066" s="127" t="n">
        <v>46120</v>
      </c>
      <c r="I2066" t="inlineStr">
        <is>
          <t>1</t>
        </is>
      </c>
      <c r="J2066" s="38" t="inlineStr">
        <is>
          <t>0-4008</t>
        </is>
      </c>
      <c r="K2066" t="inlineStr">
        <is>
          <t>42" Truck safety light bars</t>
        </is>
      </c>
      <c r="L2066" t="n">
        <v>10</v>
      </c>
      <c r="M2066" t="n">
        <v>598.96</v>
      </c>
      <c r="N2066" t="inlineStr">
        <is>
          <t>PO:COMMIT</t>
        </is>
      </c>
      <c r="O2066" t="inlineStr">
        <is>
          <t>20395</t>
        </is>
      </c>
      <c r="P2066" t="inlineStr">
        <is>
          <t>AMAZON.COM SERVICES LLC</t>
        </is>
      </c>
      <c r="Q2066" s="114" t="n">
        <v>0</v>
      </c>
      <c r="R2066" s="114" t="n">
        <v>0</v>
      </c>
      <c r="S2066" s="114" t="n">
        <v>598.96</v>
      </c>
      <c r="T2066" t="n">
        <v>0</v>
      </c>
    </row>
    <row r="2067">
      <c r="A2067" t="inlineStr">
        <is>
          <t>ttJTrans</t>
        </is>
      </c>
      <c r="B2067" s="38" t="inlineStr">
        <is>
          <t>0-4008</t>
        </is>
      </c>
      <c r="C2067" t="inlineStr">
        <is>
          <t>OC</t>
        </is>
      </c>
      <c r="D2067" t="inlineStr">
        <is>
          <t>MA1011067</t>
        </is>
      </c>
      <c r="E2067" t="inlineStr">
        <is>
          <t>OC</t>
        </is>
      </c>
      <c r="F2067" t="inlineStr">
        <is>
          <t>MA1011067</t>
        </is>
      </c>
      <c r="G2067" t="n">
        <v>46120</v>
      </c>
      <c r="H2067" s="127" t="n">
        <v>46120</v>
      </c>
      <c r="I2067" t="inlineStr">
        <is>
          <t>1</t>
        </is>
      </c>
      <c r="J2067" s="38" t="inlineStr">
        <is>
          <t>0-4008</t>
        </is>
      </c>
      <c r="K2067" t="inlineStr">
        <is>
          <t>42" Truck safety light bars</t>
        </is>
      </c>
      <c r="L2067" t="n">
        <v>10</v>
      </c>
      <c r="M2067" t="n">
        <v>598.96</v>
      </c>
      <c r="N2067" t="inlineStr">
        <is>
          <t>INVOICE:ADJ-COMMIT</t>
        </is>
      </c>
      <c r="O2067" t="inlineStr">
        <is>
          <t>20395</t>
        </is>
      </c>
      <c r="P2067" t="inlineStr">
        <is>
          <t>AMAZON.COM SERVICES LLC</t>
        </is>
      </c>
      <c r="Q2067" s="114" t="n">
        <v>0</v>
      </c>
      <c r="R2067" s="114" t="n">
        <v>0</v>
      </c>
      <c r="S2067" s="114" t="n">
        <v>-598.96</v>
      </c>
      <c r="T2067" t="n">
        <v>0</v>
      </c>
    </row>
    <row r="2068">
      <c r="A2068" t="inlineStr">
        <is>
          <t>ttJTrans</t>
        </is>
      </c>
      <c r="B2068" s="38" t="inlineStr">
        <is>
          <t>0-4008</t>
        </is>
      </c>
      <c r="C2068" t="inlineStr">
        <is>
          <t>OC</t>
        </is>
      </c>
      <c r="D2068" t="inlineStr">
        <is>
          <t>MA1011067</t>
        </is>
      </c>
      <c r="E2068" t="inlineStr">
        <is>
          <t>OC</t>
        </is>
      </c>
      <c r="F2068" t="inlineStr">
        <is>
          <t>MA1011067</t>
        </is>
      </c>
      <c r="G2068" t="n">
        <v>46120</v>
      </c>
      <c r="H2068" s="127" t="n">
        <v>46128</v>
      </c>
      <c r="I2068" t="inlineStr">
        <is>
          <t>1</t>
        </is>
      </c>
      <c r="J2068" s="38" t="inlineStr">
        <is>
          <t>0-4008</t>
        </is>
      </c>
      <c r="K2068" t="inlineStr">
        <is>
          <t>42" Truck safety light bars</t>
        </is>
      </c>
      <c r="L2068" t="n">
        <v>10</v>
      </c>
      <c r="M2068" t="n">
        <v>598.96</v>
      </c>
      <c r="N2068" t="inlineStr">
        <is>
          <t>INVOICE</t>
        </is>
      </c>
      <c r="O2068" t="inlineStr">
        <is>
          <t>20395</t>
        </is>
      </c>
      <c r="P2068" t="inlineStr">
        <is>
          <t>AMAZON.COM SERVICES LLC</t>
        </is>
      </c>
      <c r="Q2068" s="114" t="n">
        <v>0</v>
      </c>
      <c r="R2068" s="114" t="n">
        <v>0</v>
      </c>
      <c r="S2068" s="114" t="n">
        <v>0</v>
      </c>
      <c r="T2068" t="n">
        <v>0</v>
      </c>
    </row>
    <row r="2069">
      <c r="A2069" t="inlineStr">
        <is>
          <t>ttJTrans</t>
        </is>
      </c>
      <c r="B2069" s="38" t="inlineStr">
        <is>
          <t>0-4008</t>
        </is>
      </c>
      <c r="C2069" t="inlineStr">
        <is>
          <t>OC</t>
        </is>
      </c>
      <c r="D2069" t="inlineStr">
        <is>
          <t>MA1011085</t>
        </is>
      </c>
      <c r="E2069" t="inlineStr">
        <is>
          <t>OC</t>
        </is>
      </c>
      <c r="F2069" t="inlineStr">
        <is>
          <t>MA1011085</t>
        </is>
      </c>
      <c r="G2069" t="n">
        <v>46121</v>
      </c>
      <c r="H2069" s="127" t="n">
        <v>46139</v>
      </c>
      <c r="I2069" t="inlineStr">
        <is>
          <t>1</t>
        </is>
      </c>
      <c r="J2069" s="38" t="inlineStr">
        <is>
          <t>0-4008</t>
        </is>
      </c>
      <c r="K2069" t="inlineStr">
        <is>
          <t>Pallet water</t>
        </is>
      </c>
      <c r="L2069" t="n">
        <v>84</v>
      </c>
      <c r="M2069" t="n">
        <v>344.06</v>
      </c>
      <c r="N2069" t="inlineStr">
        <is>
          <t>INVOICE</t>
        </is>
      </c>
      <c r="O2069" t="inlineStr">
        <is>
          <t>12561</t>
        </is>
      </c>
      <c r="P2069" t="inlineStr">
        <is>
          <t>CROSS COUNTRY INFRASTRUCTURE SERVICES INC.</t>
        </is>
      </c>
      <c r="Q2069" s="114" t="n">
        <v>0</v>
      </c>
      <c r="R2069" s="114" t="n">
        <v>0</v>
      </c>
      <c r="S2069" s="114" t="n">
        <v>0</v>
      </c>
      <c r="T2069" t="n">
        <v>0</v>
      </c>
    </row>
    <row r="2070">
      <c r="A2070" t="inlineStr">
        <is>
          <t>ttJTrans</t>
        </is>
      </c>
      <c r="B2070" s="38" t="inlineStr">
        <is>
          <t>0-4008</t>
        </is>
      </c>
      <c r="C2070" t="inlineStr">
        <is>
          <t>OC</t>
        </is>
      </c>
      <c r="D2070" t="inlineStr">
        <is>
          <t>MA1011085</t>
        </is>
      </c>
      <c r="E2070" t="inlineStr">
        <is>
          <t>OC</t>
        </is>
      </c>
      <c r="F2070" t="inlineStr">
        <is>
          <t>MA1011085</t>
        </is>
      </c>
      <c r="G2070" t="n">
        <v>46121</v>
      </c>
      <c r="H2070" s="127" t="n">
        <v>46139</v>
      </c>
      <c r="I2070" t="inlineStr">
        <is>
          <t>2</t>
        </is>
      </c>
      <c r="J2070" s="38" t="inlineStr">
        <is>
          <t>0-4008</t>
        </is>
      </c>
      <c r="K2070" t="inlineStr">
        <is>
          <t>Freight</t>
        </is>
      </c>
      <c r="L2070" t="n">
        <v>1</v>
      </c>
      <c r="M2070" t="n">
        <v>88.8</v>
      </c>
      <c r="N2070" t="inlineStr">
        <is>
          <t>INVOICE</t>
        </is>
      </c>
      <c r="O2070" t="inlineStr">
        <is>
          <t>12561</t>
        </is>
      </c>
      <c r="P2070" t="inlineStr">
        <is>
          <t>CROSS COUNTRY INFRASTRUCTURE SERVICES INC.</t>
        </is>
      </c>
      <c r="Q2070" s="114" t="n">
        <v>0</v>
      </c>
      <c r="R2070" s="114" t="n">
        <v>0</v>
      </c>
      <c r="S2070" s="114" t="n">
        <v>0</v>
      </c>
      <c r="T2070" t="n">
        <v>0</v>
      </c>
    </row>
    <row r="2071">
      <c r="A2071" t="inlineStr">
        <is>
          <t>ttJTrans</t>
        </is>
      </c>
      <c r="B2071" s="38" t="inlineStr">
        <is>
          <t>0-4008</t>
        </is>
      </c>
      <c r="C2071" t="inlineStr">
        <is>
          <t>OC</t>
        </is>
      </c>
      <c r="D2071" t="inlineStr">
        <is>
          <t>MA1011085</t>
        </is>
      </c>
      <c r="E2071" t="inlineStr">
        <is>
          <t>OC</t>
        </is>
      </c>
      <c r="F2071" t="inlineStr">
        <is>
          <t>MA1011085</t>
        </is>
      </c>
      <c r="G2071" t="n">
        <v>46121</v>
      </c>
      <c r="H2071" s="127" t="n">
        <v>46122</v>
      </c>
      <c r="I2071" t="inlineStr">
        <is>
          <t>1</t>
        </is>
      </c>
      <c r="J2071" s="38" t="inlineStr">
        <is>
          <t>0-4008</t>
        </is>
      </c>
      <c r="K2071" t="inlineStr">
        <is>
          <t>Pallet water</t>
        </is>
      </c>
      <c r="L2071" t="n">
        <v>84</v>
      </c>
      <c r="M2071" t="n">
        <v>344.06</v>
      </c>
      <c r="N2071" t="inlineStr">
        <is>
          <t>PO:COMMIT</t>
        </is>
      </c>
      <c r="O2071" t="inlineStr">
        <is>
          <t>12561</t>
        </is>
      </c>
      <c r="P2071" t="inlineStr">
        <is>
          <t>CROSS COUNTRY INFRASTRUCTURE SERVICES INC.</t>
        </is>
      </c>
      <c r="Q2071" s="114" t="n">
        <v>0</v>
      </c>
      <c r="R2071" s="114" t="n">
        <v>0</v>
      </c>
      <c r="S2071" s="114" t="n">
        <v>344.06</v>
      </c>
      <c r="T2071" t="n">
        <v>0</v>
      </c>
    </row>
    <row r="2072">
      <c r="A2072" t="inlineStr">
        <is>
          <t>ttJTrans</t>
        </is>
      </c>
      <c r="B2072" s="38" t="inlineStr">
        <is>
          <t>0-4008</t>
        </is>
      </c>
      <c r="C2072" t="inlineStr">
        <is>
          <t>OC</t>
        </is>
      </c>
      <c r="D2072" t="inlineStr">
        <is>
          <t>MA1011085</t>
        </is>
      </c>
      <c r="E2072" t="inlineStr">
        <is>
          <t>OC</t>
        </is>
      </c>
      <c r="F2072" t="inlineStr">
        <is>
          <t>MA1011085</t>
        </is>
      </c>
      <c r="G2072" t="n">
        <v>46121</v>
      </c>
      <c r="H2072" s="127" t="n">
        <v>46122</v>
      </c>
      <c r="I2072" t="inlineStr">
        <is>
          <t>2</t>
        </is>
      </c>
      <c r="J2072" s="38" t="inlineStr">
        <is>
          <t>0-4008</t>
        </is>
      </c>
      <c r="K2072" t="inlineStr">
        <is>
          <t>Freight</t>
        </is>
      </c>
      <c r="L2072" t="n">
        <v>1</v>
      </c>
      <c r="M2072" t="n">
        <v>88.8</v>
      </c>
      <c r="N2072" t="inlineStr">
        <is>
          <t>INVOICE:ADJ-COMMIT</t>
        </is>
      </c>
      <c r="O2072" t="inlineStr">
        <is>
          <t>12561</t>
        </is>
      </c>
      <c r="P2072" t="inlineStr">
        <is>
          <t>CROSS COUNTRY INFRASTRUCTURE SERVICES INC.</t>
        </is>
      </c>
      <c r="Q2072" s="114" t="n">
        <v>0</v>
      </c>
      <c r="R2072" s="114" t="n">
        <v>0</v>
      </c>
      <c r="S2072" s="114" t="n">
        <v>-88.8</v>
      </c>
      <c r="T2072" t="n">
        <v>0</v>
      </c>
    </row>
    <row r="2073">
      <c r="A2073" t="inlineStr">
        <is>
          <t>ttJTrans</t>
        </is>
      </c>
      <c r="B2073" s="38" t="inlineStr">
        <is>
          <t>0-4008</t>
        </is>
      </c>
      <c r="C2073" t="inlineStr">
        <is>
          <t>OC</t>
        </is>
      </c>
      <c r="D2073" t="inlineStr">
        <is>
          <t>MA1011085</t>
        </is>
      </c>
      <c r="E2073" t="inlineStr">
        <is>
          <t>OC</t>
        </is>
      </c>
      <c r="F2073" t="inlineStr">
        <is>
          <t>MA1011085</t>
        </is>
      </c>
      <c r="G2073" t="n">
        <v>46121</v>
      </c>
      <c r="H2073" s="127" t="n">
        <v>46122</v>
      </c>
      <c r="I2073" t="inlineStr">
        <is>
          <t>2</t>
        </is>
      </c>
      <c r="J2073" s="38" t="inlineStr">
        <is>
          <t>0-4008</t>
        </is>
      </c>
      <c r="K2073" t="inlineStr">
        <is>
          <t>Freight</t>
        </is>
      </c>
      <c r="L2073" t="n">
        <v>1</v>
      </c>
      <c r="M2073" t="n">
        <v>88.8</v>
      </c>
      <c r="N2073" t="inlineStr">
        <is>
          <t>PO:COMMIT</t>
        </is>
      </c>
      <c r="O2073" t="inlineStr">
        <is>
          <t>12561</t>
        </is>
      </c>
      <c r="P2073" t="inlineStr">
        <is>
          <t>CROSS COUNTRY INFRASTRUCTURE SERVICES INC.</t>
        </is>
      </c>
      <c r="Q2073" s="114" t="n">
        <v>0</v>
      </c>
      <c r="R2073" s="114" t="n">
        <v>0</v>
      </c>
      <c r="S2073" s="114" t="n">
        <v>88.8</v>
      </c>
      <c r="T2073" t="n">
        <v>0</v>
      </c>
    </row>
    <row r="2074">
      <c r="A2074" t="inlineStr">
        <is>
          <t>ttJTrans</t>
        </is>
      </c>
      <c r="B2074" s="38" t="inlineStr">
        <is>
          <t>0-4008</t>
        </is>
      </c>
      <c r="C2074" t="inlineStr">
        <is>
          <t>OC</t>
        </is>
      </c>
      <c r="D2074" t="inlineStr">
        <is>
          <t>MA1011085</t>
        </is>
      </c>
      <c r="E2074" t="inlineStr">
        <is>
          <t>OC</t>
        </is>
      </c>
      <c r="F2074" t="inlineStr">
        <is>
          <t>MA1011085</t>
        </is>
      </c>
      <c r="G2074" t="n">
        <v>46121</v>
      </c>
      <c r="H2074" s="127" t="n">
        <v>46122</v>
      </c>
      <c r="I2074" t="inlineStr">
        <is>
          <t>1</t>
        </is>
      </c>
      <c r="J2074" s="38" t="inlineStr">
        <is>
          <t>0-4008</t>
        </is>
      </c>
      <c r="K2074" t="inlineStr">
        <is>
          <t>Pallet water</t>
        </is>
      </c>
      <c r="L2074" t="n">
        <v>84</v>
      </c>
      <c r="M2074" t="n">
        <v>344.06</v>
      </c>
      <c r="N2074" t="inlineStr">
        <is>
          <t>INVOICE:ADJ-COMMIT</t>
        </is>
      </c>
      <c r="O2074" t="inlineStr">
        <is>
          <t>12561</t>
        </is>
      </c>
      <c r="P2074" t="inlineStr">
        <is>
          <t>CROSS COUNTRY INFRASTRUCTURE SERVICES INC.</t>
        </is>
      </c>
      <c r="Q2074" s="114" t="n">
        <v>0</v>
      </c>
      <c r="R2074" s="114" t="n">
        <v>0</v>
      </c>
      <c r="S2074" s="114" t="n">
        <v>-344.06</v>
      </c>
      <c r="T2074" t="n">
        <v>0</v>
      </c>
    </row>
    <row r="2075">
      <c r="A2075" t="inlineStr">
        <is>
          <t>ttJTrans</t>
        </is>
      </c>
      <c r="B2075" s="38" t="inlineStr">
        <is>
          <t>0-4008</t>
        </is>
      </c>
      <c r="C2075" t="inlineStr">
        <is>
          <t>OC</t>
        </is>
      </c>
      <c r="D2075" t="inlineStr">
        <is>
          <t>MA1011088</t>
        </is>
      </c>
      <c r="E2075" t="inlineStr">
        <is>
          <t>OC</t>
        </is>
      </c>
      <c r="F2075" t="inlineStr">
        <is>
          <t>MA1011088</t>
        </is>
      </c>
      <c r="G2075" t="n">
        <v>46121</v>
      </c>
      <c r="H2075" s="127" t="n">
        <v>46122</v>
      </c>
      <c r="I2075" t="inlineStr">
        <is>
          <t>6</t>
        </is>
      </c>
      <c r="J2075" s="38" t="inlineStr">
        <is>
          <t>0-4008</t>
        </is>
      </c>
      <c r="K2075" t="inlineStr">
        <is>
          <t>THREAD SEAL TPE 1/2X260"</t>
        </is>
      </c>
      <c r="L2075" t="n">
        <v>1</v>
      </c>
      <c r="M2075" t="n">
        <v>1.99</v>
      </c>
      <c r="N2075" t="inlineStr">
        <is>
          <t>INVOICE:ADJ-COMMIT</t>
        </is>
      </c>
      <c r="O2075" t="inlineStr">
        <is>
          <t>21265</t>
        </is>
      </c>
      <c r="P2075" t="inlineStr">
        <is>
          <t>WHARTON FEED &amp; SUPPLY LLC</t>
        </is>
      </c>
      <c r="Q2075" s="114" t="n">
        <v>0</v>
      </c>
      <c r="R2075" s="114" t="n">
        <v>0</v>
      </c>
      <c r="S2075" s="114" t="n">
        <v>-1.99</v>
      </c>
      <c r="T2075" t="n">
        <v>0</v>
      </c>
    </row>
    <row r="2076">
      <c r="A2076" t="inlineStr">
        <is>
          <t>ttJTrans</t>
        </is>
      </c>
      <c r="B2076" s="38" t="inlineStr">
        <is>
          <t>0-4008</t>
        </is>
      </c>
      <c r="C2076" t="inlineStr">
        <is>
          <t>OC</t>
        </is>
      </c>
      <c r="D2076" t="inlineStr">
        <is>
          <t>MA1011088</t>
        </is>
      </c>
      <c r="E2076" t="inlineStr">
        <is>
          <t>OC</t>
        </is>
      </c>
      <c r="F2076" t="inlineStr">
        <is>
          <t>MA1011088</t>
        </is>
      </c>
      <c r="G2076" t="n">
        <v>46121</v>
      </c>
      <c r="H2076" s="127" t="n">
        <v>46122</v>
      </c>
      <c r="I2076" t="inlineStr">
        <is>
          <t>2</t>
        </is>
      </c>
      <c r="J2076" s="38" t="inlineStr">
        <is>
          <t>0-4008</t>
        </is>
      </c>
      <c r="K2076" t="inlineStr">
        <is>
          <t>AIR PLUG "I/M" 3/8"MPT</t>
        </is>
      </c>
      <c r="L2076" t="n">
        <v>1</v>
      </c>
      <c r="M2076" t="n">
        <v>3.98</v>
      </c>
      <c r="N2076" t="inlineStr">
        <is>
          <t>INVOICE:ADJ-COMMIT</t>
        </is>
      </c>
      <c r="O2076" t="inlineStr">
        <is>
          <t>21265</t>
        </is>
      </c>
      <c r="P2076" t="inlineStr">
        <is>
          <t>WHARTON FEED &amp; SUPPLY LLC</t>
        </is>
      </c>
      <c r="Q2076" s="114" t="n">
        <v>0</v>
      </c>
      <c r="R2076" s="114" t="n">
        <v>0</v>
      </c>
      <c r="S2076" s="114" t="n">
        <v>-3.98</v>
      </c>
      <c r="T2076" t="n">
        <v>0</v>
      </c>
    </row>
    <row r="2077">
      <c r="A2077" t="inlineStr">
        <is>
          <t>ttJTrans</t>
        </is>
      </c>
      <c r="B2077" s="38" t="inlineStr">
        <is>
          <t>0-4008</t>
        </is>
      </c>
      <c r="C2077" t="inlineStr">
        <is>
          <t>OC</t>
        </is>
      </c>
      <c r="D2077" t="inlineStr">
        <is>
          <t>MA1011088</t>
        </is>
      </c>
      <c r="E2077" t="inlineStr">
        <is>
          <t>OC</t>
        </is>
      </c>
      <c r="F2077" t="inlineStr">
        <is>
          <t>MA1011088</t>
        </is>
      </c>
      <c r="G2077" t="n">
        <v>46121</v>
      </c>
      <c r="H2077" s="127" t="n">
        <v>46122</v>
      </c>
      <c r="I2077" t="inlineStr">
        <is>
          <t>3</t>
        </is>
      </c>
      <c r="J2077" s="38" t="inlineStr">
        <is>
          <t>0-4008</t>
        </is>
      </c>
      <c r="K2077" t="inlineStr">
        <is>
          <t>AIR COUPLER"I/M"3/8"MNPT</t>
        </is>
      </c>
      <c r="L2077" t="n">
        <v>1</v>
      </c>
      <c r="M2077" t="n">
        <v>19.97</v>
      </c>
      <c r="N2077" t="inlineStr">
        <is>
          <t>INVOICE:ADJ-COMMIT</t>
        </is>
      </c>
      <c r="O2077" t="inlineStr">
        <is>
          <t>21265</t>
        </is>
      </c>
      <c r="P2077" t="inlineStr">
        <is>
          <t>WHARTON FEED &amp; SUPPLY LLC</t>
        </is>
      </c>
      <c r="Q2077" s="114" t="n">
        <v>0</v>
      </c>
      <c r="R2077" s="114" t="n">
        <v>0</v>
      </c>
      <c r="S2077" s="114" t="n">
        <v>-19.97</v>
      </c>
      <c r="T2077" t="n">
        <v>0</v>
      </c>
    </row>
    <row r="2078">
      <c r="A2078" t="inlineStr">
        <is>
          <t>ttJTrans</t>
        </is>
      </c>
      <c r="B2078" s="38" t="inlineStr">
        <is>
          <t>0-4008</t>
        </is>
      </c>
      <c r="C2078" t="inlineStr">
        <is>
          <t>OC</t>
        </is>
      </c>
      <c r="D2078" t="inlineStr">
        <is>
          <t>MA1011088</t>
        </is>
      </c>
      <c r="E2078" t="inlineStr">
        <is>
          <t>OC</t>
        </is>
      </c>
      <c r="F2078" t="inlineStr">
        <is>
          <t>MA1011088</t>
        </is>
      </c>
      <c r="G2078" t="n">
        <v>46121</v>
      </c>
      <c r="H2078" s="127" t="n">
        <v>46122</v>
      </c>
      <c r="I2078" t="inlineStr">
        <is>
          <t>7</t>
        </is>
      </c>
      <c r="J2078" s="38" t="inlineStr">
        <is>
          <t>0-4008</t>
        </is>
      </c>
      <c r="K2078" t="inlineStr">
        <is>
          <t>BUSHING HEX GALV3/8X1/4"</t>
        </is>
      </c>
      <c r="L2078" t="n">
        <v>1</v>
      </c>
      <c r="M2078" t="n">
        <v>5.09</v>
      </c>
      <c r="N2078" t="inlineStr">
        <is>
          <t>INVOICE:ADJ-COMMIT</t>
        </is>
      </c>
      <c r="O2078" t="inlineStr">
        <is>
          <t>21265</t>
        </is>
      </c>
      <c r="P2078" t="inlineStr">
        <is>
          <t>WHARTON FEED &amp; SUPPLY LLC</t>
        </is>
      </c>
      <c r="Q2078" s="114" t="n">
        <v>0</v>
      </c>
      <c r="R2078" s="114" t="n">
        <v>0</v>
      </c>
      <c r="S2078" s="114" t="n">
        <v>-5.09</v>
      </c>
      <c r="T2078" t="n">
        <v>0</v>
      </c>
    </row>
    <row r="2079">
      <c r="A2079" t="inlineStr">
        <is>
          <t>ttJTrans</t>
        </is>
      </c>
      <c r="B2079" s="38" t="inlineStr">
        <is>
          <t>0-4008</t>
        </is>
      </c>
      <c r="C2079" t="inlineStr">
        <is>
          <t>OC</t>
        </is>
      </c>
      <c r="D2079" t="inlineStr">
        <is>
          <t>MA1011088</t>
        </is>
      </c>
      <c r="E2079" t="inlineStr">
        <is>
          <t>OC</t>
        </is>
      </c>
      <c r="F2079" t="inlineStr">
        <is>
          <t>MA1011088</t>
        </is>
      </c>
      <c r="G2079" t="n">
        <v>46121</v>
      </c>
      <c r="H2079" s="127" t="n">
        <v>46122</v>
      </c>
      <c r="I2079" t="inlineStr">
        <is>
          <t>5</t>
        </is>
      </c>
      <c r="J2079" s="38" t="inlineStr">
        <is>
          <t>0-4008</t>
        </is>
      </c>
      <c r="K2079" t="inlineStr">
        <is>
          <t>BUSHING HEX GALV3/8X1/4"</t>
        </is>
      </c>
      <c r="L2079" t="n">
        <v>1</v>
      </c>
      <c r="M2079" t="n">
        <v>5.09</v>
      </c>
      <c r="N2079" t="inlineStr">
        <is>
          <t>INVOICE:ADJ-COMMIT</t>
        </is>
      </c>
      <c r="O2079" t="inlineStr">
        <is>
          <t>21265</t>
        </is>
      </c>
      <c r="P2079" t="inlineStr">
        <is>
          <t>WHARTON FEED &amp; SUPPLY LLC</t>
        </is>
      </c>
      <c r="Q2079" s="114" t="n">
        <v>0</v>
      </c>
      <c r="R2079" s="114" t="n">
        <v>0</v>
      </c>
      <c r="S2079" s="114" t="n">
        <v>-5.09</v>
      </c>
      <c r="T2079" t="n">
        <v>0</v>
      </c>
    </row>
    <row r="2080">
      <c r="A2080" t="inlineStr">
        <is>
          <t>ttJTrans</t>
        </is>
      </c>
      <c r="B2080" s="38" t="inlineStr">
        <is>
          <t>0-4008</t>
        </is>
      </c>
      <c r="C2080" t="inlineStr">
        <is>
          <t>OC</t>
        </is>
      </c>
      <c r="D2080" t="inlineStr">
        <is>
          <t>MA1011088</t>
        </is>
      </c>
      <c r="E2080" t="inlineStr">
        <is>
          <t>OC</t>
        </is>
      </c>
      <c r="F2080" t="inlineStr">
        <is>
          <t>MA1011088</t>
        </is>
      </c>
      <c r="G2080" t="n">
        <v>46121</v>
      </c>
      <c r="H2080" s="127" t="n">
        <v>46122</v>
      </c>
      <c r="I2080" t="inlineStr">
        <is>
          <t>6</t>
        </is>
      </c>
      <c r="J2080" s="38" t="inlineStr">
        <is>
          <t>0-4008</t>
        </is>
      </c>
      <c r="K2080" t="inlineStr">
        <is>
          <t>THREAD SEAL TPE 1/2X260"</t>
        </is>
      </c>
      <c r="L2080" t="n">
        <v>1</v>
      </c>
      <c r="M2080" t="n">
        <v>1.99</v>
      </c>
      <c r="N2080" t="inlineStr">
        <is>
          <t>PO:COMMIT</t>
        </is>
      </c>
      <c r="O2080" t="inlineStr">
        <is>
          <t>21265</t>
        </is>
      </c>
      <c r="P2080" t="inlineStr">
        <is>
          <t>WHARTON FEED &amp; SUPPLY LLC</t>
        </is>
      </c>
      <c r="Q2080" s="114" t="n">
        <v>0</v>
      </c>
      <c r="R2080" s="114" t="n">
        <v>0</v>
      </c>
      <c r="S2080" s="114" t="n">
        <v>1.99</v>
      </c>
      <c r="T2080" t="n">
        <v>0</v>
      </c>
    </row>
    <row r="2081">
      <c r="A2081" t="inlineStr">
        <is>
          <t>ttJTrans</t>
        </is>
      </c>
      <c r="B2081" s="38" t="inlineStr">
        <is>
          <t>0-4008</t>
        </is>
      </c>
      <c r="C2081" t="inlineStr">
        <is>
          <t>OC</t>
        </is>
      </c>
      <c r="D2081" t="inlineStr">
        <is>
          <t>MA1011088</t>
        </is>
      </c>
      <c r="E2081" t="inlineStr">
        <is>
          <t>OC</t>
        </is>
      </c>
      <c r="F2081" t="inlineStr">
        <is>
          <t>MA1011088</t>
        </is>
      </c>
      <c r="G2081" t="n">
        <v>46121</v>
      </c>
      <c r="H2081" s="127" t="n">
        <v>46122</v>
      </c>
      <c r="I2081" t="inlineStr">
        <is>
          <t>4</t>
        </is>
      </c>
      <c r="J2081" s="38" t="inlineStr">
        <is>
          <t>0-4008</t>
        </is>
      </c>
      <c r="K2081" t="inlineStr">
        <is>
          <t>COUPLE REDC 1/2X3/8"FIP</t>
        </is>
      </c>
      <c r="L2081" t="n">
        <v>1</v>
      </c>
      <c r="M2081" t="n">
        <v>3.32</v>
      </c>
      <c r="N2081" t="inlineStr">
        <is>
          <t>PO:COMMIT</t>
        </is>
      </c>
      <c r="O2081" t="inlineStr">
        <is>
          <t>21265</t>
        </is>
      </c>
      <c r="P2081" t="inlineStr">
        <is>
          <t>WHARTON FEED &amp; SUPPLY LLC</t>
        </is>
      </c>
      <c r="Q2081" s="114" t="n">
        <v>0</v>
      </c>
      <c r="R2081" s="114" t="n">
        <v>0</v>
      </c>
      <c r="S2081" s="114" t="n">
        <v>3.32</v>
      </c>
      <c r="T2081" t="n">
        <v>0</v>
      </c>
    </row>
    <row r="2082">
      <c r="A2082" t="inlineStr">
        <is>
          <t>ttJTrans</t>
        </is>
      </c>
      <c r="B2082" s="38" t="inlineStr">
        <is>
          <t>0-4008</t>
        </is>
      </c>
      <c r="C2082" t="inlineStr">
        <is>
          <t>OC</t>
        </is>
      </c>
      <c r="D2082" t="inlineStr">
        <is>
          <t>MA1011088</t>
        </is>
      </c>
      <c r="E2082" t="inlineStr">
        <is>
          <t>OC</t>
        </is>
      </c>
      <c r="F2082" t="inlineStr">
        <is>
          <t>MA1011088</t>
        </is>
      </c>
      <c r="G2082" t="n">
        <v>46121</v>
      </c>
      <c r="H2082" s="127" t="n">
        <v>46122</v>
      </c>
      <c r="I2082" t="inlineStr">
        <is>
          <t>3</t>
        </is>
      </c>
      <c r="J2082" s="38" t="inlineStr">
        <is>
          <t>0-4008</t>
        </is>
      </c>
      <c r="K2082" t="inlineStr">
        <is>
          <t>AIR COUPLER"I/M"3/8"MNPT</t>
        </is>
      </c>
      <c r="L2082" t="n">
        <v>1</v>
      </c>
      <c r="M2082" t="n">
        <v>19.97</v>
      </c>
      <c r="N2082" t="inlineStr">
        <is>
          <t>PO:COMMIT</t>
        </is>
      </c>
      <c r="O2082" t="inlineStr">
        <is>
          <t>21265</t>
        </is>
      </c>
      <c r="P2082" t="inlineStr">
        <is>
          <t>WHARTON FEED &amp; SUPPLY LLC</t>
        </is>
      </c>
      <c r="Q2082" s="114" t="n">
        <v>0</v>
      </c>
      <c r="R2082" s="114" t="n">
        <v>0</v>
      </c>
      <c r="S2082" s="114" t="n">
        <v>19.97</v>
      </c>
      <c r="T2082" t="n">
        <v>0</v>
      </c>
    </row>
    <row r="2083">
      <c r="A2083" t="inlineStr">
        <is>
          <t>ttJTrans</t>
        </is>
      </c>
      <c r="B2083" s="38" t="inlineStr">
        <is>
          <t>0-4008</t>
        </is>
      </c>
      <c r="C2083" t="inlineStr">
        <is>
          <t>OC</t>
        </is>
      </c>
      <c r="D2083" t="inlineStr">
        <is>
          <t>MA1011088</t>
        </is>
      </c>
      <c r="E2083" t="inlineStr">
        <is>
          <t>OC</t>
        </is>
      </c>
      <c r="F2083" t="inlineStr">
        <is>
          <t>MA1011088</t>
        </is>
      </c>
      <c r="G2083" t="n">
        <v>46121</v>
      </c>
      <c r="H2083" s="127" t="n">
        <v>46122</v>
      </c>
      <c r="I2083" t="inlineStr">
        <is>
          <t>1</t>
        </is>
      </c>
      <c r="J2083" s="38" t="inlineStr">
        <is>
          <t>0-4008</t>
        </is>
      </c>
      <c r="K2083" t="inlineStr">
        <is>
          <t>COUPLER/PLUG SET 1/4"I/M</t>
        </is>
      </c>
      <c r="L2083" t="n">
        <v>1</v>
      </c>
      <c r="M2083" t="n">
        <v>11.09</v>
      </c>
      <c r="N2083" t="inlineStr">
        <is>
          <t>INVOICE:ADJ-COMMIT</t>
        </is>
      </c>
      <c r="O2083" t="inlineStr">
        <is>
          <t>21265</t>
        </is>
      </c>
      <c r="P2083" t="inlineStr">
        <is>
          <t>WHARTON FEED &amp; SUPPLY LLC</t>
        </is>
      </c>
      <c r="Q2083" s="114" t="n">
        <v>0</v>
      </c>
      <c r="R2083" s="114" t="n">
        <v>0</v>
      </c>
      <c r="S2083" s="114" t="n">
        <v>-11.09</v>
      </c>
      <c r="T2083" t="n">
        <v>0</v>
      </c>
    </row>
    <row r="2084">
      <c r="A2084" t="inlineStr">
        <is>
          <t>ttJTrans</t>
        </is>
      </c>
      <c r="B2084" s="38" t="inlineStr">
        <is>
          <t>0-4008</t>
        </is>
      </c>
      <c r="C2084" t="inlineStr">
        <is>
          <t>OC</t>
        </is>
      </c>
      <c r="D2084" t="inlineStr">
        <is>
          <t>MA1011088</t>
        </is>
      </c>
      <c r="E2084" t="inlineStr">
        <is>
          <t>OC</t>
        </is>
      </c>
      <c r="F2084" t="inlineStr">
        <is>
          <t>MA1011088</t>
        </is>
      </c>
      <c r="G2084" t="n">
        <v>46121</v>
      </c>
      <c r="H2084" s="127" t="n">
        <v>46122</v>
      </c>
      <c r="I2084" t="inlineStr">
        <is>
          <t>8</t>
        </is>
      </c>
      <c r="J2084" s="38" t="inlineStr">
        <is>
          <t>0-4008</t>
        </is>
      </c>
      <c r="K2084" t="inlineStr">
        <is>
          <t>RED COUPLNG GLV 1/2X1/4"</t>
        </is>
      </c>
      <c r="L2084" t="n">
        <v>1</v>
      </c>
      <c r="M2084" t="n">
        <v>3.32</v>
      </c>
      <c r="N2084" t="inlineStr">
        <is>
          <t>INVOICE:ADJ-COMMIT</t>
        </is>
      </c>
      <c r="O2084" t="inlineStr">
        <is>
          <t>21265</t>
        </is>
      </c>
      <c r="P2084" t="inlineStr">
        <is>
          <t>WHARTON FEED &amp; SUPPLY LLC</t>
        </is>
      </c>
      <c r="Q2084" s="114" t="n">
        <v>0</v>
      </c>
      <c r="R2084" s="114" t="n">
        <v>0</v>
      </c>
      <c r="S2084" s="114" t="n">
        <v>-3.32</v>
      </c>
      <c r="T2084" t="n">
        <v>0</v>
      </c>
    </row>
    <row r="2085">
      <c r="A2085" t="inlineStr">
        <is>
          <t>ttJTrans</t>
        </is>
      </c>
      <c r="B2085" s="38" t="inlineStr">
        <is>
          <t>0-4008</t>
        </is>
      </c>
      <c r="C2085" t="inlineStr">
        <is>
          <t>OC</t>
        </is>
      </c>
      <c r="D2085" t="inlineStr">
        <is>
          <t>MA1011088</t>
        </is>
      </c>
      <c r="E2085" t="inlineStr">
        <is>
          <t>OC</t>
        </is>
      </c>
      <c r="F2085" t="inlineStr">
        <is>
          <t>MA1011088</t>
        </is>
      </c>
      <c r="G2085" s="42" t="n">
        <v>46121</v>
      </c>
      <c r="H2085" s="127" t="n">
        <v>46122</v>
      </c>
      <c r="I2085" t="inlineStr">
        <is>
          <t>7</t>
        </is>
      </c>
      <c r="J2085" s="38" t="inlineStr">
        <is>
          <t>0-4008</t>
        </is>
      </c>
      <c r="K2085" t="inlineStr">
        <is>
          <t>BUSHING HEX GALV3/8X1/4"</t>
        </is>
      </c>
      <c r="L2085" t="n">
        <v>1</v>
      </c>
      <c r="M2085" t="n">
        <v>5.09</v>
      </c>
      <c r="N2085" t="inlineStr">
        <is>
          <t>PO:COMMIT</t>
        </is>
      </c>
      <c r="O2085" t="inlineStr">
        <is>
          <t>21265</t>
        </is>
      </c>
      <c r="P2085" t="inlineStr">
        <is>
          <t>WHARTON FEED &amp; SUPPLY LLC</t>
        </is>
      </c>
      <c r="Q2085" s="114" t="n">
        <v>0</v>
      </c>
      <c r="R2085" s="114" t="n">
        <v>0</v>
      </c>
      <c r="S2085" s="114" t="n">
        <v>5.09</v>
      </c>
      <c r="T2085" t="n">
        <v>0</v>
      </c>
    </row>
    <row r="2086">
      <c r="A2086" t="inlineStr">
        <is>
          <t>ttJTrans</t>
        </is>
      </c>
      <c r="B2086" s="38" t="inlineStr">
        <is>
          <t>0-4008</t>
        </is>
      </c>
      <c r="C2086" t="inlineStr">
        <is>
          <t>OC</t>
        </is>
      </c>
      <c r="D2086" t="inlineStr">
        <is>
          <t>MA1011088</t>
        </is>
      </c>
      <c r="E2086" t="inlineStr">
        <is>
          <t>OC</t>
        </is>
      </c>
      <c r="F2086" t="inlineStr">
        <is>
          <t>MA1011088</t>
        </is>
      </c>
      <c r="G2086" s="42" t="n">
        <v>46121</v>
      </c>
      <c r="H2086" s="127" t="n">
        <v>46122</v>
      </c>
      <c r="I2086" t="inlineStr">
        <is>
          <t>2</t>
        </is>
      </c>
      <c r="J2086" s="38" t="inlineStr">
        <is>
          <t>0-4008</t>
        </is>
      </c>
      <c r="K2086" t="inlineStr">
        <is>
          <t>AIR PLUG "I/M" 3/8"MPT</t>
        </is>
      </c>
      <c r="L2086" t="n">
        <v>1</v>
      </c>
      <c r="M2086" t="n">
        <v>3.98</v>
      </c>
      <c r="N2086" t="inlineStr">
        <is>
          <t>PO:COMMIT</t>
        </is>
      </c>
      <c r="O2086" t="inlineStr">
        <is>
          <t>21265</t>
        </is>
      </c>
      <c r="P2086" t="inlineStr">
        <is>
          <t>WHARTON FEED &amp; SUPPLY LLC</t>
        </is>
      </c>
      <c r="Q2086" s="114" t="n">
        <v>0</v>
      </c>
      <c r="R2086" s="114" t="n">
        <v>0</v>
      </c>
      <c r="S2086" s="114" t="n">
        <v>3.98</v>
      </c>
      <c r="T2086" t="n">
        <v>0</v>
      </c>
    </row>
    <row r="2087">
      <c r="A2087" t="inlineStr">
        <is>
          <t>ttJTrans</t>
        </is>
      </c>
      <c r="B2087" s="38" t="inlineStr">
        <is>
          <t>0-4008</t>
        </is>
      </c>
      <c r="C2087" t="inlineStr">
        <is>
          <t>OC</t>
        </is>
      </c>
      <c r="D2087" t="inlineStr">
        <is>
          <t>MA1011088</t>
        </is>
      </c>
      <c r="E2087" t="inlineStr">
        <is>
          <t>OC</t>
        </is>
      </c>
      <c r="F2087" t="inlineStr">
        <is>
          <t>MA1011088</t>
        </is>
      </c>
      <c r="G2087" s="42" t="n">
        <v>46121</v>
      </c>
      <c r="H2087" s="127" t="n">
        <v>46122</v>
      </c>
      <c r="I2087" t="inlineStr">
        <is>
          <t>5</t>
        </is>
      </c>
      <c r="J2087" s="38" t="inlineStr">
        <is>
          <t>0-4008</t>
        </is>
      </c>
      <c r="K2087" t="inlineStr">
        <is>
          <t>BUSHING HEX GALV3/8X1/4"</t>
        </is>
      </c>
      <c r="L2087" t="n">
        <v>1</v>
      </c>
      <c r="M2087" t="n">
        <v>5.09</v>
      </c>
      <c r="N2087" t="inlineStr">
        <is>
          <t>PO:COMMIT</t>
        </is>
      </c>
      <c r="O2087" t="inlineStr">
        <is>
          <t>21265</t>
        </is>
      </c>
      <c r="P2087" t="inlineStr">
        <is>
          <t>WHARTON FEED &amp; SUPPLY LLC</t>
        </is>
      </c>
      <c r="Q2087" s="114" t="n">
        <v>0</v>
      </c>
      <c r="R2087" s="114" t="n">
        <v>0</v>
      </c>
      <c r="S2087" s="114" t="n">
        <v>5.09</v>
      </c>
      <c r="T2087" t="n">
        <v>0</v>
      </c>
    </row>
    <row r="2088">
      <c r="A2088" t="inlineStr">
        <is>
          <t>ttJTrans</t>
        </is>
      </c>
      <c r="B2088" s="38" t="inlineStr">
        <is>
          <t>0-4008</t>
        </is>
      </c>
      <c r="C2088" t="inlineStr">
        <is>
          <t>OC</t>
        </is>
      </c>
      <c r="D2088" t="inlineStr">
        <is>
          <t>MA1011088</t>
        </is>
      </c>
      <c r="E2088" t="inlineStr">
        <is>
          <t>OC</t>
        </is>
      </c>
      <c r="F2088" t="inlineStr">
        <is>
          <t>MA1011088</t>
        </is>
      </c>
      <c r="G2088" s="42" t="n">
        <v>46121</v>
      </c>
      <c r="H2088" s="127" t="n">
        <v>46122</v>
      </c>
      <c r="I2088" t="inlineStr">
        <is>
          <t>1</t>
        </is>
      </c>
      <c r="J2088" s="38" t="inlineStr">
        <is>
          <t>0-4008</t>
        </is>
      </c>
      <c r="K2088" t="inlineStr">
        <is>
          <t>COUPLER/PLUG SET 1/4"I/M</t>
        </is>
      </c>
      <c r="L2088" t="n">
        <v>1</v>
      </c>
      <c r="M2088" t="n">
        <v>11.09</v>
      </c>
      <c r="N2088" t="inlineStr">
        <is>
          <t>PO:COMMIT</t>
        </is>
      </c>
      <c r="O2088" t="inlineStr">
        <is>
          <t>21265</t>
        </is>
      </c>
      <c r="P2088" t="inlineStr">
        <is>
          <t>WHARTON FEED &amp; SUPPLY LLC</t>
        </is>
      </c>
      <c r="Q2088" s="114" t="n">
        <v>0</v>
      </c>
      <c r="R2088" s="114" t="n">
        <v>0</v>
      </c>
      <c r="S2088" s="114" t="n">
        <v>11.09</v>
      </c>
      <c r="T2088" t="n">
        <v>0</v>
      </c>
    </row>
    <row r="2089">
      <c r="A2089" t="inlineStr">
        <is>
          <t>ttJTrans</t>
        </is>
      </c>
      <c r="B2089" s="38" t="inlineStr">
        <is>
          <t>0-4008</t>
        </is>
      </c>
      <c r="C2089" t="inlineStr">
        <is>
          <t>OC</t>
        </is>
      </c>
      <c r="D2089" t="inlineStr">
        <is>
          <t>MA1011088</t>
        </is>
      </c>
      <c r="E2089" t="inlineStr">
        <is>
          <t>OC</t>
        </is>
      </c>
      <c r="F2089" t="inlineStr">
        <is>
          <t>MA1011088</t>
        </is>
      </c>
      <c r="G2089" s="42" t="n">
        <v>46121</v>
      </c>
      <c r="H2089" s="127" t="n">
        <v>46122</v>
      </c>
      <c r="I2089" t="inlineStr">
        <is>
          <t>4</t>
        </is>
      </c>
      <c r="J2089" s="38" t="inlineStr">
        <is>
          <t>0-4008</t>
        </is>
      </c>
      <c r="K2089" t="inlineStr">
        <is>
          <t>COUPLE REDC 1/2X3/8"FIP</t>
        </is>
      </c>
      <c r="L2089" t="n">
        <v>1</v>
      </c>
      <c r="M2089" t="n">
        <v>3.32</v>
      </c>
      <c r="N2089" t="inlineStr">
        <is>
          <t>INVOICE:ADJ-COMMIT</t>
        </is>
      </c>
      <c r="O2089" t="inlineStr">
        <is>
          <t>21265</t>
        </is>
      </c>
      <c r="P2089" t="inlineStr">
        <is>
          <t>WHARTON FEED &amp; SUPPLY LLC</t>
        </is>
      </c>
      <c r="Q2089" s="114" t="n">
        <v>0</v>
      </c>
      <c r="R2089" s="114" t="n">
        <v>0</v>
      </c>
      <c r="S2089" s="114" t="n">
        <v>-3.32</v>
      </c>
      <c r="T2089" t="n">
        <v>0</v>
      </c>
    </row>
    <row r="2090">
      <c r="A2090" t="inlineStr">
        <is>
          <t>ttJTrans</t>
        </is>
      </c>
      <c r="B2090" s="38" t="inlineStr">
        <is>
          <t>0-4008</t>
        </is>
      </c>
      <c r="C2090" t="inlineStr">
        <is>
          <t>OC</t>
        </is>
      </c>
      <c r="D2090" t="inlineStr">
        <is>
          <t>MA1011088</t>
        </is>
      </c>
      <c r="E2090" t="inlineStr">
        <is>
          <t>OC</t>
        </is>
      </c>
      <c r="F2090" t="inlineStr">
        <is>
          <t>MA1011088</t>
        </is>
      </c>
      <c r="G2090" s="42" t="n">
        <v>46121</v>
      </c>
      <c r="H2090" s="127" t="n">
        <v>46122</v>
      </c>
      <c r="I2090" t="inlineStr">
        <is>
          <t>8</t>
        </is>
      </c>
      <c r="J2090" s="38" t="inlineStr">
        <is>
          <t>0-4008</t>
        </is>
      </c>
      <c r="K2090" t="inlineStr">
        <is>
          <t>RED COUPLNG GLV 1/2X1/4"</t>
        </is>
      </c>
      <c r="L2090" t="n">
        <v>1</v>
      </c>
      <c r="M2090" t="n">
        <v>3.32</v>
      </c>
      <c r="N2090" t="inlineStr">
        <is>
          <t>PO:COMMIT</t>
        </is>
      </c>
      <c r="O2090" t="inlineStr">
        <is>
          <t>21265</t>
        </is>
      </c>
      <c r="P2090" t="inlineStr">
        <is>
          <t>WHARTON FEED &amp; SUPPLY LLC</t>
        </is>
      </c>
      <c r="Q2090" s="114" t="n">
        <v>0</v>
      </c>
      <c r="R2090" s="114" t="n">
        <v>0</v>
      </c>
      <c r="S2090" s="114" t="n">
        <v>3.32</v>
      </c>
      <c r="T2090" t="n">
        <v>0</v>
      </c>
    </row>
    <row r="2091">
      <c r="A2091" t="inlineStr">
        <is>
          <t>ttJTrans</t>
        </is>
      </c>
      <c r="B2091" s="38" t="inlineStr">
        <is>
          <t>0-4008</t>
        </is>
      </c>
      <c r="C2091" t="inlineStr">
        <is>
          <t>OC</t>
        </is>
      </c>
      <c r="D2091" t="inlineStr">
        <is>
          <t>MA1011088</t>
        </is>
      </c>
      <c r="E2091" t="inlineStr">
        <is>
          <t>OC</t>
        </is>
      </c>
      <c r="F2091" t="inlineStr">
        <is>
          <t>MA1011088</t>
        </is>
      </c>
      <c r="G2091" s="42" t="n">
        <v>46121</v>
      </c>
      <c r="H2091" s="127" t="n">
        <v>46128</v>
      </c>
      <c r="I2091" t="inlineStr">
        <is>
          <t>3</t>
        </is>
      </c>
      <c r="J2091" s="38" t="inlineStr">
        <is>
          <t>0-4008</t>
        </is>
      </c>
      <c r="K2091" t="inlineStr">
        <is>
          <t>AIR COUPLER"I/M"3/8"MNPT</t>
        </is>
      </c>
      <c r="L2091" t="n">
        <v>1</v>
      </c>
      <c r="M2091" t="n">
        <v>19.97</v>
      </c>
      <c r="N2091" t="inlineStr">
        <is>
          <t>INVOICE</t>
        </is>
      </c>
      <c r="O2091" t="inlineStr">
        <is>
          <t>21265</t>
        </is>
      </c>
      <c r="P2091" t="inlineStr">
        <is>
          <t>WHARTON FEED &amp; SUPPLY LLC</t>
        </is>
      </c>
      <c r="Q2091" s="114" t="n">
        <v>0</v>
      </c>
      <c r="R2091" s="114" t="n">
        <v>0</v>
      </c>
      <c r="S2091" s="114" t="n">
        <v>0</v>
      </c>
      <c r="T2091" t="n">
        <v>0</v>
      </c>
    </row>
    <row r="2092">
      <c r="A2092" t="inlineStr">
        <is>
          <t>ttJTrans</t>
        </is>
      </c>
      <c r="B2092" s="38" t="inlineStr">
        <is>
          <t>0-4008</t>
        </is>
      </c>
      <c r="C2092" t="inlineStr">
        <is>
          <t>OC</t>
        </is>
      </c>
      <c r="D2092" t="inlineStr">
        <is>
          <t>MA1011088</t>
        </is>
      </c>
      <c r="E2092" t="inlineStr">
        <is>
          <t>OC</t>
        </is>
      </c>
      <c r="F2092" t="inlineStr">
        <is>
          <t>MA1011088</t>
        </is>
      </c>
      <c r="G2092" s="42" t="n">
        <v>46121</v>
      </c>
      <c r="H2092" s="127" t="n">
        <v>46128</v>
      </c>
      <c r="I2092" t="inlineStr">
        <is>
          <t>5</t>
        </is>
      </c>
      <c r="J2092" s="38" t="inlineStr">
        <is>
          <t>0-4008</t>
        </is>
      </c>
      <c r="K2092" t="inlineStr">
        <is>
          <t>BUSHING HEX GALV3/8X1/4"</t>
        </is>
      </c>
      <c r="L2092" t="n">
        <v>1</v>
      </c>
      <c r="M2092" t="n">
        <v>5.09</v>
      </c>
      <c r="N2092" t="inlineStr">
        <is>
          <t>INVOICE</t>
        </is>
      </c>
      <c r="O2092" t="inlineStr">
        <is>
          <t>21265</t>
        </is>
      </c>
      <c r="P2092" t="inlineStr">
        <is>
          <t>WHARTON FEED &amp; SUPPLY LLC</t>
        </is>
      </c>
      <c r="Q2092" s="114" t="n">
        <v>0</v>
      </c>
      <c r="R2092" s="114" t="n">
        <v>0</v>
      </c>
      <c r="S2092" s="114" t="n">
        <v>0</v>
      </c>
      <c r="T2092" t="n">
        <v>0</v>
      </c>
    </row>
    <row r="2093">
      <c r="A2093" t="inlineStr">
        <is>
          <t>ttJTrans</t>
        </is>
      </c>
      <c r="B2093" s="38" t="inlineStr">
        <is>
          <t>0-4008</t>
        </is>
      </c>
      <c r="C2093" t="inlineStr">
        <is>
          <t>OC</t>
        </is>
      </c>
      <c r="D2093" t="inlineStr">
        <is>
          <t>MA1011088</t>
        </is>
      </c>
      <c r="E2093" t="inlineStr">
        <is>
          <t>OC</t>
        </is>
      </c>
      <c r="F2093" t="inlineStr">
        <is>
          <t>MA1011088</t>
        </is>
      </c>
      <c r="G2093" t="n">
        <v>46121</v>
      </c>
      <c r="H2093" s="127" t="n">
        <v>46128</v>
      </c>
      <c r="I2093" t="inlineStr">
        <is>
          <t>1</t>
        </is>
      </c>
      <c r="J2093" s="38" t="inlineStr">
        <is>
          <t>0-4008</t>
        </is>
      </c>
      <c r="K2093" t="inlineStr">
        <is>
          <t>COUPLER/PLUG SET 1/4"I/M</t>
        </is>
      </c>
      <c r="L2093" t="n">
        <v>1</v>
      </c>
      <c r="M2093" t="n">
        <v>11.09</v>
      </c>
      <c r="N2093" t="inlineStr">
        <is>
          <t>INVOICE</t>
        </is>
      </c>
      <c r="O2093" t="inlineStr">
        <is>
          <t>21265</t>
        </is>
      </c>
      <c r="P2093" t="inlineStr">
        <is>
          <t>WHARTON FEED &amp; SUPPLY LLC</t>
        </is>
      </c>
      <c r="Q2093" s="114" t="n">
        <v>0</v>
      </c>
      <c r="R2093" s="114" t="n">
        <v>0</v>
      </c>
      <c r="S2093" s="114" t="n">
        <v>0</v>
      </c>
      <c r="T2093" t="n">
        <v>0</v>
      </c>
    </row>
    <row r="2094">
      <c r="A2094" t="inlineStr">
        <is>
          <t>ttJTrans</t>
        </is>
      </c>
      <c r="B2094" s="38" t="inlineStr">
        <is>
          <t>0-4008</t>
        </is>
      </c>
      <c r="C2094" t="inlineStr">
        <is>
          <t>OC</t>
        </is>
      </c>
      <c r="D2094" t="inlineStr">
        <is>
          <t>MA1011088</t>
        </is>
      </c>
      <c r="E2094" t="inlineStr">
        <is>
          <t>OC</t>
        </is>
      </c>
      <c r="F2094" t="inlineStr">
        <is>
          <t>MA1011088</t>
        </is>
      </c>
      <c r="G2094" t="n">
        <v>46121</v>
      </c>
      <c r="H2094" s="127" t="n">
        <v>46128</v>
      </c>
      <c r="I2094" t="inlineStr">
        <is>
          <t>2</t>
        </is>
      </c>
      <c r="J2094" s="38" t="inlineStr">
        <is>
          <t>0-4008</t>
        </is>
      </c>
      <c r="K2094" t="inlineStr">
        <is>
          <t>AIR PLUG "I/M" 3/8"MPT</t>
        </is>
      </c>
      <c r="L2094" t="n">
        <v>1</v>
      </c>
      <c r="M2094" t="n">
        <v>3.98</v>
      </c>
      <c r="N2094" t="inlineStr">
        <is>
          <t>INVOICE</t>
        </is>
      </c>
      <c r="O2094" t="inlineStr">
        <is>
          <t>21265</t>
        </is>
      </c>
      <c r="P2094" t="inlineStr">
        <is>
          <t>WHARTON FEED &amp; SUPPLY LLC</t>
        </is>
      </c>
      <c r="Q2094" s="114" t="n">
        <v>0</v>
      </c>
      <c r="R2094" s="114" t="n">
        <v>0</v>
      </c>
      <c r="S2094" s="114" t="n">
        <v>0</v>
      </c>
      <c r="T2094" t="n">
        <v>0</v>
      </c>
    </row>
    <row r="2095">
      <c r="A2095" t="inlineStr">
        <is>
          <t>ttJTrans</t>
        </is>
      </c>
      <c r="B2095" s="38" t="inlineStr">
        <is>
          <t>0-4008</t>
        </is>
      </c>
      <c r="C2095" t="inlineStr">
        <is>
          <t>OC</t>
        </is>
      </c>
      <c r="D2095" t="inlineStr">
        <is>
          <t>MA1011088</t>
        </is>
      </c>
      <c r="E2095" t="inlineStr">
        <is>
          <t>OC</t>
        </is>
      </c>
      <c r="F2095" t="inlineStr">
        <is>
          <t>MA1011088</t>
        </is>
      </c>
      <c r="G2095" t="n">
        <v>46121</v>
      </c>
      <c r="H2095" s="127" t="n">
        <v>46128</v>
      </c>
      <c r="I2095" t="inlineStr">
        <is>
          <t>6</t>
        </is>
      </c>
      <c r="J2095" s="38" t="inlineStr">
        <is>
          <t>0-4008</t>
        </is>
      </c>
      <c r="K2095" t="inlineStr">
        <is>
          <t>THREAD SEAL TPE 1/2X260"</t>
        </is>
      </c>
      <c r="L2095" t="n">
        <v>1</v>
      </c>
      <c r="M2095" t="n">
        <v>1.99</v>
      </c>
      <c r="N2095" t="inlineStr">
        <is>
          <t>INVOICE</t>
        </is>
      </c>
      <c r="O2095" t="inlineStr">
        <is>
          <t>21265</t>
        </is>
      </c>
      <c r="P2095" t="inlineStr">
        <is>
          <t>WHARTON FEED &amp; SUPPLY LLC</t>
        </is>
      </c>
      <c r="Q2095" s="114" t="n">
        <v>0</v>
      </c>
      <c r="R2095" s="114" t="n">
        <v>0</v>
      </c>
      <c r="S2095" s="114" t="n">
        <v>0</v>
      </c>
      <c r="T2095" t="n">
        <v>0</v>
      </c>
    </row>
    <row r="2096">
      <c r="A2096" t="inlineStr">
        <is>
          <t>ttJTrans</t>
        </is>
      </c>
      <c r="B2096" s="38" t="inlineStr">
        <is>
          <t>0-4008</t>
        </is>
      </c>
      <c r="C2096" t="inlineStr">
        <is>
          <t>OC</t>
        </is>
      </c>
      <c r="D2096" t="inlineStr">
        <is>
          <t>MA1011088</t>
        </is>
      </c>
      <c r="E2096" t="inlineStr">
        <is>
          <t>OC</t>
        </is>
      </c>
      <c r="F2096" t="inlineStr">
        <is>
          <t>MA1011088</t>
        </is>
      </c>
      <c r="G2096" t="n">
        <v>46121</v>
      </c>
      <c r="H2096" s="127" t="n">
        <v>46128</v>
      </c>
      <c r="I2096" t="inlineStr">
        <is>
          <t>7</t>
        </is>
      </c>
      <c r="J2096" s="38" t="inlineStr">
        <is>
          <t>0-4008</t>
        </is>
      </c>
      <c r="K2096" t="inlineStr">
        <is>
          <t>BUSHING HEX GALV3/8X1/4"</t>
        </is>
      </c>
      <c r="L2096" t="n">
        <v>1</v>
      </c>
      <c r="M2096" t="n">
        <v>5.09</v>
      </c>
      <c r="N2096" t="inlineStr">
        <is>
          <t>INVOICE</t>
        </is>
      </c>
      <c r="O2096" t="inlineStr">
        <is>
          <t>21265</t>
        </is>
      </c>
      <c r="P2096" t="inlineStr">
        <is>
          <t>WHARTON FEED &amp; SUPPLY LLC</t>
        </is>
      </c>
      <c r="Q2096" s="114" t="n">
        <v>0</v>
      </c>
      <c r="R2096" s="114" t="n">
        <v>0</v>
      </c>
      <c r="S2096" s="114" t="n">
        <v>0</v>
      </c>
      <c r="T2096" t="n">
        <v>0</v>
      </c>
    </row>
    <row r="2097">
      <c r="A2097" t="inlineStr">
        <is>
          <t>ttJTrans</t>
        </is>
      </c>
      <c r="B2097" s="38" t="inlineStr">
        <is>
          <t>0-4008</t>
        </is>
      </c>
      <c r="C2097" t="inlineStr">
        <is>
          <t>OC</t>
        </is>
      </c>
      <c r="D2097" t="inlineStr">
        <is>
          <t>MA1011088</t>
        </is>
      </c>
      <c r="E2097" t="inlineStr">
        <is>
          <t>OC</t>
        </is>
      </c>
      <c r="F2097" t="inlineStr">
        <is>
          <t>MA1011088</t>
        </is>
      </c>
      <c r="G2097" t="n">
        <v>46121</v>
      </c>
      <c r="H2097" s="127" t="n">
        <v>46128</v>
      </c>
      <c r="I2097" t="inlineStr">
        <is>
          <t>8</t>
        </is>
      </c>
      <c r="J2097" s="38" t="inlineStr">
        <is>
          <t>0-4008</t>
        </is>
      </c>
      <c r="K2097" t="inlineStr">
        <is>
          <t>RED COUPLNG GLV 1/2X1/4"</t>
        </is>
      </c>
      <c r="L2097" t="n">
        <v>1</v>
      </c>
      <c r="M2097" t="n">
        <v>3.32</v>
      </c>
      <c r="N2097" t="inlineStr">
        <is>
          <t>INVOICE</t>
        </is>
      </c>
      <c r="O2097" t="inlineStr">
        <is>
          <t>21265</t>
        </is>
      </c>
      <c r="P2097" t="inlineStr">
        <is>
          <t>WHARTON FEED &amp; SUPPLY LLC</t>
        </is>
      </c>
      <c r="Q2097" s="114" t="n">
        <v>0</v>
      </c>
      <c r="R2097" s="114" t="n">
        <v>0</v>
      </c>
      <c r="S2097" s="114" t="n">
        <v>0</v>
      </c>
      <c r="T2097" t="n">
        <v>0</v>
      </c>
    </row>
    <row r="2098">
      <c r="A2098" t="inlineStr">
        <is>
          <t>ttJTrans</t>
        </is>
      </c>
      <c r="B2098" s="38" t="inlineStr">
        <is>
          <t>0-4008</t>
        </is>
      </c>
      <c r="C2098" t="inlineStr">
        <is>
          <t>OC</t>
        </is>
      </c>
      <c r="D2098" t="inlineStr">
        <is>
          <t>MA1011088</t>
        </is>
      </c>
      <c r="E2098" t="inlineStr">
        <is>
          <t>OC</t>
        </is>
      </c>
      <c r="F2098" t="inlineStr">
        <is>
          <t>MA1011088</t>
        </is>
      </c>
      <c r="G2098" t="n">
        <v>46121</v>
      </c>
      <c r="H2098" s="127" t="n">
        <v>46128</v>
      </c>
      <c r="I2098" t="inlineStr">
        <is>
          <t>4</t>
        </is>
      </c>
      <c r="J2098" s="38" t="inlineStr">
        <is>
          <t>0-4008</t>
        </is>
      </c>
      <c r="K2098" t="inlineStr">
        <is>
          <t>COUPLE REDC 1/2X3/8"FIP</t>
        </is>
      </c>
      <c r="L2098" t="n">
        <v>1</v>
      </c>
      <c r="M2098" t="n">
        <v>3.32</v>
      </c>
      <c r="N2098" t="inlineStr">
        <is>
          <t>INVOICE</t>
        </is>
      </c>
      <c r="O2098" t="inlineStr">
        <is>
          <t>21265</t>
        </is>
      </c>
      <c r="P2098" t="inlineStr">
        <is>
          <t>WHARTON FEED &amp; SUPPLY LLC</t>
        </is>
      </c>
      <c r="Q2098" s="114" t="n">
        <v>0</v>
      </c>
      <c r="R2098" s="114" t="n">
        <v>0</v>
      </c>
      <c r="S2098" s="114" t="n">
        <v>0</v>
      </c>
      <c r="T2098" t="n">
        <v>0</v>
      </c>
    </row>
    <row r="2099">
      <c r="A2099" t="inlineStr">
        <is>
          <t>ttJTrans</t>
        </is>
      </c>
      <c r="B2099" s="38" t="inlineStr">
        <is>
          <t>0-4008</t>
        </is>
      </c>
      <c r="C2099" t="inlineStr">
        <is>
          <t>OC</t>
        </is>
      </c>
      <c r="D2099" t="inlineStr">
        <is>
          <t>MA1011103</t>
        </is>
      </c>
      <c r="E2099" t="inlineStr">
        <is>
          <t>OC</t>
        </is>
      </c>
      <c r="F2099" t="inlineStr">
        <is>
          <t>MA1011103</t>
        </is>
      </c>
      <c r="G2099" t="n">
        <v>46121</v>
      </c>
      <c r="H2099" s="127" t="n">
        <v>46122</v>
      </c>
      <c r="I2099" t="inlineStr">
        <is>
          <t>1</t>
        </is>
      </c>
      <c r="J2099" s="38" t="inlineStr">
        <is>
          <t>0-4008</t>
        </is>
      </c>
      <c r="K2099" t="inlineStr">
        <is>
          <t>Annual Fire Extinguisher Inspection - 27</t>
        </is>
      </c>
      <c r="L2099" t="n">
        <v>1</v>
      </c>
      <c r="M2099" t="n">
        <v>388.5</v>
      </c>
      <c r="N2099" t="inlineStr">
        <is>
          <t>PO:COMMIT</t>
        </is>
      </c>
      <c r="O2099" t="inlineStr">
        <is>
          <t>21395</t>
        </is>
      </c>
      <c r="P2099" t="inlineStr">
        <is>
          <t>ALLIED FIRE PROTECTION, LLC</t>
        </is>
      </c>
      <c r="Q2099" s="114" t="n">
        <v>0</v>
      </c>
      <c r="R2099" s="114" t="n">
        <v>0</v>
      </c>
      <c r="S2099" s="114" t="n">
        <v>388.5</v>
      </c>
      <c r="T2099" t="n">
        <v>0</v>
      </c>
    </row>
    <row r="2100">
      <c r="A2100" t="inlineStr">
        <is>
          <t>ttJTrans</t>
        </is>
      </c>
      <c r="B2100" s="38" t="inlineStr">
        <is>
          <t>0-4008</t>
        </is>
      </c>
      <c r="C2100" t="inlineStr">
        <is>
          <t>OC</t>
        </is>
      </c>
      <c r="D2100" t="inlineStr">
        <is>
          <t>MA1011112</t>
        </is>
      </c>
      <c r="E2100" t="inlineStr">
        <is>
          <t>OC</t>
        </is>
      </c>
      <c r="F2100" t="inlineStr">
        <is>
          <t>MA1011112</t>
        </is>
      </c>
      <c r="G2100" t="n">
        <v>46121</v>
      </c>
      <c r="H2100" s="127" t="n">
        <v>46122</v>
      </c>
      <c r="I2100" t="inlineStr">
        <is>
          <t>2</t>
        </is>
      </c>
      <c r="J2100" s="38" t="inlineStr">
        <is>
          <t>0-4008</t>
        </is>
      </c>
      <c r="K2100" t="inlineStr">
        <is>
          <t>1IN NAIL PAC W CAPS</t>
        </is>
      </c>
      <c r="L2100" t="n">
        <v>40</v>
      </c>
      <c r="M2100" t="n">
        <v>8880</v>
      </c>
      <c r="N2100" t="inlineStr">
        <is>
          <t>PO:COMMIT</t>
        </is>
      </c>
      <c r="O2100" t="inlineStr">
        <is>
          <t>12561</t>
        </is>
      </c>
      <c r="P2100" t="inlineStr">
        <is>
          <t>CROSS COUNTRY INFRASTRUCTURE SERVICES INC.</t>
        </is>
      </c>
      <c r="Q2100" s="114" t="n">
        <v>0</v>
      </c>
      <c r="R2100" s="114" t="n">
        <v>0</v>
      </c>
      <c r="S2100" s="114" t="n">
        <v>8880</v>
      </c>
      <c r="T2100" t="n">
        <v>0</v>
      </c>
    </row>
    <row r="2101">
      <c r="A2101" t="inlineStr">
        <is>
          <t>ttJTrans</t>
        </is>
      </c>
      <c r="B2101" s="38" t="inlineStr">
        <is>
          <t>0-4008</t>
        </is>
      </c>
      <c r="C2101" t="inlineStr">
        <is>
          <t>OC</t>
        </is>
      </c>
      <c r="D2101" t="inlineStr">
        <is>
          <t>MA1011112</t>
        </is>
      </c>
      <c r="E2101" t="inlineStr">
        <is>
          <t>OC</t>
        </is>
      </c>
      <c r="F2101" t="inlineStr">
        <is>
          <t>MA1011112</t>
        </is>
      </c>
      <c r="G2101" t="n">
        <v>46121</v>
      </c>
      <c r="H2101" s="127" t="n">
        <v>46122</v>
      </c>
      <c r="I2101" t="inlineStr">
        <is>
          <t>3</t>
        </is>
      </c>
      <c r="J2101" s="38" t="inlineStr">
        <is>
          <t>0-4008</t>
        </is>
      </c>
      <c r="K2101" t="inlineStr">
        <is>
          <t>FREIGHT EST TBD SUBJECT TO CHANGE</t>
        </is>
      </c>
      <c r="L2101" t="n">
        <v>1</v>
      </c>
      <c r="M2101" t="n">
        <v>499.5</v>
      </c>
      <c r="N2101" t="inlineStr">
        <is>
          <t>PO:COMMIT</t>
        </is>
      </c>
      <c r="O2101" t="inlineStr">
        <is>
          <t>12561</t>
        </is>
      </c>
      <c r="P2101" t="inlineStr">
        <is>
          <t>CROSS COUNTRY INFRASTRUCTURE SERVICES INC.</t>
        </is>
      </c>
      <c r="Q2101" s="114" t="n">
        <v>0</v>
      </c>
      <c r="R2101" s="114" t="n">
        <v>0</v>
      </c>
      <c r="S2101" s="114" t="n">
        <v>499.5</v>
      </c>
      <c r="T2101" t="n">
        <v>0</v>
      </c>
    </row>
    <row r="2102">
      <c r="A2102" t="inlineStr">
        <is>
          <t>ttJTrans</t>
        </is>
      </c>
      <c r="B2102" s="38" t="inlineStr">
        <is>
          <t>0-4008</t>
        </is>
      </c>
      <c r="C2102" t="inlineStr">
        <is>
          <t>OC</t>
        </is>
      </c>
      <c r="D2102" t="inlineStr">
        <is>
          <t>MA1011112</t>
        </is>
      </c>
      <c r="E2102" t="inlineStr">
        <is>
          <t>OC</t>
        </is>
      </c>
      <c r="F2102" t="inlineStr">
        <is>
          <t>MA1011112</t>
        </is>
      </c>
      <c r="G2102" t="n">
        <v>46121</v>
      </c>
      <c r="H2102" s="127" t="n">
        <v>46122</v>
      </c>
      <c r="I2102" t="inlineStr">
        <is>
          <t>1</t>
        </is>
      </c>
      <c r="J2102" s="38" t="inlineStr">
        <is>
          <t>0-4008</t>
        </is>
      </c>
      <c r="K2102" t="inlineStr">
        <is>
          <t>STINGER NAIL GUN</t>
        </is>
      </c>
      <c r="L2102" t="n">
        <v>5</v>
      </c>
      <c r="M2102" t="n">
        <v>2358.75</v>
      </c>
      <c r="N2102" t="inlineStr">
        <is>
          <t>PO:COMMIT</t>
        </is>
      </c>
      <c r="O2102" t="inlineStr">
        <is>
          <t>12561</t>
        </is>
      </c>
      <c r="P2102" t="inlineStr">
        <is>
          <t>CROSS COUNTRY INFRASTRUCTURE SERVICES INC.</t>
        </is>
      </c>
      <c r="Q2102" s="114" t="n">
        <v>0</v>
      </c>
      <c r="R2102" s="114" t="n">
        <v>0</v>
      </c>
      <c r="S2102" s="114" t="n">
        <v>2358.75</v>
      </c>
      <c r="T2102" t="n">
        <v>0</v>
      </c>
    </row>
    <row r="2103">
      <c r="A2103" t="inlineStr">
        <is>
          <t>ttJTrans</t>
        </is>
      </c>
      <c r="B2103" s="38" t="inlineStr">
        <is>
          <t>0-4008</t>
        </is>
      </c>
      <c r="C2103" t="inlineStr">
        <is>
          <t>OC</t>
        </is>
      </c>
      <c r="D2103" t="inlineStr">
        <is>
          <t>MA1011112</t>
        </is>
      </c>
      <c r="E2103" t="inlineStr">
        <is>
          <t>OC</t>
        </is>
      </c>
      <c r="F2103" t="inlineStr">
        <is>
          <t>MA1011112</t>
        </is>
      </c>
      <c r="G2103" t="n">
        <v>46121</v>
      </c>
      <c r="H2103" s="127" t="n">
        <v>46122</v>
      </c>
      <c r="I2103" t="inlineStr">
        <is>
          <t>3</t>
        </is>
      </c>
      <c r="J2103" s="38" t="inlineStr">
        <is>
          <t>0-4008</t>
        </is>
      </c>
      <c r="K2103" t="inlineStr">
        <is>
          <t>FREIGHT EST TBD SUBJECT TO CHANGE</t>
        </is>
      </c>
      <c r="L2103" t="n">
        <v>1</v>
      </c>
      <c r="M2103" t="n">
        <v>499.5</v>
      </c>
      <c r="N2103" t="inlineStr">
        <is>
          <t>INVOICE:ADJ-COMMIT</t>
        </is>
      </c>
      <c r="O2103" t="inlineStr">
        <is>
          <t>12561</t>
        </is>
      </c>
      <c r="P2103" t="inlineStr">
        <is>
          <t>CROSS COUNTRY INFRASTRUCTURE SERVICES INC.</t>
        </is>
      </c>
      <c r="Q2103" s="114" t="n">
        <v>0</v>
      </c>
      <c r="R2103" s="114" t="n">
        <v>0</v>
      </c>
      <c r="S2103" s="114" t="n">
        <v>-349.65</v>
      </c>
      <c r="T2103" t="n">
        <v>0</v>
      </c>
    </row>
    <row r="2104">
      <c r="A2104" t="inlineStr">
        <is>
          <t>ttJTrans</t>
        </is>
      </c>
      <c r="B2104" s="38" t="inlineStr">
        <is>
          <t>0-4008</t>
        </is>
      </c>
      <c r="C2104" t="inlineStr">
        <is>
          <t>OC</t>
        </is>
      </c>
      <c r="D2104" t="inlineStr">
        <is>
          <t>MA1011112</t>
        </is>
      </c>
      <c r="E2104" t="inlineStr">
        <is>
          <t>OC</t>
        </is>
      </c>
      <c r="F2104" t="inlineStr">
        <is>
          <t>MA1011112</t>
        </is>
      </c>
      <c r="G2104" t="n">
        <v>46121</v>
      </c>
      <c r="H2104" s="127" t="n">
        <v>46122</v>
      </c>
      <c r="I2104" t="inlineStr">
        <is>
          <t>2</t>
        </is>
      </c>
      <c r="J2104" s="38" t="inlineStr">
        <is>
          <t>0-4008</t>
        </is>
      </c>
      <c r="K2104" t="inlineStr">
        <is>
          <t>1IN NAIL PAC W CAPS</t>
        </is>
      </c>
      <c r="L2104" t="n">
        <v>40</v>
      </c>
      <c r="M2104" t="n">
        <v>8880</v>
      </c>
      <c r="N2104" t="inlineStr">
        <is>
          <t>INVOICE:ADJ-COMMIT</t>
        </is>
      </c>
      <c r="O2104" t="inlineStr">
        <is>
          <t>12561</t>
        </is>
      </c>
      <c r="P2104" t="inlineStr">
        <is>
          <t>CROSS COUNTRY INFRASTRUCTURE SERVICES INC.</t>
        </is>
      </c>
      <c r="Q2104" s="114" t="n">
        <v>0</v>
      </c>
      <c r="R2104" s="114" t="n">
        <v>0</v>
      </c>
      <c r="S2104" s="114" t="n">
        <v>-8880</v>
      </c>
      <c r="T2104" t="n">
        <v>0</v>
      </c>
    </row>
    <row r="2105">
      <c r="A2105" t="inlineStr">
        <is>
          <t>ttJTrans</t>
        </is>
      </c>
      <c r="B2105" s="38" t="inlineStr">
        <is>
          <t>0-4008</t>
        </is>
      </c>
      <c r="C2105" t="inlineStr">
        <is>
          <t>OC</t>
        </is>
      </c>
      <c r="D2105" t="inlineStr">
        <is>
          <t>MA1011112</t>
        </is>
      </c>
      <c r="E2105" t="inlineStr">
        <is>
          <t>OC</t>
        </is>
      </c>
      <c r="F2105" t="inlineStr">
        <is>
          <t>MA1011112</t>
        </is>
      </c>
      <c r="G2105" t="n">
        <v>46121</v>
      </c>
      <c r="H2105" s="127" t="n">
        <v>46122</v>
      </c>
      <c r="I2105" t="inlineStr">
        <is>
          <t>1</t>
        </is>
      </c>
      <c r="J2105" s="38" t="inlineStr">
        <is>
          <t>0-4008</t>
        </is>
      </c>
      <c r="K2105" t="inlineStr">
        <is>
          <t>STINGER NAIL GUN</t>
        </is>
      </c>
      <c r="L2105" t="n">
        <v>5</v>
      </c>
      <c r="M2105" t="n">
        <v>2358.75</v>
      </c>
      <c r="N2105" t="inlineStr">
        <is>
          <t>INVOICE:ADJ-COMMIT</t>
        </is>
      </c>
      <c r="O2105" t="inlineStr">
        <is>
          <t>12561</t>
        </is>
      </c>
      <c r="P2105" t="inlineStr">
        <is>
          <t>CROSS COUNTRY INFRASTRUCTURE SERVICES INC.</t>
        </is>
      </c>
      <c r="Q2105" s="114" t="n">
        <v>0</v>
      </c>
      <c r="R2105" s="114" t="n">
        <v>0</v>
      </c>
      <c r="S2105" s="114" t="n">
        <v>-2358.75</v>
      </c>
      <c r="T2105" t="n">
        <v>0</v>
      </c>
    </row>
    <row r="2106">
      <c r="A2106" t="inlineStr">
        <is>
          <t>ttJTrans</t>
        </is>
      </c>
      <c r="B2106" s="38" t="inlineStr">
        <is>
          <t>0-4008</t>
        </is>
      </c>
      <c r="C2106" t="inlineStr">
        <is>
          <t>OC</t>
        </is>
      </c>
      <c r="D2106" t="inlineStr">
        <is>
          <t>MA1011112</t>
        </is>
      </c>
      <c r="E2106" t="inlineStr">
        <is>
          <t>OC</t>
        </is>
      </c>
      <c r="F2106" t="inlineStr">
        <is>
          <t>MA1011112</t>
        </is>
      </c>
      <c r="G2106" t="n">
        <v>46121</v>
      </c>
      <c r="H2106" s="127" t="n">
        <v>46141</v>
      </c>
      <c r="I2106" t="inlineStr">
        <is>
          <t>1</t>
        </is>
      </c>
      <c r="J2106" s="38" t="inlineStr">
        <is>
          <t>0-4008</t>
        </is>
      </c>
      <c r="K2106" t="inlineStr">
        <is>
          <t>STINGER NAIL GUN</t>
        </is>
      </c>
      <c r="L2106" t="n">
        <v>5</v>
      </c>
      <c r="M2106" t="n">
        <v>2358.75</v>
      </c>
      <c r="N2106" t="inlineStr">
        <is>
          <t>INVOICE</t>
        </is>
      </c>
      <c r="O2106" t="inlineStr">
        <is>
          <t>12561</t>
        </is>
      </c>
      <c r="P2106" t="inlineStr">
        <is>
          <t>CROSS COUNTRY INFRASTRUCTURE SERVICES INC.</t>
        </is>
      </c>
      <c r="Q2106" s="114" t="n">
        <v>0</v>
      </c>
      <c r="R2106" s="114" t="n">
        <v>0</v>
      </c>
      <c r="S2106" s="114" t="n">
        <v>0</v>
      </c>
      <c r="T2106" t="n">
        <v>0</v>
      </c>
    </row>
    <row r="2107">
      <c r="A2107" t="inlineStr">
        <is>
          <t>ttJTrans</t>
        </is>
      </c>
      <c r="B2107" s="38" t="inlineStr">
        <is>
          <t>0-4008</t>
        </is>
      </c>
      <c r="C2107" t="inlineStr">
        <is>
          <t>OC</t>
        </is>
      </c>
      <c r="D2107" t="inlineStr">
        <is>
          <t>MA1011112</t>
        </is>
      </c>
      <c r="E2107" t="inlineStr">
        <is>
          <t>OC</t>
        </is>
      </c>
      <c r="F2107" t="inlineStr">
        <is>
          <t>MA1011112</t>
        </is>
      </c>
      <c r="G2107" t="n">
        <v>46121</v>
      </c>
      <c r="H2107" s="127" t="n">
        <v>46141</v>
      </c>
      <c r="I2107" t="inlineStr">
        <is>
          <t>2</t>
        </is>
      </c>
      <c r="J2107" s="38" t="inlineStr">
        <is>
          <t>0-4008</t>
        </is>
      </c>
      <c r="K2107" t="inlineStr">
        <is>
          <t>1IN NAIL PAC W CAPS</t>
        </is>
      </c>
      <c r="L2107" t="n">
        <v>40</v>
      </c>
      <c r="M2107" t="n">
        <v>8880</v>
      </c>
      <c r="N2107" t="inlineStr">
        <is>
          <t>INVOICE</t>
        </is>
      </c>
      <c r="O2107" t="inlineStr">
        <is>
          <t>12561</t>
        </is>
      </c>
      <c r="P2107" t="inlineStr">
        <is>
          <t>CROSS COUNTRY INFRASTRUCTURE SERVICES INC.</t>
        </is>
      </c>
      <c r="Q2107" s="114" t="n">
        <v>0</v>
      </c>
      <c r="R2107" s="114" t="n">
        <v>0</v>
      </c>
      <c r="S2107" s="114" t="n">
        <v>0</v>
      </c>
      <c r="T2107" t="n">
        <v>0</v>
      </c>
    </row>
    <row r="2108">
      <c r="A2108" t="inlineStr">
        <is>
          <t>ttJTrans</t>
        </is>
      </c>
      <c r="B2108" s="38" t="inlineStr">
        <is>
          <t>0-4008</t>
        </is>
      </c>
      <c r="C2108" t="inlineStr">
        <is>
          <t>OC</t>
        </is>
      </c>
      <c r="D2108" t="inlineStr">
        <is>
          <t>MA1011112</t>
        </is>
      </c>
      <c r="E2108" t="inlineStr">
        <is>
          <t>OC</t>
        </is>
      </c>
      <c r="F2108" t="inlineStr">
        <is>
          <t>MA1011112</t>
        </is>
      </c>
      <c r="G2108" t="n">
        <v>46121</v>
      </c>
      <c r="H2108" s="127" t="n">
        <v>46141</v>
      </c>
      <c r="I2108" t="inlineStr">
        <is>
          <t>3</t>
        </is>
      </c>
      <c r="J2108" s="38" t="inlineStr">
        <is>
          <t>0-4008</t>
        </is>
      </c>
      <c r="K2108" t="inlineStr">
        <is>
          <t>FREIGHT EST TBD SUBJECT TO CHANGE</t>
        </is>
      </c>
      <c r="L2108" t="n">
        <v>1</v>
      </c>
      <c r="M2108" t="n">
        <v>499.5</v>
      </c>
      <c r="N2108" t="inlineStr">
        <is>
          <t>INVOICE</t>
        </is>
      </c>
      <c r="O2108" t="inlineStr">
        <is>
          <t>12561</t>
        </is>
      </c>
      <c r="P2108" t="inlineStr">
        <is>
          <t>CROSS COUNTRY INFRASTRUCTURE SERVICES INC.</t>
        </is>
      </c>
      <c r="Q2108" s="114" t="n">
        <v>0</v>
      </c>
      <c r="R2108" s="114" t="n">
        <v>0</v>
      </c>
      <c r="S2108" s="114" t="n">
        <v>0</v>
      </c>
      <c r="T2108" t="n">
        <v>0</v>
      </c>
    </row>
    <row r="2109">
      <c r="A2109" t="inlineStr">
        <is>
          <t>ttJTrans</t>
        </is>
      </c>
      <c r="B2109" s="38" t="inlineStr">
        <is>
          <t>0-4008</t>
        </is>
      </c>
      <c r="C2109" t="inlineStr">
        <is>
          <t>OC</t>
        </is>
      </c>
      <c r="D2109" t="inlineStr">
        <is>
          <t>MA1011124</t>
        </is>
      </c>
      <c r="E2109" t="inlineStr">
        <is>
          <t>OC</t>
        </is>
      </c>
      <c r="F2109" t="inlineStr">
        <is>
          <t>MA1011124</t>
        </is>
      </c>
      <c r="G2109" t="n">
        <v>46122</v>
      </c>
      <c r="H2109" s="127" t="n">
        <v>46139</v>
      </c>
      <c r="I2109" t="inlineStr">
        <is>
          <t>4</t>
        </is>
      </c>
      <c r="J2109" s="38" t="inlineStr">
        <is>
          <t>0-4008</t>
        </is>
      </c>
      <c r="K2109" t="inlineStr">
        <is>
          <t>FILTER PARTICULATE 3M P100 - 2</t>
        </is>
      </c>
      <c r="L2109" t="n">
        <v>20</v>
      </c>
      <c r="M2109" t="n">
        <v>200.69</v>
      </c>
      <c r="N2109" t="inlineStr">
        <is>
          <t>INVOICE</t>
        </is>
      </c>
      <c r="O2109" t="inlineStr">
        <is>
          <t>12561</t>
        </is>
      </c>
      <c r="P2109" t="inlineStr">
        <is>
          <t>CROSS COUNTRY INFRASTRUCTURE SERVICES INC.</t>
        </is>
      </c>
      <c r="Q2109" s="114" t="n">
        <v>0</v>
      </c>
      <c r="R2109" s="114" t="n">
        <v>0</v>
      </c>
      <c r="S2109" s="114" t="n">
        <v>0</v>
      </c>
      <c r="T2109" t="n">
        <v>0</v>
      </c>
    </row>
    <row r="2110">
      <c r="A2110" t="inlineStr">
        <is>
          <t>ttJTrans</t>
        </is>
      </c>
      <c r="B2110" s="38" t="inlineStr">
        <is>
          <t>0-4008</t>
        </is>
      </c>
      <c r="C2110" t="inlineStr">
        <is>
          <t>OC</t>
        </is>
      </c>
      <c r="D2110" t="inlineStr">
        <is>
          <t>MA1011124</t>
        </is>
      </c>
      <c r="E2110" t="inlineStr">
        <is>
          <t>OC</t>
        </is>
      </c>
      <c r="F2110" t="inlineStr">
        <is>
          <t>MA1011124</t>
        </is>
      </c>
      <c r="G2110" t="n">
        <v>46122</v>
      </c>
      <c r="H2110" s="127" t="n">
        <v>46139</v>
      </c>
      <c r="I2110" t="inlineStr">
        <is>
          <t>5</t>
        </is>
      </c>
      <c r="J2110" s="38" t="inlineStr">
        <is>
          <t>0-4008</t>
        </is>
      </c>
      <c r="K2110" t="inlineStr">
        <is>
          <t>EARMUFF OVER THE NECK HONEYWEL</t>
        </is>
      </c>
      <c r="L2110" t="n">
        <v>20</v>
      </c>
      <c r="M2110" t="n">
        <v>568.99</v>
      </c>
      <c r="N2110" t="inlineStr">
        <is>
          <t>INVOICE</t>
        </is>
      </c>
      <c r="O2110" t="inlineStr">
        <is>
          <t>12561</t>
        </is>
      </c>
      <c r="P2110" t="inlineStr">
        <is>
          <t>CROSS COUNTRY INFRASTRUCTURE SERVICES INC.</t>
        </is>
      </c>
      <c r="Q2110" s="114" t="n">
        <v>0</v>
      </c>
      <c r="R2110" s="114" t="n">
        <v>0</v>
      </c>
      <c r="S2110" s="114" t="n">
        <v>0</v>
      </c>
      <c r="T2110" t="n">
        <v>0</v>
      </c>
    </row>
    <row r="2111">
      <c r="A2111" t="inlineStr">
        <is>
          <t>ttJTrans</t>
        </is>
      </c>
      <c r="B2111" s="38" t="inlineStr">
        <is>
          <t>0-4008</t>
        </is>
      </c>
      <c r="C2111" t="inlineStr">
        <is>
          <t>OC</t>
        </is>
      </c>
      <c r="D2111" t="inlineStr">
        <is>
          <t>MA1011124</t>
        </is>
      </c>
      <c r="E2111" t="inlineStr">
        <is>
          <t>OC</t>
        </is>
      </c>
      <c r="F2111" t="inlineStr">
        <is>
          <t>MA1011124</t>
        </is>
      </c>
      <c r="G2111" t="n">
        <v>46122</v>
      </c>
      <c r="H2111" s="127" t="n">
        <v>46139</v>
      </c>
      <c r="I2111" t="inlineStr">
        <is>
          <t>2</t>
        </is>
      </c>
      <c r="J2111" s="38" t="inlineStr">
        <is>
          <t>0-4008</t>
        </is>
      </c>
      <c r="K2111" t="inlineStr">
        <is>
          <t>RESPIRATOR HALF FACE MED 6000</t>
        </is>
      </c>
      <c r="L2111" t="n">
        <v>5</v>
      </c>
      <c r="M2111" t="n">
        <v>93.23999999999999</v>
      </c>
      <c r="N2111" t="inlineStr">
        <is>
          <t>INVOICE</t>
        </is>
      </c>
      <c r="O2111" t="inlineStr">
        <is>
          <t>12561</t>
        </is>
      </c>
      <c r="P2111" t="inlineStr">
        <is>
          <t>CROSS COUNTRY INFRASTRUCTURE SERVICES INC.</t>
        </is>
      </c>
      <c r="Q2111" s="114" t="n">
        <v>0</v>
      </c>
      <c r="R2111" s="114" t="n">
        <v>0</v>
      </c>
      <c r="S2111" s="114" t="n">
        <v>0</v>
      </c>
      <c r="T2111" t="n">
        <v>0</v>
      </c>
    </row>
    <row r="2112">
      <c r="A2112" t="inlineStr">
        <is>
          <t>ttJTrans</t>
        </is>
      </c>
      <c r="B2112" s="38" t="inlineStr">
        <is>
          <t>0-4008</t>
        </is>
      </c>
      <c r="C2112" t="inlineStr">
        <is>
          <t>OC</t>
        </is>
      </c>
      <c r="D2112" t="inlineStr">
        <is>
          <t>MA1011124</t>
        </is>
      </c>
      <c r="E2112" t="inlineStr">
        <is>
          <t>OC</t>
        </is>
      </c>
      <c r="F2112" t="inlineStr">
        <is>
          <t>MA1011124</t>
        </is>
      </c>
      <c r="G2112" t="n">
        <v>46122</v>
      </c>
      <c r="H2112" s="127" t="n">
        <v>46139</v>
      </c>
      <c r="I2112" t="inlineStr">
        <is>
          <t>3</t>
        </is>
      </c>
      <c r="J2112" s="38" t="inlineStr">
        <is>
          <t>0-4008</t>
        </is>
      </c>
      <c r="K2112" t="inlineStr">
        <is>
          <t>RESPIRATOR HALF FACE LRG 6000</t>
        </is>
      </c>
      <c r="L2112" t="n">
        <v>3</v>
      </c>
      <c r="M2112" t="n">
        <v>63</v>
      </c>
      <c r="N2112" t="inlineStr">
        <is>
          <t>INVOICE</t>
        </is>
      </c>
      <c r="O2112" t="inlineStr">
        <is>
          <t>12561</t>
        </is>
      </c>
      <c r="P2112" t="inlineStr">
        <is>
          <t>CROSS COUNTRY INFRASTRUCTURE SERVICES INC.</t>
        </is>
      </c>
      <c r="Q2112" s="114" t="n">
        <v>0</v>
      </c>
      <c r="R2112" s="114" t="n">
        <v>0</v>
      </c>
      <c r="S2112" s="114" t="n">
        <v>0</v>
      </c>
      <c r="T2112" t="n">
        <v>0</v>
      </c>
    </row>
    <row r="2113">
      <c r="A2113" t="inlineStr">
        <is>
          <t>ttJTrans</t>
        </is>
      </c>
      <c r="B2113" s="38" t="inlineStr">
        <is>
          <t>0-4008</t>
        </is>
      </c>
      <c r="C2113" t="inlineStr">
        <is>
          <t>OC</t>
        </is>
      </c>
      <c r="D2113" t="inlineStr">
        <is>
          <t>MA1011124</t>
        </is>
      </c>
      <c r="E2113" t="inlineStr">
        <is>
          <t>OC</t>
        </is>
      </c>
      <c r="F2113" t="inlineStr">
        <is>
          <t>MA1011124</t>
        </is>
      </c>
      <c r="G2113" t="n">
        <v>46122</v>
      </c>
      <c r="H2113" s="127" t="n">
        <v>46139</v>
      </c>
      <c r="I2113" t="inlineStr">
        <is>
          <t>6</t>
        </is>
      </c>
      <c r="J2113" s="38" t="inlineStr">
        <is>
          <t>0-4008</t>
        </is>
      </c>
      <c r="K2113" t="inlineStr">
        <is>
          <t>FRIEGHT</t>
        </is>
      </c>
      <c r="L2113" t="n">
        <v>1</v>
      </c>
      <c r="M2113" t="n">
        <v>133.2</v>
      </c>
      <c r="N2113" t="inlineStr">
        <is>
          <t>INVOICE</t>
        </is>
      </c>
      <c r="O2113" t="inlineStr">
        <is>
          <t>12561</t>
        </is>
      </c>
      <c r="P2113" t="inlineStr">
        <is>
          <t>CROSS COUNTRY INFRASTRUCTURE SERVICES INC.</t>
        </is>
      </c>
      <c r="Q2113" s="114" t="n">
        <v>0</v>
      </c>
      <c r="R2113" s="114" t="n">
        <v>0</v>
      </c>
      <c r="S2113" s="114" t="n">
        <v>0</v>
      </c>
      <c r="T2113" t="n">
        <v>0</v>
      </c>
    </row>
    <row r="2114">
      <c r="A2114" t="inlineStr">
        <is>
          <t>ttJTrans</t>
        </is>
      </c>
      <c r="B2114" s="38" t="inlineStr">
        <is>
          <t>0-4008</t>
        </is>
      </c>
      <c r="C2114" t="inlineStr">
        <is>
          <t>OC</t>
        </is>
      </c>
      <c r="D2114" t="inlineStr">
        <is>
          <t>MA1011124</t>
        </is>
      </c>
      <c r="E2114" t="inlineStr">
        <is>
          <t>OC</t>
        </is>
      </c>
      <c r="F2114" t="inlineStr">
        <is>
          <t>MA1011124</t>
        </is>
      </c>
      <c r="G2114" t="n">
        <v>46122</v>
      </c>
      <c r="H2114" s="127" t="n">
        <v>46139</v>
      </c>
      <c r="I2114" t="inlineStr">
        <is>
          <t>1</t>
        </is>
      </c>
      <c r="J2114" s="38" t="inlineStr">
        <is>
          <t>0-4008</t>
        </is>
      </c>
      <c r="K2114" t="inlineStr">
        <is>
          <t>GOGGLES CHEMICAL CLEAR 12/BX</t>
        </is>
      </c>
      <c r="L2114" t="n">
        <v>10</v>
      </c>
      <c r="M2114" t="n">
        <v>27.53</v>
      </c>
      <c r="N2114" t="inlineStr">
        <is>
          <t>INVOICE</t>
        </is>
      </c>
      <c r="O2114" t="inlineStr">
        <is>
          <t>12561</t>
        </is>
      </c>
      <c r="P2114" t="inlineStr">
        <is>
          <t>CROSS COUNTRY INFRASTRUCTURE SERVICES INC.</t>
        </is>
      </c>
      <c r="Q2114" s="114" t="n">
        <v>0</v>
      </c>
      <c r="R2114" s="114" t="n">
        <v>0</v>
      </c>
      <c r="S2114" s="114" t="n">
        <v>0</v>
      </c>
      <c r="T2114" t="n">
        <v>0</v>
      </c>
    </row>
    <row r="2115">
      <c r="A2115" t="inlineStr">
        <is>
          <t>ttJTrans</t>
        </is>
      </c>
      <c r="B2115" s="38" t="inlineStr">
        <is>
          <t>0-4008</t>
        </is>
      </c>
      <c r="C2115" t="inlineStr">
        <is>
          <t>OC</t>
        </is>
      </c>
      <c r="D2115" t="inlineStr">
        <is>
          <t>MA1011124</t>
        </is>
      </c>
      <c r="E2115" t="inlineStr">
        <is>
          <t>OC</t>
        </is>
      </c>
      <c r="F2115" t="inlineStr">
        <is>
          <t>MA1011124</t>
        </is>
      </c>
      <c r="G2115" t="n">
        <v>46122</v>
      </c>
      <c r="H2115" s="127" t="n">
        <v>46122</v>
      </c>
      <c r="I2115" t="inlineStr">
        <is>
          <t>4</t>
        </is>
      </c>
      <c r="J2115" s="38" t="inlineStr">
        <is>
          <t>0-4008</t>
        </is>
      </c>
      <c r="K2115" t="inlineStr">
        <is>
          <t>FILTER PARTICULATE 3M P100 - 2</t>
        </is>
      </c>
      <c r="L2115" t="n">
        <v>20</v>
      </c>
      <c r="M2115" t="n">
        <v>200.69</v>
      </c>
      <c r="N2115" t="inlineStr">
        <is>
          <t>PO:COMMIT</t>
        </is>
      </c>
      <c r="O2115" t="inlineStr">
        <is>
          <t>12561</t>
        </is>
      </c>
      <c r="P2115" t="inlineStr">
        <is>
          <t>CROSS COUNTRY INFRASTRUCTURE SERVICES INC.</t>
        </is>
      </c>
      <c r="Q2115" s="114" t="n">
        <v>0</v>
      </c>
      <c r="R2115" s="114" t="n">
        <v>0</v>
      </c>
      <c r="S2115" s="114" t="n">
        <v>200.69</v>
      </c>
      <c r="T2115" t="n">
        <v>0</v>
      </c>
    </row>
    <row r="2116">
      <c r="A2116" t="inlineStr">
        <is>
          <t>ttJTrans</t>
        </is>
      </c>
      <c r="B2116" s="38" t="inlineStr">
        <is>
          <t>0-4008</t>
        </is>
      </c>
      <c r="C2116" t="inlineStr">
        <is>
          <t>OC</t>
        </is>
      </c>
      <c r="D2116" t="inlineStr">
        <is>
          <t>MA1011124</t>
        </is>
      </c>
      <c r="E2116" t="inlineStr">
        <is>
          <t>OC</t>
        </is>
      </c>
      <c r="F2116" t="inlineStr">
        <is>
          <t>MA1011124</t>
        </is>
      </c>
      <c r="G2116" t="n">
        <v>46122</v>
      </c>
      <c r="H2116" s="127" t="n">
        <v>46122</v>
      </c>
      <c r="I2116" t="inlineStr">
        <is>
          <t>3</t>
        </is>
      </c>
      <c r="J2116" s="38" t="inlineStr">
        <is>
          <t>0-4008</t>
        </is>
      </c>
      <c r="K2116" t="inlineStr">
        <is>
          <t>RESPIRATOR HALF FACE LRG 6000</t>
        </is>
      </c>
      <c r="L2116" t="n">
        <v>3</v>
      </c>
      <c r="M2116" t="n">
        <v>63</v>
      </c>
      <c r="N2116" t="inlineStr">
        <is>
          <t>PO:COMMIT</t>
        </is>
      </c>
      <c r="O2116" t="inlineStr">
        <is>
          <t>12561</t>
        </is>
      </c>
      <c r="P2116" t="inlineStr">
        <is>
          <t>CROSS COUNTRY INFRASTRUCTURE SERVICES INC.</t>
        </is>
      </c>
      <c r="Q2116" s="114" t="n">
        <v>0</v>
      </c>
      <c r="R2116" s="114" t="n">
        <v>0</v>
      </c>
      <c r="S2116" s="114" t="n">
        <v>63</v>
      </c>
      <c r="T2116" t="n">
        <v>0</v>
      </c>
    </row>
    <row r="2117">
      <c r="A2117" t="inlineStr">
        <is>
          <t>ttJTrans</t>
        </is>
      </c>
      <c r="B2117" s="38" t="inlineStr">
        <is>
          <t>0-4008</t>
        </is>
      </c>
      <c r="C2117" t="inlineStr">
        <is>
          <t>OC</t>
        </is>
      </c>
      <c r="D2117" t="inlineStr">
        <is>
          <t>MA1011124</t>
        </is>
      </c>
      <c r="E2117" t="inlineStr">
        <is>
          <t>OC</t>
        </is>
      </c>
      <c r="F2117" t="inlineStr">
        <is>
          <t>MA1011124</t>
        </is>
      </c>
      <c r="G2117" t="n">
        <v>46122</v>
      </c>
      <c r="H2117" s="127" t="n">
        <v>46122</v>
      </c>
      <c r="I2117" t="inlineStr">
        <is>
          <t>6</t>
        </is>
      </c>
      <c r="J2117" s="38" t="inlineStr">
        <is>
          <t>0-4008</t>
        </is>
      </c>
      <c r="K2117" t="inlineStr">
        <is>
          <t>FRIEGHT</t>
        </is>
      </c>
      <c r="L2117" t="n">
        <v>1</v>
      </c>
      <c r="M2117" t="n">
        <v>133.2</v>
      </c>
      <c r="N2117" t="inlineStr">
        <is>
          <t>PO:COMMIT</t>
        </is>
      </c>
      <c r="O2117" t="inlineStr">
        <is>
          <t>12561</t>
        </is>
      </c>
      <c r="P2117" t="inlineStr">
        <is>
          <t>CROSS COUNTRY INFRASTRUCTURE SERVICES INC.</t>
        </is>
      </c>
      <c r="Q2117" s="114" t="n">
        <v>0</v>
      </c>
      <c r="R2117" s="114" t="n">
        <v>0</v>
      </c>
      <c r="S2117" s="114" t="n">
        <v>133.2</v>
      </c>
      <c r="T2117" t="n">
        <v>0</v>
      </c>
    </row>
    <row r="2118">
      <c r="A2118" t="inlineStr">
        <is>
          <t>ttJTrans</t>
        </is>
      </c>
      <c r="B2118" s="38" t="inlineStr">
        <is>
          <t>0-4008</t>
        </is>
      </c>
      <c r="C2118" t="inlineStr">
        <is>
          <t>OC</t>
        </is>
      </c>
      <c r="D2118" t="inlineStr">
        <is>
          <t>MA1011124</t>
        </is>
      </c>
      <c r="E2118" t="inlineStr">
        <is>
          <t>OC</t>
        </is>
      </c>
      <c r="F2118" t="inlineStr">
        <is>
          <t>MA1011124</t>
        </is>
      </c>
      <c r="G2118" t="n">
        <v>46122</v>
      </c>
      <c r="H2118" s="127" t="n">
        <v>46122</v>
      </c>
      <c r="I2118" t="inlineStr">
        <is>
          <t>6</t>
        </is>
      </c>
      <c r="J2118" s="38" t="inlineStr">
        <is>
          <t>0-4008</t>
        </is>
      </c>
      <c r="K2118" t="inlineStr">
        <is>
          <t>FRIEGHT</t>
        </is>
      </c>
      <c r="L2118" t="n">
        <v>1</v>
      </c>
      <c r="M2118" t="n">
        <v>133.2</v>
      </c>
      <c r="N2118" t="inlineStr">
        <is>
          <t>INVOICE:ADJ-COMMIT</t>
        </is>
      </c>
      <c r="O2118" t="inlineStr">
        <is>
          <t>12561</t>
        </is>
      </c>
      <c r="P2118" t="inlineStr">
        <is>
          <t>CROSS COUNTRY INFRASTRUCTURE SERVICES INC.</t>
        </is>
      </c>
      <c r="Q2118" s="114" t="n">
        <v>0</v>
      </c>
      <c r="R2118" s="114" t="n">
        <v>0</v>
      </c>
      <c r="S2118" s="114" t="n">
        <v>-133.2</v>
      </c>
      <c r="T2118" t="n">
        <v>0</v>
      </c>
    </row>
    <row r="2119">
      <c r="A2119" t="inlineStr">
        <is>
          <t>ttJTrans</t>
        </is>
      </c>
      <c r="B2119" s="38" t="inlineStr">
        <is>
          <t>0-4008</t>
        </is>
      </c>
      <c r="C2119" t="inlineStr">
        <is>
          <t>OC</t>
        </is>
      </c>
      <c r="D2119" t="inlineStr">
        <is>
          <t>MA1011124</t>
        </is>
      </c>
      <c r="E2119" t="inlineStr">
        <is>
          <t>OC</t>
        </is>
      </c>
      <c r="F2119" t="inlineStr">
        <is>
          <t>MA1011124</t>
        </is>
      </c>
      <c r="G2119" t="n">
        <v>46122</v>
      </c>
      <c r="H2119" s="127" t="n">
        <v>46122</v>
      </c>
      <c r="I2119" t="inlineStr">
        <is>
          <t>4</t>
        </is>
      </c>
      <c r="J2119" s="38" t="inlineStr">
        <is>
          <t>0-4008</t>
        </is>
      </c>
      <c r="K2119" t="inlineStr">
        <is>
          <t>FILTER PARTICULATE 3M P100 - 2</t>
        </is>
      </c>
      <c r="L2119" t="n">
        <v>20</v>
      </c>
      <c r="M2119" t="n">
        <v>200.69</v>
      </c>
      <c r="N2119" t="inlineStr">
        <is>
          <t>INVOICE:ADJ-COMMIT</t>
        </is>
      </c>
      <c r="O2119" t="inlineStr">
        <is>
          <t>12561</t>
        </is>
      </c>
      <c r="P2119" t="inlineStr">
        <is>
          <t>CROSS COUNTRY INFRASTRUCTURE SERVICES INC.</t>
        </is>
      </c>
      <c r="Q2119" s="114" t="n">
        <v>0</v>
      </c>
      <c r="R2119" s="114" t="n">
        <v>0</v>
      </c>
      <c r="S2119" s="114" t="n">
        <v>-200.69</v>
      </c>
      <c r="T2119" t="n">
        <v>0</v>
      </c>
    </row>
    <row r="2120">
      <c r="A2120" t="inlineStr">
        <is>
          <t>ttJTrans</t>
        </is>
      </c>
      <c r="B2120" s="38" t="inlineStr">
        <is>
          <t>0-4008</t>
        </is>
      </c>
      <c r="C2120" t="inlineStr">
        <is>
          <t>OC</t>
        </is>
      </c>
      <c r="D2120" t="inlineStr">
        <is>
          <t>MA1011124</t>
        </is>
      </c>
      <c r="E2120" t="inlineStr">
        <is>
          <t>OC</t>
        </is>
      </c>
      <c r="F2120" t="inlineStr">
        <is>
          <t>MA1011124</t>
        </is>
      </c>
      <c r="G2120" t="n">
        <v>46122</v>
      </c>
      <c r="H2120" s="127" t="n">
        <v>46122</v>
      </c>
      <c r="I2120" t="inlineStr">
        <is>
          <t>5</t>
        </is>
      </c>
      <c r="J2120" s="38" t="inlineStr">
        <is>
          <t>0-4008</t>
        </is>
      </c>
      <c r="K2120" t="inlineStr">
        <is>
          <t>EARMUFF OVER THE NECK HONEYWEL</t>
        </is>
      </c>
      <c r="L2120" t="n">
        <v>20</v>
      </c>
      <c r="M2120" t="n">
        <v>568.99</v>
      </c>
      <c r="N2120" t="inlineStr">
        <is>
          <t>INVOICE:ADJ-COMMIT</t>
        </is>
      </c>
      <c r="O2120" t="inlineStr">
        <is>
          <t>12561</t>
        </is>
      </c>
      <c r="P2120" t="inlineStr">
        <is>
          <t>CROSS COUNTRY INFRASTRUCTURE SERVICES INC.</t>
        </is>
      </c>
      <c r="Q2120" s="114" t="n">
        <v>0</v>
      </c>
      <c r="R2120" s="114" t="n">
        <v>0</v>
      </c>
      <c r="S2120" s="114" t="n">
        <v>-568.99</v>
      </c>
      <c r="T2120" t="n">
        <v>0</v>
      </c>
    </row>
    <row r="2121">
      <c r="A2121" t="inlineStr">
        <is>
          <t>ttJTrans</t>
        </is>
      </c>
      <c r="B2121" s="38" t="inlineStr">
        <is>
          <t>0-4008</t>
        </is>
      </c>
      <c r="C2121" t="inlineStr">
        <is>
          <t>OC</t>
        </is>
      </c>
      <c r="D2121" t="inlineStr">
        <is>
          <t>MA1011124</t>
        </is>
      </c>
      <c r="E2121" t="inlineStr">
        <is>
          <t>OC</t>
        </is>
      </c>
      <c r="F2121" t="inlineStr">
        <is>
          <t>MA1011124</t>
        </is>
      </c>
      <c r="G2121" t="n">
        <v>46122</v>
      </c>
      <c r="H2121" s="127" t="n">
        <v>46122</v>
      </c>
      <c r="I2121" t="inlineStr">
        <is>
          <t>3</t>
        </is>
      </c>
      <c r="J2121" s="38" t="inlineStr">
        <is>
          <t>0-4008</t>
        </is>
      </c>
      <c r="K2121" t="inlineStr">
        <is>
          <t>RESPIRATOR HALF FACE LRG 6000</t>
        </is>
      </c>
      <c r="L2121" t="n">
        <v>3</v>
      </c>
      <c r="M2121" t="n">
        <v>63</v>
      </c>
      <c r="N2121" t="inlineStr">
        <is>
          <t>INVOICE:ADJ-COMMIT</t>
        </is>
      </c>
      <c r="O2121" t="inlineStr">
        <is>
          <t>12561</t>
        </is>
      </c>
      <c r="P2121" t="inlineStr">
        <is>
          <t>CROSS COUNTRY INFRASTRUCTURE SERVICES INC.</t>
        </is>
      </c>
      <c r="Q2121" s="114" t="n">
        <v>0</v>
      </c>
      <c r="R2121" s="114" t="n">
        <v>0</v>
      </c>
      <c r="S2121" s="114" t="n">
        <v>-63</v>
      </c>
      <c r="T2121" t="n">
        <v>0</v>
      </c>
    </row>
    <row r="2122">
      <c r="A2122" t="inlineStr">
        <is>
          <t>ttJTrans</t>
        </is>
      </c>
      <c r="B2122" s="38" t="inlineStr">
        <is>
          <t>0-4008</t>
        </is>
      </c>
      <c r="C2122" t="inlineStr">
        <is>
          <t>OC</t>
        </is>
      </c>
      <c r="D2122" t="inlineStr">
        <is>
          <t>MA1011124</t>
        </is>
      </c>
      <c r="E2122" t="inlineStr">
        <is>
          <t>OC</t>
        </is>
      </c>
      <c r="F2122" t="inlineStr">
        <is>
          <t>MA1011124</t>
        </is>
      </c>
      <c r="G2122" t="n">
        <v>46122</v>
      </c>
      <c r="H2122" s="127" t="n">
        <v>46122</v>
      </c>
      <c r="I2122" t="inlineStr">
        <is>
          <t>2</t>
        </is>
      </c>
      <c r="J2122" s="38" t="inlineStr">
        <is>
          <t>0-4008</t>
        </is>
      </c>
      <c r="K2122" t="inlineStr">
        <is>
          <t>RESPIRATOR HALF FACE MED 6000</t>
        </is>
      </c>
      <c r="L2122" t="n">
        <v>5</v>
      </c>
      <c r="M2122" t="n">
        <v>93.23999999999999</v>
      </c>
      <c r="N2122" t="inlineStr">
        <is>
          <t>INVOICE:ADJ-COMMIT</t>
        </is>
      </c>
      <c r="O2122" t="inlineStr">
        <is>
          <t>12561</t>
        </is>
      </c>
      <c r="P2122" t="inlineStr">
        <is>
          <t>CROSS COUNTRY INFRASTRUCTURE SERVICES INC.</t>
        </is>
      </c>
      <c r="Q2122" s="114" t="n">
        <v>0</v>
      </c>
      <c r="R2122" s="114" t="n">
        <v>0</v>
      </c>
      <c r="S2122" s="114" t="n">
        <v>-93.23999999999999</v>
      </c>
      <c r="T2122" t="n">
        <v>0</v>
      </c>
    </row>
    <row r="2123">
      <c r="A2123" t="inlineStr">
        <is>
          <t>ttJTrans</t>
        </is>
      </c>
      <c r="B2123" s="38" t="inlineStr">
        <is>
          <t>0-4008</t>
        </is>
      </c>
      <c r="C2123" t="inlineStr">
        <is>
          <t>OC</t>
        </is>
      </c>
      <c r="D2123" t="inlineStr">
        <is>
          <t>MA1011124</t>
        </is>
      </c>
      <c r="E2123" t="inlineStr">
        <is>
          <t>OC</t>
        </is>
      </c>
      <c r="F2123" t="inlineStr">
        <is>
          <t>MA1011124</t>
        </is>
      </c>
      <c r="G2123" t="n">
        <v>46122</v>
      </c>
      <c r="H2123" s="127" t="n">
        <v>46122</v>
      </c>
      <c r="I2123" t="inlineStr">
        <is>
          <t>5</t>
        </is>
      </c>
      <c r="J2123" s="38" t="inlineStr">
        <is>
          <t>0-4008</t>
        </is>
      </c>
      <c r="K2123" t="inlineStr">
        <is>
          <t>EARMUFF OVER THE NECK HONEYWEL</t>
        </is>
      </c>
      <c r="L2123" t="n">
        <v>20</v>
      </c>
      <c r="M2123" t="n">
        <v>568.99</v>
      </c>
      <c r="N2123" t="inlineStr">
        <is>
          <t>PO:COMMIT</t>
        </is>
      </c>
      <c r="O2123" t="inlineStr">
        <is>
          <t>12561</t>
        </is>
      </c>
      <c r="P2123" t="inlineStr">
        <is>
          <t>CROSS COUNTRY INFRASTRUCTURE SERVICES INC.</t>
        </is>
      </c>
      <c r="Q2123" s="114" t="n">
        <v>0</v>
      </c>
      <c r="R2123" s="114" t="n">
        <v>0</v>
      </c>
      <c r="S2123" s="114" t="n">
        <v>568.99</v>
      </c>
      <c r="T2123" t="n">
        <v>0</v>
      </c>
    </row>
    <row r="2124">
      <c r="A2124" t="inlineStr">
        <is>
          <t>ttJTrans</t>
        </is>
      </c>
      <c r="B2124" s="38" t="inlineStr">
        <is>
          <t>0-4008</t>
        </is>
      </c>
      <c r="C2124" t="inlineStr">
        <is>
          <t>OC</t>
        </is>
      </c>
      <c r="D2124" t="inlineStr">
        <is>
          <t>MA1011124</t>
        </is>
      </c>
      <c r="E2124" t="inlineStr">
        <is>
          <t>OC</t>
        </is>
      </c>
      <c r="F2124" t="inlineStr">
        <is>
          <t>MA1011124</t>
        </is>
      </c>
      <c r="G2124" t="n">
        <v>46122</v>
      </c>
      <c r="H2124" s="127" t="n">
        <v>46122</v>
      </c>
      <c r="I2124" t="inlineStr">
        <is>
          <t>1</t>
        </is>
      </c>
      <c r="J2124" s="38" t="inlineStr">
        <is>
          <t>0-4008</t>
        </is>
      </c>
      <c r="K2124" t="inlineStr">
        <is>
          <t>GOGGLES CHEMICAL CLEAR 12/BX</t>
        </is>
      </c>
      <c r="L2124" t="n">
        <v>10</v>
      </c>
      <c r="M2124" t="n">
        <v>27.53</v>
      </c>
      <c r="N2124" t="inlineStr">
        <is>
          <t>PO:COMMIT</t>
        </is>
      </c>
      <c r="O2124" t="inlineStr">
        <is>
          <t>12561</t>
        </is>
      </c>
      <c r="P2124" t="inlineStr">
        <is>
          <t>CROSS COUNTRY INFRASTRUCTURE SERVICES INC.</t>
        </is>
      </c>
      <c r="Q2124" s="114" t="n">
        <v>0</v>
      </c>
      <c r="R2124" s="114" t="n">
        <v>0</v>
      </c>
      <c r="S2124" s="114" t="n">
        <v>27.53</v>
      </c>
      <c r="T2124" t="n">
        <v>0</v>
      </c>
    </row>
    <row r="2125">
      <c r="A2125" t="inlineStr">
        <is>
          <t>ttJTrans</t>
        </is>
      </c>
      <c r="B2125" s="38" t="inlineStr">
        <is>
          <t>0-4008</t>
        </is>
      </c>
      <c r="C2125" t="inlineStr">
        <is>
          <t>OC</t>
        </is>
      </c>
      <c r="D2125" t="inlineStr">
        <is>
          <t>MA1011124</t>
        </is>
      </c>
      <c r="E2125" t="inlineStr">
        <is>
          <t>OC</t>
        </is>
      </c>
      <c r="F2125" t="inlineStr">
        <is>
          <t>MA1011124</t>
        </is>
      </c>
      <c r="G2125" t="n">
        <v>46122</v>
      </c>
      <c r="H2125" s="127" t="n">
        <v>46122</v>
      </c>
      <c r="I2125" t="inlineStr">
        <is>
          <t>2</t>
        </is>
      </c>
      <c r="J2125" s="38" t="inlineStr">
        <is>
          <t>0-4008</t>
        </is>
      </c>
      <c r="K2125" t="inlineStr">
        <is>
          <t>RESPIRATOR HALF FACE MED 6000</t>
        </is>
      </c>
      <c r="L2125" t="n">
        <v>5</v>
      </c>
      <c r="M2125" t="n">
        <v>93.23999999999999</v>
      </c>
      <c r="N2125" t="inlineStr">
        <is>
          <t>PO:COMMIT</t>
        </is>
      </c>
      <c r="O2125" t="inlineStr">
        <is>
          <t>12561</t>
        </is>
      </c>
      <c r="P2125" t="inlineStr">
        <is>
          <t>CROSS COUNTRY INFRASTRUCTURE SERVICES INC.</t>
        </is>
      </c>
      <c r="Q2125" s="114" t="n">
        <v>0</v>
      </c>
      <c r="R2125" s="114" t="n">
        <v>0</v>
      </c>
      <c r="S2125" s="114" t="n">
        <v>93.23999999999999</v>
      </c>
      <c r="T2125" t="n">
        <v>0</v>
      </c>
    </row>
    <row r="2126">
      <c r="A2126" t="inlineStr">
        <is>
          <t>ttJTrans</t>
        </is>
      </c>
      <c r="B2126" s="38" t="inlineStr">
        <is>
          <t>0-4008</t>
        </is>
      </c>
      <c r="C2126" t="inlineStr">
        <is>
          <t>OC</t>
        </is>
      </c>
      <c r="D2126" t="inlineStr">
        <is>
          <t>MA1011124</t>
        </is>
      </c>
      <c r="E2126" t="inlineStr">
        <is>
          <t>OC</t>
        </is>
      </c>
      <c r="F2126" t="inlineStr">
        <is>
          <t>MA1011124</t>
        </is>
      </c>
      <c r="G2126" s="42" t="n">
        <v>46122</v>
      </c>
      <c r="H2126" s="127" t="n">
        <v>46122</v>
      </c>
      <c r="I2126" t="inlineStr">
        <is>
          <t>1</t>
        </is>
      </c>
      <c r="J2126" s="38" t="inlineStr">
        <is>
          <t>0-4008</t>
        </is>
      </c>
      <c r="K2126" t="inlineStr">
        <is>
          <t>GOGGLES CHEMICAL CLEAR 12/BX</t>
        </is>
      </c>
      <c r="L2126" t="n">
        <v>10</v>
      </c>
      <c r="M2126" t="n">
        <v>27.53</v>
      </c>
      <c r="N2126" t="inlineStr">
        <is>
          <t>INVOICE:ADJ-COMMIT</t>
        </is>
      </c>
      <c r="O2126" t="inlineStr">
        <is>
          <t>12561</t>
        </is>
      </c>
      <c r="P2126" t="inlineStr">
        <is>
          <t>CROSS COUNTRY INFRASTRUCTURE SERVICES INC.</t>
        </is>
      </c>
      <c r="Q2126" s="114" t="n">
        <v>0</v>
      </c>
      <c r="R2126" s="114" t="n">
        <v>0</v>
      </c>
      <c r="S2126" s="114" t="n">
        <v>-27.53</v>
      </c>
      <c r="T2126" t="n">
        <v>0</v>
      </c>
    </row>
    <row r="2127">
      <c r="A2127" t="inlineStr">
        <is>
          <t>ttJTrans</t>
        </is>
      </c>
      <c r="B2127" s="38" t="inlineStr">
        <is>
          <t>0-4008</t>
        </is>
      </c>
      <c r="C2127" t="inlineStr">
        <is>
          <t>OC</t>
        </is>
      </c>
      <c r="D2127" t="inlineStr">
        <is>
          <t>MA1011185</t>
        </is>
      </c>
      <c r="E2127" t="inlineStr">
        <is>
          <t>OC</t>
        </is>
      </c>
      <c r="F2127" t="inlineStr">
        <is>
          <t>MA1011185</t>
        </is>
      </c>
      <c r="G2127" s="42" t="n">
        <v>46125</v>
      </c>
      <c r="H2127" s="127" t="n">
        <v>46127</v>
      </c>
      <c r="I2127" t="inlineStr">
        <is>
          <t>3</t>
        </is>
      </c>
      <c r="J2127" s="38" t="inlineStr">
        <is>
          <t>0-4008</t>
        </is>
      </c>
      <c r="K2127" t="inlineStr">
        <is>
          <t>Bag 48 Lath</t>
        </is>
      </c>
      <c r="L2127" t="n">
        <v>1</v>
      </c>
      <c r="M2127" t="n">
        <v>98.04000000000001</v>
      </c>
      <c r="N2127" t="inlineStr">
        <is>
          <t>PO:COMMIT</t>
        </is>
      </c>
      <c r="O2127" t="inlineStr">
        <is>
          <t>20746</t>
        </is>
      </c>
      <c r="P2127" t="inlineStr">
        <is>
          <t>ALLTERRA CENTRAL, INC</t>
        </is>
      </c>
      <c r="Q2127" s="114" t="n">
        <v>0</v>
      </c>
      <c r="R2127" s="114" t="n">
        <v>0</v>
      </c>
      <c r="S2127" s="114" t="n">
        <v>98.04000000000001</v>
      </c>
      <c r="T2127" t="n">
        <v>0</v>
      </c>
    </row>
    <row r="2128">
      <c r="A2128" t="inlineStr">
        <is>
          <t>ttJTrans</t>
        </is>
      </c>
      <c r="B2128" s="38" t="inlineStr">
        <is>
          <t>0-4008</t>
        </is>
      </c>
      <c r="C2128" t="inlineStr">
        <is>
          <t>OC</t>
        </is>
      </c>
      <c r="D2128" t="inlineStr">
        <is>
          <t>MA1011185</t>
        </is>
      </c>
      <c r="E2128" t="inlineStr">
        <is>
          <t>OC</t>
        </is>
      </c>
      <c r="F2128" t="inlineStr">
        <is>
          <t>MA1011185</t>
        </is>
      </c>
      <c r="G2128" s="42" t="n">
        <v>46125</v>
      </c>
      <c r="H2128" s="127" t="n">
        <v>46127</v>
      </c>
      <c r="I2128" t="inlineStr">
        <is>
          <t>2</t>
        </is>
      </c>
      <c r="J2128" s="38" t="inlineStr">
        <is>
          <t>0-4008</t>
        </is>
      </c>
      <c r="K2128" t="inlineStr">
        <is>
          <t>Tape Pocket 25 x 1 tenth inches</t>
        </is>
      </c>
      <c r="L2128" t="n">
        <v>1</v>
      </c>
      <c r="M2128" t="n">
        <v>16.32</v>
      </c>
      <c r="N2128" t="inlineStr">
        <is>
          <t>PO:COMMIT</t>
        </is>
      </c>
      <c r="O2128" t="inlineStr">
        <is>
          <t>20746</t>
        </is>
      </c>
      <c r="P2128" t="inlineStr">
        <is>
          <t>ALLTERRA CENTRAL, INC</t>
        </is>
      </c>
      <c r="Q2128" s="114" t="n">
        <v>0</v>
      </c>
      <c r="R2128" s="114" t="n">
        <v>0</v>
      </c>
      <c r="S2128" s="114" t="n">
        <v>16.32</v>
      </c>
      <c r="T2128" t="n">
        <v>0</v>
      </c>
    </row>
    <row r="2129">
      <c r="A2129" t="inlineStr">
        <is>
          <t>ttJTrans</t>
        </is>
      </c>
      <c r="B2129" s="38" t="inlineStr">
        <is>
          <t>0-4008</t>
        </is>
      </c>
      <c r="C2129" t="inlineStr">
        <is>
          <t>OC</t>
        </is>
      </c>
      <c r="D2129" t="inlineStr">
        <is>
          <t>MA1011185</t>
        </is>
      </c>
      <c r="E2129" t="inlineStr">
        <is>
          <t>OC</t>
        </is>
      </c>
      <c r="F2129" t="inlineStr">
        <is>
          <t>MA1011185</t>
        </is>
      </c>
      <c r="G2129" t="n">
        <v>46125</v>
      </c>
      <c r="H2129" s="127" t="n">
        <v>46127</v>
      </c>
      <c r="I2129" t="inlineStr">
        <is>
          <t>2</t>
        </is>
      </c>
      <c r="J2129" s="38" t="inlineStr">
        <is>
          <t>0-4008</t>
        </is>
      </c>
      <c r="K2129" t="inlineStr">
        <is>
          <t>Tape Pocket 25 x 1 tenth inches</t>
        </is>
      </c>
      <c r="L2129" t="n">
        <v>1</v>
      </c>
      <c r="M2129" t="n">
        <v>16.32</v>
      </c>
      <c r="N2129" t="inlineStr">
        <is>
          <t>INVOICE:ADJ-COMMIT</t>
        </is>
      </c>
      <c r="O2129" t="inlineStr">
        <is>
          <t>20746</t>
        </is>
      </c>
      <c r="P2129" t="inlineStr">
        <is>
          <t>ALLTERRA CENTRAL, INC</t>
        </is>
      </c>
      <c r="Q2129" s="114" t="n">
        <v>0</v>
      </c>
      <c r="R2129" s="114" t="n">
        <v>0</v>
      </c>
      <c r="S2129" s="114" t="n">
        <v>-16.32</v>
      </c>
      <c r="T2129" t="n">
        <v>0</v>
      </c>
    </row>
    <row r="2130">
      <c r="A2130" t="inlineStr">
        <is>
          <t>ttJTrans</t>
        </is>
      </c>
      <c r="B2130" s="38" t="inlineStr">
        <is>
          <t>0-4008</t>
        </is>
      </c>
      <c r="C2130" t="inlineStr">
        <is>
          <t>OC</t>
        </is>
      </c>
      <c r="D2130" t="inlineStr">
        <is>
          <t>MA1011185</t>
        </is>
      </c>
      <c r="E2130" t="inlineStr">
        <is>
          <t>OC</t>
        </is>
      </c>
      <c r="F2130" t="inlineStr">
        <is>
          <t>MA1011185</t>
        </is>
      </c>
      <c r="G2130" s="42" t="n">
        <v>46125</v>
      </c>
      <c r="H2130" s="127" t="n">
        <v>46127</v>
      </c>
      <c r="I2130" t="inlineStr">
        <is>
          <t>3</t>
        </is>
      </c>
      <c r="J2130" s="38" t="inlineStr">
        <is>
          <t>0-4008</t>
        </is>
      </c>
      <c r="K2130" t="inlineStr">
        <is>
          <t>Bag 48 Lath</t>
        </is>
      </c>
      <c r="L2130" t="n">
        <v>1</v>
      </c>
      <c r="M2130" t="n">
        <v>98.04000000000001</v>
      </c>
      <c r="N2130" t="inlineStr">
        <is>
          <t>INVOICE:ADJ-COMMIT</t>
        </is>
      </c>
      <c r="O2130" t="inlineStr">
        <is>
          <t>20746</t>
        </is>
      </c>
      <c r="P2130" t="inlineStr">
        <is>
          <t>ALLTERRA CENTRAL, INC</t>
        </is>
      </c>
      <c r="Q2130" s="114" t="n">
        <v>0</v>
      </c>
      <c r="R2130" s="114" t="n">
        <v>0</v>
      </c>
      <c r="S2130" s="114" t="n">
        <v>-98.04000000000001</v>
      </c>
      <c r="T2130" t="n">
        <v>0</v>
      </c>
    </row>
    <row r="2131">
      <c r="A2131" t="inlineStr">
        <is>
          <t>ttJTrans</t>
        </is>
      </c>
      <c r="B2131" s="38" t="inlineStr">
        <is>
          <t>0-4008</t>
        </is>
      </c>
      <c r="C2131" t="inlineStr">
        <is>
          <t>OC</t>
        </is>
      </c>
      <c r="D2131" t="inlineStr">
        <is>
          <t>MA1011185</t>
        </is>
      </c>
      <c r="E2131" t="inlineStr">
        <is>
          <t>OC</t>
        </is>
      </c>
      <c r="F2131" t="inlineStr">
        <is>
          <t>MA1011185</t>
        </is>
      </c>
      <c r="G2131" t="n">
        <v>46125</v>
      </c>
      <c r="H2131" s="127" t="n">
        <v>46127</v>
      </c>
      <c r="I2131" t="inlineStr">
        <is>
          <t>4</t>
        </is>
      </c>
      <c r="J2131" s="38" t="inlineStr">
        <is>
          <t>0-4008</t>
        </is>
      </c>
      <c r="K2131" t="inlineStr">
        <is>
          <t>Red paint</t>
        </is>
      </c>
      <c r="L2131" t="n">
        <v>1</v>
      </c>
      <c r="M2131" t="n">
        <v>60.15</v>
      </c>
      <c r="N2131" t="inlineStr">
        <is>
          <t>INVOICE:ADJ-COMMIT</t>
        </is>
      </c>
      <c r="O2131" t="inlineStr">
        <is>
          <t>20746</t>
        </is>
      </c>
      <c r="P2131" t="inlineStr">
        <is>
          <t>ALLTERRA CENTRAL, INC</t>
        </is>
      </c>
      <c r="Q2131" s="114" t="n">
        <v>0</v>
      </c>
      <c r="R2131" s="114" t="n">
        <v>0</v>
      </c>
      <c r="S2131" s="114" t="n">
        <v>-60.15</v>
      </c>
      <c r="T2131" t="n">
        <v>0</v>
      </c>
    </row>
    <row r="2132">
      <c r="A2132" t="inlineStr">
        <is>
          <t>ttJTrans</t>
        </is>
      </c>
      <c r="B2132" s="38" t="inlineStr">
        <is>
          <t>0-4008</t>
        </is>
      </c>
      <c r="C2132" t="inlineStr">
        <is>
          <t>OC</t>
        </is>
      </c>
      <c r="D2132" t="inlineStr">
        <is>
          <t>MA1011185</t>
        </is>
      </c>
      <c r="E2132" t="inlineStr">
        <is>
          <t>OC</t>
        </is>
      </c>
      <c r="F2132" t="inlineStr">
        <is>
          <t>MA1011185</t>
        </is>
      </c>
      <c r="G2132" t="n">
        <v>46125</v>
      </c>
      <c r="H2132" s="127" t="n">
        <v>46127</v>
      </c>
      <c r="I2132" t="inlineStr">
        <is>
          <t>5</t>
        </is>
      </c>
      <c r="J2132" s="38" t="inlineStr">
        <is>
          <t>0-4008</t>
        </is>
      </c>
      <c r="K2132" t="inlineStr">
        <is>
          <t>Pink paint</t>
        </is>
      </c>
      <c r="L2132" t="n">
        <v>1</v>
      </c>
      <c r="M2132" t="n">
        <v>60.15</v>
      </c>
      <c r="N2132" t="inlineStr">
        <is>
          <t>INVOICE:ADJ-COMMIT</t>
        </is>
      </c>
      <c r="O2132" t="inlineStr">
        <is>
          <t>20746</t>
        </is>
      </c>
      <c r="P2132" t="inlineStr">
        <is>
          <t>ALLTERRA CENTRAL, INC</t>
        </is>
      </c>
      <c r="Q2132" s="114" t="n">
        <v>0</v>
      </c>
      <c r="R2132" s="114" t="n">
        <v>0</v>
      </c>
      <c r="S2132" s="114" t="n">
        <v>-60.15</v>
      </c>
      <c r="T2132" t="n">
        <v>0</v>
      </c>
    </row>
    <row r="2133">
      <c r="A2133" t="inlineStr">
        <is>
          <t>ttJTrans</t>
        </is>
      </c>
      <c r="B2133" s="38" t="inlineStr">
        <is>
          <t>0-4008</t>
        </is>
      </c>
      <c r="C2133" t="inlineStr">
        <is>
          <t>OC</t>
        </is>
      </c>
      <c r="D2133" t="inlineStr">
        <is>
          <t>MA1011185</t>
        </is>
      </c>
      <c r="E2133" t="inlineStr">
        <is>
          <t>OC</t>
        </is>
      </c>
      <c r="F2133" t="inlineStr">
        <is>
          <t>MA1011185</t>
        </is>
      </c>
      <c r="G2133" t="n">
        <v>46125</v>
      </c>
      <c r="H2133" s="127" t="n">
        <v>46127</v>
      </c>
      <c r="I2133" t="inlineStr">
        <is>
          <t>1</t>
        </is>
      </c>
      <c r="J2133" s="38" t="inlineStr">
        <is>
          <t>0-4008</t>
        </is>
      </c>
      <c r="K2133" t="inlineStr">
        <is>
          <t>1/2" X 2, 48 Stakes</t>
        </is>
      </c>
      <c r="L2133" t="n">
        <v>48</v>
      </c>
      <c r="M2133" t="n">
        <v>2873.53</v>
      </c>
      <c r="N2133" t="inlineStr">
        <is>
          <t>INVOICE:ADJ-COMMIT</t>
        </is>
      </c>
      <c r="O2133" t="inlineStr">
        <is>
          <t>20746</t>
        </is>
      </c>
      <c r="P2133" t="inlineStr">
        <is>
          <t>ALLTERRA CENTRAL, INC</t>
        </is>
      </c>
      <c r="Q2133" s="114" t="n">
        <v>0</v>
      </c>
      <c r="R2133" s="114" t="n">
        <v>0</v>
      </c>
      <c r="S2133" s="114" t="n">
        <v>-2873.53</v>
      </c>
      <c r="T2133" t="n">
        <v>0</v>
      </c>
    </row>
    <row r="2134">
      <c r="A2134" t="inlineStr">
        <is>
          <t>ttJTrans</t>
        </is>
      </c>
      <c r="B2134" s="38" t="inlineStr">
        <is>
          <t>0-4008</t>
        </is>
      </c>
      <c r="C2134" t="inlineStr">
        <is>
          <t>OC</t>
        </is>
      </c>
      <c r="D2134" t="inlineStr">
        <is>
          <t>MA1011185</t>
        </is>
      </c>
      <c r="E2134" t="inlineStr">
        <is>
          <t>OC</t>
        </is>
      </c>
      <c r="F2134" t="inlineStr">
        <is>
          <t>MA1011185</t>
        </is>
      </c>
      <c r="G2134" t="n">
        <v>46125</v>
      </c>
      <c r="H2134" s="127" t="n">
        <v>46127</v>
      </c>
      <c r="I2134" t="inlineStr">
        <is>
          <t>1</t>
        </is>
      </c>
      <c r="J2134" s="38" t="inlineStr">
        <is>
          <t>0-4008</t>
        </is>
      </c>
      <c r="K2134" t="inlineStr">
        <is>
          <t>1/2" X 2, 48 Stakes</t>
        </is>
      </c>
      <c r="L2134" t="n">
        <v>48</v>
      </c>
      <c r="M2134" t="n">
        <v>2873.53</v>
      </c>
      <c r="N2134" t="inlineStr">
        <is>
          <t>PO:COMMIT</t>
        </is>
      </c>
      <c r="O2134" t="inlineStr">
        <is>
          <t>20746</t>
        </is>
      </c>
      <c r="P2134" t="inlineStr">
        <is>
          <t>ALLTERRA CENTRAL, INC</t>
        </is>
      </c>
      <c r="Q2134" s="114" t="n">
        <v>0</v>
      </c>
      <c r="R2134" s="114" t="n">
        <v>0</v>
      </c>
      <c r="S2134" s="114" t="n">
        <v>2873.53</v>
      </c>
      <c r="T2134" t="n">
        <v>0</v>
      </c>
    </row>
    <row r="2135">
      <c r="A2135" t="inlineStr">
        <is>
          <t>ttJTrans</t>
        </is>
      </c>
      <c r="B2135" s="38" t="inlineStr">
        <is>
          <t>0-4008</t>
        </is>
      </c>
      <c r="C2135" t="inlineStr">
        <is>
          <t>OC</t>
        </is>
      </c>
      <c r="D2135" t="inlineStr">
        <is>
          <t>MA1011185</t>
        </is>
      </c>
      <c r="E2135" t="inlineStr">
        <is>
          <t>OC</t>
        </is>
      </c>
      <c r="F2135" t="inlineStr">
        <is>
          <t>MA1011185</t>
        </is>
      </c>
      <c r="G2135" t="n">
        <v>46125</v>
      </c>
      <c r="H2135" s="127" t="n">
        <v>46127</v>
      </c>
      <c r="I2135" t="inlineStr">
        <is>
          <t>6</t>
        </is>
      </c>
      <c r="J2135" s="38" t="inlineStr">
        <is>
          <t>0-4008</t>
        </is>
      </c>
      <c r="K2135" t="inlineStr">
        <is>
          <t>Rebar stakes 5/8 X 24</t>
        </is>
      </c>
      <c r="L2135" t="n">
        <v>1</v>
      </c>
      <c r="M2135" t="n">
        <v>47.82</v>
      </c>
      <c r="N2135" t="inlineStr">
        <is>
          <t>INVOICE:ADJ-COMMIT</t>
        </is>
      </c>
      <c r="O2135" t="inlineStr">
        <is>
          <t>20746</t>
        </is>
      </c>
      <c r="P2135" t="inlineStr">
        <is>
          <t>ALLTERRA CENTRAL, INC</t>
        </is>
      </c>
      <c r="Q2135" s="114" t="n">
        <v>0</v>
      </c>
      <c r="R2135" s="114" t="n">
        <v>0</v>
      </c>
      <c r="S2135" s="114" t="n">
        <v>-47.82</v>
      </c>
      <c r="T2135" t="n">
        <v>0</v>
      </c>
    </row>
    <row r="2136">
      <c r="A2136" t="inlineStr">
        <is>
          <t>ttJTrans</t>
        </is>
      </c>
      <c r="B2136" s="38" t="inlineStr">
        <is>
          <t>0-4008</t>
        </is>
      </c>
      <c r="C2136" t="inlineStr">
        <is>
          <t>OC</t>
        </is>
      </c>
      <c r="D2136" t="inlineStr">
        <is>
          <t>MA1011185</t>
        </is>
      </c>
      <c r="E2136" t="inlineStr">
        <is>
          <t>OC</t>
        </is>
      </c>
      <c r="F2136" t="inlineStr">
        <is>
          <t>MA1011185</t>
        </is>
      </c>
      <c r="G2136" t="n">
        <v>46125</v>
      </c>
      <c r="H2136" s="127" t="n">
        <v>46127</v>
      </c>
      <c r="I2136" t="inlineStr">
        <is>
          <t>5</t>
        </is>
      </c>
      <c r="J2136" s="38" t="inlineStr">
        <is>
          <t>0-4008</t>
        </is>
      </c>
      <c r="K2136" t="inlineStr">
        <is>
          <t>Pink paint</t>
        </is>
      </c>
      <c r="L2136" t="n">
        <v>1</v>
      </c>
      <c r="M2136" t="n">
        <v>60.15</v>
      </c>
      <c r="N2136" t="inlineStr">
        <is>
          <t>PO:COMMIT</t>
        </is>
      </c>
      <c r="O2136" t="inlineStr">
        <is>
          <t>20746</t>
        </is>
      </c>
      <c r="P2136" t="inlineStr">
        <is>
          <t>ALLTERRA CENTRAL, INC</t>
        </is>
      </c>
      <c r="Q2136" s="114" t="n">
        <v>0</v>
      </c>
      <c r="R2136" s="114" t="n">
        <v>0</v>
      </c>
      <c r="S2136" s="114" t="n">
        <v>60.15</v>
      </c>
      <c r="T2136" t="n">
        <v>0</v>
      </c>
    </row>
    <row r="2137">
      <c r="A2137" t="inlineStr">
        <is>
          <t>ttJTrans</t>
        </is>
      </c>
      <c r="B2137" s="38" t="inlineStr">
        <is>
          <t>0-4008</t>
        </is>
      </c>
      <c r="C2137" t="inlineStr">
        <is>
          <t>OC</t>
        </is>
      </c>
      <c r="D2137" t="inlineStr">
        <is>
          <t>MA1011185</t>
        </is>
      </c>
      <c r="E2137" t="inlineStr">
        <is>
          <t>OC</t>
        </is>
      </c>
      <c r="F2137" t="inlineStr">
        <is>
          <t>MA1011185</t>
        </is>
      </c>
      <c r="G2137" t="n">
        <v>46125</v>
      </c>
      <c r="H2137" s="127" t="n">
        <v>46127</v>
      </c>
      <c r="I2137" t="inlineStr">
        <is>
          <t>6</t>
        </is>
      </c>
      <c r="J2137" s="38" t="inlineStr">
        <is>
          <t>0-4008</t>
        </is>
      </c>
      <c r="K2137" t="inlineStr">
        <is>
          <t>Rebar stakes 5/8 X 24</t>
        </is>
      </c>
      <c r="L2137" t="n">
        <v>1</v>
      </c>
      <c r="M2137" t="n">
        <v>47.82</v>
      </c>
      <c r="N2137" t="inlineStr">
        <is>
          <t>PO:COMMIT</t>
        </is>
      </c>
      <c r="O2137" t="inlineStr">
        <is>
          <t>20746</t>
        </is>
      </c>
      <c r="P2137" t="inlineStr">
        <is>
          <t>ALLTERRA CENTRAL, INC</t>
        </is>
      </c>
      <c r="Q2137" s="114" t="n">
        <v>0</v>
      </c>
      <c r="R2137" s="114" t="n">
        <v>0</v>
      </c>
      <c r="S2137" s="114" t="n">
        <v>47.82</v>
      </c>
      <c r="T2137" t="n">
        <v>0</v>
      </c>
    </row>
    <row r="2138">
      <c r="A2138" t="inlineStr">
        <is>
          <t>ttJTrans</t>
        </is>
      </c>
      <c r="B2138" s="38" t="inlineStr">
        <is>
          <t>0-4008</t>
        </is>
      </c>
      <c r="C2138" t="inlineStr">
        <is>
          <t>OC</t>
        </is>
      </c>
      <c r="D2138" t="inlineStr">
        <is>
          <t>MA1011185</t>
        </is>
      </c>
      <c r="E2138" t="inlineStr">
        <is>
          <t>OC</t>
        </is>
      </c>
      <c r="F2138" t="inlineStr">
        <is>
          <t>MA1011185</t>
        </is>
      </c>
      <c r="G2138" s="42" t="n">
        <v>46125</v>
      </c>
      <c r="H2138" s="127" t="n">
        <v>46127</v>
      </c>
      <c r="I2138" t="inlineStr">
        <is>
          <t>4</t>
        </is>
      </c>
      <c r="J2138" s="38" t="inlineStr">
        <is>
          <t>0-4008</t>
        </is>
      </c>
      <c r="K2138" t="inlineStr">
        <is>
          <t>Red paint</t>
        </is>
      </c>
      <c r="L2138" t="n">
        <v>1</v>
      </c>
      <c r="M2138" t="n">
        <v>60.15</v>
      </c>
      <c r="N2138" t="inlineStr">
        <is>
          <t>PO:COMMIT</t>
        </is>
      </c>
      <c r="O2138" t="inlineStr">
        <is>
          <t>20746</t>
        </is>
      </c>
      <c r="P2138" t="inlineStr">
        <is>
          <t>ALLTERRA CENTRAL, INC</t>
        </is>
      </c>
      <c r="Q2138" s="114" t="n">
        <v>0</v>
      </c>
      <c r="R2138" s="114" t="n">
        <v>0</v>
      </c>
      <c r="S2138" s="114" t="n">
        <v>60.15</v>
      </c>
      <c r="T2138" t="n">
        <v>0</v>
      </c>
    </row>
    <row r="2139">
      <c r="A2139" t="inlineStr">
        <is>
          <t>ttJTrans</t>
        </is>
      </c>
      <c r="B2139" s="38" t="inlineStr">
        <is>
          <t>0-4008</t>
        </is>
      </c>
      <c r="C2139" t="inlineStr">
        <is>
          <t>OC</t>
        </is>
      </c>
      <c r="D2139" t="inlineStr">
        <is>
          <t>MA1011185</t>
        </is>
      </c>
      <c r="E2139" t="inlineStr">
        <is>
          <t>OC</t>
        </is>
      </c>
      <c r="F2139" t="inlineStr">
        <is>
          <t>MA1011185</t>
        </is>
      </c>
      <c r="G2139" s="42" t="n">
        <v>46125</v>
      </c>
      <c r="H2139" s="127" t="n">
        <v>46140</v>
      </c>
      <c r="I2139" t="inlineStr">
        <is>
          <t>5</t>
        </is>
      </c>
      <c r="J2139" s="38" t="inlineStr">
        <is>
          <t>0-4008</t>
        </is>
      </c>
      <c r="K2139" t="inlineStr">
        <is>
          <t>Pink paint</t>
        </is>
      </c>
      <c r="L2139" t="n">
        <v>1</v>
      </c>
      <c r="M2139" t="n">
        <v>60.15</v>
      </c>
      <c r="N2139" t="inlineStr">
        <is>
          <t>INVOICE</t>
        </is>
      </c>
      <c r="O2139" t="inlineStr">
        <is>
          <t>20746</t>
        </is>
      </c>
      <c r="P2139" t="inlineStr">
        <is>
          <t>ALLTERRA CENTRAL, INC</t>
        </is>
      </c>
      <c r="Q2139" s="114" t="n">
        <v>0</v>
      </c>
      <c r="R2139" s="114" t="n">
        <v>0</v>
      </c>
      <c r="S2139" s="114" t="n">
        <v>0</v>
      </c>
      <c r="T2139" t="n">
        <v>0</v>
      </c>
    </row>
    <row r="2140">
      <c r="A2140" t="inlineStr">
        <is>
          <t>ttJTrans</t>
        </is>
      </c>
      <c r="B2140" s="38" t="inlineStr">
        <is>
          <t>0-4008</t>
        </is>
      </c>
      <c r="C2140" t="inlineStr">
        <is>
          <t>OC</t>
        </is>
      </c>
      <c r="D2140" t="inlineStr">
        <is>
          <t>MA1011185</t>
        </is>
      </c>
      <c r="E2140" t="inlineStr">
        <is>
          <t>OC</t>
        </is>
      </c>
      <c r="F2140" t="inlineStr">
        <is>
          <t>MA1011185</t>
        </is>
      </c>
      <c r="G2140" s="42" t="n">
        <v>46125</v>
      </c>
      <c r="H2140" s="127" t="n">
        <v>46140</v>
      </c>
      <c r="I2140" t="inlineStr">
        <is>
          <t>4</t>
        </is>
      </c>
      <c r="J2140" s="38" t="inlineStr">
        <is>
          <t>0-4008</t>
        </is>
      </c>
      <c r="K2140" t="inlineStr">
        <is>
          <t>Red paint</t>
        </is>
      </c>
      <c r="L2140" t="n">
        <v>1</v>
      </c>
      <c r="M2140" t="n">
        <v>60.15</v>
      </c>
      <c r="N2140" t="inlineStr">
        <is>
          <t>INVOICE</t>
        </is>
      </c>
      <c r="O2140" t="inlineStr">
        <is>
          <t>20746</t>
        </is>
      </c>
      <c r="P2140" t="inlineStr">
        <is>
          <t>ALLTERRA CENTRAL, INC</t>
        </is>
      </c>
      <c r="Q2140" s="114" t="n">
        <v>0</v>
      </c>
      <c r="R2140" s="114" t="n">
        <v>0</v>
      </c>
      <c r="S2140" s="114" t="n">
        <v>0</v>
      </c>
      <c r="T2140" t="n">
        <v>0</v>
      </c>
    </row>
    <row r="2141">
      <c r="A2141" t="inlineStr">
        <is>
          <t>ttJTrans</t>
        </is>
      </c>
      <c r="B2141" s="38" t="inlineStr">
        <is>
          <t>0-4008</t>
        </is>
      </c>
      <c r="C2141" t="inlineStr">
        <is>
          <t>OC</t>
        </is>
      </c>
      <c r="D2141" t="inlineStr">
        <is>
          <t>MA1011185</t>
        </is>
      </c>
      <c r="E2141" t="inlineStr">
        <is>
          <t>OC</t>
        </is>
      </c>
      <c r="F2141" t="inlineStr">
        <is>
          <t>MA1011185</t>
        </is>
      </c>
      <c r="G2141" t="n">
        <v>46125</v>
      </c>
      <c r="H2141" s="127" t="n">
        <v>46140</v>
      </c>
      <c r="I2141" t="inlineStr">
        <is>
          <t>3</t>
        </is>
      </c>
      <c r="J2141" s="38" t="inlineStr">
        <is>
          <t>0-4008</t>
        </is>
      </c>
      <c r="K2141" t="inlineStr">
        <is>
          <t>Bag 48 Lath</t>
        </is>
      </c>
      <c r="L2141" t="n">
        <v>1</v>
      </c>
      <c r="M2141" t="n">
        <v>98.04000000000001</v>
      </c>
      <c r="N2141" t="inlineStr">
        <is>
          <t>INVOICE</t>
        </is>
      </c>
      <c r="O2141" t="inlineStr">
        <is>
          <t>20746</t>
        </is>
      </c>
      <c r="P2141" t="inlineStr">
        <is>
          <t>ALLTERRA CENTRAL, INC</t>
        </is>
      </c>
      <c r="Q2141" s="114" t="n">
        <v>0</v>
      </c>
      <c r="R2141" s="114" t="n">
        <v>0</v>
      </c>
      <c r="S2141" s="114" t="n">
        <v>0</v>
      </c>
      <c r="T2141" t="n">
        <v>0</v>
      </c>
    </row>
    <row r="2142">
      <c r="A2142" t="inlineStr">
        <is>
          <t>ttJTrans</t>
        </is>
      </c>
      <c r="B2142" s="38" t="inlineStr">
        <is>
          <t>0-4008</t>
        </is>
      </c>
      <c r="C2142" t="inlineStr">
        <is>
          <t>OC</t>
        </is>
      </c>
      <c r="D2142" t="inlineStr">
        <is>
          <t>MA1011185</t>
        </is>
      </c>
      <c r="E2142" t="inlineStr">
        <is>
          <t>OC</t>
        </is>
      </c>
      <c r="F2142" t="inlineStr">
        <is>
          <t>MA1011185</t>
        </is>
      </c>
      <c r="G2142" t="n">
        <v>46125</v>
      </c>
      <c r="H2142" s="127" t="n">
        <v>46140</v>
      </c>
      <c r="I2142" t="inlineStr">
        <is>
          <t>2</t>
        </is>
      </c>
      <c r="J2142" s="38" t="inlineStr">
        <is>
          <t>0-4008</t>
        </is>
      </c>
      <c r="K2142" t="inlineStr">
        <is>
          <t>Tape Pocket 25 x 1 tenth inches</t>
        </is>
      </c>
      <c r="L2142" t="n">
        <v>1</v>
      </c>
      <c r="M2142" t="n">
        <v>16.32</v>
      </c>
      <c r="N2142" t="inlineStr">
        <is>
          <t>INVOICE</t>
        </is>
      </c>
      <c r="O2142" t="inlineStr">
        <is>
          <t>20746</t>
        </is>
      </c>
      <c r="P2142" t="inlineStr">
        <is>
          <t>ALLTERRA CENTRAL, INC</t>
        </is>
      </c>
      <c r="Q2142" s="114" t="n">
        <v>0</v>
      </c>
      <c r="R2142" s="114" t="n">
        <v>0</v>
      </c>
      <c r="S2142" s="114" t="n">
        <v>0</v>
      </c>
      <c r="T2142" t="n">
        <v>0</v>
      </c>
    </row>
    <row r="2143">
      <c r="A2143" t="inlineStr">
        <is>
          <t>ttJTrans</t>
        </is>
      </c>
      <c r="B2143" s="38" t="inlineStr">
        <is>
          <t>0-4008</t>
        </is>
      </c>
      <c r="C2143" t="inlineStr">
        <is>
          <t>OC</t>
        </is>
      </c>
      <c r="D2143" t="inlineStr">
        <is>
          <t>MA1011185</t>
        </is>
      </c>
      <c r="E2143" t="inlineStr">
        <is>
          <t>OC</t>
        </is>
      </c>
      <c r="F2143" t="inlineStr">
        <is>
          <t>MA1011185</t>
        </is>
      </c>
      <c r="G2143" t="n">
        <v>46125</v>
      </c>
      <c r="H2143" s="127" t="n">
        <v>46140</v>
      </c>
      <c r="I2143" t="inlineStr">
        <is>
          <t>6</t>
        </is>
      </c>
      <c r="J2143" s="38" t="inlineStr">
        <is>
          <t>0-4008</t>
        </is>
      </c>
      <c r="K2143" t="inlineStr">
        <is>
          <t>Rebar stakes 5/8 X 24</t>
        </is>
      </c>
      <c r="L2143" t="n">
        <v>1</v>
      </c>
      <c r="M2143" t="n">
        <v>47.82</v>
      </c>
      <c r="N2143" t="inlineStr">
        <is>
          <t>INVOICE</t>
        </is>
      </c>
      <c r="O2143" t="inlineStr">
        <is>
          <t>20746</t>
        </is>
      </c>
      <c r="P2143" t="inlineStr">
        <is>
          <t>ALLTERRA CENTRAL, INC</t>
        </is>
      </c>
      <c r="Q2143" s="114" t="n">
        <v>0</v>
      </c>
      <c r="R2143" s="114" t="n">
        <v>0</v>
      </c>
      <c r="S2143" s="114" t="n">
        <v>0</v>
      </c>
      <c r="T2143" t="n">
        <v>0</v>
      </c>
    </row>
    <row r="2144">
      <c r="A2144" t="inlineStr">
        <is>
          <t>ttJTrans</t>
        </is>
      </c>
      <c r="B2144" s="38" t="inlineStr">
        <is>
          <t>0-4008</t>
        </is>
      </c>
      <c r="C2144" t="inlineStr">
        <is>
          <t>OC</t>
        </is>
      </c>
      <c r="D2144" t="inlineStr">
        <is>
          <t>MA1011185</t>
        </is>
      </c>
      <c r="E2144" t="inlineStr">
        <is>
          <t>OC</t>
        </is>
      </c>
      <c r="F2144" t="inlineStr">
        <is>
          <t>MA1011185</t>
        </is>
      </c>
      <c r="G2144" t="n">
        <v>46125</v>
      </c>
      <c r="H2144" s="127" t="n">
        <v>46140</v>
      </c>
      <c r="I2144" t="inlineStr">
        <is>
          <t>1</t>
        </is>
      </c>
      <c r="J2144" s="38" t="inlineStr">
        <is>
          <t>0-4008</t>
        </is>
      </c>
      <c r="K2144" t="inlineStr">
        <is>
          <t>1/2" X 2, 48 Stakes</t>
        </is>
      </c>
      <c r="L2144" t="n">
        <v>48</v>
      </c>
      <c r="M2144" t="n">
        <v>2873.53</v>
      </c>
      <c r="N2144" t="inlineStr">
        <is>
          <t>INVOICE</t>
        </is>
      </c>
      <c r="O2144" t="inlineStr">
        <is>
          <t>20746</t>
        </is>
      </c>
      <c r="P2144" t="inlineStr">
        <is>
          <t>ALLTERRA CENTRAL, INC</t>
        </is>
      </c>
      <c r="Q2144" s="114" t="n">
        <v>0</v>
      </c>
      <c r="R2144" s="114" t="n">
        <v>0</v>
      </c>
      <c r="S2144" s="114" t="n">
        <v>0</v>
      </c>
      <c r="T2144" t="n">
        <v>0</v>
      </c>
    </row>
    <row r="2145">
      <c r="A2145" t="inlineStr">
        <is>
          <t>ttJTrans</t>
        </is>
      </c>
      <c r="B2145" s="38" t="inlineStr">
        <is>
          <t>0-4008</t>
        </is>
      </c>
      <c r="C2145" t="inlineStr">
        <is>
          <t>OC</t>
        </is>
      </c>
      <c r="D2145" t="inlineStr">
        <is>
          <t>MA1011202</t>
        </is>
      </c>
      <c r="E2145" t="inlineStr">
        <is>
          <t>OC</t>
        </is>
      </c>
      <c r="F2145" t="inlineStr">
        <is>
          <t>MA1011202</t>
        </is>
      </c>
      <c r="G2145" t="n">
        <v>46126</v>
      </c>
      <c r="H2145" s="127" t="n">
        <v>46141</v>
      </c>
      <c r="I2145" t="inlineStr">
        <is>
          <t>3</t>
        </is>
      </c>
      <c r="J2145" s="38" t="inlineStr">
        <is>
          <t>0-4008</t>
        </is>
      </c>
      <c r="K2145" t="inlineStr">
        <is>
          <t>Freight</t>
        </is>
      </c>
      <c r="L2145" t="n">
        <v>1</v>
      </c>
      <c r="M2145" t="n">
        <v>133.2</v>
      </c>
      <c r="N2145" t="inlineStr">
        <is>
          <t>INVOICE</t>
        </is>
      </c>
      <c r="O2145" t="inlineStr">
        <is>
          <t>12561</t>
        </is>
      </c>
      <c r="P2145" t="inlineStr">
        <is>
          <t>CROSS COUNTRY INFRASTRUCTURE SERVICES INC.</t>
        </is>
      </c>
      <c r="Q2145" s="114" t="n">
        <v>0</v>
      </c>
      <c r="R2145" s="114" t="n">
        <v>0</v>
      </c>
      <c r="S2145" s="114" t="n">
        <v>0</v>
      </c>
      <c r="T2145" t="n">
        <v>0</v>
      </c>
    </row>
    <row r="2146">
      <c r="A2146" t="inlineStr">
        <is>
          <t>ttJTrans</t>
        </is>
      </c>
      <c r="B2146" s="38" t="inlineStr">
        <is>
          <t>0-4008</t>
        </is>
      </c>
      <c r="C2146" t="inlineStr">
        <is>
          <t>OC</t>
        </is>
      </c>
      <c r="D2146" t="inlineStr">
        <is>
          <t>MA1011202</t>
        </is>
      </c>
      <c r="E2146" t="inlineStr">
        <is>
          <t>OC</t>
        </is>
      </c>
      <c r="F2146" t="inlineStr">
        <is>
          <t>MA1011202</t>
        </is>
      </c>
      <c r="G2146" t="n">
        <v>46126</v>
      </c>
      <c r="H2146" s="127" t="n">
        <v>46141</v>
      </c>
      <c r="I2146" t="inlineStr">
        <is>
          <t>2</t>
        </is>
      </c>
      <c r="J2146" s="38" t="inlineStr">
        <is>
          <t>0-4008</t>
        </is>
      </c>
      <c r="K2146" t="inlineStr">
        <is>
          <t>Steel drums</t>
        </is>
      </c>
      <c r="L2146" t="n">
        <v>4</v>
      </c>
      <c r="M2146" t="n">
        <v>472.82</v>
      </c>
      <c r="N2146" t="inlineStr">
        <is>
          <t>INVOICE</t>
        </is>
      </c>
      <c r="O2146" t="inlineStr">
        <is>
          <t>12561</t>
        </is>
      </c>
      <c r="P2146" t="inlineStr">
        <is>
          <t>CROSS COUNTRY INFRASTRUCTURE SERVICES INC.</t>
        </is>
      </c>
      <c r="Q2146" s="114" t="n">
        <v>0</v>
      </c>
      <c r="R2146" s="114" t="n">
        <v>0</v>
      </c>
      <c r="S2146" s="114" t="n">
        <v>0</v>
      </c>
      <c r="T2146" t="n">
        <v>0</v>
      </c>
    </row>
    <row r="2147">
      <c r="A2147" t="inlineStr">
        <is>
          <t>ttJTrans</t>
        </is>
      </c>
      <c r="B2147" s="38" t="inlineStr">
        <is>
          <t>0-4008</t>
        </is>
      </c>
      <c r="C2147" t="inlineStr">
        <is>
          <t>OC</t>
        </is>
      </c>
      <c r="D2147" t="inlineStr">
        <is>
          <t>MA1011202</t>
        </is>
      </c>
      <c r="E2147" t="inlineStr">
        <is>
          <t>OC</t>
        </is>
      </c>
      <c r="F2147" t="inlineStr">
        <is>
          <t>MA1011202</t>
        </is>
      </c>
      <c r="G2147" t="n">
        <v>46126</v>
      </c>
      <c r="H2147" s="127" t="n">
        <v>46141</v>
      </c>
      <c r="I2147" t="inlineStr">
        <is>
          <t>1</t>
        </is>
      </c>
      <c r="J2147" s="38" t="inlineStr">
        <is>
          <t>0-4008</t>
        </is>
      </c>
      <c r="K2147" t="inlineStr">
        <is>
          <t>Absorbent pads</t>
        </is>
      </c>
      <c r="L2147" t="n">
        <v>2</v>
      </c>
      <c r="M2147" t="n">
        <v>45.89</v>
      </c>
      <c r="N2147" t="inlineStr">
        <is>
          <t>INVOICE</t>
        </is>
      </c>
      <c r="O2147" t="inlineStr">
        <is>
          <t>12561</t>
        </is>
      </c>
      <c r="P2147" t="inlineStr">
        <is>
          <t>CROSS COUNTRY INFRASTRUCTURE SERVICES INC.</t>
        </is>
      </c>
      <c r="Q2147" s="114" t="n">
        <v>0</v>
      </c>
      <c r="R2147" s="114" t="n">
        <v>0</v>
      </c>
      <c r="S2147" s="114" t="n">
        <v>0</v>
      </c>
      <c r="T2147" t="n">
        <v>0</v>
      </c>
    </row>
    <row r="2148">
      <c r="A2148" t="inlineStr">
        <is>
          <t>ttJTrans</t>
        </is>
      </c>
      <c r="B2148" s="38" t="inlineStr">
        <is>
          <t>0-4008</t>
        </is>
      </c>
      <c r="C2148" t="inlineStr">
        <is>
          <t>OC</t>
        </is>
      </c>
      <c r="D2148" t="inlineStr">
        <is>
          <t>MA1011202</t>
        </is>
      </c>
      <c r="E2148" t="inlineStr">
        <is>
          <t>OC</t>
        </is>
      </c>
      <c r="F2148" t="inlineStr">
        <is>
          <t>MA1011202</t>
        </is>
      </c>
      <c r="G2148" t="n">
        <v>46126</v>
      </c>
      <c r="H2148" s="127" t="n">
        <v>46127</v>
      </c>
      <c r="I2148" t="inlineStr">
        <is>
          <t>2</t>
        </is>
      </c>
      <c r="J2148" s="38" t="inlineStr">
        <is>
          <t>0-4008</t>
        </is>
      </c>
      <c r="K2148" t="inlineStr">
        <is>
          <t>Steel drums</t>
        </is>
      </c>
      <c r="L2148" t="n">
        <v>4</v>
      </c>
      <c r="M2148" t="n">
        <v>472.82</v>
      </c>
      <c r="N2148" t="inlineStr">
        <is>
          <t>INVOICE:ADJ-COMMIT</t>
        </is>
      </c>
      <c r="O2148" t="inlineStr">
        <is>
          <t>12561</t>
        </is>
      </c>
      <c r="P2148" t="inlineStr">
        <is>
          <t>CROSS COUNTRY INFRASTRUCTURE SERVICES INC.</t>
        </is>
      </c>
      <c r="Q2148" s="114" t="n">
        <v>0</v>
      </c>
      <c r="R2148" s="114" t="n">
        <v>0</v>
      </c>
      <c r="S2148" s="114" t="n">
        <v>-472.82</v>
      </c>
      <c r="T2148" t="n">
        <v>0</v>
      </c>
    </row>
    <row r="2149">
      <c r="A2149" t="inlineStr">
        <is>
          <t>ttJTrans</t>
        </is>
      </c>
      <c r="B2149" s="38" t="inlineStr">
        <is>
          <t>0-4008</t>
        </is>
      </c>
      <c r="C2149" t="inlineStr">
        <is>
          <t>OC</t>
        </is>
      </c>
      <c r="D2149" t="inlineStr">
        <is>
          <t>MA1011202</t>
        </is>
      </c>
      <c r="E2149" t="inlineStr">
        <is>
          <t>OC</t>
        </is>
      </c>
      <c r="F2149" t="inlineStr">
        <is>
          <t>MA1011202</t>
        </is>
      </c>
      <c r="G2149" t="n">
        <v>46126</v>
      </c>
      <c r="H2149" s="127" t="n">
        <v>46127</v>
      </c>
      <c r="I2149" t="inlineStr">
        <is>
          <t>3</t>
        </is>
      </c>
      <c r="J2149" s="38" t="inlineStr">
        <is>
          <t>0-4008</t>
        </is>
      </c>
      <c r="K2149" t="inlineStr">
        <is>
          <t>Freight</t>
        </is>
      </c>
      <c r="L2149" t="n">
        <v>1</v>
      </c>
      <c r="M2149" t="n">
        <v>133.2</v>
      </c>
      <c r="N2149" t="inlineStr">
        <is>
          <t>INVOICE:ADJ-COMMIT</t>
        </is>
      </c>
      <c r="O2149" t="inlineStr">
        <is>
          <t>12561</t>
        </is>
      </c>
      <c r="P2149" t="inlineStr">
        <is>
          <t>CROSS COUNTRY INFRASTRUCTURE SERVICES INC.</t>
        </is>
      </c>
      <c r="Q2149" s="114" t="n">
        <v>0</v>
      </c>
      <c r="R2149" s="114" t="n">
        <v>0</v>
      </c>
      <c r="S2149" s="114" t="n">
        <v>-133.2</v>
      </c>
      <c r="T2149" t="n">
        <v>0</v>
      </c>
    </row>
    <row r="2150">
      <c r="A2150" t="inlineStr">
        <is>
          <t>ttJTrans</t>
        </is>
      </c>
      <c r="B2150" s="38" t="inlineStr">
        <is>
          <t>0-4008</t>
        </is>
      </c>
      <c r="C2150" t="inlineStr">
        <is>
          <t>OC</t>
        </is>
      </c>
      <c r="D2150" t="inlineStr">
        <is>
          <t>MA1011202</t>
        </is>
      </c>
      <c r="E2150" t="inlineStr">
        <is>
          <t>OC</t>
        </is>
      </c>
      <c r="F2150" t="inlineStr">
        <is>
          <t>MA1011202</t>
        </is>
      </c>
      <c r="G2150" t="n">
        <v>46126</v>
      </c>
      <c r="H2150" s="127" t="n">
        <v>46127</v>
      </c>
      <c r="I2150" t="inlineStr">
        <is>
          <t>1</t>
        </is>
      </c>
      <c r="J2150" s="38" t="inlineStr">
        <is>
          <t>0-4008</t>
        </is>
      </c>
      <c r="K2150" t="inlineStr">
        <is>
          <t>Absorbent pads</t>
        </is>
      </c>
      <c r="L2150" t="n">
        <v>2</v>
      </c>
      <c r="M2150" t="n">
        <v>45.89</v>
      </c>
      <c r="N2150" t="inlineStr">
        <is>
          <t>PO:COMMIT</t>
        </is>
      </c>
      <c r="O2150" t="inlineStr">
        <is>
          <t>12561</t>
        </is>
      </c>
      <c r="P2150" t="inlineStr">
        <is>
          <t>CROSS COUNTRY INFRASTRUCTURE SERVICES INC.</t>
        </is>
      </c>
      <c r="Q2150" s="114" t="n">
        <v>0</v>
      </c>
      <c r="R2150" s="114" t="n">
        <v>0</v>
      </c>
      <c r="S2150" s="114" t="n">
        <v>45.89</v>
      </c>
      <c r="T2150" t="n">
        <v>0</v>
      </c>
    </row>
    <row r="2151">
      <c r="A2151" t="inlineStr">
        <is>
          <t>ttJTrans</t>
        </is>
      </c>
      <c r="B2151" s="38" t="inlineStr">
        <is>
          <t>0-4008</t>
        </is>
      </c>
      <c r="C2151" t="inlineStr">
        <is>
          <t>OC</t>
        </is>
      </c>
      <c r="D2151" t="inlineStr">
        <is>
          <t>MA1011202</t>
        </is>
      </c>
      <c r="E2151" t="inlineStr">
        <is>
          <t>OC</t>
        </is>
      </c>
      <c r="F2151" t="inlineStr">
        <is>
          <t>MA1011202</t>
        </is>
      </c>
      <c r="G2151" t="n">
        <v>46126</v>
      </c>
      <c r="H2151" s="127" t="n">
        <v>46127</v>
      </c>
      <c r="I2151" t="inlineStr">
        <is>
          <t>2</t>
        </is>
      </c>
      <c r="J2151" s="38" t="inlineStr">
        <is>
          <t>0-4008</t>
        </is>
      </c>
      <c r="K2151" t="inlineStr">
        <is>
          <t>Steel drums</t>
        </is>
      </c>
      <c r="L2151" t="n">
        <v>4</v>
      </c>
      <c r="M2151" t="n">
        <v>472.82</v>
      </c>
      <c r="N2151" t="inlineStr">
        <is>
          <t>PO:COMMIT</t>
        </is>
      </c>
      <c r="O2151" t="inlineStr">
        <is>
          <t>12561</t>
        </is>
      </c>
      <c r="P2151" t="inlineStr">
        <is>
          <t>CROSS COUNTRY INFRASTRUCTURE SERVICES INC.</t>
        </is>
      </c>
      <c r="Q2151" s="114" t="n">
        <v>0</v>
      </c>
      <c r="R2151" s="114" t="n">
        <v>0</v>
      </c>
      <c r="S2151" s="114" t="n">
        <v>472.82</v>
      </c>
      <c r="T2151" t="n">
        <v>0</v>
      </c>
    </row>
    <row r="2152">
      <c r="A2152" t="inlineStr">
        <is>
          <t>ttJTrans</t>
        </is>
      </c>
      <c r="B2152" s="38" t="inlineStr">
        <is>
          <t>0-4008</t>
        </is>
      </c>
      <c r="C2152" t="inlineStr">
        <is>
          <t>OC</t>
        </is>
      </c>
      <c r="D2152" t="inlineStr">
        <is>
          <t>MA1011202</t>
        </is>
      </c>
      <c r="E2152" t="inlineStr">
        <is>
          <t>OC</t>
        </is>
      </c>
      <c r="F2152" t="inlineStr">
        <is>
          <t>MA1011202</t>
        </is>
      </c>
      <c r="G2152" t="n">
        <v>46126</v>
      </c>
      <c r="H2152" s="127" t="n">
        <v>46127</v>
      </c>
      <c r="I2152" t="inlineStr">
        <is>
          <t>3</t>
        </is>
      </c>
      <c r="J2152" s="38" t="inlineStr">
        <is>
          <t>0-4008</t>
        </is>
      </c>
      <c r="K2152" t="inlineStr">
        <is>
          <t>Freight</t>
        </is>
      </c>
      <c r="L2152" t="n">
        <v>1</v>
      </c>
      <c r="M2152" t="n">
        <v>133.2</v>
      </c>
      <c r="N2152" t="inlineStr">
        <is>
          <t>PO:COMMIT</t>
        </is>
      </c>
      <c r="O2152" t="inlineStr">
        <is>
          <t>12561</t>
        </is>
      </c>
      <c r="P2152" t="inlineStr">
        <is>
          <t>CROSS COUNTRY INFRASTRUCTURE SERVICES INC.</t>
        </is>
      </c>
      <c r="Q2152" s="114" t="n">
        <v>0</v>
      </c>
      <c r="R2152" s="114" t="n">
        <v>0</v>
      </c>
      <c r="S2152" s="114" t="n">
        <v>133.2</v>
      </c>
      <c r="T2152" t="n">
        <v>0</v>
      </c>
    </row>
    <row r="2153">
      <c r="A2153" t="inlineStr">
        <is>
          <t>ttJTrans</t>
        </is>
      </c>
      <c r="B2153" s="38" t="inlineStr">
        <is>
          <t>0-4008</t>
        </is>
      </c>
      <c r="C2153" t="inlineStr">
        <is>
          <t>OC</t>
        </is>
      </c>
      <c r="D2153" t="inlineStr">
        <is>
          <t>MA1011202</t>
        </is>
      </c>
      <c r="E2153" t="inlineStr">
        <is>
          <t>OC</t>
        </is>
      </c>
      <c r="F2153" t="inlineStr">
        <is>
          <t>MA1011202</t>
        </is>
      </c>
      <c r="G2153" t="n">
        <v>46126</v>
      </c>
      <c r="H2153" s="127" t="n">
        <v>46127</v>
      </c>
      <c r="I2153" t="inlineStr">
        <is>
          <t>1</t>
        </is>
      </c>
      <c r="J2153" s="38" t="inlineStr">
        <is>
          <t>0-4008</t>
        </is>
      </c>
      <c r="K2153" t="inlineStr">
        <is>
          <t>Absorbent pads</t>
        </is>
      </c>
      <c r="L2153" t="n">
        <v>2</v>
      </c>
      <c r="M2153" t="n">
        <v>45.89</v>
      </c>
      <c r="N2153" t="inlineStr">
        <is>
          <t>INVOICE:ADJ-COMMIT</t>
        </is>
      </c>
      <c r="O2153" t="inlineStr">
        <is>
          <t>12561</t>
        </is>
      </c>
      <c r="P2153" t="inlineStr">
        <is>
          <t>CROSS COUNTRY INFRASTRUCTURE SERVICES INC.</t>
        </is>
      </c>
      <c r="Q2153" s="114" t="n">
        <v>0</v>
      </c>
      <c r="R2153" s="114" t="n">
        <v>0</v>
      </c>
      <c r="S2153" s="114" t="n">
        <v>-45.89</v>
      </c>
      <c r="T2153" t="n">
        <v>0</v>
      </c>
    </row>
    <row r="2154">
      <c r="A2154" t="inlineStr">
        <is>
          <t>ttJTrans</t>
        </is>
      </c>
      <c r="B2154" s="38" t="inlineStr">
        <is>
          <t>0-4008</t>
        </is>
      </c>
      <c r="C2154" t="inlineStr">
        <is>
          <t>OC</t>
        </is>
      </c>
      <c r="D2154" t="inlineStr">
        <is>
          <t>MA1011230</t>
        </is>
      </c>
      <c r="E2154" t="inlineStr">
        <is>
          <t>OC</t>
        </is>
      </c>
      <c r="F2154" t="inlineStr">
        <is>
          <t>MA1011230</t>
        </is>
      </c>
      <c r="G2154" t="n">
        <v>46127</v>
      </c>
      <c r="H2154" s="127" t="n">
        <v>46127</v>
      </c>
      <c r="I2154" t="inlineStr">
        <is>
          <t>1</t>
        </is>
      </c>
      <c r="J2154" s="38" t="inlineStr">
        <is>
          <t>0-4008</t>
        </is>
      </c>
      <c r="K2154" t="inlineStr">
        <is>
          <t>Replace 12 Fire extinguishers and inspection</t>
        </is>
      </c>
      <c r="L2154" t="n">
        <v>1</v>
      </c>
      <c r="M2154" t="n">
        <v>1219.89</v>
      </c>
      <c r="N2154" t="inlineStr">
        <is>
          <t>PO:COMMIT</t>
        </is>
      </c>
      <c r="O2154" t="inlineStr">
        <is>
          <t>21395</t>
        </is>
      </c>
      <c r="P2154" t="inlineStr">
        <is>
          <t>ALLIED FIRE PROTECTION, LLC</t>
        </is>
      </c>
      <c r="Q2154" s="114" t="n">
        <v>0</v>
      </c>
      <c r="R2154" s="114" t="n">
        <v>0</v>
      </c>
      <c r="S2154" s="114" t="n">
        <v>1219.89</v>
      </c>
      <c r="T2154" t="n">
        <v>0</v>
      </c>
    </row>
    <row r="2155">
      <c r="A2155" t="inlineStr">
        <is>
          <t>ttJTrans</t>
        </is>
      </c>
      <c r="B2155" s="38" t="inlineStr">
        <is>
          <t>0-4008</t>
        </is>
      </c>
      <c r="C2155" t="inlineStr">
        <is>
          <t>OC</t>
        </is>
      </c>
      <c r="D2155" t="inlineStr">
        <is>
          <t>MA1011235</t>
        </is>
      </c>
      <c r="E2155" t="inlineStr">
        <is>
          <t>OC</t>
        </is>
      </c>
      <c r="F2155" t="inlineStr">
        <is>
          <t>MA1011235</t>
        </is>
      </c>
      <c r="G2155" t="n">
        <v>46127</v>
      </c>
      <c r="H2155" s="127" t="n">
        <v>46127</v>
      </c>
      <c r="I2155" t="inlineStr">
        <is>
          <t>2</t>
        </is>
      </c>
      <c r="J2155" s="38" t="inlineStr">
        <is>
          <t>0-4008</t>
        </is>
      </c>
      <c r="K2155" t="inlineStr">
        <is>
          <t>FREIGHT</t>
        </is>
      </c>
      <c r="L2155" t="n">
        <v>1</v>
      </c>
      <c r="M2155" t="n">
        <v>44.4</v>
      </c>
      <c r="N2155" t="inlineStr">
        <is>
          <t>PO:COMMIT</t>
        </is>
      </c>
      <c r="O2155" t="inlineStr">
        <is>
          <t>12561</t>
        </is>
      </c>
      <c r="P2155" t="inlineStr">
        <is>
          <t>CROSS COUNTRY INFRASTRUCTURE SERVICES INC.</t>
        </is>
      </c>
      <c r="Q2155" s="114" t="n">
        <v>0</v>
      </c>
      <c r="R2155" s="114" t="n">
        <v>0</v>
      </c>
      <c r="S2155" s="114" t="n">
        <v>44.4</v>
      </c>
      <c r="T2155" t="n">
        <v>0</v>
      </c>
    </row>
    <row r="2156">
      <c r="A2156" t="inlineStr">
        <is>
          <t>ttJTrans</t>
        </is>
      </c>
      <c r="B2156" s="38" t="inlineStr">
        <is>
          <t>0-4008</t>
        </is>
      </c>
      <c r="C2156" t="inlineStr">
        <is>
          <t>OC</t>
        </is>
      </c>
      <c r="D2156" t="inlineStr">
        <is>
          <t>MA1011235</t>
        </is>
      </c>
      <c r="E2156" t="inlineStr">
        <is>
          <t>OC</t>
        </is>
      </c>
      <c r="F2156" t="inlineStr">
        <is>
          <t>MA1011235</t>
        </is>
      </c>
      <c r="G2156" t="n">
        <v>46127</v>
      </c>
      <c r="H2156" s="127" t="n">
        <v>46127</v>
      </c>
      <c r="I2156" t="inlineStr">
        <is>
          <t>1</t>
        </is>
      </c>
      <c r="J2156" s="38" t="inlineStr">
        <is>
          <t>0-4008</t>
        </is>
      </c>
      <c r="K2156" t="inlineStr">
        <is>
          <t>SPEED LIMIT SIGN 10MPH 12"X18"</t>
        </is>
      </c>
      <c r="L2156" t="n">
        <v>20</v>
      </c>
      <c r="M2156" t="n">
        <v>769.67</v>
      </c>
      <c r="N2156" t="inlineStr">
        <is>
          <t>INVOICE:ADJ-COMMIT</t>
        </is>
      </c>
      <c r="O2156" t="inlineStr">
        <is>
          <t>12561</t>
        </is>
      </c>
      <c r="P2156" t="inlineStr">
        <is>
          <t>CROSS COUNTRY INFRASTRUCTURE SERVICES INC.</t>
        </is>
      </c>
      <c r="Q2156" s="114" t="n">
        <v>0</v>
      </c>
      <c r="R2156" s="114" t="n">
        <v>0</v>
      </c>
      <c r="S2156" s="114" t="n">
        <v>-769.67</v>
      </c>
      <c r="T2156" t="n">
        <v>0</v>
      </c>
    </row>
    <row r="2157">
      <c r="A2157" t="inlineStr">
        <is>
          <t>ttJTrans</t>
        </is>
      </c>
      <c r="B2157" s="38" t="inlineStr">
        <is>
          <t>0-4008</t>
        </is>
      </c>
      <c r="C2157" t="inlineStr">
        <is>
          <t>OC</t>
        </is>
      </c>
      <c r="D2157" t="inlineStr">
        <is>
          <t>MA1011235</t>
        </is>
      </c>
      <c r="E2157" t="inlineStr">
        <is>
          <t>OC</t>
        </is>
      </c>
      <c r="F2157" t="inlineStr">
        <is>
          <t>MA1011235</t>
        </is>
      </c>
      <c r="G2157" t="n">
        <v>46127</v>
      </c>
      <c r="H2157" s="127" t="n">
        <v>46127</v>
      </c>
      <c r="I2157" t="inlineStr">
        <is>
          <t>2</t>
        </is>
      </c>
      <c r="J2157" s="38" t="inlineStr">
        <is>
          <t>0-4008</t>
        </is>
      </c>
      <c r="K2157" t="inlineStr">
        <is>
          <t>FREIGHT</t>
        </is>
      </c>
      <c r="L2157" t="n">
        <v>1</v>
      </c>
      <c r="M2157" t="n">
        <v>44.4</v>
      </c>
      <c r="N2157" t="inlineStr">
        <is>
          <t>INVOICE:ADJ-COMMIT</t>
        </is>
      </c>
      <c r="O2157" t="inlineStr">
        <is>
          <t>12561</t>
        </is>
      </c>
      <c r="P2157" t="inlineStr">
        <is>
          <t>CROSS COUNTRY INFRASTRUCTURE SERVICES INC.</t>
        </is>
      </c>
      <c r="Q2157" s="114" t="n">
        <v>0</v>
      </c>
      <c r="R2157" s="114" t="n">
        <v>0</v>
      </c>
      <c r="S2157" s="114" t="n">
        <v>-44.4</v>
      </c>
      <c r="T2157" t="n">
        <v>0</v>
      </c>
    </row>
    <row r="2158">
      <c r="A2158" t="inlineStr">
        <is>
          <t>ttJTrans</t>
        </is>
      </c>
      <c r="B2158" s="38" t="inlineStr">
        <is>
          <t>0-4008</t>
        </is>
      </c>
      <c r="C2158" t="inlineStr">
        <is>
          <t>OC</t>
        </is>
      </c>
      <c r="D2158" t="inlineStr">
        <is>
          <t>MA1011235</t>
        </is>
      </c>
      <c r="E2158" t="inlineStr">
        <is>
          <t>OC</t>
        </is>
      </c>
      <c r="F2158" t="inlineStr">
        <is>
          <t>MA1011235</t>
        </is>
      </c>
      <c r="G2158" t="n">
        <v>46127</v>
      </c>
      <c r="H2158" s="127" t="n">
        <v>46127</v>
      </c>
      <c r="I2158" t="inlineStr">
        <is>
          <t>1</t>
        </is>
      </c>
      <c r="J2158" s="38" t="inlineStr">
        <is>
          <t>0-4008</t>
        </is>
      </c>
      <c r="K2158" t="inlineStr">
        <is>
          <t>SPEED LIMIT SIGN 10MPH 12"X18"</t>
        </is>
      </c>
      <c r="L2158" t="n">
        <v>20</v>
      </c>
      <c r="M2158" t="n">
        <v>769.67</v>
      </c>
      <c r="N2158" t="inlineStr">
        <is>
          <t>PO:COMMIT</t>
        </is>
      </c>
      <c r="O2158" t="inlineStr">
        <is>
          <t>12561</t>
        </is>
      </c>
      <c r="P2158" t="inlineStr">
        <is>
          <t>CROSS COUNTRY INFRASTRUCTURE SERVICES INC.</t>
        </is>
      </c>
      <c r="Q2158" s="114" t="n">
        <v>0</v>
      </c>
      <c r="R2158" s="114" t="n">
        <v>0</v>
      </c>
      <c r="S2158" s="114" t="n">
        <v>769.67</v>
      </c>
      <c r="T2158" t="n">
        <v>0</v>
      </c>
    </row>
    <row r="2159">
      <c r="A2159" t="inlineStr">
        <is>
          <t>ttJTrans</t>
        </is>
      </c>
      <c r="B2159" s="38" t="inlineStr">
        <is>
          <t>0-4008</t>
        </is>
      </c>
      <c r="C2159" t="inlineStr">
        <is>
          <t>OC</t>
        </is>
      </c>
      <c r="D2159" t="inlineStr">
        <is>
          <t>MA1011235</t>
        </is>
      </c>
      <c r="E2159" t="inlineStr">
        <is>
          <t>OC</t>
        </is>
      </c>
      <c r="F2159" t="inlineStr">
        <is>
          <t>MA1011235</t>
        </is>
      </c>
      <c r="G2159" t="n">
        <v>46127</v>
      </c>
      <c r="H2159" s="127" t="n">
        <v>46141</v>
      </c>
      <c r="I2159" t="inlineStr">
        <is>
          <t>1</t>
        </is>
      </c>
      <c r="J2159" s="38" t="inlineStr">
        <is>
          <t>0-4008</t>
        </is>
      </c>
      <c r="K2159" t="inlineStr">
        <is>
          <t>SPEED LIMIT SIGN 10MPH 12"X18"</t>
        </is>
      </c>
      <c r="L2159" t="n">
        <v>20</v>
      </c>
      <c r="M2159" t="n">
        <v>769.67</v>
      </c>
      <c r="N2159" t="inlineStr">
        <is>
          <t>INVOICE</t>
        </is>
      </c>
      <c r="O2159" t="inlineStr">
        <is>
          <t>12561</t>
        </is>
      </c>
      <c r="P2159" t="inlineStr">
        <is>
          <t>CROSS COUNTRY INFRASTRUCTURE SERVICES INC.</t>
        </is>
      </c>
      <c r="Q2159" s="114" t="n">
        <v>0</v>
      </c>
      <c r="R2159" s="114" t="n">
        <v>0</v>
      </c>
      <c r="S2159" s="114" t="n">
        <v>0</v>
      </c>
      <c r="T2159" t="n">
        <v>0</v>
      </c>
    </row>
    <row r="2160">
      <c r="A2160" t="inlineStr">
        <is>
          <t>ttJTrans</t>
        </is>
      </c>
      <c r="B2160" s="38" t="inlineStr">
        <is>
          <t>0-4008</t>
        </is>
      </c>
      <c r="C2160" t="inlineStr">
        <is>
          <t>OC</t>
        </is>
      </c>
      <c r="D2160" t="inlineStr">
        <is>
          <t>MA1011235</t>
        </is>
      </c>
      <c r="E2160" t="inlineStr">
        <is>
          <t>OC</t>
        </is>
      </c>
      <c r="F2160" t="inlineStr">
        <is>
          <t>MA1011235</t>
        </is>
      </c>
      <c r="G2160" t="n">
        <v>46127</v>
      </c>
      <c r="H2160" s="127" t="n">
        <v>46141</v>
      </c>
      <c r="I2160" t="inlineStr">
        <is>
          <t>2</t>
        </is>
      </c>
      <c r="J2160" s="38" t="inlineStr">
        <is>
          <t>0-4008</t>
        </is>
      </c>
      <c r="K2160" t="inlineStr">
        <is>
          <t>FREIGHT</t>
        </is>
      </c>
      <c r="L2160" t="n">
        <v>1</v>
      </c>
      <c r="M2160" t="n">
        <v>44.4</v>
      </c>
      <c r="N2160" t="inlineStr">
        <is>
          <t>INVOICE</t>
        </is>
      </c>
      <c r="O2160" t="inlineStr">
        <is>
          <t>12561</t>
        </is>
      </c>
      <c r="P2160" t="inlineStr">
        <is>
          <t>CROSS COUNTRY INFRASTRUCTURE SERVICES INC.</t>
        </is>
      </c>
      <c r="Q2160" s="114" t="n">
        <v>0</v>
      </c>
      <c r="R2160" s="114" t="n">
        <v>0</v>
      </c>
      <c r="S2160" s="114" t="n">
        <v>0</v>
      </c>
      <c r="T2160" t="n">
        <v>0</v>
      </c>
    </row>
    <row r="2161">
      <c r="A2161" t="inlineStr">
        <is>
          <t>ttJTrans</t>
        </is>
      </c>
      <c r="B2161" s="38" t="inlineStr">
        <is>
          <t>0-4008</t>
        </is>
      </c>
      <c r="C2161" t="inlineStr">
        <is>
          <t>OC</t>
        </is>
      </c>
      <c r="D2161" t="inlineStr">
        <is>
          <t>MA1011252</t>
        </is>
      </c>
      <c r="E2161" t="inlineStr">
        <is>
          <t>OC</t>
        </is>
      </c>
      <c r="F2161" t="inlineStr">
        <is>
          <t>MA1011252</t>
        </is>
      </c>
      <c r="G2161" t="n">
        <v>46127</v>
      </c>
      <c r="H2161" s="127" t="n">
        <v>46141</v>
      </c>
      <c r="I2161" t="inlineStr">
        <is>
          <t>2</t>
        </is>
      </c>
      <c r="J2161" s="38" t="inlineStr">
        <is>
          <t>0-4008</t>
        </is>
      </c>
      <c r="K2161" t="inlineStr">
        <is>
          <t>2" X 20' PVC</t>
        </is>
      </c>
      <c r="L2161" t="n">
        <v>20</v>
      </c>
      <c r="M2161" t="n">
        <v>5073.37</v>
      </c>
      <c r="N2161" t="inlineStr">
        <is>
          <t>INVOICE</t>
        </is>
      </c>
      <c r="O2161" t="inlineStr">
        <is>
          <t>12561</t>
        </is>
      </c>
      <c r="P2161" t="inlineStr">
        <is>
          <t>CROSS COUNTRY INFRASTRUCTURE SERVICES INC.</t>
        </is>
      </c>
      <c r="Q2161" s="114" t="n">
        <v>0</v>
      </c>
      <c r="R2161" s="114" t="n">
        <v>0</v>
      </c>
      <c r="S2161" s="114" t="n">
        <v>0</v>
      </c>
      <c r="T2161" t="n">
        <v>0</v>
      </c>
    </row>
    <row r="2162">
      <c r="A2162" t="inlineStr">
        <is>
          <t>ttJTrans</t>
        </is>
      </c>
      <c r="B2162" s="38" t="inlineStr">
        <is>
          <t>0-4008</t>
        </is>
      </c>
      <c r="C2162" t="inlineStr">
        <is>
          <t>OC</t>
        </is>
      </c>
      <c r="D2162" t="inlineStr">
        <is>
          <t>MA1011252</t>
        </is>
      </c>
      <c r="E2162" t="inlineStr">
        <is>
          <t>OC</t>
        </is>
      </c>
      <c r="F2162" t="inlineStr">
        <is>
          <t>MA1011252</t>
        </is>
      </c>
      <c r="G2162" t="n">
        <v>46127</v>
      </c>
      <c r="H2162" s="127" t="n">
        <v>46141</v>
      </c>
      <c r="I2162" t="inlineStr">
        <is>
          <t>1</t>
        </is>
      </c>
      <c r="J2162" s="38" t="inlineStr">
        <is>
          <t>0-4008</t>
        </is>
      </c>
      <c r="K2162" t="inlineStr">
        <is>
          <t>Orange Paint</t>
        </is>
      </c>
      <c r="L2162" t="n">
        <v>60</v>
      </c>
      <c r="M2162" t="n">
        <v>329.67</v>
      </c>
      <c r="N2162" t="inlineStr">
        <is>
          <t>INVOICE</t>
        </is>
      </c>
      <c r="O2162" t="inlineStr">
        <is>
          <t>12561</t>
        </is>
      </c>
      <c r="P2162" t="inlineStr">
        <is>
          <t>CROSS COUNTRY INFRASTRUCTURE SERVICES INC.</t>
        </is>
      </c>
      <c r="Q2162" s="114" t="n">
        <v>0</v>
      </c>
      <c r="R2162" s="114" t="n">
        <v>0</v>
      </c>
      <c r="S2162" s="114" t="n">
        <v>0</v>
      </c>
      <c r="T2162" t="n">
        <v>0</v>
      </c>
    </row>
    <row r="2163">
      <c r="A2163" t="inlineStr">
        <is>
          <t>ttJTrans</t>
        </is>
      </c>
      <c r="B2163" s="38" t="inlineStr">
        <is>
          <t>0-4008</t>
        </is>
      </c>
      <c r="C2163" t="inlineStr">
        <is>
          <t>OC</t>
        </is>
      </c>
      <c r="D2163" t="inlineStr">
        <is>
          <t>MA1011252</t>
        </is>
      </c>
      <c r="E2163" t="inlineStr">
        <is>
          <t>OC</t>
        </is>
      </c>
      <c r="F2163" t="inlineStr">
        <is>
          <t>MA1011252</t>
        </is>
      </c>
      <c r="G2163" t="n">
        <v>46127</v>
      </c>
      <c r="H2163" s="127" t="n">
        <v>46141</v>
      </c>
      <c r="I2163" t="inlineStr">
        <is>
          <t>6</t>
        </is>
      </c>
      <c r="J2163" s="38" t="inlineStr">
        <is>
          <t>0-4008</t>
        </is>
      </c>
      <c r="K2163" t="inlineStr">
        <is>
          <t>Glass cleaner</t>
        </is>
      </c>
      <c r="L2163" t="n">
        <v>24</v>
      </c>
      <c r="M2163" t="n">
        <v>100.17</v>
      </c>
      <c r="N2163" t="inlineStr">
        <is>
          <t>INVOICE</t>
        </is>
      </c>
      <c r="O2163" t="inlineStr">
        <is>
          <t>12561</t>
        </is>
      </c>
      <c r="P2163" t="inlineStr">
        <is>
          <t>CROSS COUNTRY INFRASTRUCTURE SERVICES INC.</t>
        </is>
      </c>
      <c r="Q2163" s="114" t="n">
        <v>0</v>
      </c>
      <c r="R2163" s="114" t="n">
        <v>0</v>
      </c>
      <c r="S2163" s="114" t="n">
        <v>0</v>
      </c>
      <c r="T2163" t="n">
        <v>0</v>
      </c>
    </row>
    <row r="2164">
      <c r="A2164" t="inlineStr">
        <is>
          <t>ttJTrans</t>
        </is>
      </c>
      <c r="B2164" s="38" t="inlineStr">
        <is>
          <t>0-4008</t>
        </is>
      </c>
      <c r="C2164" t="inlineStr">
        <is>
          <t>OC</t>
        </is>
      </c>
      <c r="D2164" t="inlineStr">
        <is>
          <t>MA1011252</t>
        </is>
      </c>
      <c r="E2164" t="inlineStr">
        <is>
          <t>OC</t>
        </is>
      </c>
      <c r="F2164" t="inlineStr">
        <is>
          <t>MA1011252</t>
        </is>
      </c>
      <c r="G2164" t="n">
        <v>46127</v>
      </c>
      <c r="H2164" s="127" t="n">
        <v>46141</v>
      </c>
      <c r="I2164" t="inlineStr">
        <is>
          <t>7</t>
        </is>
      </c>
      <c r="J2164" s="38" t="inlineStr">
        <is>
          <t>0-4008</t>
        </is>
      </c>
      <c r="K2164" t="inlineStr">
        <is>
          <t>Vis queen</t>
        </is>
      </c>
      <c r="L2164" t="n">
        <v>5</v>
      </c>
      <c r="M2164" t="n">
        <v>660.84</v>
      </c>
      <c r="N2164" t="inlineStr">
        <is>
          <t>INVOICE</t>
        </is>
      </c>
      <c r="O2164" t="inlineStr">
        <is>
          <t>12561</t>
        </is>
      </c>
      <c r="P2164" t="inlineStr">
        <is>
          <t>CROSS COUNTRY INFRASTRUCTURE SERVICES INC.</t>
        </is>
      </c>
      <c r="Q2164" s="114" t="n">
        <v>0</v>
      </c>
      <c r="R2164" s="114" t="n">
        <v>0</v>
      </c>
      <c r="S2164" s="114" t="n">
        <v>0</v>
      </c>
      <c r="T2164" t="n">
        <v>0</v>
      </c>
    </row>
    <row r="2165">
      <c r="A2165" t="inlineStr">
        <is>
          <t>ttJTrans</t>
        </is>
      </c>
      <c r="B2165" s="38" t="inlineStr">
        <is>
          <t>0-4008</t>
        </is>
      </c>
      <c r="C2165" t="inlineStr">
        <is>
          <t>OC</t>
        </is>
      </c>
      <c r="D2165" t="inlineStr">
        <is>
          <t>MA1011252</t>
        </is>
      </c>
      <c r="E2165" t="inlineStr">
        <is>
          <t>OC</t>
        </is>
      </c>
      <c r="F2165" t="inlineStr">
        <is>
          <t>MA1011252</t>
        </is>
      </c>
      <c r="G2165" t="n">
        <v>46127</v>
      </c>
      <c r="H2165" s="127" t="n">
        <v>46141</v>
      </c>
      <c r="I2165" t="inlineStr">
        <is>
          <t>5</t>
        </is>
      </c>
      <c r="J2165" s="38" t="inlineStr">
        <is>
          <t>0-4008</t>
        </is>
      </c>
      <c r="K2165" t="inlineStr">
        <is>
          <t>Rags</t>
        </is>
      </c>
      <c r="L2165" t="n">
        <v>3</v>
      </c>
      <c r="M2165" t="n">
        <v>107.76</v>
      </c>
      <c r="N2165" t="inlineStr">
        <is>
          <t>INVOICE</t>
        </is>
      </c>
      <c r="O2165" t="inlineStr">
        <is>
          <t>12561</t>
        </is>
      </c>
      <c r="P2165" t="inlineStr">
        <is>
          <t>CROSS COUNTRY INFRASTRUCTURE SERVICES INC.</t>
        </is>
      </c>
      <c r="Q2165" s="114" t="n">
        <v>0</v>
      </c>
      <c r="R2165" s="114" t="n">
        <v>0</v>
      </c>
      <c r="S2165" s="114" t="n">
        <v>0</v>
      </c>
      <c r="T2165" t="n">
        <v>0</v>
      </c>
    </row>
    <row r="2166">
      <c r="A2166" t="inlineStr">
        <is>
          <t>ttJTrans</t>
        </is>
      </c>
      <c r="B2166" s="38" t="inlineStr">
        <is>
          <t>0-4008</t>
        </is>
      </c>
      <c r="C2166" t="inlineStr">
        <is>
          <t>OC</t>
        </is>
      </c>
      <c r="D2166" t="inlineStr">
        <is>
          <t>MA1011252</t>
        </is>
      </c>
      <c r="E2166" t="inlineStr">
        <is>
          <t>OC</t>
        </is>
      </c>
      <c r="F2166" t="inlineStr">
        <is>
          <t>MA1011252</t>
        </is>
      </c>
      <c r="G2166" t="n">
        <v>46127</v>
      </c>
      <c r="H2166" s="127" t="n">
        <v>46141</v>
      </c>
      <c r="I2166" t="inlineStr">
        <is>
          <t>4</t>
        </is>
      </c>
      <c r="J2166" s="38" t="inlineStr">
        <is>
          <t>0-4008</t>
        </is>
      </c>
      <c r="K2166" t="inlineStr">
        <is>
          <t>Def fluid</t>
        </is>
      </c>
      <c r="L2166" t="n">
        <v>96</v>
      </c>
      <c r="M2166" t="n">
        <v>1737.99</v>
      </c>
      <c r="N2166" t="inlineStr">
        <is>
          <t>INVOICE</t>
        </is>
      </c>
      <c r="O2166" t="inlineStr">
        <is>
          <t>12561</t>
        </is>
      </c>
      <c r="P2166" t="inlineStr">
        <is>
          <t>CROSS COUNTRY INFRASTRUCTURE SERVICES INC.</t>
        </is>
      </c>
      <c r="Q2166" s="114" t="n">
        <v>0</v>
      </c>
      <c r="R2166" s="114" t="n">
        <v>0</v>
      </c>
      <c r="S2166" s="114" t="n">
        <v>0</v>
      </c>
      <c r="T2166" t="n">
        <v>0</v>
      </c>
    </row>
    <row r="2167">
      <c r="A2167" t="inlineStr">
        <is>
          <t>ttJTrans</t>
        </is>
      </c>
      <c r="B2167" s="38" t="inlineStr">
        <is>
          <t>0-4008</t>
        </is>
      </c>
      <c r="C2167" t="inlineStr">
        <is>
          <t>OC</t>
        </is>
      </c>
      <c r="D2167" t="inlineStr">
        <is>
          <t>MA1011252</t>
        </is>
      </c>
      <c r="E2167" t="inlineStr">
        <is>
          <t>OC</t>
        </is>
      </c>
      <c r="F2167" t="inlineStr">
        <is>
          <t>MA1011252</t>
        </is>
      </c>
      <c r="G2167" t="n">
        <v>46127</v>
      </c>
      <c r="H2167" s="127" t="n">
        <v>46128</v>
      </c>
      <c r="I2167" t="inlineStr">
        <is>
          <t>2</t>
        </is>
      </c>
      <c r="J2167" s="38" t="inlineStr">
        <is>
          <t>0-4008</t>
        </is>
      </c>
      <c r="K2167" t="inlineStr">
        <is>
          <t>2" X 20' PVC</t>
        </is>
      </c>
      <c r="L2167" t="n">
        <v>20</v>
      </c>
      <c r="M2167" t="n">
        <v>5073.37</v>
      </c>
      <c r="N2167" t="inlineStr">
        <is>
          <t>INVOICE:ADJ-COMMIT</t>
        </is>
      </c>
      <c r="O2167" t="inlineStr">
        <is>
          <t>12561</t>
        </is>
      </c>
      <c r="P2167" t="inlineStr">
        <is>
          <t>CROSS COUNTRY INFRASTRUCTURE SERVICES INC.</t>
        </is>
      </c>
      <c r="Q2167" s="114" t="n">
        <v>0</v>
      </c>
      <c r="R2167" s="114" t="n">
        <v>0</v>
      </c>
      <c r="S2167" s="114" t="n">
        <v>-5073.37</v>
      </c>
      <c r="T2167" t="n">
        <v>0</v>
      </c>
    </row>
    <row r="2168">
      <c r="A2168" t="inlineStr">
        <is>
          <t>ttJTrans</t>
        </is>
      </c>
      <c r="B2168" s="38" t="inlineStr">
        <is>
          <t>0-4008</t>
        </is>
      </c>
      <c r="C2168" t="inlineStr">
        <is>
          <t>OC</t>
        </is>
      </c>
      <c r="D2168" t="inlineStr">
        <is>
          <t>MA1011252</t>
        </is>
      </c>
      <c r="E2168" t="inlineStr">
        <is>
          <t>OC</t>
        </is>
      </c>
      <c r="F2168" t="inlineStr">
        <is>
          <t>MA1011252</t>
        </is>
      </c>
      <c r="G2168" t="n">
        <v>46127</v>
      </c>
      <c r="H2168" s="127" t="n">
        <v>46128</v>
      </c>
      <c r="I2168" t="inlineStr">
        <is>
          <t>4</t>
        </is>
      </c>
      <c r="J2168" s="38" t="inlineStr">
        <is>
          <t>0-4008</t>
        </is>
      </c>
      <c r="K2168" t="inlineStr">
        <is>
          <t>Def fluid</t>
        </is>
      </c>
      <c r="L2168" t="n">
        <v>96</v>
      </c>
      <c r="M2168" t="n">
        <v>1737.99</v>
      </c>
      <c r="N2168" t="inlineStr">
        <is>
          <t>INVOICE:ADJ-COMMIT</t>
        </is>
      </c>
      <c r="O2168" t="inlineStr">
        <is>
          <t>12561</t>
        </is>
      </c>
      <c r="P2168" t="inlineStr">
        <is>
          <t>CROSS COUNTRY INFRASTRUCTURE SERVICES INC.</t>
        </is>
      </c>
      <c r="Q2168" s="114" t="n">
        <v>0</v>
      </c>
      <c r="R2168" s="114" t="n">
        <v>0</v>
      </c>
      <c r="S2168" s="114" t="n">
        <v>-1737.99</v>
      </c>
      <c r="T2168" t="n">
        <v>0</v>
      </c>
    </row>
    <row r="2169">
      <c r="A2169" t="inlineStr">
        <is>
          <t>ttJTrans</t>
        </is>
      </c>
      <c r="B2169" s="38" t="inlineStr">
        <is>
          <t>0-4008</t>
        </is>
      </c>
      <c r="C2169" t="inlineStr">
        <is>
          <t>OC</t>
        </is>
      </c>
      <c r="D2169" t="inlineStr">
        <is>
          <t>MA1011252</t>
        </is>
      </c>
      <c r="E2169" t="inlineStr">
        <is>
          <t>OC</t>
        </is>
      </c>
      <c r="F2169" t="inlineStr">
        <is>
          <t>MA1011252</t>
        </is>
      </c>
      <c r="G2169" t="n">
        <v>46127</v>
      </c>
      <c r="H2169" s="127" t="n">
        <v>46128</v>
      </c>
      <c r="I2169" t="inlineStr">
        <is>
          <t>7</t>
        </is>
      </c>
      <c r="J2169" s="38" t="inlineStr">
        <is>
          <t>0-4008</t>
        </is>
      </c>
      <c r="K2169" t="inlineStr">
        <is>
          <t>Vis queen</t>
        </is>
      </c>
      <c r="L2169" t="n">
        <v>5</v>
      </c>
      <c r="M2169" t="n">
        <v>660.84</v>
      </c>
      <c r="N2169" t="inlineStr">
        <is>
          <t>INVOICE:ADJ-COMMIT</t>
        </is>
      </c>
      <c r="O2169" t="inlineStr">
        <is>
          <t>12561</t>
        </is>
      </c>
      <c r="P2169" t="inlineStr">
        <is>
          <t>CROSS COUNTRY INFRASTRUCTURE SERVICES INC.</t>
        </is>
      </c>
      <c r="Q2169" s="114" t="n">
        <v>0</v>
      </c>
      <c r="R2169" s="114" t="n">
        <v>0</v>
      </c>
      <c r="S2169" s="114" t="n">
        <v>-660.84</v>
      </c>
      <c r="T2169" t="n">
        <v>0</v>
      </c>
    </row>
    <row r="2170">
      <c r="A2170" t="inlineStr">
        <is>
          <t>ttJTrans</t>
        </is>
      </c>
      <c r="B2170" s="38" t="inlineStr">
        <is>
          <t>0-4008</t>
        </is>
      </c>
      <c r="C2170" t="inlineStr">
        <is>
          <t>OC</t>
        </is>
      </c>
      <c r="D2170" t="inlineStr">
        <is>
          <t>MA1011252</t>
        </is>
      </c>
      <c r="E2170" t="inlineStr">
        <is>
          <t>OC</t>
        </is>
      </c>
      <c r="F2170" t="inlineStr">
        <is>
          <t>MA1011252</t>
        </is>
      </c>
      <c r="G2170" t="n">
        <v>46127</v>
      </c>
      <c r="H2170" s="127" t="n">
        <v>46128</v>
      </c>
      <c r="I2170" t="inlineStr">
        <is>
          <t>6</t>
        </is>
      </c>
      <c r="J2170" s="38" t="inlineStr">
        <is>
          <t>0-4008</t>
        </is>
      </c>
      <c r="K2170" t="inlineStr">
        <is>
          <t>Glass cleaner</t>
        </is>
      </c>
      <c r="L2170" t="n">
        <v>24</v>
      </c>
      <c r="M2170" t="n">
        <v>100.17</v>
      </c>
      <c r="N2170" t="inlineStr">
        <is>
          <t>INVOICE:ADJ-COMMIT</t>
        </is>
      </c>
      <c r="O2170" t="inlineStr">
        <is>
          <t>12561</t>
        </is>
      </c>
      <c r="P2170" t="inlineStr">
        <is>
          <t>CROSS COUNTRY INFRASTRUCTURE SERVICES INC.</t>
        </is>
      </c>
      <c r="Q2170" s="114" t="n">
        <v>0</v>
      </c>
      <c r="R2170" s="114" t="n">
        <v>0</v>
      </c>
      <c r="S2170" s="114" t="n">
        <v>-100.17</v>
      </c>
      <c r="T2170" t="n">
        <v>0</v>
      </c>
    </row>
    <row r="2171">
      <c r="A2171" t="inlineStr">
        <is>
          <t>ttJTrans</t>
        </is>
      </c>
      <c r="B2171" s="38" t="inlineStr">
        <is>
          <t>0-4008</t>
        </is>
      </c>
      <c r="C2171" t="inlineStr">
        <is>
          <t>OC</t>
        </is>
      </c>
      <c r="D2171" t="inlineStr">
        <is>
          <t>MA1011252</t>
        </is>
      </c>
      <c r="E2171" t="inlineStr">
        <is>
          <t>OC</t>
        </is>
      </c>
      <c r="F2171" t="inlineStr">
        <is>
          <t>MA1011252</t>
        </is>
      </c>
      <c r="G2171" t="n">
        <v>46127</v>
      </c>
      <c r="H2171" s="127" t="n">
        <v>46128</v>
      </c>
      <c r="I2171" t="inlineStr">
        <is>
          <t>1</t>
        </is>
      </c>
      <c r="J2171" s="38" t="inlineStr">
        <is>
          <t>0-4008</t>
        </is>
      </c>
      <c r="K2171" t="inlineStr">
        <is>
          <t>Orange Paint</t>
        </is>
      </c>
      <c r="L2171" t="n">
        <v>60</v>
      </c>
      <c r="M2171" t="n">
        <v>329.67</v>
      </c>
      <c r="N2171" t="inlineStr">
        <is>
          <t>INVOICE:ADJ-COMMIT</t>
        </is>
      </c>
      <c r="O2171" t="inlineStr">
        <is>
          <t>12561</t>
        </is>
      </c>
      <c r="P2171" t="inlineStr">
        <is>
          <t>CROSS COUNTRY INFRASTRUCTURE SERVICES INC.</t>
        </is>
      </c>
      <c r="Q2171" s="114" t="n">
        <v>0</v>
      </c>
      <c r="R2171" s="114" t="n">
        <v>0</v>
      </c>
      <c r="S2171" s="114" t="n">
        <v>-329.67</v>
      </c>
      <c r="T2171" t="n">
        <v>0</v>
      </c>
    </row>
    <row r="2172">
      <c r="A2172" t="inlineStr">
        <is>
          <t>ttJTrans</t>
        </is>
      </c>
      <c r="B2172" s="38" t="inlineStr">
        <is>
          <t>0-4008</t>
        </is>
      </c>
      <c r="C2172" t="inlineStr">
        <is>
          <t>OC</t>
        </is>
      </c>
      <c r="D2172" t="inlineStr">
        <is>
          <t>MA1011252</t>
        </is>
      </c>
      <c r="E2172" t="inlineStr">
        <is>
          <t>OC</t>
        </is>
      </c>
      <c r="F2172" t="inlineStr">
        <is>
          <t>MA1011252</t>
        </is>
      </c>
      <c r="G2172" t="n">
        <v>46127</v>
      </c>
      <c r="H2172" s="127" t="n">
        <v>46128</v>
      </c>
      <c r="I2172" t="inlineStr">
        <is>
          <t>1</t>
        </is>
      </c>
      <c r="J2172" s="38" t="inlineStr">
        <is>
          <t>0-4008</t>
        </is>
      </c>
      <c r="K2172" t="inlineStr">
        <is>
          <t>Orange Paint</t>
        </is>
      </c>
      <c r="L2172" t="n">
        <v>60</v>
      </c>
      <c r="M2172" t="n">
        <v>329.67</v>
      </c>
      <c r="N2172" t="inlineStr">
        <is>
          <t>PO:COMMIT</t>
        </is>
      </c>
      <c r="O2172" t="inlineStr">
        <is>
          <t>12561</t>
        </is>
      </c>
      <c r="P2172" t="inlineStr">
        <is>
          <t>CROSS COUNTRY INFRASTRUCTURE SERVICES INC.</t>
        </is>
      </c>
      <c r="Q2172" s="114" t="n">
        <v>0</v>
      </c>
      <c r="R2172" s="114" t="n">
        <v>0</v>
      </c>
      <c r="S2172" s="114" t="n">
        <v>329.67</v>
      </c>
      <c r="T2172" t="n">
        <v>0</v>
      </c>
    </row>
    <row r="2173">
      <c r="A2173" t="inlineStr">
        <is>
          <t>ttJTrans</t>
        </is>
      </c>
      <c r="B2173" s="38" t="inlineStr">
        <is>
          <t>0-4008</t>
        </is>
      </c>
      <c r="C2173" t="inlineStr">
        <is>
          <t>OC</t>
        </is>
      </c>
      <c r="D2173" t="inlineStr">
        <is>
          <t>MA1011252</t>
        </is>
      </c>
      <c r="E2173" t="inlineStr">
        <is>
          <t>OC</t>
        </is>
      </c>
      <c r="F2173" t="inlineStr">
        <is>
          <t>MA1011252</t>
        </is>
      </c>
      <c r="G2173" t="n">
        <v>46127</v>
      </c>
      <c r="H2173" s="127" t="n">
        <v>46128</v>
      </c>
      <c r="I2173" t="inlineStr">
        <is>
          <t>5</t>
        </is>
      </c>
      <c r="J2173" s="38" t="inlineStr">
        <is>
          <t>0-4008</t>
        </is>
      </c>
      <c r="K2173" t="inlineStr">
        <is>
          <t>Rags</t>
        </is>
      </c>
      <c r="L2173" t="n">
        <v>3</v>
      </c>
      <c r="M2173" t="n">
        <v>107.76</v>
      </c>
      <c r="N2173" t="inlineStr">
        <is>
          <t>INVOICE:ADJ-COMMIT</t>
        </is>
      </c>
      <c r="O2173" t="inlineStr">
        <is>
          <t>12561</t>
        </is>
      </c>
      <c r="P2173" t="inlineStr">
        <is>
          <t>CROSS COUNTRY INFRASTRUCTURE SERVICES INC.</t>
        </is>
      </c>
      <c r="Q2173" s="114" t="n">
        <v>0</v>
      </c>
      <c r="R2173" s="114" t="n">
        <v>0</v>
      </c>
      <c r="S2173" s="114" t="n">
        <v>-107.76</v>
      </c>
      <c r="T2173" t="n">
        <v>0</v>
      </c>
    </row>
    <row r="2174">
      <c r="A2174" t="inlineStr">
        <is>
          <t>ttJTrans</t>
        </is>
      </c>
      <c r="B2174" s="38" t="inlineStr">
        <is>
          <t>0-4008</t>
        </is>
      </c>
      <c r="C2174" t="inlineStr">
        <is>
          <t>OC</t>
        </is>
      </c>
      <c r="D2174" t="inlineStr">
        <is>
          <t>MA1011252</t>
        </is>
      </c>
      <c r="E2174" t="inlineStr">
        <is>
          <t>OC</t>
        </is>
      </c>
      <c r="F2174" t="inlineStr">
        <is>
          <t>MA1011252</t>
        </is>
      </c>
      <c r="G2174" t="n">
        <v>46127</v>
      </c>
      <c r="H2174" s="127" t="n">
        <v>46128</v>
      </c>
      <c r="I2174" t="inlineStr">
        <is>
          <t>4</t>
        </is>
      </c>
      <c r="J2174" s="38" t="inlineStr">
        <is>
          <t>0-4008</t>
        </is>
      </c>
      <c r="K2174" t="inlineStr">
        <is>
          <t>Def fluid</t>
        </is>
      </c>
      <c r="L2174" t="n">
        <v>96</v>
      </c>
      <c r="M2174" t="n">
        <v>1737.99</v>
      </c>
      <c r="N2174" t="inlineStr">
        <is>
          <t>PO:COMMIT</t>
        </is>
      </c>
      <c r="O2174" t="inlineStr">
        <is>
          <t>12561</t>
        </is>
      </c>
      <c r="P2174" t="inlineStr">
        <is>
          <t>CROSS COUNTRY INFRASTRUCTURE SERVICES INC.</t>
        </is>
      </c>
      <c r="Q2174" s="114" t="n">
        <v>0</v>
      </c>
      <c r="R2174" s="114" t="n">
        <v>0</v>
      </c>
      <c r="S2174" s="114" t="n">
        <v>1737.99</v>
      </c>
      <c r="T2174" t="n">
        <v>0</v>
      </c>
    </row>
    <row r="2175">
      <c r="A2175" t="inlineStr">
        <is>
          <t>ttJTrans</t>
        </is>
      </c>
      <c r="B2175" s="38" t="inlineStr">
        <is>
          <t>0-4008</t>
        </is>
      </c>
      <c r="C2175" t="inlineStr">
        <is>
          <t>OC</t>
        </is>
      </c>
      <c r="D2175" t="inlineStr">
        <is>
          <t>MA1011252</t>
        </is>
      </c>
      <c r="E2175" t="inlineStr">
        <is>
          <t>OC</t>
        </is>
      </c>
      <c r="F2175" t="inlineStr">
        <is>
          <t>MA1011252</t>
        </is>
      </c>
      <c r="G2175" t="n">
        <v>46127</v>
      </c>
      <c r="H2175" s="127" t="n">
        <v>46128</v>
      </c>
      <c r="I2175" t="inlineStr">
        <is>
          <t>7</t>
        </is>
      </c>
      <c r="J2175" s="38" t="inlineStr">
        <is>
          <t>0-4008</t>
        </is>
      </c>
      <c r="K2175" t="inlineStr">
        <is>
          <t>Vis queen</t>
        </is>
      </c>
      <c r="L2175" t="n">
        <v>5</v>
      </c>
      <c r="M2175" t="n">
        <v>660.84</v>
      </c>
      <c r="N2175" t="inlineStr">
        <is>
          <t>PO:COMMIT</t>
        </is>
      </c>
      <c r="O2175" t="inlineStr">
        <is>
          <t>12561</t>
        </is>
      </c>
      <c r="P2175" t="inlineStr">
        <is>
          <t>CROSS COUNTRY INFRASTRUCTURE SERVICES INC.</t>
        </is>
      </c>
      <c r="Q2175" s="114" t="n">
        <v>0</v>
      </c>
      <c r="R2175" s="114" t="n">
        <v>0</v>
      </c>
      <c r="S2175" s="114" t="n">
        <v>660.84</v>
      </c>
      <c r="T2175" t="n">
        <v>0</v>
      </c>
    </row>
    <row r="2176">
      <c r="A2176" t="inlineStr">
        <is>
          <t>ttJTrans</t>
        </is>
      </c>
      <c r="B2176" s="38" t="inlineStr">
        <is>
          <t>0-4008</t>
        </is>
      </c>
      <c r="C2176" t="inlineStr">
        <is>
          <t>OC</t>
        </is>
      </c>
      <c r="D2176" t="inlineStr">
        <is>
          <t>MA1011252</t>
        </is>
      </c>
      <c r="E2176" t="inlineStr">
        <is>
          <t>OC</t>
        </is>
      </c>
      <c r="F2176" t="inlineStr">
        <is>
          <t>MA1011252</t>
        </is>
      </c>
      <c r="G2176" t="n">
        <v>46127</v>
      </c>
      <c r="H2176" s="127" t="n">
        <v>46128</v>
      </c>
      <c r="I2176" t="inlineStr">
        <is>
          <t>6</t>
        </is>
      </c>
      <c r="J2176" s="38" t="inlineStr">
        <is>
          <t>0-4008</t>
        </is>
      </c>
      <c r="K2176" t="inlineStr">
        <is>
          <t>Glass cleaner</t>
        </is>
      </c>
      <c r="L2176" t="n">
        <v>24</v>
      </c>
      <c r="M2176" t="n">
        <v>100.17</v>
      </c>
      <c r="N2176" t="inlineStr">
        <is>
          <t>PO:COMMIT</t>
        </is>
      </c>
      <c r="O2176" t="inlineStr">
        <is>
          <t>12561</t>
        </is>
      </c>
      <c r="P2176" t="inlineStr">
        <is>
          <t>CROSS COUNTRY INFRASTRUCTURE SERVICES INC.</t>
        </is>
      </c>
      <c r="Q2176" s="114" t="n">
        <v>0</v>
      </c>
      <c r="R2176" s="114" t="n">
        <v>0</v>
      </c>
      <c r="S2176" s="114" t="n">
        <v>100.17</v>
      </c>
      <c r="T2176" t="n">
        <v>0</v>
      </c>
    </row>
    <row r="2177">
      <c r="A2177" t="inlineStr">
        <is>
          <t>ttJTrans</t>
        </is>
      </c>
      <c r="B2177" s="38" t="inlineStr">
        <is>
          <t>0-4008</t>
        </is>
      </c>
      <c r="C2177" t="inlineStr">
        <is>
          <t>OC</t>
        </is>
      </c>
      <c r="D2177" t="inlineStr">
        <is>
          <t>MA1011252</t>
        </is>
      </c>
      <c r="E2177" t="inlineStr">
        <is>
          <t>OC</t>
        </is>
      </c>
      <c r="F2177" t="inlineStr">
        <is>
          <t>MA1011252</t>
        </is>
      </c>
      <c r="G2177" t="n">
        <v>46127</v>
      </c>
      <c r="H2177" s="127" t="n">
        <v>46128</v>
      </c>
      <c r="I2177" t="inlineStr">
        <is>
          <t>5</t>
        </is>
      </c>
      <c r="J2177" s="38" t="inlineStr">
        <is>
          <t>0-4008</t>
        </is>
      </c>
      <c r="K2177" t="inlineStr">
        <is>
          <t>Rags</t>
        </is>
      </c>
      <c r="L2177" t="n">
        <v>3</v>
      </c>
      <c r="M2177" t="n">
        <v>107.76</v>
      </c>
      <c r="N2177" t="inlineStr">
        <is>
          <t>PO:COMMIT</t>
        </is>
      </c>
      <c r="O2177" t="inlineStr">
        <is>
          <t>12561</t>
        </is>
      </c>
      <c r="P2177" t="inlineStr">
        <is>
          <t>CROSS COUNTRY INFRASTRUCTURE SERVICES INC.</t>
        </is>
      </c>
      <c r="Q2177" s="114" t="n">
        <v>0</v>
      </c>
      <c r="R2177" s="114" t="n">
        <v>0</v>
      </c>
      <c r="S2177" s="114" t="n">
        <v>107.76</v>
      </c>
      <c r="T2177" t="n">
        <v>0</v>
      </c>
    </row>
    <row r="2178">
      <c r="A2178" t="inlineStr">
        <is>
          <t>ttJTrans</t>
        </is>
      </c>
      <c r="B2178" s="38" t="inlineStr">
        <is>
          <t>0-4008</t>
        </is>
      </c>
      <c r="C2178" t="inlineStr">
        <is>
          <t>OC</t>
        </is>
      </c>
      <c r="D2178" t="inlineStr">
        <is>
          <t>MA1011252</t>
        </is>
      </c>
      <c r="E2178" t="inlineStr">
        <is>
          <t>OC</t>
        </is>
      </c>
      <c r="F2178" t="inlineStr">
        <is>
          <t>MA1011252</t>
        </is>
      </c>
      <c r="G2178" t="n">
        <v>46127</v>
      </c>
      <c r="H2178" s="127" t="n">
        <v>46128</v>
      </c>
      <c r="I2178" t="inlineStr">
        <is>
          <t>2</t>
        </is>
      </c>
      <c r="J2178" s="38" t="inlineStr">
        <is>
          <t>0-4008</t>
        </is>
      </c>
      <c r="K2178" t="inlineStr">
        <is>
          <t>2" X 20' PVC</t>
        </is>
      </c>
      <c r="L2178" t="n">
        <v>20</v>
      </c>
      <c r="M2178" t="n">
        <v>5073.37</v>
      </c>
      <c r="N2178" t="inlineStr">
        <is>
          <t>PO:COMMIT</t>
        </is>
      </c>
      <c r="O2178" t="inlineStr">
        <is>
          <t>12561</t>
        </is>
      </c>
      <c r="P2178" t="inlineStr">
        <is>
          <t>CROSS COUNTRY INFRASTRUCTURE SERVICES INC.</t>
        </is>
      </c>
      <c r="Q2178" s="114" t="n">
        <v>0</v>
      </c>
      <c r="R2178" s="114" t="n">
        <v>0</v>
      </c>
      <c r="S2178" s="114" t="n">
        <v>5073.37</v>
      </c>
      <c r="T2178" t="n">
        <v>0</v>
      </c>
    </row>
    <row r="2179">
      <c r="A2179" t="inlineStr">
        <is>
          <t>ttJTrans</t>
        </is>
      </c>
      <c r="B2179" s="38" t="inlineStr">
        <is>
          <t>0-4008</t>
        </is>
      </c>
      <c r="C2179" t="inlineStr">
        <is>
          <t>OC</t>
        </is>
      </c>
      <c r="D2179" t="inlineStr">
        <is>
          <t>MA1011341</t>
        </is>
      </c>
      <c r="E2179" t="inlineStr">
        <is>
          <t>OC</t>
        </is>
      </c>
      <c r="F2179" t="inlineStr">
        <is>
          <t>MA1011341</t>
        </is>
      </c>
      <c r="G2179" t="n">
        <v>46132</v>
      </c>
      <c r="H2179" s="127" t="n">
        <v>46133</v>
      </c>
      <c r="I2179" t="inlineStr">
        <is>
          <t>1</t>
        </is>
      </c>
      <c r="J2179" s="38" t="inlineStr">
        <is>
          <t>0-4008</t>
        </is>
      </c>
      <c r="K2179" t="inlineStr">
        <is>
          <t>Delineator Post with Base - 45", Lime</t>
        </is>
      </c>
      <c r="L2179" t="n">
        <v>30</v>
      </c>
      <c r="M2179" t="n">
        <v>1098.9</v>
      </c>
      <c r="N2179" t="inlineStr">
        <is>
          <t>INVOICE:ADJ-COMMIT</t>
        </is>
      </c>
      <c r="O2179" t="inlineStr">
        <is>
          <t>13343</t>
        </is>
      </c>
      <c r="P2179" t="inlineStr">
        <is>
          <t>ULINE INC.</t>
        </is>
      </c>
      <c r="Q2179" s="114" t="n">
        <v>0</v>
      </c>
      <c r="R2179" s="114" t="n">
        <v>0</v>
      </c>
      <c r="S2179" s="114" t="n">
        <v>-1098.9</v>
      </c>
      <c r="T2179" t="n">
        <v>0</v>
      </c>
    </row>
    <row r="2180">
      <c r="A2180" t="inlineStr">
        <is>
          <t>ttJTrans</t>
        </is>
      </c>
      <c r="B2180" s="38" t="inlineStr">
        <is>
          <t>0-4008</t>
        </is>
      </c>
      <c r="C2180" t="inlineStr">
        <is>
          <t>OC</t>
        </is>
      </c>
      <c r="D2180" t="inlineStr">
        <is>
          <t>MA1011341</t>
        </is>
      </c>
      <c r="E2180" t="inlineStr">
        <is>
          <t>OC</t>
        </is>
      </c>
      <c r="F2180" t="inlineStr">
        <is>
          <t>MA1011341</t>
        </is>
      </c>
      <c r="G2180" t="n">
        <v>46132</v>
      </c>
      <c r="H2180" s="127" t="n">
        <v>46133</v>
      </c>
      <c r="I2180" t="inlineStr">
        <is>
          <t>2</t>
        </is>
      </c>
      <c r="J2180" s="38" t="inlineStr">
        <is>
          <t>0-4008</t>
        </is>
      </c>
      <c r="K2180" t="inlineStr">
        <is>
          <t>Shipping</t>
        </is>
      </c>
      <c r="L2180" t="n">
        <v>1</v>
      </c>
      <c r="M2180" t="n">
        <v>219.76</v>
      </c>
      <c r="N2180" t="inlineStr">
        <is>
          <t>INVOICE:ADJ-COMMIT</t>
        </is>
      </c>
      <c r="O2180" t="inlineStr">
        <is>
          <t>13343</t>
        </is>
      </c>
      <c r="P2180" t="inlineStr">
        <is>
          <t>ULINE INC.</t>
        </is>
      </c>
      <c r="Q2180" s="114" t="n">
        <v>0</v>
      </c>
      <c r="R2180" s="114" t="n">
        <v>0</v>
      </c>
      <c r="S2180" s="114" t="n">
        <v>-219.76</v>
      </c>
      <c r="T2180" t="n">
        <v>0</v>
      </c>
    </row>
    <row r="2181">
      <c r="A2181" t="inlineStr">
        <is>
          <t>ttJTrans</t>
        </is>
      </c>
      <c r="B2181" s="38" t="inlineStr">
        <is>
          <t>0-4008</t>
        </is>
      </c>
      <c r="C2181" t="inlineStr">
        <is>
          <t>OC</t>
        </is>
      </c>
      <c r="D2181" t="inlineStr">
        <is>
          <t>MA1011341</t>
        </is>
      </c>
      <c r="E2181" t="inlineStr">
        <is>
          <t>OC</t>
        </is>
      </c>
      <c r="F2181" t="inlineStr">
        <is>
          <t>MA1011341</t>
        </is>
      </c>
      <c r="G2181" t="n">
        <v>46132</v>
      </c>
      <c r="H2181" s="127" t="n">
        <v>46133</v>
      </c>
      <c r="I2181" t="inlineStr">
        <is>
          <t>2</t>
        </is>
      </c>
      <c r="J2181" s="38" t="inlineStr">
        <is>
          <t>0-4008</t>
        </is>
      </c>
      <c r="K2181" t="inlineStr">
        <is>
          <t>Shipping</t>
        </is>
      </c>
      <c r="L2181" t="n">
        <v>1</v>
      </c>
      <c r="M2181" t="n">
        <v>219.76</v>
      </c>
      <c r="N2181" t="inlineStr">
        <is>
          <t>PO:COMMIT</t>
        </is>
      </c>
      <c r="O2181" t="inlineStr">
        <is>
          <t>13343</t>
        </is>
      </c>
      <c r="P2181" t="inlineStr">
        <is>
          <t>ULINE INC.</t>
        </is>
      </c>
      <c r="Q2181" s="114" t="n">
        <v>0</v>
      </c>
      <c r="R2181" s="114" t="n">
        <v>0</v>
      </c>
      <c r="S2181" s="114" t="n">
        <v>219.76</v>
      </c>
      <c r="T2181" t="n">
        <v>0</v>
      </c>
    </row>
    <row r="2182">
      <c r="A2182" t="inlineStr">
        <is>
          <t>ttJTrans</t>
        </is>
      </c>
      <c r="B2182" s="38" t="inlineStr">
        <is>
          <t>0-4008</t>
        </is>
      </c>
      <c r="C2182" t="inlineStr">
        <is>
          <t>OC</t>
        </is>
      </c>
      <c r="D2182" t="inlineStr">
        <is>
          <t>MA1011341</t>
        </is>
      </c>
      <c r="E2182" t="inlineStr">
        <is>
          <t>OC</t>
        </is>
      </c>
      <c r="F2182" t="inlineStr">
        <is>
          <t>MA1011341</t>
        </is>
      </c>
      <c r="G2182" t="n">
        <v>46132</v>
      </c>
      <c r="H2182" s="127" t="n">
        <v>46133</v>
      </c>
      <c r="I2182" t="inlineStr">
        <is>
          <t>1</t>
        </is>
      </c>
      <c r="J2182" s="38" t="inlineStr">
        <is>
          <t>0-4008</t>
        </is>
      </c>
      <c r="K2182" t="inlineStr">
        <is>
          <t>Delineator Post with Base - 45", Lime</t>
        </is>
      </c>
      <c r="L2182" t="n">
        <v>30</v>
      </c>
      <c r="M2182" t="n">
        <v>1098.9</v>
      </c>
      <c r="N2182" t="inlineStr">
        <is>
          <t>PO:COMMIT</t>
        </is>
      </c>
      <c r="O2182" t="inlineStr">
        <is>
          <t>13343</t>
        </is>
      </c>
      <c r="P2182" t="inlineStr">
        <is>
          <t>ULINE INC.</t>
        </is>
      </c>
      <c r="Q2182" s="114" t="n">
        <v>0</v>
      </c>
      <c r="R2182" s="114" t="n">
        <v>0</v>
      </c>
      <c r="S2182" s="114" t="n">
        <v>1098.9</v>
      </c>
      <c r="T2182" t="n">
        <v>0</v>
      </c>
    </row>
    <row r="2183">
      <c r="A2183" t="inlineStr">
        <is>
          <t>ttJTrans</t>
        </is>
      </c>
      <c r="B2183" s="38" t="inlineStr">
        <is>
          <t>0-4008</t>
        </is>
      </c>
      <c r="C2183" t="inlineStr">
        <is>
          <t>OC</t>
        </is>
      </c>
      <c r="D2183" t="inlineStr">
        <is>
          <t>MA1011341</t>
        </is>
      </c>
      <c r="E2183" t="inlineStr">
        <is>
          <t>OC</t>
        </is>
      </c>
      <c r="F2183" t="inlineStr">
        <is>
          <t>MA1011341</t>
        </is>
      </c>
      <c r="G2183" t="n">
        <v>46132</v>
      </c>
      <c r="H2183" s="127" t="n">
        <v>46141</v>
      </c>
      <c r="I2183" t="inlineStr">
        <is>
          <t>1</t>
        </is>
      </c>
      <c r="J2183" s="38" t="inlineStr">
        <is>
          <t>0-4008</t>
        </is>
      </c>
      <c r="K2183" t="inlineStr">
        <is>
          <t>Delineator Post with Base - 45", Lime</t>
        </is>
      </c>
      <c r="L2183" t="n">
        <v>30</v>
      </c>
      <c r="M2183" t="n">
        <v>1098.9</v>
      </c>
      <c r="N2183" t="inlineStr">
        <is>
          <t>INVOICE</t>
        </is>
      </c>
      <c r="O2183" t="inlineStr">
        <is>
          <t>13343</t>
        </is>
      </c>
      <c r="P2183" t="inlineStr">
        <is>
          <t>ULINE INC.</t>
        </is>
      </c>
      <c r="Q2183" s="114" t="n">
        <v>0</v>
      </c>
      <c r="R2183" s="114" t="n">
        <v>0</v>
      </c>
      <c r="S2183" s="114" t="n">
        <v>0</v>
      </c>
      <c r="T2183" t="n">
        <v>0</v>
      </c>
    </row>
    <row r="2184">
      <c r="A2184" t="inlineStr">
        <is>
          <t>ttJTrans</t>
        </is>
      </c>
      <c r="B2184" s="38" t="inlineStr">
        <is>
          <t>0-4008</t>
        </is>
      </c>
      <c r="C2184" t="inlineStr">
        <is>
          <t>OC</t>
        </is>
      </c>
      <c r="D2184" t="inlineStr">
        <is>
          <t>MA1011341</t>
        </is>
      </c>
      <c r="E2184" t="inlineStr">
        <is>
          <t>OC</t>
        </is>
      </c>
      <c r="F2184" t="inlineStr">
        <is>
          <t>MA1011341</t>
        </is>
      </c>
      <c r="G2184" t="n">
        <v>46132</v>
      </c>
      <c r="H2184" s="127" t="n">
        <v>46141</v>
      </c>
      <c r="I2184" t="inlineStr">
        <is>
          <t>2</t>
        </is>
      </c>
      <c r="J2184" s="38" t="inlineStr">
        <is>
          <t>0-4008</t>
        </is>
      </c>
      <c r="K2184" t="inlineStr">
        <is>
          <t>Shipping</t>
        </is>
      </c>
      <c r="L2184" t="n">
        <v>1</v>
      </c>
      <c r="M2184" t="n">
        <v>219.76</v>
      </c>
      <c r="N2184" t="inlineStr">
        <is>
          <t>INVOICE</t>
        </is>
      </c>
      <c r="O2184" t="inlineStr">
        <is>
          <t>13343</t>
        </is>
      </c>
      <c r="P2184" t="inlineStr">
        <is>
          <t>ULINE INC.</t>
        </is>
      </c>
      <c r="Q2184" s="114" t="n">
        <v>0</v>
      </c>
      <c r="R2184" s="114" t="n">
        <v>0</v>
      </c>
      <c r="S2184" s="114" t="n">
        <v>0</v>
      </c>
      <c r="T2184" t="n">
        <v>0</v>
      </c>
    </row>
    <row r="2185">
      <c r="A2185" t="inlineStr">
        <is>
          <t>ttJTrans</t>
        </is>
      </c>
      <c r="B2185" s="38" t="inlineStr">
        <is>
          <t>0-4008</t>
        </is>
      </c>
      <c r="C2185" t="inlineStr">
        <is>
          <t>OC</t>
        </is>
      </c>
      <c r="D2185" t="inlineStr">
        <is>
          <t>MA1011382</t>
        </is>
      </c>
      <c r="E2185" t="inlineStr">
        <is>
          <t>OC</t>
        </is>
      </c>
      <c r="F2185" t="inlineStr">
        <is>
          <t>MA1011382</t>
        </is>
      </c>
      <c r="G2185" t="n">
        <v>46133</v>
      </c>
      <c r="H2185" s="127" t="n">
        <v>46149</v>
      </c>
      <c r="I2185" t="inlineStr">
        <is>
          <t>1</t>
        </is>
      </c>
      <c r="J2185" s="38" t="inlineStr">
        <is>
          <t>0-4008</t>
        </is>
      </c>
      <c r="K2185" t="inlineStr">
        <is>
          <t>Seagate expansion 22TB hard drive - For</t>
        </is>
      </c>
      <c r="L2185" t="n">
        <v>1</v>
      </c>
      <c r="M2185" t="n">
        <v>665.9299999999999</v>
      </c>
      <c r="N2185" t="inlineStr">
        <is>
          <t>INVOICE</t>
        </is>
      </c>
      <c r="O2185" t="inlineStr">
        <is>
          <t>20395</t>
        </is>
      </c>
      <c r="P2185" t="inlineStr">
        <is>
          <t>AMAZON.COM SERVICES LLC</t>
        </is>
      </c>
      <c r="Q2185" s="114" t="n">
        <v>0</v>
      </c>
      <c r="R2185" s="114" t="n">
        <v>0</v>
      </c>
      <c r="S2185" s="114" t="n">
        <v>0</v>
      </c>
      <c r="T2185" t="n">
        <v>0</v>
      </c>
    </row>
    <row r="2186">
      <c r="A2186" t="inlineStr">
        <is>
          <t>ttJTrans</t>
        </is>
      </c>
      <c r="B2186" s="38" t="inlineStr">
        <is>
          <t>0-4008</t>
        </is>
      </c>
      <c r="C2186" t="inlineStr">
        <is>
          <t>OC</t>
        </is>
      </c>
      <c r="D2186" t="inlineStr">
        <is>
          <t>MA1011382</t>
        </is>
      </c>
      <c r="E2186" t="inlineStr">
        <is>
          <t>OC</t>
        </is>
      </c>
      <c r="F2186" t="inlineStr">
        <is>
          <t>MA1011382</t>
        </is>
      </c>
      <c r="G2186" t="n">
        <v>46133</v>
      </c>
      <c r="H2186" s="127" t="n">
        <v>46149</v>
      </c>
      <c r="I2186" t="inlineStr">
        <is>
          <t>2</t>
        </is>
      </c>
      <c r="J2186" s="38" t="inlineStr">
        <is>
          <t>0-4008</t>
        </is>
      </c>
      <c r="K2186" t="inlineStr">
        <is>
          <t>Sandisk 256GB microSD card - For Manny</t>
        </is>
      </c>
      <c r="L2186" t="n">
        <v>1</v>
      </c>
      <c r="M2186" t="n">
        <v>64.16</v>
      </c>
      <c r="N2186" t="inlineStr">
        <is>
          <t>INVOICE</t>
        </is>
      </c>
      <c r="O2186" t="inlineStr">
        <is>
          <t>20395</t>
        </is>
      </c>
      <c r="P2186" t="inlineStr">
        <is>
          <t>AMAZON.COM SERVICES LLC</t>
        </is>
      </c>
      <c r="Q2186" s="114" t="n">
        <v>0</v>
      </c>
      <c r="R2186" s="114" t="n">
        <v>0</v>
      </c>
      <c r="S2186" s="114" t="n">
        <v>0</v>
      </c>
      <c r="T2186" t="n">
        <v>0</v>
      </c>
    </row>
    <row r="2187">
      <c r="A2187" t="inlineStr">
        <is>
          <t>ttJTrans</t>
        </is>
      </c>
      <c r="B2187" s="38" t="inlineStr">
        <is>
          <t>0-4008</t>
        </is>
      </c>
      <c r="C2187" t="inlineStr">
        <is>
          <t>OC</t>
        </is>
      </c>
      <c r="D2187" t="inlineStr">
        <is>
          <t>MA1011382</t>
        </is>
      </c>
      <c r="E2187" t="inlineStr">
        <is>
          <t>OC</t>
        </is>
      </c>
      <c r="F2187" t="inlineStr">
        <is>
          <t>MA1011382</t>
        </is>
      </c>
      <c r="G2187" t="n">
        <v>46133</v>
      </c>
      <c r="H2187" s="127" t="n">
        <v>46139</v>
      </c>
      <c r="I2187" t="inlineStr">
        <is>
          <t>1</t>
        </is>
      </c>
      <c r="J2187" s="38" t="inlineStr">
        <is>
          <t>0-4008</t>
        </is>
      </c>
      <c r="K2187" t="inlineStr">
        <is>
          <t>Seagate expansion 22TB hard drive - For</t>
        </is>
      </c>
      <c r="L2187" t="n">
        <v>1</v>
      </c>
      <c r="M2187" t="n">
        <v>665.9299999999999</v>
      </c>
      <c r="N2187" t="inlineStr">
        <is>
          <t>PO:COMMIT</t>
        </is>
      </c>
      <c r="O2187" t="inlineStr">
        <is>
          <t>20395</t>
        </is>
      </c>
      <c r="P2187" t="inlineStr">
        <is>
          <t>AMAZON.COM SERVICES LLC</t>
        </is>
      </c>
      <c r="Q2187" s="114" t="n">
        <v>0</v>
      </c>
      <c r="R2187" s="114" t="n">
        <v>0</v>
      </c>
      <c r="S2187" s="114" t="n">
        <v>665.9299999999999</v>
      </c>
      <c r="T2187" t="n">
        <v>0</v>
      </c>
    </row>
    <row r="2188">
      <c r="A2188" t="inlineStr">
        <is>
          <t>ttJTrans</t>
        </is>
      </c>
      <c r="B2188" s="38" t="inlineStr">
        <is>
          <t>0-4008</t>
        </is>
      </c>
      <c r="C2188" t="inlineStr">
        <is>
          <t>OC</t>
        </is>
      </c>
      <c r="D2188" t="inlineStr">
        <is>
          <t>MA1011382</t>
        </is>
      </c>
      <c r="E2188" t="inlineStr">
        <is>
          <t>OC</t>
        </is>
      </c>
      <c r="F2188" t="inlineStr">
        <is>
          <t>MA1011382</t>
        </is>
      </c>
      <c r="G2188" t="n">
        <v>46133</v>
      </c>
      <c r="H2188" s="127" t="n">
        <v>46139</v>
      </c>
      <c r="I2188" t="inlineStr">
        <is>
          <t>2</t>
        </is>
      </c>
      <c r="J2188" s="38" t="inlineStr">
        <is>
          <t>0-4008</t>
        </is>
      </c>
      <c r="K2188" t="inlineStr">
        <is>
          <t>Sandisk 256GB microSD card - For Manny</t>
        </is>
      </c>
      <c r="L2188" t="n">
        <v>1</v>
      </c>
      <c r="M2188" t="n">
        <v>64.16</v>
      </c>
      <c r="N2188" t="inlineStr">
        <is>
          <t>PO:COMMIT</t>
        </is>
      </c>
      <c r="O2188" t="inlineStr">
        <is>
          <t>20395</t>
        </is>
      </c>
      <c r="P2188" t="inlineStr">
        <is>
          <t>AMAZON.COM SERVICES LLC</t>
        </is>
      </c>
      <c r="Q2188" s="114" t="n">
        <v>0</v>
      </c>
      <c r="R2188" s="114" t="n">
        <v>0</v>
      </c>
      <c r="S2188" s="114" t="n">
        <v>64.16</v>
      </c>
      <c r="T2188" t="n">
        <v>0</v>
      </c>
    </row>
    <row r="2189">
      <c r="A2189" t="inlineStr">
        <is>
          <t>ttJTrans</t>
        </is>
      </c>
      <c r="B2189" s="38" t="inlineStr">
        <is>
          <t>0-4008</t>
        </is>
      </c>
      <c r="C2189" t="inlineStr">
        <is>
          <t>OC</t>
        </is>
      </c>
      <c r="D2189" t="inlineStr">
        <is>
          <t>MA1011382</t>
        </is>
      </c>
      <c r="E2189" t="inlineStr">
        <is>
          <t>OC</t>
        </is>
      </c>
      <c r="F2189" t="inlineStr">
        <is>
          <t>MA1011382</t>
        </is>
      </c>
      <c r="G2189" t="n">
        <v>46133</v>
      </c>
      <c r="H2189" s="127" t="n">
        <v>46139</v>
      </c>
      <c r="I2189" t="inlineStr">
        <is>
          <t>2</t>
        </is>
      </c>
      <c r="J2189" s="38" t="inlineStr">
        <is>
          <t>0-4008</t>
        </is>
      </c>
      <c r="K2189" t="inlineStr">
        <is>
          <t>Sandisk 256GB microSD card - For Manny</t>
        </is>
      </c>
      <c r="L2189" t="n">
        <v>1</v>
      </c>
      <c r="M2189" t="n">
        <v>64.16</v>
      </c>
      <c r="N2189" t="inlineStr">
        <is>
          <t>INVOICE:ADJ-COMMIT</t>
        </is>
      </c>
      <c r="O2189" t="inlineStr">
        <is>
          <t>20395</t>
        </is>
      </c>
      <c r="P2189" t="inlineStr">
        <is>
          <t>AMAZON.COM SERVICES LLC</t>
        </is>
      </c>
      <c r="Q2189" s="114" t="n">
        <v>0</v>
      </c>
      <c r="R2189" s="114" t="n">
        <v>0</v>
      </c>
      <c r="S2189" s="114" t="n">
        <v>-64.16</v>
      </c>
      <c r="T2189" t="n">
        <v>0</v>
      </c>
    </row>
    <row r="2190">
      <c r="A2190" t="inlineStr">
        <is>
          <t>ttJTrans</t>
        </is>
      </c>
      <c r="B2190" s="38" t="inlineStr">
        <is>
          <t>0-4008</t>
        </is>
      </c>
      <c r="C2190" t="inlineStr">
        <is>
          <t>OC</t>
        </is>
      </c>
      <c r="D2190" t="inlineStr">
        <is>
          <t>MA1011382</t>
        </is>
      </c>
      <c r="E2190" t="inlineStr">
        <is>
          <t>OC</t>
        </is>
      </c>
      <c r="F2190" t="inlineStr">
        <is>
          <t>MA1011382</t>
        </is>
      </c>
      <c r="G2190" t="n">
        <v>46133</v>
      </c>
      <c r="H2190" s="127" t="n">
        <v>46139</v>
      </c>
      <c r="I2190" t="inlineStr">
        <is>
          <t>1</t>
        </is>
      </c>
      <c r="J2190" s="38" t="inlineStr">
        <is>
          <t>0-4008</t>
        </is>
      </c>
      <c r="K2190" t="inlineStr">
        <is>
          <t>Seagate expansion 22TB hard drive - For</t>
        </is>
      </c>
      <c r="L2190" t="n">
        <v>1</v>
      </c>
      <c r="M2190" t="n">
        <v>665.9299999999999</v>
      </c>
      <c r="N2190" t="inlineStr">
        <is>
          <t>INVOICE:ADJ-COMMIT</t>
        </is>
      </c>
      <c r="O2190" t="inlineStr">
        <is>
          <t>20395</t>
        </is>
      </c>
      <c r="P2190" t="inlineStr">
        <is>
          <t>AMAZON.COM SERVICES LLC</t>
        </is>
      </c>
      <c r="Q2190" s="114" t="n">
        <v>0</v>
      </c>
      <c r="R2190" s="114" t="n">
        <v>0</v>
      </c>
      <c r="S2190" s="114" t="n">
        <v>-665.9299999999999</v>
      </c>
      <c r="T2190" t="n">
        <v>0</v>
      </c>
    </row>
    <row r="2191">
      <c r="A2191" t="inlineStr">
        <is>
          <t>ttJTrans</t>
        </is>
      </c>
      <c r="B2191" s="38" t="inlineStr">
        <is>
          <t>0-4008</t>
        </is>
      </c>
      <c r="C2191" t="inlineStr">
        <is>
          <t>OC</t>
        </is>
      </c>
      <c r="D2191" t="inlineStr">
        <is>
          <t>MA1011403</t>
        </is>
      </c>
      <c r="E2191" t="inlineStr">
        <is>
          <t>OC</t>
        </is>
      </c>
      <c r="F2191" t="inlineStr">
        <is>
          <t>MA1011403</t>
        </is>
      </c>
      <c r="G2191" t="n">
        <v>46134</v>
      </c>
      <c r="H2191" s="127" t="n">
        <v>46136</v>
      </c>
      <c r="I2191" t="inlineStr">
        <is>
          <t>25</t>
        </is>
      </c>
      <c r="J2191" s="38" t="inlineStr">
        <is>
          <t>0-4008</t>
        </is>
      </c>
      <c r="K2191" t="inlineStr">
        <is>
          <t>TDB EST FREIGHT</t>
        </is>
      </c>
      <c r="L2191" t="n">
        <v>1</v>
      </c>
      <c r="M2191" t="n">
        <v>333</v>
      </c>
      <c r="N2191" t="inlineStr">
        <is>
          <t>PO:COMMIT</t>
        </is>
      </c>
      <c r="O2191" t="inlineStr">
        <is>
          <t>19480</t>
        </is>
      </c>
      <c r="P2191" t="inlineStr">
        <is>
          <t>TOTAL TOOL SUPPLY LLC</t>
        </is>
      </c>
      <c r="Q2191" s="114" t="n">
        <v>0</v>
      </c>
      <c r="R2191" s="114" t="n">
        <v>0</v>
      </c>
      <c r="S2191" s="114" t="n">
        <v>333</v>
      </c>
      <c r="T2191" t="n">
        <v>0</v>
      </c>
    </row>
    <row r="2192">
      <c r="A2192" t="inlineStr">
        <is>
          <t>ttJTrans</t>
        </is>
      </c>
      <c r="B2192" s="38" t="inlineStr">
        <is>
          <t>0-4008</t>
        </is>
      </c>
      <c r="C2192" t="inlineStr">
        <is>
          <t>OC</t>
        </is>
      </c>
      <c r="D2192" t="inlineStr">
        <is>
          <t>MA1011403</t>
        </is>
      </c>
      <c r="E2192" t="inlineStr">
        <is>
          <t>OC</t>
        </is>
      </c>
      <c r="F2192" t="inlineStr">
        <is>
          <t>MA1011403</t>
        </is>
      </c>
      <c r="G2192" t="n">
        <v>46134</v>
      </c>
      <c r="H2192" s="127" t="n">
        <v>46136</v>
      </c>
      <c r="I2192" t="inlineStr">
        <is>
          <t>23</t>
        </is>
      </c>
      <c r="J2192" s="38" t="inlineStr">
        <is>
          <t>0-4008</t>
        </is>
      </c>
      <c r="K2192" t="inlineStr">
        <is>
          <t>34IN WHEELER HAND HELD MARKING</t>
        </is>
      </c>
      <c r="L2192" t="n">
        <v>1</v>
      </c>
      <c r="M2192" t="n">
        <v>40.61</v>
      </c>
      <c r="N2192" t="inlineStr">
        <is>
          <t>PO:COMMIT</t>
        </is>
      </c>
      <c r="O2192" t="inlineStr">
        <is>
          <t>19480</t>
        </is>
      </c>
      <c r="P2192" t="inlineStr">
        <is>
          <t>TOTAL TOOL SUPPLY LLC</t>
        </is>
      </c>
      <c r="Q2192" s="114" t="n">
        <v>0</v>
      </c>
      <c r="R2192" s="114" t="n">
        <v>0</v>
      </c>
      <c r="S2192" s="114" t="n">
        <v>40.61</v>
      </c>
      <c r="T2192" t="n">
        <v>0</v>
      </c>
    </row>
    <row r="2193">
      <c r="A2193" t="inlineStr">
        <is>
          <t>ttJTrans</t>
        </is>
      </c>
      <c r="B2193" s="38" t="inlineStr">
        <is>
          <t>0-4008</t>
        </is>
      </c>
      <c r="C2193" t="inlineStr">
        <is>
          <t>OC</t>
        </is>
      </c>
      <c r="D2193" t="inlineStr">
        <is>
          <t>MA1011403</t>
        </is>
      </c>
      <c r="E2193" t="inlineStr">
        <is>
          <t>OC</t>
        </is>
      </c>
      <c r="F2193" t="inlineStr">
        <is>
          <t>MA1011403</t>
        </is>
      </c>
      <c r="G2193" t="n">
        <v>46134</v>
      </c>
      <c r="H2193" s="127" t="n">
        <v>46136</v>
      </c>
      <c r="I2193" t="inlineStr">
        <is>
          <t>18</t>
        </is>
      </c>
      <c r="J2193" s="38" t="inlineStr">
        <is>
          <t>0-4008</t>
        </is>
      </c>
      <c r="K2193" t="inlineStr">
        <is>
          <t>11IN CORN WHISK BROOM</t>
        </is>
      </c>
      <c r="L2193" t="n">
        <v>6</v>
      </c>
      <c r="M2193" t="n">
        <v>25.57</v>
      </c>
      <c r="N2193" t="inlineStr">
        <is>
          <t>PO:COMMIT</t>
        </is>
      </c>
      <c r="O2193" t="inlineStr">
        <is>
          <t>19480</t>
        </is>
      </c>
      <c r="P2193" t="inlineStr">
        <is>
          <t>TOTAL TOOL SUPPLY LLC</t>
        </is>
      </c>
      <c r="Q2193" s="114" t="n">
        <v>0</v>
      </c>
      <c r="R2193" s="114" t="n">
        <v>0</v>
      </c>
      <c r="S2193" s="114" t="n">
        <v>25.57</v>
      </c>
      <c r="T2193" t="n">
        <v>0</v>
      </c>
    </row>
    <row r="2194">
      <c r="A2194" t="inlineStr">
        <is>
          <t>ttJTrans</t>
        </is>
      </c>
      <c r="B2194" s="38" t="inlineStr">
        <is>
          <t>0-4008</t>
        </is>
      </c>
      <c r="C2194" t="inlineStr">
        <is>
          <t>OC</t>
        </is>
      </c>
      <c r="D2194" t="inlineStr">
        <is>
          <t>MA1011403</t>
        </is>
      </c>
      <c r="E2194" t="inlineStr">
        <is>
          <t>OC</t>
        </is>
      </c>
      <c r="F2194" t="inlineStr">
        <is>
          <t>MA1011403</t>
        </is>
      </c>
      <c r="G2194" t="n">
        <v>46134</v>
      </c>
      <c r="H2194" s="127" t="n">
        <v>46136</v>
      </c>
      <c r="I2194" t="inlineStr">
        <is>
          <t>19</t>
        </is>
      </c>
      <c r="J2194" s="38" t="inlineStr">
        <is>
          <t>0-4008</t>
        </is>
      </c>
      <c r="K2194" t="inlineStr">
        <is>
          <t>11IN BLACK CABLE TIE 50LBS</t>
        </is>
      </c>
      <c r="L2194" t="n">
        <v>1</v>
      </c>
      <c r="M2194" t="n">
        <v>6.39</v>
      </c>
      <c r="N2194" t="inlineStr">
        <is>
          <t>PO:COMMIT</t>
        </is>
      </c>
      <c r="O2194" t="inlineStr">
        <is>
          <t>19480</t>
        </is>
      </c>
      <c r="P2194" t="inlineStr">
        <is>
          <t>TOTAL TOOL SUPPLY LLC</t>
        </is>
      </c>
      <c r="Q2194" s="114" t="n">
        <v>0</v>
      </c>
      <c r="R2194" s="114" t="n">
        <v>0</v>
      </c>
      <c r="S2194" s="114" t="n">
        <v>6.39</v>
      </c>
      <c r="T2194" t="n">
        <v>0</v>
      </c>
    </row>
    <row r="2195">
      <c r="A2195" t="inlineStr">
        <is>
          <t>ttJTrans</t>
        </is>
      </c>
      <c r="B2195" s="38" t="inlineStr">
        <is>
          <t>0-4008</t>
        </is>
      </c>
      <c r="C2195" t="inlineStr">
        <is>
          <t>OC</t>
        </is>
      </c>
      <c r="D2195" t="inlineStr">
        <is>
          <t>MA1011403</t>
        </is>
      </c>
      <c r="E2195" t="inlineStr">
        <is>
          <t>OC</t>
        </is>
      </c>
      <c r="F2195" t="inlineStr">
        <is>
          <t>MA1011403</t>
        </is>
      </c>
      <c r="G2195" t="n">
        <v>46134</v>
      </c>
      <c r="H2195" s="127" t="n">
        <v>46136</v>
      </c>
      <c r="I2195" t="inlineStr">
        <is>
          <t>20</t>
        </is>
      </c>
      <c r="J2195" s="38" t="inlineStr">
        <is>
          <t>0-4008</t>
        </is>
      </c>
      <c r="K2195" t="inlineStr">
        <is>
          <t>UL #S-25690 BLUE MICROFIBER</t>
        </is>
      </c>
      <c r="L2195" t="n">
        <v>1</v>
      </c>
      <c r="M2195" t="n">
        <v>83.25</v>
      </c>
      <c r="N2195" t="inlineStr">
        <is>
          <t>PO:COMMIT</t>
        </is>
      </c>
      <c r="O2195" t="inlineStr">
        <is>
          <t>19480</t>
        </is>
      </c>
      <c r="P2195" t="inlineStr">
        <is>
          <t>TOTAL TOOL SUPPLY LLC</t>
        </is>
      </c>
      <c r="Q2195" s="114" t="n">
        <v>0</v>
      </c>
      <c r="R2195" s="114" t="n">
        <v>0</v>
      </c>
      <c r="S2195" s="114" t="n">
        <v>83.25</v>
      </c>
      <c r="T2195" t="n">
        <v>0</v>
      </c>
    </row>
    <row r="2196">
      <c r="A2196" t="inlineStr">
        <is>
          <t>ttJTrans</t>
        </is>
      </c>
      <c r="B2196" s="38" t="inlineStr">
        <is>
          <t>0-4008</t>
        </is>
      </c>
      <c r="C2196" t="inlineStr">
        <is>
          <t>OC</t>
        </is>
      </c>
      <c r="D2196" t="inlineStr">
        <is>
          <t>MA1011403</t>
        </is>
      </c>
      <c r="E2196" t="inlineStr">
        <is>
          <t>OC</t>
        </is>
      </c>
      <c r="F2196" t="inlineStr">
        <is>
          <t>MA1011403</t>
        </is>
      </c>
      <c r="G2196" t="n">
        <v>46134</v>
      </c>
      <c r="H2196" s="127" t="n">
        <v>46136</v>
      </c>
      <c r="I2196" t="inlineStr">
        <is>
          <t>21</t>
        </is>
      </c>
      <c r="J2196" s="38" t="inlineStr">
        <is>
          <t>0-4008</t>
        </is>
      </c>
      <c r="K2196" t="inlineStr">
        <is>
          <t>WHITE PAINT MARKER</t>
        </is>
      </c>
      <c r="L2196" t="n">
        <v>12</v>
      </c>
      <c r="M2196" t="n">
        <v>53.68</v>
      </c>
      <c r="N2196" t="inlineStr">
        <is>
          <t>PO:COMMIT</t>
        </is>
      </c>
      <c r="O2196" t="inlineStr">
        <is>
          <t>19480</t>
        </is>
      </c>
      <c r="P2196" t="inlineStr">
        <is>
          <t>TOTAL TOOL SUPPLY LLC</t>
        </is>
      </c>
      <c r="Q2196" s="114" t="n">
        <v>0</v>
      </c>
      <c r="R2196" s="114" t="n">
        <v>0</v>
      </c>
      <c r="S2196" s="114" t="n">
        <v>53.68</v>
      </c>
      <c r="T2196" t="n">
        <v>0</v>
      </c>
    </row>
    <row r="2197">
      <c r="A2197" t="inlineStr">
        <is>
          <t>ttJTrans</t>
        </is>
      </c>
      <c r="B2197" s="38" t="inlineStr">
        <is>
          <t>0-4008</t>
        </is>
      </c>
      <c r="C2197" t="inlineStr">
        <is>
          <t>OC</t>
        </is>
      </c>
      <c r="D2197" t="inlineStr">
        <is>
          <t>MA1011403</t>
        </is>
      </c>
      <c r="E2197" t="inlineStr">
        <is>
          <t>OC</t>
        </is>
      </c>
      <c r="F2197" t="inlineStr">
        <is>
          <t>MA1011403</t>
        </is>
      </c>
      <c r="G2197" t="n">
        <v>46134</v>
      </c>
      <c r="H2197" s="127" t="n">
        <v>46136</v>
      </c>
      <c r="I2197" t="inlineStr">
        <is>
          <t>22</t>
        </is>
      </c>
      <c r="J2197" s="38" t="inlineStr">
        <is>
          <t>0-4008</t>
        </is>
      </c>
      <c r="K2197" t="inlineStr">
        <is>
          <t>17OZ FLUORESENT ORANGE SOLVENT</t>
        </is>
      </c>
      <c r="L2197" t="n">
        <v>12</v>
      </c>
      <c r="M2197" t="n">
        <v>70.86</v>
      </c>
      <c r="N2197" t="inlineStr">
        <is>
          <t>PO:COMMIT</t>
        </is>
      </c>
      <c r="O2197" t="inlineStr">
        <is>
          <t>19480</t>
        </is>
      </c>
      <c r="P2197" t="inlineStr">
        <is>
          <t>TOTAL TOOL SUPPLY LLC</t>
        </is>
      </c>
      <c r="Q2197" s="114" t="n">
        <v>0</v>
      </c>
      <c r="R2197" s="114" t="n">
        <v>0</v>
      </c>
      <c r="S2197" s="114" t="n">
        <v>70.86</v>
      </c>
      <c r="T2197" t="n">
        <v>0</v>
      </c>
    </row>
    <row r="2198">
      <c r="A2198" t="inlineStr">
        <is>
          <t>ttJTrans</t>
        </is>
      </c>
      <c r="B2198" s="38" t="inlineStr">
        <is>
          <t>0-4008</t>
        </is>
      </c>
      <c r="C2198" t="inlineStr">
        <is>
          <t>OC</t>
        </is>
      </c>
      <c r="D2198" t="inlineStr">
        <is>
          <t>MA1011403</t>
        </is>
      </c>
      <c r="E2198" t="inlineStr">
        <is>
          <t>OC</t>
        </is>
      </c>
      <c r="F2198" t="inlineStr">
        <is>
          <t>MA1011403</t>
        </is>
      </c>
      <c r="G2198" t="n">
        <v>46134</v>
      </c>
      <c r="H2198" s="127" t="n">
        <v>46136</v>
      </c>
      <c r="I2198" t="inlineStr">
        <is>
          <t>16</t>
        </is>
      </c>
      <c r="J2198" s="38" t="inlineStr">
        <is>
          <t>0-4008</t>
        </is>
      </c>
      <c r="K2198" t="inlineStr">
        <is>
          <t>25LB NEAR WHITE RAGS</t>
        </is>
      </c>
      <c r="L2198" t="n">
        <v>1</v>
      </c>
      <c r="M2198" t="n">
        <v>29.6</v>
      </c>
      <c r="N2198" t="inlineStr">
        <is>
          <t>PO:COMMIT</t>
        </is>
      </c>
      <c r="O2198" t="inlineStr">
        <is>
          <t>19480</t>
        </is>
      </c>
      <c r="P2198" t="inlineStr">
        <is>
          <t>TOTAL TOOL SUPPLY LLC</t>
        </is>
      </c>
      <c r="Q2198" s="114" t="n">
        <v>0</v>
      </c>
      <c r="R2198" s="114" t="n">
        <v>0</v>
      </c>
      <c r="S2198" s="114" t="n">
        <v>29.6</v>
      </c>
      <c r="T2198" t="n">
        <v>0</v>
      </c>
    </row>
    <row r="2199">
      <c r="A2199" t="inlineStr">
        <is>
          <t>ttJTrans</t>
        </is>
      </c>
      <c r="B2199" s="38" t="inlineStr">
        <is>
          <t>0-4008</t>
        </is>
      </c>
      <c r="C2199" t="inlineStr">
        <is>
          <t>OC</t>
        </is>
      </c>
      <c r="D2199" t="inlineStr">
        <is>
          <t>MA1011403</t>
        </is>
      </c>
      <c r="E2199" t="inlineStr">
        <is>
          <t>OC</t>
        </is>
      </c>
      <c r="F2199" t="inlineStr">
        <is>
          <t>MA1011403</t>
        </is>
      </c>
      <c r="G2199" t="n">
        <v>46134</v>
      </c>
      <c r="H2199" s="127" t="n">
        <v>46136</v>
      </c>
      <c r="I2199" t="inlineStr">
        <is>
          <t>17</t>
        </is>
      </c>
      <c r="J2199" s="38" t="inlineStr">
        <is>
          <t>0-4008</t>
        </is>
      </c>
      <c r="K2199" t="inlineStr">
        <is>
          <t>18OZ GLASS CLEANER</t>
        </is>
      </c>
      <c r="L2199" t="n">
        <v>12</v>
      </c>
      <c r="M2199" t="n">
        <v>84.72</v>
      </c>
      <c r="N2199" t="inlineStr">
        <is>
          <t>PO:COMMIT</t>
        </is>
      </c>
      <c r="O2199" t="inlineStr">
        <is>
          <t>19480</t>
        </is>
      </c>
      <c r="P2199" t="inlineStr">
        <is>
          <t>TOTAL TOOL SUPPLY LLC</t>
        </is>
      </c>
      <c r="Q2199" s="114" t="n">
        <v>0</v>
      </c>
      <c r="R2199" s="114" t="n">
        <v>0</v>
      </c>
      <c r="S2199" s="114" t="n">
        <v>84.72</v>
      </c>
      <c r="T2199" t="n">
        <v>0</v>
      </c>
    </row>
    <row r="2200">
      <c r="A2200" t="inlineStr">
        <is>
          <t>ttJTrans</t>
        </is>
      </c>
      <c r="B2200" s="38" t="inlineStr">
        <is>
          <t>0-4008</t>
        </is>
      </c>
      <c r="C2200" t="inlineStr">
        <is>
          <t>OC</t>
        </is>
      </c>
      <c r="D2200" t="inlineStr">
        <is>
          <t>MA1011403</t>
        </is>
      </c>
      <c r="E2200" t="inlineStr">
        <is>
          <t>OC</t>
        </is>
      </c>
      <c r="F2200" t="inlineStr">
        <is>
          <t>MA1011403</t>
        </is>
      </c>
      <c r="G2200" t="n">
        <v>46134</v>
      </c>
      <c r="H2200" s="127" t="n">
        <v>46136</v>
      </c>
      <c r="I2200" t="inlineStr">
        <is>
          <t>12</t>
        </is>
      </c>
      <c r="J2200" s="38" t="inlineStr">
        <is>
          <t>0-4008</t>
        </is>
      </c>
      <c r="K2200" t="inlineStr">
        <is>
          <t>44-7/8IN 14/18T PORTABLE BAND</t>
        </is>
      </c>
      <c r="L2200" t="n">
        <v>5</v>
      </c>
      <c r="M2200" t="n">
        <v>34.52</v>
      </c>
      <c r="N2200" t="inlineStr">
        <is>
          <t>PO:COMMIT</t>
        </is>
      </c>
      <c r="O2200" t="inlineStr">
        <is>
          <t>19480</t>
        </is>
      </c>
      <c r="P2200" t="inlineStr">
        <is>
          <t>TOTAL TOOL SUPPLY LLC</t>
        </is>
      </c>
      <c r="Q2200" s="114" t="n">
        <v>0</v>
      </c>
      <c r="R2200" s="114" t="n">
        <v>0</v>
      </c>
      <c r="S2200" s="114" t="n">
        <v>34.52</v>
      </c>
      <c r="T2200" t="n">
        <v>0</v>
      </c>
    </row>
    <row r="2201">
      <c r="A2201" t="inlineStr">
        <is>
          <t>ttJTrans</t>
        </is>
      </c>
      <c r="B2201" s="38" t="inlineStr">
        <is>
          <t>0-4008</t>
        </is>
      </c>
      <c r="C2201" t="inlineStr">
        <is>
          <t>OC</t>
        </is>
      </c>
      <c r="D2201" t="inlineStr">
        <is>
          <t>MA1011403</t>
        </is>
      </c>
      <c r="E2201" t="inlineStr">
        <is>
          <t>OC</t>
        </is>
      </c>
      <c r="F2201" t="inlineStr">
        <is>
          <t>MA1011403</t>
        </is>
      </c>
      <c r="G2201" t="n">
        <v>46134</v>
      </c>
      <c r="H2201" s="127" t="n">
        <v>46136</v>
      </c>
      <c r="I2201" t="inlineStr">
        <is>
          <t>13</t>
        </is>
      </c>
      <c r="J2201" s="38" t="inlineStr">
        <is>
          <t>0-4008</t>
        </is>
      </c>
      <c r="K2201" t="inlineStr">
        <is>
          <t>2IN X 60YD SILVER DUCT TAPE</t>
        </is>
      </c>
      <c r="L2201" t="n">
        <v>48</v>
      </c>
      <c r="M2201" t="n">
        <v>312.22</v>
      </c>
      <c r="N2201" t="inlineStr">
        <is>
          <t>PO:COMMIT</t>
        </is>
      </c>
      <c r="O2201" t="inlineStr">
        <is>
          <t>19480</t>
        </is>
      </c>
      <c r="P2201" t="inlineStr">
        <is>
          <t>TOTAL TOOL SUPPLY LLC</t>
        </is>
      </c>
      <c r="Q2201" s="114" t="n">
        <v>0</v>
      </c>
      <c r="R2201" s="114" t="n">
        <v>0</v>
      </c>
      <c r="S2201" s="114" t="n">
        <v>312.22</v>
      </c>
      <c r="T2201" t="n">
        <v>0</v>
      </c>
    </row>
    <row r="2202">
      <c r="A2202" t="inlineStr">
        <is>
          <t>ttJTrans</t>
        </is>
      </c>
      <c r="B2202" s="38" t="inlineStr">
        <is>
          <t>0-4008</t>
        </is>
      </c>
      <c r="C2202" t="inlineStr">
        <is>
          <t>OC</t>
        </is>
      </c>
      <c r="D2202" t="inlineStr">
        <is>
          <t>MA1011403</t>
        </is>
      </c>
      <c r="E2202" t="inlineStr">
        <is>
          <t>OC</t>
        </is>
      </c>
      <c r="F2202" t="inlineStr">
        <is>
          <t>MA1011403</t>
        </is>
      </c>
      <c r="G2202" t="n">
        <v>46134</v>
      </c>
      <c r="H2202" s="127" t="n">
        <v>46136</v>
      </c>
      <c r="I2202" t="inlineStr">
        <is>
          <t>14</t>
        </is>
      </c>
      <c r="J2202" s="38" t="inlineStr">
        <is>
          <t>0-4008</t>
        </is>
      </c>
      <c r="K2202" t="inlineStr">
        <is>
          <t>TYTVT3460311B</t>
        </is>
      </c>
      <c r="L2202" t="n">
        <v>100</v>
      </c>
      <c r="M2202" t="n">
        <v>95.45999999999999</v>
      </c>
      <c r="N2202" t="inlineStr">
        <is>
          <t>PO:COMMIT</t>
        </is>
      </c>
      <c r="O2202" t="inlineStr">
        <is>
          <t>19480</t>
        </is>
      </c>
      <c r="P2202" t="inlineStr">
        <is>
          <t>TOTAL TOOL SUPPLY LLC</t>
        </is>
      </c>
      <c r="Q2202" s="114" t="n">
        <v>0</v>
      </c>
      <c r="R2202" s="114" t="n">
        <v>0</v>
      </c>
      <c r="S2202" s="114" t="n">
        <v>95.45999999999999</v>
      </c>
      <c r="T2202" t="n">
        <v>0</v>
      </c>
    </row>
    <row r="2203">
      <c r="A2203" t="inlineStr">
        <is>
          <t>ttJTrans</t>
        </is>
      </c>
      <c r="B2203" s="38" t="inlineStr">
        <is>
          <t>0-4008</t>
        </is>
      </c>
      <c r="C2203" t="inlineStr">
        <is>
          <t>OC</t>
        </is>
      </c>
      <c r="D2203" t="inlineStr">
        <is>
          <t>MA1011403</t>
        </is>
      </c>
      <c r="E2203" t="inlineStr">
        <is>
          <t>OC</t>
        </is>
      </c>
      <c r="F2203" t="inlineStr">
        <is>
          <t>MA1011403</t>
        </is>
      </c>
      <c r="G2203" t="n">
        <v>46134</v>
      </c>
      <c r="H2203" s="127" t="n">
        <v>46136</v>
      </c>
      <c r="I2203" t="inlineStr">
        <is>
          <t>8</t>
        </is>
      </c>
      <c r="J2203" s="38" t="inlineStr">
        <is>
          <t>0-4008</t>
        </is>
      </c>
      <c r="K2203" t="inlineStr">
        <is>
          <t>SC #ZCS2511 1/2IN KELLUM GRIP</t>
        </is>
      </c>
      <c r="L2203" t="n">
        <v>6</v>
      </c>
      <c r="M2203" t="n">
        <v>589.6799999999999</v>
      </c>
      <c r="N2203" t="inlineStr">
        <is>
          <t>PO:COMMIT</t>
        </is>
      </c>
      <c r="O2203" t="inlineStr">
        <is>
          <t>19480</t>
        </is>
      </c>
      <c r="P2203" t="inlineStr">
        <is>
          <t>TOTAL TOOL SUPPLY LLC</t>
        </is>
      </c>
      <c r="Q2203" s="114" t="n">
        <v>0</v>
      </c>
      <c r="R2203" s="114" t="n">
        <v>0</v>
      </c>
      <c r="S2203" s="114" t="n">
        <v>589.6799999999999</v>
      </c>
      <c r="T2203" t="n">
        <v>0</v>
      </c>
    </row>
    <row r="2204">
      <c r="A2204" t="inlineStr">
        <is>
          <t>ttJTrans</t>
        </is>
      </c>
      <c r="B2204" s="38" t="inlineStr">
        <is>
          <t>0-4008</t>
        </is>
      </c>
      <c r="C2204" t="inlineStr">
        <is>
          <t>OC</t>
        </is>
      </c>
      <c r="D2204" t="inlineStr">
        <is>
          <t>MA1011403</t>
        </is>
      </c>
      <c r="E2204" t="inlineStr">
        <is>
          <t>OC</t>
        </is>
      </c>
      <c r="F2204" t="inlineStr">
        <is>
          <t>MA1011403</t>
        </is>
      </c>
      <c r="G2204" t="n">
        <v>46134</v>
      </c>
      <c r="H2204" s="127" t="n">
        <v>46136</v>
      </c>
      <c r="I2204" t="inlineStr">
        <is>
          <t>9</t>
        </is>
      </c>
      <c r="J2204" s="38" t="inlineStr">
        <is>
          <t>0-4008</t>
        </is>
      </c>
      <c r="K2204" t="inlineStr">
        <is>
          <t>SC #ZCS2520 3/4IN KELLUM GRIP</t>
        </is>
      </c>
      <c r="L2204" t="n">
        <v>6</v>
      </c>
      <c r="M2204" t="n">
        <v>769.76</v>
      </c>
      <c r="N2204" t="inlineStr">
        <is>
          <t>PO:COMMIT</t>
        </is>
      </c>
      <c r="O2204" t="inlineStr">
        <is>
          <t>19480</t>
        </is>
      </c>
      <c r="P2204" t="inlineStr">
        <is>
          <t>TOTAL TOOL SUPPLY LLC</t>
        </is>
      </c>
      <c r="Q2204" s="114" t="n">
        <v>0</v>
      </c>
      <c r="R2204" s="114" t="n">
        <v>0</v>
      </c>
      <c r="S2204" s="114" t="n">
        <v>769.76</v>
      </c>
      <c r="T2204" t="n">
        <v>0</v>
      </c>
    </row>
    <row r="2205">
      <c r="A2205" t="inlineStr">
        <is>
          <t>ttJTrans</t>
        </is>
      </c>
      <c r="B2205" s="38" t="inlineStr">
        <is>
          <t>0-4008</t>
        </is>
      </c>
      <c r="C2205" t="inlineStr">
        <is>
          <t>OC</t>
        </is>
      </c>
      <c r="D2205" t="inlineStr">
        <is>
          <t>MA1011403</t>
        </is>
      </c>
      <c r="E2205" t="inlineStr">
        <is>
          <t>OC</t>
        </is>
      </c>
      <c r="F2205" t="inlineStr">
        <is>
          <t>MA1011403</t>
        </is>
      </c>
      <c r="G2205" t="n">
        <v>46134</v>
      </c>
      <c r="H2205" s="127" t="n">
        <v>46136</v>
      </c>
      <c r="I2205" t="inlineStr">
        <is>
          <t>10</t>
        </is>
      </c>
      <c r="J2205" s="38" t="inlineStr">
        <is>
          <t>0-4008</t>
        </is>
      </c>
      <c r="K2205" t="inlineStr">
        <is>
          <t>7/8IN SCREW PIN ANCHOR SHACKLE</t>
        </is>
      </c>
      <c r="L2205" t="n">
        <v>15</v>
      </c>
      <c r="M2205" t="n">
        <v>501</v>
      </c>
      <c r="N2205" t="inlineStr">
        <is>
          <t>PO:COMMIT</t>
        </is>
      </c>
      <c r="O2205" t="inlineStr">
        <is>
          <t>19480</t>
        </is>
      </c>
      <c r="P2205" t="inlineStr">
        <is>
          <t>TOTAL TOOL SUPPLY LLC</t>
        </is>
      </c>
      <c r="Q2205" s="114" t="n">
        <v>0</v>
      </c>
      <c r="R2205" s="114" t="n">
        <v>0</v>
      </c>
      <c r="S2205" s="114" t="n">
        <v>501</v>
      </c>
      <c r="T2205" t="n">
        <v>0</v>
      </c>
    </row>
    <row r="2206">
      <c r="A2206" t="inlineStr">
        <is>
          <t>ttJTrans</t>
        </is>
      </c>
      <c r="B2206" s="38" t="inlineStr">
        <is>
          <t>0-4008</t>
        </is>
      </c>
      <c r="C2206" t="inlineStr">
        <is>
          <t>OC</t>
        </is>
      </c>
      <c r="D2206" t="inlineStr">
        <is>
          <t>MA1011403</t>
        </is>
      </c>
      <c r="E2206" t="inlineStr">
        <is>
          <t>OC</t>
        </is>
      </c>
      <c r="F2206" t="inlineStr">
        <is>
          <t>MA1011403</t>
        </is>
      </c>
      <c r="G2206" t="n">
        <v>46134</v>
      </c>
      <c r="H2206" s="127" t="n">
        <v>46136</v>
      </c>
      <c r="I2206" t="inlineStr">
        <is>
          <t>11</t>
        </is>
      </c>
      <c r="J2206" s="38" t="inlineStr">
        <is>
          <t>0-4008</t>
        </is>
      </c>
      <c r="K2206" t="inlineStr">
        <is>
          <t>3/4X50FT DOUBLE BRAID EYES</t>
        </is>
      </c>
      <c r="L2206" t="n">
        <v>30</v>
      </c>
      <c r="M2206" t="n">
        <v>6474.19</v>
      </c>
      <c r="N2206" t="inlineStr">
        <is>
          <t>PO:COMMIT</t>
        </is>
      </c>
      <c r="O2206" t="inlineStr">
        <is>
          <t>19480</t>
        </is>
      </c>
      <c r="P2206" t="inlineStr">
        <is>
          <t>TOTAL TOOL SUPPLY LLC</t>
        </is>
      </c>
      <c r="Q2206" s="114" t="n">
        <v>0</v>
      </c>
      <c r="R2206" s="114" t="n">
        <v>0</v>
      </c>
      <c r="S2206" s="114" t="n">
        <v>6474.19</v>
      </c>
      <c r="T2206" t="n">
        <v>0</v>
      </c>
    </row>
    <row r="2207">
      <c r="A2207" t="inlineStr">
        <is>
          <t>ttJTrans</t>
        </is>
      </c>
      <c r="B2207" s="38" t="inlineStr">
        <is>
          <t>0-4008</t>
        </is>
      </c>
      <c r="C2207" t="inlineStr">
        <is>
          <t>OC</t>
        </is>
      </c>
      <c r="D2207" t="inlineStr">
        <is>
          <t>MA1011403</t>
        </is>
      </c>
      <c r="E2207" t="inlineStr">
        <is>
          <t>OC</t>
        </is>
      </c>
      <c r="F2207" t="inlineStr">
        <is>
          <t>MA1011403</t>
        </is>
      </c>
      <c r="G2207" t="n">
        <v>46134</v>
      </c>
      <c r="H2207" s="127" t="n">
        <v>46136</v>
      </c>
      <c r="I2207" t="inlineStr">
        <is>
          <t>24</t>
        </is>
      </c>
      <c r="J2207" s="38" t="inlineStr">
        <is>
          <t>0-4008</t>
        </is>
      </c>
      <c r="K2207" t="inlineStr">
        <is>
          <t>1IN X 35FT POWERLOCK TAPE</t>
        </is>
      </c>
      <c r="L2207" t="n">
        <v>9</v>
      </c>
      <c r="M2207" t="n">
        <v>254.94</v>
      </c>
      <c r="N2207" t="inlineStr">
        <is>
          <t>PO:COMMIT</t>
        </is>
      </c>
      <c r="O2207" t="inlineStr">
        <is>
          <t>19480</t>
        </is>
      </c>
      <c r="P2207" t="inlineStr">
        <is>
          <t>TOTAL TOOL SUPPLY LLC</t>
        </is>
      </c>
      <c r="Q2207" s="114" t="n">
        <v>0</v>
      </c>
      <c r="R2207" s="114" t="n">
        <v>0</v>
      </c>
      <c r="S2207" s="114" t="n">
        <v>254.94</v>
      </c>
      <c r="T2207" t="n">
        <v>0</v>
      </c>
    </row>
    <row r="2208">
      <c r="A2208" t="inlineStr">
        <is>
          <t>ttJTrans</t>
        </is>
      </c>
      <c r="B2208" s="38" t="inlineStr">
        <is>
          <t>0-4008</t>
        </is>
      </c>
      <c r="C2208" t="inlineStr">
        <is>
          <t>OC</t>
        </is>
      </c>
      <c r="D2208" t="inlineStr">
        <is>
          <t>MA1011403</t>
        </is>
      </c>
      <c r="E2208" t="inlineStr">
        <is>
          <t>OC</t>
        </is>
      </c>
      <c r="F2208" t="inlineStr">
        <is>
          <t>MA1011403</t>
        </is>
      </c>
      <c r="G2208" t="n">
        <v>46134</v>
      </c>
      <c r="H2208" s="127" t="n">
        <v>46136</v>
      </c>
      <c r="I2208" t="inlineStr">
        <is>
          <t>7</t>
        </is>
      </c>
      <c r="J2208" s="38" t="inlineStr">
        <is>
          <t>0-4008</t>
        </is>
      </c>
      <c r="K2208" t="inlineStr">
        <is>
          <t>SC #ZCS2517 2-1/2-3IN KELLUM</t>
        </is>
      </c>
      <c r="L2208" t="n">
        <v>30</v>
      </c>
      <c r="M2208" t="n">
        <v>4020.64</v>
      </c>
      <c r="N2208" t="inlineStr">
        <is>
          <t>INVOICE:ADJ-COMMIT</t>
        </is>
      </c>
      <c r="O2208" t="inlineStr">
        <is>
          <t>19480</t>
        </is>
      </c>
      <c r="P2208" t="inlineStr">
        <is>
          <t>TOTAL TOOL SUPPLY LLC</t>
        </is>
      </c>
      <c r="Q2208" s="114" t="n">
        <v>0</v>
      </c>
      <c r="R2208" s="114" t="n">
        <v>0</v>
      </c>
      <c r="S2208" s="114" t="n">
        <v>-4020.64</v>
      </c>
      <c r="T2208" t="n">
        <v>0</v>
      </c>
    </row>
    <row r="2209">
      <c r="A2209" t="inlineStr">
        <is>
          <t>ttJTrans</t>
        </is>
      </c>
      <c r="B2209" s="38" t="inlineStr">
        <is>
          <t>0-4008</t>
        </is>
      </c>
      <c r="C2209" t="inlineStr">
        <is>
          <t>OC</t>
        </is>
      </c>
      <c r="D2209" t="inlineStr">
        <is>
          <t>MA1011403</t>
        </is>
      </c>
      <c r="E2209" t="inlineStr">
        <is>
          <t>OC</t>
        </is>
      </c>
      <c r="F2209" t="inlineStr">
        <is>
          <t>MA1011403</t>
        </is>
      </c>
      <c r="G2209" t="n">
        <v>46134</v>
      </c>
      <c r="H2209" s="127" t="n">
        <v>46136</v>
      </c>
      <c r="I2209" t="inlineStr">
        <is>
          <t>9</t>
        </is>
      </c>
      <c r="J2209" s="38" t="inlineStr">
        <is>
          <t>0-4008</t>
        </is>
      </c>
      <c r="K2209" t="inlineStr">
        <is>
          <t>SC #ZCS2520 3/4IN KELLUM GRIP</t>
        </is>
      </c>
      <c r="L2209" t="n">
        <v>6</v>
      </c>
      <c r="M2209" t="n">
        <v>769.76</v>
      </c>
      <c r="N2209" t="inlineStr">
        <is>
          <t>INVOICE:ADJ-COMMIT</t>
        </is>
      </c>
      <c r="O2209" t="inlineStr">
        <is>
          <t>19480</t>
        </is>
      </c>
      <c r="P2209" t="inlineStr">
        <is>
          <t>TOTAL TOOL SUPPLY LLC</t>
        </is>
      </c>
      <c r="Q2209" s="114" t="n">
        <v>0</v>
      </c>
      <c r="R2209" s="114" t="n">
        <v>0</v>
      </c>
      <c r="S2209" s="114" t="n">
        <v>-769.76</v>
      </c>
      <c r="T2209" t="n">
        <v>0</v>
      </c>
    </row>
    <row r="2210">
      <c r="A2210" t="inlineStr">
        <is>
          <t>ttJTrans</t>
        </is>
      </c>
      <c r="B2210" s="38" t="inlineStr">
        <is>
          <t>0-4008</t>
        </is>
      </c>
      <c r="C2210" t="inlineStr">
        <is>
          <t>OC</t>
        </is>
      </c>
      <c r="D2210" t="inlineStr">
        <is>
          <t>MA1011403</t>
        </is>
      </c>
      <c r="E2210" t="inlineStr">
        <is>
          <t>OC</t>
        </is>
      </c>
      <c r="F2210" t="inlineStr">
        <is>
          <t>MA1011403</t>
        </is>
      </c>
      <c r="G2210" t="n">
        <v>46134</v>
      </c>
      <c r="H2210" s="127" t="n">
        <v>46136</v>
      </c>
      <c r="I2210" t="inlineStr">
        <is>
          <t>3</t>
        </is>
      </c>
      <c r="J2210" s="38" t="inlineStr">
        <is>
          <t>0-4008</t>
        </is>
      </c>
      <c r="K2210" t="inlineStr">
        <is>
          <t>SC #ZCS3508 1-1/2-2IN KELLUM</t>
        </is>
      </c>
      <c r="L2210" t="n">
        <v>9</v>
      </c>
      <c r="M2210" t="n">
        <v>2390.91</v>
      </c>
      <c r="N2210" t="inlineStr">
        <is>
          <t>INVOICE:ADJ-COMMIT</t>
        </is>
      </c>
      <c r="O2210" t="inlineStr">
        <is>
          <t>19480</t>
        </is>
      </c>
      <c r="P2210" t="inlineStr">
        <is>
          <t>TOTAL TOOL SUPPLY LLC</t>
        </is>
      </c>
      <c r="Q2210" s="114" t="n">
        <v>0</v>
      </c>
      <c r="R2210" s="114" t="n">
        <v>0</v>
      </c>
      <c r="S2210" s="114" t="n">
        <v>-2390.91</v>
      </c>
      <c r="T2210" t="n">
        <v>0</v>
      </c>
    </row>
    <row r="2211">
      <c r="A2211" t="inlineStr">
        <is>
          <t>ttJTrans</t>
        </is>
      </c>
      <c r="B2211" s="38" t="inlineStr">
        <is>
          <t>0-4008</t>
        </is>
      </c>
      <c r="C2211" t="inlineStr">
        <is>
          <t>OC</t>
        </is>
      </c>
      <c r="D2211" t="inlineStr">
        <is>
          <t>MA1011403</t>
        </is>
      </c>
      <c r="E2211" t="inlineStr">
        <is>
          <t>OC</t>
        </is>
      </c>
      <c r="F2211" t="inlineStr">
        <is>
          <t>MA1011403</t>
        </is>
      </c>
      <c r="G2211" t="n">
        <v>46134</v>
      </c>
      <c r="H2211" s="127" t="n">
        <v>46136</v>
      </c>
      <c r="I2211" t="inlineStr">
        <is>
          <t>5</t>
        </is>
      </c>
      <c r="J2211" s="38" t="inlineStr">
        <is>
          <t>0-4008</t>
        </is>
      </c>
      <c r="K2211" t="inlineStr">
        <is>
          <t>SC #ZCS2515 1-1/2-2IN KELLUM</t>
        </is>
      </c>
      <c r="L2211" t="n">
        <v>30</v>
      </c>
      <c r="M2211" t="n">
        <v>3380.95</v>
      </c>
      <c r="N2211" t="inlineStr">
        <is>
          <t>PO:COMMIT</t>
        </is>
      </c>
      <c r="O2211" t="inlineStr">
        <is>
          <t>19480</t>
        </is>
      </c>
      <c r="P2211" t="inlineStr">
        <is>
          <t>TOTAL TOOL SUPPLY LLC</t>
        </is>
      </c>
      <c r="Q2211" s="114" t="n">
        <v>0</v>
      </c>
      <c r="R2211" s="114" t="n">
        <v>0</v>
      </c>
      <c r="S2211" s="114" t="n">
        <v>3380.95</v>
      </c>
      <c r="T2211" t="n">
        <v>0</v>
      </c>
    </row>
    <row r="2212">
      <c r="A2212" t="inlineStr">
        <is>
          <t>ttJTrans</t>
        </is>
      </c>
      <c r="B2212" s="38" t="inlineStr">
        <is>
          <t>0-4008</t>
        </is>
      </c>
      <c r="C2212" t="inlineStr">
        <is>
          <t>OC</t>
        </is>
      </c>
      <c r="D2212" t="inlineStr">
        <is>
          <t>MA1011403</t>
        </is>
      </c>
      <c r="E2212" t="inlineStr">
        <is>
          <t>OC</t>
        </is>
      </c>
      <c r="F2212" t="inlineStr">
        <is>
          <t>MA1011403</t>
        </is>
      </c>
      <c r="G2212" t="n">
        <v>46134</v>
      </c>
      <c r="H2212" s="127" t="n">
        <v>46136</v>
      </c>
      <c r="I2212" t="inlineStr">
        <is>
          <t>1</t>
        </is>
      </c>
      <c r="J2212" s="38" t="inlineStr">
        <is>
          <t>0-4008</t>
        </is>
      </c>
      <c r="K2212" t="inlineStr">
        <is>
          <t>SC #ZCS3506 KELLUM GRIP</t>
        </is>
      </c>
      <c r="L2212" t="n">
        <v>3</v>
      </c>
      <c r="M2212" t="n">
        <v>528.9</v>
      </c>
      <c r="N2212" t="inlineStr">
        <is>
          <t>PO:COMMIT</t>
        </is>
      </c>
      <c r="O2212" t="inlineStr">
        <is>
          <t>19480</t>
        </is>
      </c>
      <c r="P2212" t="inlineStr">
        <is>
          <t>TOTAL TOOL SUPPLY LLC</t>
        </is>
      </c>
      <c r="Q2212" s="114" t="n">
        <v>0</v>
      </c>
      <c r="R2212" s="114" t="n">
        <v>0</v>
      </c>
      <c r="S2212" s="114" t="n">
        <v>528.9</v>
      </c>
      <c r="T2212" t="n">
        <v>0</v>
      </c>
    </row>
    <row r="2213">
      <c r="A2213" t="inlineStr">
        <is>
          <t>ttJTrans</t>
        </is>
      </c>
      <c r="B2213" s="38" t="inlineStr">
        <is>
          <t>0-4008</t>
        </is>
      </c>
      <c r="C2213" t="inlineStr">
        <is>
          <t>OC</t>
        </is>
      </c>
      <c r="D2213" t="inlineStr">
        <is>
          <t>MA1011403</t>
        </is>
      </c>
      <c r="E2213" t="inlineStr">
        <is>
          <t>OC</t>
        </is>
      </c>
      <c r="F2213" t="inlineStr">
        <is>
          <t>MA1011403</t>
        </is>
      </c>
      <c r="G2213" t="n">
        <v>46134</v>
      </c>
      <c r="H2213" s="127" t="n">
        <v>46136</v>
      </c>
      <c r="I2213" t="inlineStr">
        <is>
          <t>1</t>
        </is>
      </c>
      <c r="J2213" s="38" t="inlineStr">
        <is>
          <t>0-4008</t>
        </is>
      </c>
      <c r="K2213" t="inlineStr">
        <is>
          <t>SC #ZCS3506 KELLUM GRIP</t>
        </is>
      </c>
      <c r="L2213" t="n">
        <v>3</v>
      </c>
      <c r="M2213" t="n">
        <v>528.9</v>
      </c>
      <c r="N2213" t="inlineStr">
        <is>
          <t>INVOICE:ADJ-COMMIT</t>
        </is>
      </c>
      <c r="O2213" t="inlineStr">
        <is>
          <t>19480</t>
        </is>
      </c>
      <c r="P2213" t="inlineStr">
        <is>
          <t>TOTAL TOOL SUPPLY LLC</t>
        </is>
      </c>
      <c r="Q2213" s="114" t="n">
        <v>0</v>
      </c>
      <c r="R2213" s="114" t="n">
        <v>0</v>
      </c>
      <c r="S2213" s="114" t="n">
        <v>-528.9</v>
      </c>
      <c r="T2213" t="n">
        <v>0</v>
      </c>
    </row>
    <row r="2214">
      <c r="A2214" t="inlineStr">
        <is>
          <t>ttJTrans</t>
        </is>
      </c>
      <c r="B2214" s="38" t="inlineStr">
        <is>
          <t>0-4008</t>
        </is>
      </c>
      <c r="C2214" t="inlineStr">
        <is>
          <t>OC</t>
        </is>
      </c>
      <c r="D2214" t="inlineStr">
        <is>
          <t>MA1011403</t>
        </is>
      </c>
      <c r="E2214" t="inlineStr">
        <is>
          <t>OC</t>
        </is>
      </c>
      <c r="F2214" t="inlineStr">
        <is>
          <t>MA1011403</t>
        </is>
      </c>
      <c r="G2214" t="n">
        <v>46134</v>
      </c>
      <c r="H2214" s="127" t="n">
        <v>46136</v>
      </c>
      <c r="I2214" t="inlineStr">
        <is>
          <t>11</t>
        </is>
      </c>
      <c r="J2214" s="38" t="inlineStr">
        <is>
          <t>0-4008</t>
        </is>
      </c>
      <c r="K2214" t="inlineStr">
        <is>
          <t>3/4X50FT DOUBLE BRAID EYES</t>
        </is>
      </c>
      <c r="L2214" t="n">
        <v>30</v>
      </c>
      <c r="M2214" t="n">
        <v>6474.19</v>
      </c>
      <c r="N2214" t="inlineStr">
        <is>
          <t>INVOICE:ADJ-COMMIT</t>
        </is>
      </c>
      <c r="O2214" t="inlineStr">
        <is>
          <t>19480</t>
        </is>
      </c>
      <c r="P2214" t="inlineStr">
        <is>
          <t>TOTAL TOOL SUPPLY LLC</t>
        </is>
      </c>
      <c r="Q2214" s="114" t="n">
        <v>0</v>
      </c>
      <c r="R2214" s="114" t="n">
        <v>0</v>
      </c>
      <c r="S2214" s="114" t="n">
        <v>-6474.19</v>
      </c>
      <c r="T2214" t="n">
        <v>0</v>
      </c>
    </row>
    <row r="2215">
      <c r="A2215" t="inlineStr">
        <is>
          <t>ttJTrans</t>
        </is>
      </c>
      <c r="B2215" s="38" t="inlineStr">
        <is>
          <t>0-4008</t>
        </is>
      </c>
      <c r="C2215" t="inlineStr">
        <is>
          <t>OC</t>
        </is>
      </c>
      <c r="D2215" t="inlineStr">
        <is>
          <t>MA1011403</t>
        </is>
      </c>
      <c r="E2215" t="inlineStr">
        <is>
          <t>OC</t>
        </is>
      </c>
      <c r="F2215" t="inlineStr">
        <is>
          <t>MA1011403</t>
        </is>
      </c>
      <c r="G2215" t="n">
        <v>46134</v>
      </c>
      <c r="H2215" s="127" t="n">
        <v>46136</v>
      </c>
      <c r="I2215" t="inlineStr">
        <is>
          <t>6</t>
        </is>
      </c>
      <c r="J2215" s="38" t="inlineStr">
        <is>
          <t>0-4008</t>
        </is>
      </c>
      <c r="K2215" t="inlineStr">
        <is>
          <t>SC #ZCS2523 2-2-1/2 KELLUM</t>
        </is>
      </c>
      <c r="L2215" t="n">
        <v>30</v>
      </c>
      <c r="M2215" t="n">
        <v>4607.06</v>
      </c>
      <c r="N2215" t="inlineStr">
        <is>
          <t>PO:COMMIT</t>
        </is>
      </c>
      <c r="O2215" t="inlineStr">
        <is>
          <t>19480</t>
        </is>
      </c>
      <c r="P2215" t="inlineStr">
        <is>
          <t>TOTAL TOOL SUPPLY LLC</t>
        </is>
      </c>
      <c r="Q2215" s="114" t="n">
        <v>0</v>
      </c>
      <c r="R2215" s="114" t="n">
        <v>0</v>
      </c>
      <c r="S2215" s="114" t="n">
        <v>4607.06</v>
      </c>
      <c r="T2215" t="n">
        <v>0</v>
      </c>
    </row>
    <row r="2216">
      <c r="A2216" t="inlineStr">
        <is>
          <t>ttJTrans</t>
        </is>
      </c>
      <c r="B2216" s="38" t="inlineStr">
        <is>
          <t>0-4008</t>
        </is>
      </c>
      <c r="C2216" t="inlineStr">
        <is>
          <t>OC</t>
        </is>
      </c>
      <c r="D2216" t="inlineStr">
        <is>
          <t>MA1011403</t>
        </is>
      </c>
      <c r="E2216" t="inlineStr">
        <is>
          <t>OC</t>
        </is>
      </c>
      <c r="F2216" t="inlineStr">
        <is>
          <t>MA1011403</t>
        </is>
      </c>
      <c r="G2216" t="n">
        <v>46134</v>
      </c>
      <c r="H2216" s="127" t="n">
        <v>46136</v>
      </c>
      <c r="I2216" t="inlineStr">
        <is>
          <t>2</t>
        </is>
      </c>
      <c r="J2216" s="38" t="inlineStr">
        <is>
          <t>0-4008</t>
        </is>
      </c>
      <c r="K2216" t="inlineStr">
        <is>
          <t>SC #ZCS3507 1-1-1/2 KELLUM</t>
        </is>
      </c>
      <c r="L2216" t="n">
        <v>9</v>
      </c>
      <c r="M2216" t="n">
        <v>2327.77</v>
      </c>
      <c r="N2216" t="inlineStr">
        <is>
          <t>PO:COMMIT</t>
        </is>
      </c>
      <c r="O2216" t="inlineStr">
        <is>
          <t>19480</t>
        </is>
      </c>
      <c r="P2216" t="inlineStr">
        <is>
          <t>TOTAL TOOL SUPPLY LLC</t>
        </is>
      </c>
      <c r="Q2216" s="114" t="n">
        <v>0</v>
      </c>
      <c r="R2216" s="114" t="n">
        <v>0</v>
      </c>
      <c r="S2216" s="114" t="n">
        <v>2327.77</v>
      </c>
      <c r="T2216" t="n">
        <v>0</v>
      </c>
    </row>
    <row r="2217">
      <c r="A2217" t="inlineStr">
        <is>
          <t>ttJTrans</t>
        </is>
      </c>
      <c r="B2217" s="38" t="inlineStr">
        <is>
          <t>0-4008</t>
        </is>
      </c>
      <c r="C2217" t="inlineStr">
        <is>
          <t>OC</t>
        </is>
      </c>
      <c r="D2217" t="inlineStr">
        <is>
          <t>MA1011403</t>
        </is>
      </c>
      <c r="E2217" t="inlineStr">
        <is>
          <t>OC</t>
        </is>
      </c>
      <c r="F2217" t="inlineStr">
        <is>
          <t>MA1011403</t>
        </is>
      </c>
      <c r="G2217" s="42" t="n">
        <v>46134</v>
      </c>
      <c r="H2217" s="127" t="n">
        <v>46136</v>
      </c>
      <c r="I2217" t="inlineStr">
        <is>
          <t>6</t>
        </is>
      </c>
      <c r="J2217" s="38" t="inlineStr">
        <is>
          <t>0-4008</t>
        </is>
      </c>
      <c r="K2217" t="inlineStr">
        <is>
          <t>SC #ZCS2523 2-2-1/2 KELLUM</t>
        </is>
      </c>
      <c r="L2217" t="n">
        <v>30</v>
      </c>
      <c r="M2217" t="n">
        <v>4607.06</v>
      </c>
      <c r="N2217" t="inlineStr">
        <is>
          <t>INVOICE:ADJ-COMMIT</t>
        </is>
      </c>
      <c r="O2217" t="inlineStr">
        <is>
          <t>19480</t>
        </is>
      </c>
      <c r="P2217" t="inlineStr">
        <is>
          <t>TOTAL TOOL SUPPLY LLC</t>
        </is>
      </c>
      <c r="Q2217" s="114" t="n">
        <v>0</v>
      </c>
      <c r="R2217" s="114" t="n">
        <v>0</v>
      </c>
      <c r="S2217" s="114" t="n">
        <v>-3992.79</v>
      </c>
      <c r="T2217" t="n">
        <v>0</v>
      </c>
    </row>
    <row r="2218">
      <c r="A2218" t="inlineStr">
        <is>
          <t>ttJTrans</t>
        </is>
      </c>
      <c r="B2218" s="38" t="inlineStr">
        <is>
          <t>0-4008</t>
        </is>
      </c>
      <c r="C2218" t="inlineStr">
        <is>
          <t>OC</t>
        </is>
      </c>
      <c r="D2218" t="inlineStr">
        <is>
          <t>MA1011403</t>
        </is>
      </c>
      <c r="E2218" t="inlineStr">
        <is>
          <t>OC</t>
        </is>
      </c>
      <c r="F2218" t="inlineStr">
        <is>
          <t>MA1011403</t>
        </is>
      </c>
      <c r="G2218" t="n">
        <v>46134</v>
      </c>
      <c r="H2218" s="127" t="n">
        <v>46136</v>
      </c>
      <c r="I2218" t="inlineStr">
        <is>
          <t>5</t>
        </is>
      </c>
      <c r="J2218" s="38" t="inlineStr">
        <is>
          <t>0-4008</t>
        </is>
      </c>
      <c r="K2218" t="inlineStr">
        <is>
          <t>SC #ZCS2515 1-1/2-2IN KELLUM</t>
        </is>
      </c>
      <c r="L2218" t="n">
        <v>30</v>
      </c>
      <c r="M2218" t="n">
        <v>3380.95</v>
      </c>
      <c r="N2218" t="inlineStr">
        <is>
          <t>INVOICE:ADJ-COMMIT</t>
        </is>
      </c>
      <c r="O2218" t="inlineStr">
        <is>
          <t>19480</t>
        </is>
      </c>
      <c r="P2218" t="inlineStr">
        <is>
          <t>TOTAL TOOL SUPPLY LLC</t>
        </is>
      </c>
      <c r="Q2218" s="114" t="n">
        <v>0</v>
      </c>
      <c r="R2218" s="114" t="n">
        <v>0</v>
      </c>
      <c r="S2218" s="114" t="n">
        <v>-3380.95</v>
      </c>
      <c r="T2218" t="n">
        <v>0</v>
      </c>
    </row>
    <row r="2219">
      <c r="A2219" t="inlineStr">
        <is>
          <t>ttJTrans</t>
        </is>
      </c>
      <c r="B2219" s="38" t="inlineStr">
        <is>
          <t>0-4008</t>
        </is>
      </c>
      <c r="C2219" t="inlineStr">
        <is>
          <t>OC</t>
        </is>
      </c>
      <c r="D2219" t="inlineStr">
        <is>
          <t>MA1011403</t>
        </is>
      </c>
      <c r="E2219" t="inlineStr">
        <is>
          <t>OC</t>
        </is>
      </c>
      <c r="F2219" t="inlineStr">
        <is>
          <t>MA1011403</t>
        </is>
      </c>
      <c r="G2219" t="n">
        <v>46134</v>
      </c>
      <c r="H2219" s="127" t="n">
        <v>46136</v>
      </c>
      <c r="I2219" t="inlineStr">
        <is>
          <t>2</t>
        </is>
      </c>
      <c r="J2219" s="38" t="inlineStr">
        <is>
          <t>0-4008</t>
        </is>
      </c>
      <c r="K2219" t="inlineStr">
        <is>
          <t>SC #ZCS3507 1-1-1/2 KELLUM</t>
        </is>
      </c>
      <c r="L2219" t="n">
        <v>9</v>
      </c>
      <c r="M2219" t="n">
        <v>2327.77</v>
      </c>
      <c r="N2219" t="inlineStr">
        <is>
          <t>INVOICE:ADJ-COMMIT</t>
        </is>
      </c>
      <c r="O2219" t="inlineStr">
        <is>
          <t>19480</t>
        </is>
      </c>
      <c r="P2219" t="inlineStr">
        <is>
          <t>TOTAL TOOL SUPPLY LLC</t>
        </is>
      </c>
      <c r="Q2219" s="114" t="n">
        <v>0</v>
      </c>
      <c r="R2219" s="114" t="n">
        <v>0</v>
      </c>
      <c r="S2219" s="114" t="n">
        <v>-2327.77</v>
      </c>
      <c r="T2219" t="n">
        <v>0</v>
      </c>
    </row>
    <row r="2220">
      <c r="A2220" t="inlineStr">
        <is>
          <t>ttJTrans</t>
        </is>
      </c>
      <c r="B2220" s="38" t="inlineStr">
        <is>
          <t>0-4008</t>
        </is>
      </c>
      <c r="C2220" t="inlineStr">
        <is>
          <t>OC</t>
        </is>
      </c>
      <c r="D2220" t="inlineStr">
        <is>
          <t>MA1011403</t>
        </is>
      </c>
      <c r="E2220" t="inlineStr">
        <is>
          <t>OC</t>
        </is>
      </c>
      <c r="F2220" t="inlineStr">
        <is>
          <t>MA1011403</t>
        </is>
      </c>
      <c r="G2220" s="42" t="n">
        <v>46134</v>
      </c>
      <c r="H2220" s="127" t="n">
        <v>46136</v>
      </c>
      <c r="I2220" t="inlineStr">
        <is>
          <t>22</t>
        </is>
      </c>
      <c r="J2220" s="38" t="inlineStr">
        <is>
          <t>0-4008</t>
        </is>
      </c>
      <c r="K2220" t="inlineStr">
        <is>
          <t>17OZ FLUORESENT ORANGE SOLVENT</t>
        </is>
      </c>
      <c r="L2220" t="n">
        <v>12</v>
      </c>
      <c r="M2220" t="n">
        <v>70.86</v>
      </c>
      <c r="N2220" t="inlineStr">
        <is>
          <t>INVOICE:ADJ-COMMIT</t>
        </is>
      </c>
      <c r="O2220" t="inlineStr">
        <is>
          <t>19480</t>
        </is>
      </c>
      <c r="P2220" t="inlineStr">
        <is>
          <t>TOTAL TOOL SUPPLY LLC</t>
        </is>
      </c>
      <c r="Q2220" s="114" t="n">
        <v>0</v>
      </c>
      <c r="R2220" s="114" t="n">
        <v>0</v>
      </c>
      <c r="S2220" s="114" t="n">
        <v>-70.86</v>
      </c>
      <c r="T2220" t="n">
        <v>0</v>
      </c>
    </row>
    <row r="2221">
      <c r="A2221" t="inlineStr">
        <is>
          <t>ttJTrans</t>
        </is>
      </c>
      <c r="B2221" s="38" t="inlineStr">
        <is>
          <t>0-4008</t>
        </is>
      </c>
      <c r="C2221" t="inlineStr">
        <is>
          <t>OC</t>
        </is>
      </c>
      <c r="D2221" t="inlineStr">
        <is>
          <t>MA1011403</t>
        </is>
      </c>
      <c r="E2221" t="inlineStr">
        <is>
          <t>OC</t>
        </is>
      </c>
      <c r="F2221" t="inlineStr">
        <is>
          <t>MA1011403</t>
        </is>
      </c>
      <c r="G2221" s="42" t="n">
        <v>46134</v>
      </c>
      <c r="H2221" s="127" t="n">
        <v>46136</v>
      </c>
      <c r="I2221" t="inlineStr">
        <is>
          <t>21</t>
        </is>
      </c>
      <c r="J2221" s="38" t="inlineStr">
        <is>
          <t>0-4008</t>
        </is>
      </c>
      <c r="K2221" t="inlineStr">
        <is>
          <t>WHITE PAINT MARKER</t>
        </is>
      </c>
      <c r="L2221" t="n">
        <v>12</v>
      </c>
      <c r="M2221" t="n">
        <v>53.68</v>
      </c>
      <c r="N2221" t="inlineStr">
        <is>
          <t>INVOICE:ADJ-COMMIT</t>
        </is>
      </c>
      <c r="O2221" t="inlineStr">
        <is>
          <t>19480</t>
        </is>
      </c>
      <c r="P2221" t="inlineStr">
        <is>
          <t>TOTAL TOOL SUPPLY LLC</t>
        </is>
      </c>
      <c r="Q2221" s="114" t="n">
        <v>0</v>
      </c>
      <c r="R2221" s="114" t="n">
        <v>0</v>
      </c>
      <c r="S2221" s="114" t="n">
        <v>-53.68</v>
      </c>
      <c r="T2221" t="n">
        <v>0</v>
      </c>
    </row>
    <row r="2222">
      <c r="A2222" t="inlineStr">
        <is>
          <t>ttJTrans</t>
        </is>
      </c>
      <c r="B2222" s="38" t="inlineStr">
        <is>
          <t>0-4008</t>
        </is>
      </c>
      <c r="C2222" t="inlineStr">
        <is>
          <t>OC</t>
        </is>
      </c>
      <c r="D2222" t="inlineStr">
        <is>
          <t>MA1011403</t>
        </is>
      </c>
      <c r="E2222" t="inlineStr">
        <is>
          <t>OC</t>
        </is>
      </c>
      <c r="F2222" t="inlineStr">
        <is>
          <t>MA1011403</t>
        </is>
      </c>
      <c r="G2222" s="42" t="n">
        <v>46134</v>
      </c>
      <c r="H2222" s="127" t="n">
        <v>46136</v>
      </c>
      <c r="I2222" t="inlineStr">
        <is>
          <t>20</t>
        </is>
      </c>
      <c r="J2222" s="38" t="inlineStr">
        <is>
          <t>0-4008</t>
        </is>
      </c>
      <c r="K2222" t="inlineStr">
        <is>
          <t>UL #S-25690 BLUE MICROFIBER</t>
        </is>
      </c>
      <c r="L2222" t="n">
        <v>1</v>
      </c>
      <c r="M2222" t="n">
        <v>83.25</v>
      </c>
      <c r="N2222" t="inlineStr">
        <is>
          <t>INVOICE:ADJ-COMMIT</t>
        </is>
      </c>
      <c r="O2222" t="inlineStr">
        <is>
          <t>19480</t>
        </is>
      </c>
      <c r="P2222" t="inlineStr">
        <is>
          <t>TOTAL TOOL SUPPLY LLC</t>
        </is>
      </c>
      <c r="Q2222" s="114" t="n">
        <v>0</v>
      </c>
      <c r="R2222" s="114" t="n">
        <v>0</v>
      </c>
      <c r="S2222" s="114" t="n">
        <v>-83.25</v>
      </c>
      <c r="T2222" t="n">
        <v>0</v>
      </c>
    </row>
    <row r="2223">
      <c r="A2223" t="inlineStr">
        <is>
          <t>ttJTrans</t>
        </is>
      </c>
      <c r="B2223" s="38" t="inlineStr">
        <is>
          <t>0-4008</t>
        </is>
      </c>
      <c r="C2223" t="inlineStr">
        <is>
          <t>OC</t>
        </is>
      </c>
      <c r="D2223" t="inlineStr">
        <is>
          <t>MA1011403</t>
        </is>
      </c>
      <c r="E2223" t="inlineStr">
        <is>
          <t>OC</t>
        </is>
      </c>
      <c r="F2223" t="inlineStr">
        <is>
          <t>MA1011403</t>
        </is>
      </c>
      <c r="G2223" s="42" t="n">
        <v>46134</v>
      </c>
      <c r="H2223" s="127" t="n">
        <v>46136</v>
      </c>
      <c r="I2223" t="inlineStr">
        <is>
          <t>19</t>
        </is>
      </c>
      <c r="J2223" s="38" t="inlineStr">
        <is>
          <t>0-4008</t>
        </is>
      </c>
      <c r="K2223" t="inlineStr">
        <is>
          <t>11IN BLACK CABLE TIE 50LBS</t>
        </is>
      </c>
      <c r="L2223" t="n">
        <v>1</v>
      </c>
      <c r="M2223" t="n">
        <v>6.39</v>
      </c>
      <c r="N2223" t="inlineStr">
        <is>
          <t>INVOICE:ADJ-COMMIT</t>
        </is>
      </c>
      <c r="O2223" t="inlineStr">
        <is>
          <t>19480</t>
        </is>
      </c>
      <c r="P2223" t="inlineStr">
        <is>
          <t>TOTAL TOOL SUPPLY LLC</t>
        </is>
      </c>
      <c r="Q2223" s="114" t="n">
        <v>0</v>
      </c>
      <c r="R2223" s="114" t="n">
        <v>0</v>
      </c>
      <c r="S2223" s="114" t="n">
        <v>-6.39</v>
      </c>
      <c r="T2223" t="n">
        <v>0</v>
      </c>
    </row>
    <row r="2224">
      <c r="A2224" t="inlineStr">
        <is>
          <t>ttJTrans</t>
        </is>
      </c>
      <c r="B2224" s="38" t="inlineStr">
        <is>
          <t>0-4008</t>
        </is>
      </c>
      <c r="C2224" t="inlineStr">
        <is>
          <t>OC</t>
        </is>
      </c>
      <c r="D2224" t="inlineStr">
        <is>
          <t>MA1011403</t>
        </is>
      </c>
      <c r="E2224" t="inlineStr">
        <is>
          <t>OC</t>
        </is>
      </c>
      <c r="F2224" t="inlineStr">
        <is>
          <t>MA1011403</t>
        </is>
      </c>
      <c r="G2224" s="42" t="n">
        <v>46134</v>
      </c>
      <c r="H2224" s="127" t="n">
        <v>46136</v>
      </c>
      <c r="I2224" t="inlineStr">
        <is>
          <t>4</t>
        </is>
      </c>
      <c r="J2224" s="38" t="inlineStr">
        <is>
          <t>0-4008</t>
        </is>
      </c>
      <c r="K2224" t="inlineStr">
        <is>
          <t>SC #ZCS3509 2-2-3/4 KELLUM</t>
        </is>
      </c>
      <c r="L2224" t="n">
        <v>9</v>
      </c>
      <c r="M2224" t="n">
        <v>2550.25</v>
      </c>
      <c r="N2224" t="inlineStr">
        <is>
          <t>PO:COMMIT</t>
        </is>
      </c>
      <c r="O2224" t="inlineStr">
        <is>
          <t>19480</t>
        </is>
      </c>
      <c r="P2224" t="inlineStr">
        <is>
          <t>TOTAL TOOL SUPPLY LLC</t>
        </is>
      </c>
      <c r="Q2224" s="114" t="n">
        <v>0</v>
      </c>
      <c r="R2224" s="114" t="n">
        <v>0</v>
      </c>
      <c r="S2224" s="114" t="n">
        <v>2550.25</v>
      </c>
      <c r="T2224" t="n">
        <v>0</v>
      </c>
    </row>
    <row r="2225">
      <c r="A2225" t="inlineStr">
        <is>
          <t>ttJTrans</t>
        </is>
      </c>
      <c r="B2225" s="38" t="inlineStr">
        <is>
          <t>0-4008</t>
        </is>
      </c>
      <c r="C2225" t="inlineStr">
        <is>
          <t>OC</t>
        </is>
      </c>
      <c r="D2225" t="inlineStr">
        <is>
          <t>MA1011403</t>
        </is>
      </c>
      <c r="E2225" t="inlineStr">
        <is>
          <t>OC</t>
        </is>
      </c>
      <c r="F2225" t="inlineStr">
        <is>
          <t>MA1011403</t>
        </is>
      </c>
      <c r="G2225" s="42" t="n">
        <v>46134</v>
      </c>
      <c r="H2225" s="127" t="n">
        <v>46136</v>
      </c>
      <c r="I2225" t="inlineStr">
        <is>
          <t>3</t>
        </is>
      </c>
      <c r="J2225" s="38" t="inlineStr">
        <is>
          <t>0-4008</t>
        </is>
      </c>
      <c r="K2225" t="inlineStr">
        <is>
          <t>SC #ZCS3508 1-1/2-2IN KELLUM</t>
        </is>
      </c>
      <c r="L2225" t="n">
        <v>9</v>
      </c>
      <c r="M2225" t="n">
        <v>2390.91</v>
      </c>
      <c r="N2225" t="inlineStr">
        <is>
          <t>PO:COMMIT</t>
        </is>
      </c>
      <c r="O2225" t="inlineStr">
        <is>
          <t>19480</t>
        </is>
      </c>
      <c r="P2225" t="inlineStr">
        <is>
          <t>TOTAL TOOL SUPPLY LLC</t>
        </is>
      </c>
      <c r="Q2225" s="114" t="n">
        <v>0</v>
      </c>
      <c r="R2225" s="114" t="n">
        <v>0</v>
      </c>
      <c r="S2225" s="114" t="n">
        <v>2390.91</v>
      </c>
      <c r="T2225" t="n">
        <v>0</v>
      </c>
    </row>
    <row r="2226">
      <c r="A2226" t="inlineStr">
        <is>
          <t>ttJTrans</t>
        </is>
      </c>
      <c r="B2226" s="38" t="inlineStr">
        <is>
          <t>0-4008</t>
        </is>
      </c>
      <c r="C2226" t="inlineStr">
        <is>
          <t>OC</t>
        </is>
      </c>
      <c r="D2226" t="inlineStr">
        <is>
          <t>MA1011403</t>
        </is>
      </c>
      <c r="E2226" t="inlineStr">
        <is>
          <t>OC</t>
        </is>
      </c>
      <c r="F2226" t="inlineStr">
        <is>
          <t>MA1011403</t>
        </is>
      </c>
      <c r="G2226" s="42" t="n">
        <v>46134</v>
      </c>
      <c r="H2226" s="127" t="n">
        <v>46136</v>
      </c>
      <c r="I2226" t="inlineStr">
        <is>
          <t>7</t>
        </is>
      </c>
      <c r="J2226" s="38" t="inlineStr">
        <is>
          <t>0-4008</t>
        </is>
      </c>
      <c r="K2226" t="inlineStr">
        <is>
          <t>SC #ZCS2517 2-1/2-3IN KELLUM</t>
        </is>
      </c>
      <c r="L2226" t="n">
        <v>30</v>
      </c>
      <c r="M2226" t="n">
        <v>4020.64</v>
      </c>
      <c r="N2226" t="inlineStr">
        <is>
          <t>PO:COMMIT</t>
        </is>
      </c>
      <c r="O2226" t="inlineStr">
        <is>
          <t>19480</t>
        </is>
      </c>
      <c r="P2226" t="inlineStr">
        <is>
          <t>TOTAL TOOL SUPPLY LLC</t>
        </is>
      </c>
      <c r="Q2226" s="114" t="n">
        <v>0</v>
      </c>
      <c r="R2226" s="114" t="n">
        <v>0</v>
      </c>
      <c r="S2226" s="114" t="n">
        <v>4020.64</v>
      </c>
      <c r="T2226" t="n">
        <v>0</v>
      </c>
    </row>
    <row r="2227">
      <c r="A2227" t="inlineStr">
        <is>
          <t>ttJTrans</t>
        </is>
      </c>
      <c r="B2227" s="38" t="inlineStr">
        <is>
          <t>0-4008</t>
        </is>
      </c>
      <c r="C2227" t="inlineStr">
        <is>
          <t>OC</t>
        </is>
      </c>
      <c r="D2227" t="inlineStr">
        <is>
          <t>MA1011403</t>
        </is>
      </c>
      <c r="E2227" t="inlineStr">
        <is>
          <t>OC</t>
        </is>
      </c>
      <c r="F2227" t="inlineStr">
        <is>
          <t>MA1011403</t>
        </is>
      </c>
      <c r="G2227" s="42" t="n">
        <v>46134</v>
      </c>
      <c r="H2227" s="127" t="n">
        <v>46136</v>
      </c>
      <c r="I2227" t="inlineStr">
        <is>
          <t>23</t>
        </is>
      </c>
      <c r="J2227" s="38" t="inlineStr">
        <is>
          <t>0-4008</t>
        </is>
      </c>
      <c r="K2227" t="inlineStr">
        <is>
          <t>34IN WHEELER HAND HELD MARKING</t>
        </is>
      </c>
      <c r="L2227" t="n">
        <v>1</v>
      </c>
      <c r="M2227" t="n">
        <v>40.61</v>
      </c>
      <c r="N2227" t="inlineStr">
        <is>
          <t>INVOICE:ADJ-COMMIT</t>
        </is>
      </c>
      <c r="O2227" t="inlineStr">
        <is>
          <t>19480</t>
        </is>
      </c>
      <c r="P2227" t="inlineStr">
        <is>
          <t>TOTAL TOOL SUPPLY LLC</t>
        </is>
      </c>
      <c r="Q2227" s="114" t="n">
        <v>0</v>
      </c>
      <c r="R2227" s="114" t="n">
        <v>0</v>
      </c>
      <c r="S2227" s="114" t="n">
        <v>-40.61</v>
      </c>
      <c r="T2227" t="n">
        <v>0</v>
      </c>
    </row>
    <row r="2228">
      <c r="A2228" t="inlineStr">
        <is>
          <t>ttJTrans</t>
        </is>
      </c>
      <c r="B2228" s="38" t="inlineStr">
        <is>
          <t>0-4008</t>
        </is>
      </c>
      <c r="C2228" t="inlineStr">
        <is>
          <t>OC</t>
        </is>
      </c>
      <c r="D2228" t="inlineStr">
        <is>
          <t>MA1011403</t>
        </is>
      </c>
      <c r="E2228" t="inlineStr">
        <is>
          <t>OC</t>
        </is>
      </c>
      <c r="F2228" t="inlineStr">
        <is>
          <t>MA1011403</t>
        </is>
      </c>
      <c r="G2228" t="n">
        <v>46134</v>
      </c>
      <c r="H2228" s="127" t="n">
        <v>46136</v>
      </c>
      <c r="I2228" t="inlineStr">
        <is>
          <t>24</t>
        </is>
      </c>
      <c r="J2228" s="38" t="inlineStr">
        <is>
          <t>0-4008</t>
        </is>
      </c>
      <c r="K2228" t="inlineStr">
        <is>
          <t>1IN X 35FT POWERLOCK TAPE</t>
        </is>
      </c>
      <c r="L2228" t="n">
        <v>9</v>
      </c>
      <c r="M2228" t="n">
        <v>254.94</v>
      </c>
      <c r="N2228" t="inlineStr">
        <is>
          <t>INVOICE:ADJ-COMMIT</t>
        </is>
      </c>
      <c r="O2228" t="inlineStr">
        <is>
          <t>19480</t>
        </is>
      </c>
      <c r="P2228" t="inlineStr">
        <is>
          <t>TOTAL TOOL SUPPLY LLC</t>
        </is>
      </c>
      <c r="Q2228" s="114" t="n">
        <v>0</v>
      </c>
      <c r="R2228" s="114" t="n">
        <v>0</v>
      </c>
      <c r="S2228" s="114" t="n">
        <v>-254.94</v>
      </c>
      <c r="T2228" t="n">
        <v>0</v>
      </c>
    </row>
    <row r="2229">
      <c r="A2229" t="inlineStr">
        <is>
          <t>ttJTrans</t>
        </is>
      </c>
      <c r="B2229" s="38" t="inlineStr">
        <is>
          <t>0-4008</t>
        </is>
      </c>
      <c r="C2229" t="inlineStr">
        <is>
          <t>OC</t>
        </is>
      </c>
      <c r="D2229" t="inlineStr">
        <is>
          <t>MA1011403</t>
        </is>
      </c>
      <c r="E2229" t="inlineStr">
        <is>
          <t>OC</t>
        </is>
      </c>
      <c r="F2229" t="inlineStr">
        <is>
          <t>MA1011403</t>
        </is>
      </c>
      <c r="G2229" t="n">
        <v>46134</v>
      </c>
      <c r="H2229" s="127" t="n">
        <v>46136</v>
      </c>
      <c r="I2229" t="inlineStr">
        <is>
          <t>13</t>
        </is>
      </c>
      <c r="J2229" s="38" t="inlineStr">
        <is>
          <t>0-4008</t>
        </is>
      </c>
      <c r="K2229" t="inlineStr">
        <is>
          <t>2IN X 60YD SILVER DUCT TAPE</t>
        </is>
      </c>
      <c r="L2229" t="n">
        <v>48</v>
      </c>
      <c r="M2229" t="n">
        <v>312.22</v>
      </c>
      <c r="N2229" t="inlineStr">
        <is>
          <t>INVOICE:ADJ-COMMIT</t>
        </is>
      </c>
      <c r="O2229" t="inlineStr">
        <is>
          <t>19480</t>
        </is>
      </c>
      <c r="P2229" t="inlineStr">
        <is>
          <t>TOTAL TOOL SUPPLY LLC</t>
        </is>
      </c>
      <c r="Q2229" s="114" t="n">
        <v>0</v>
      </c>
      <c r="R2229" s="114" t="n">
        <v>0</v>
      </c>
      <c r="S2229" s="114" t="n">
        <v>-312.22</v>
      </c>
      <c r="T2229" t="n">
        <v>0</v>
      </c>
    </row>
    <row r="2230">
      <c r="A2230" t="inlineStr">
        <is>
          <t>ttJTrans</t>
        </is>
      </c>
      <c r="B2230" s="38" t="inlineStr">
        <is>
          <t>0-4008</t>
        </is>
      </c>
      <c r="C2230" t="inlineStr">
        <is>
          <t>OC</t>
        </is>
      </c>
      <c r="D2230" t="inlineStr">
        <is>
          <t>MA1011403</t>
        </is>
      </c>
      <c r="E2230" t="inlineStr">
        <is>
          <t>OC</t>
        </is>
      </c>
      <c r="F2230" t="inlineStr">
        <is>
          <t>MA1011403</t>
        </is>
      </c>
      <c r="G2230" s="128" t="n">
        <v>46134</v>
      </c>
      <c r="H2230" s="127" t="n">
        <v>46136</v>
      </c>
      <c r="I2230" t="inlineStr">
        <is>
          <t>14</t>
        </is>
      </c>
      <c r="J2230" s="38" t="inlineStr">
        <is>
          <t>0-4008</t>
        </is>
      </c>
      <c r="K2230" t="inlineStr">
        <is>
          <t>TYTVT3460311B</t>
        </is>
      </c>
      <c r="L2230" t="n">
        <v>100</v>
      </c>
      <c r="M2230" t="n">
        <v>95.45999999999999</v>
      </c>
      <c r="N2230" t="inlineStr">
        <is>
          <t>INVOICE:ADJ-COMMIT</t>
        </is>
      </c>
      <c r="O2230" t="inlineStr">
        <is>
          <t>19480</t>
        </is>
      </c>
      <c r="P2230" t="inlineStr">
        <is>
          <t>TOTAL TOOL SUPPLY LLC</t>
        </is>
      </c>
      <c r="Q2230" s="114" t="n">
        <v>0</v>
      </c>
      <c r="R2230" s="114" t="n">
        <v>0</v>
      </c>
      <c r="S2230" s="114" t="n">
        <v>-95.45999999999999</v>
      </c>
      <c r="T2230" t="n">
        <v>0</v>
      </c>
    </row>
    <row r="2231">
      <c r="A2231" t="inlineStr">
        <is>
          <t>ttJTrans</t>
        </is>
      </c>
      <c r="B2231" s="38" t="inlineStr">
        <is>
          <t>0-4008</t>
        </is>
      </c>
      <c r="C2231" t="inlineStr">
        <is>
          <t>OC</t>
        </is>
      </c>
      <c r="D2231" t="inlineStr">
        <is>
          <t>MA1011403</t>
        </is>
      </c>
      <c r="E2231" t="inlineStr">
        <is>
          <t>OC</t>
        </is>
      </c>
      <c r="F2231" t="inlineStr">
        <is>
          <t>MA1011403</t>
        </is>
      </c>
      <c r="G2231" s="128" t="n">
        <v>46134</v>
      </c>
      <c r="H2231" s="127" t="n">
        <v>46136</v>
      </c>
      <c r="I2231" t="inlineStr">
        <is>
          <t>16</t>
        </is>
      </c>
      <c r="J2231" s="38" t="inlineStr">
        <is>
          <t>0-4008</t>
        </is>
      </c>
      <c r="K2231" t="inlineStr">
        <is>
          <t>25LB NEAR WHITE RAGS</t>
        </is>
      </c>
      <c r="L2231" t="n">
        <v>1</v>
      </c>
      <c r="M2231" t="n">
        <v>29.6</v>
      </c>
      <c r="N2231" t="inlineStr">
        <is>
          <t>INVOICE:ADJ-COMMIT</t>
        </is>
      </c>
      <c r="O2231" t="inlineStr">
        <is>
          <t>19480</t>
        </is>
      </c>
      <c r="P2231" t="inlineStr">
        <is>
          <t>TOTAL TOOL SUPPLY LLC</t>
        </is>
      </c>
      <c r="Q2231" s="114" t="n">
        <v>0</v>
      </c>
      <c r="R2231" s="114" t="n">
        <v>0</v>
      </c>
      <c r="S2231" s="114" t="n">
        <v>-29.6</v>
      </c>
      <c r="T2231" t="n">
        <v>0</v>
      </c>
    </row>
    <row r="2232">
      <c r="A2232" t="inlineStr">
        <is>
          <t>ttJTrans</t>
        </is>
      </c>
      <c r="B2232" s="38" t="inlineStr">
        <is>
          <t>0-4008</t>
        </is>
      </c>
      <c r="C2232" t="inlineStr">
        <is>
          <t>OC</t>
        </is>
      </c>
      <c r="D2232" t="inlineStr">
        <is>
          <t>MA1011403</t>
        </is>
      </c>
      <c r="E2232" t="inlineStr">
        <is>
          <t>OC</t>
        </is>
      </c>
      <c r="F2232" t="inlineStr">
        <is>
          <t>MA1011403</t>
        </is>
      </c>
      <c r="G2232" s="128" t="n">
        <v>46134</v>
      </c>
      <c r="H2232" s="127" t="n">
        <v>46136</v>
      </c>
      <c r="I2232" t="inlineStr">
        <is>
          <t>17</t>
        </is>
      </c>
      <c r="J2232" s="38" t="inlineStr">
        <is>
          <t>0-4008</t>
        </is>
      </c>
      <c r="K2232" t="inlineStr">
        <is>
          <t>18OZ GLASS CLEANER</t>
        </is>
      </c>
      <c r="L2232" t="n">
        <v>12</v>
      </c>
      <c r="M2232" t="n">
        <v>84.72</v>
      </c>
      <c r="N2232" t="inlineStr">
        <is>
          <t>INVOICE:ADJ-COMMIT</t>
        </is>
      </c>
      <c r="O2232" t="inlineStr">
        <is>
          <t>19480</t>
        </is>
      </c>
      <c r="P2232" t="inlineStr">
        <is>
          <t>TOTAL TOOL SUPPLY LLC</t>
        </is>
      </c>
      <c r="Q2232" s="114" t="n">
        <v>0</v>
      </c>
      <c r="R2232" s="114" t="n">
        <v>0</v>
      </c>
      <c r="S2232" s="114" t="n">
        <v>-84.72</v>
      </c>
      <c r="T2232" t="n">
        <v>0</v>
      </c>
    </row>
    <row r="2233">
      <c r="A2233" t="inlineStr">
        <is>
          <t>ttJTrans</t>
        </is>
      </c>
      <c r="B2233" s="38" t="inlineStr">
        <is>
          <t>0-4008</t>
        </is>
      </c>
      <c r="C2233" t="inlineStr">
        <is>
          <t>OC</t>
        </is>
      </c>
      <c r="D2233" t="inlineStr">
        <is>
          <t>MA1011403</t>
        </is>
      </c>
      <c r="E2233" t="inlineStr">
        <is>
          <t>OC</t>
        </is>
      </c>
      <c r="F2233" t="inlineStr">
        <is>
          <t>MA1011403</t>
        </is>
      </c>
      <c r="G2233" s="128" t="n">
        <v>46134</v>
      </c>
      <c r="H2233" s="127" t="n">
        <v>46136</v>
      </c>
      <c r="I2233" t="inlineStr">
        <is>
          <t>25</t>
        </is>
      </c>
      <c r="J2233" s="38" t="inlineStr">
        <is>
          <t>0-4008</t>
        </is>
      </c>
      <c r="K2233" t="inlineStr">
        <is>
          <t>TDB EST FREIGHT</t>
        </is>
      </c>
      <c r="L2233" t="n">
        <v>1</v>
      </c>
      <c r="M2233" t="n">
        <v>333</v>
      </c>
      <c r="N2233" t="inlineStr">
        <is>
          <t>INVOICE:ADJ-COMMIT</t>
        </is>
      </c>
      <c r="O2233" t="inlineStr">
        <is>
          <t>19480</t>
        </is>
      </c>
      <c r="P2233" t="inlineStr">
        <is>
          <t>TOTAL TOOL SUPPLY LLC</t>
        </is>
      </c>
      <c r="Q2233" s="114" t="n">
        <v>0</v>
      </c>
      <c r="R2233" s="114" t="n">
        <v>0</v>
      </c>
      <c r="S2233" s="114" t="n">
        <v>-333</v>
      </c>
      <c r="T2233" t="n">
        <v>0</v>
      </c>
    </row>
    <row r="2234">
      <c r="A2234" t="inlineStr">
        <is>
          <t>ttJTrans</t>
        </is>
      </c>
      <c r="B2234" s="38" t="inlineStr">
        <is>
          <t>0-4008</t>
        </is>
      </c>
      <c r="C2234" t="inlineStr">
        <is>
          <t>OC</t>
        </is>
      </c>
      <c r="D2234" t="inlineStr">
        <is>
          <t>MA1011403</t>
        </is>
      </c>
      <c r="E2234" t="inlineStr">
        <is>
          <t>OC</t>
        </is>
      </c>
      <c r="F2234" t="inlineStr">
        <is>
          <t>MA1011403</t>
        </is>
      </c>
      <c r="G2234" s="128" t="n">
        <v>46134</v>
      </c>
      <c r="H2234" s="127" t="n">
        <v>46136</v>
      </c>
      <c r="I2234" t="inlineStr">
        <is>
          <t>10</t>
        </is>
      </c>
      <c r="J2234" s="38" t="inlineStr">
        <is>
          <t>0-4008</t>
        </is>
      </c>
      <c r="K2234" t="inlineStr">
        <is>
          <t>7/8IN SCREW PIN ANCHOR SHACKLE</t>
        </is>
      </c>
      <c r="L2234" t="n">
        <v>15</v>
      </c>
      <c r="M2234" t="n">
        <v>501</v>
      </c>
      <c r="N2234" t="inlineStr">
        <is>
          <t>INVOICE:ADJ-COMMIT</t>
        </is>
      </c>
      <c r="O2234" t="inlineStr">
        <is>
          <t>19480</t>
        </is>
      </c>
      <c r="P2234" t="inlineStr">
        <is>
          <t>TOTAL TOOL SUPPLY LLC</t>
        </is>
      </c>
      <c r="Q2234" s="114" t="n">
        <v>0</v>
      </c>
      <c r="R2234" s="114" t="n">
        <v>0</v>
      </c>
      <c r="S2234" s="114" t="n">
        <v>-501</v>
      </c>
      <c r="T2234" t="n">
        <v>0</v>
      </c>
    </row>
    <row r="2235">
      <c r="A2235" t="inlineStr">
        <is>
          <t>ttJTrans</t>
        </is>
      </c>
      <c r="B2235" s="38" t="inlineStr">
        <is>
          <t>0-4008</t>
        </is>
      </c>
      <c r="C2235" t="inlineStr">
        <is>
          <t>OC</t>
        </is>
      </c>
      <c r="D2235" t="inlineStr">
        <is>
          <t>MA1011403</t>
        </is>
      </c>
      <c r="E2235" t="inlineStr">
        <is>
          <t>OC</t>
        </is>
      </c>
      <c r="F2235" t="inlineStr">
        <is>
          <t>MA1011403</t>
        </is>
      </c>
      <c r="G2235" s="128" t="n">
        <v>46134</v>
      </c>
      <c r="H2235" s="127" t="n">
        <v>46136</v>
      </c>
      <c r="I2235" t="inlineStr">
        <is>
          <t>12</t>
        </is>
      </c>
      <c r="J2235" s="38" t="inlineStr">
        <is>
          <t>0-4008</t>
        </is>
      </c>
      <c r="K2235" t="inlineStr">
        <is>
          <t>44-7/8IN 14/18T PORTABLE BAND</t>
        </is>
      </c>
      <c r="L2235" t="n">
        <v>5</v>
      </c>
      <c r="M2235" t="n">
        <v>34.52</v>
      </c>
      <c r="N2235" t="inlineStr">
        <is>
          <t>INVOICE:ADJ-COMMIT</t>
        </is>
      </c>
      <c r="O2235" t="inlineStr">
        <is>
          <t>19480</t>
        </is>
      </c>
      <c r="P2235" t="inlineStr">
        <is>
          <t>TOTAL TOOL SUPPLY LLC</t>
        </is>
      </c>
      <c r="Q2235" s="114" t="n">
        <v>0</v>
      </c>
      <c r="R2235" s="114" t="n">
        <v>0</v>
      </c>
      <c r="S2235" s="114" t="n">
        <v>-34.52</v>
      </c>
      <c r="T2235" t="n">
        <v>0</v>
      </c>
    </row>
    <row r="2236">
      <c r="A2236" t="inlineStr">
        <is>
          <t>ttJTrans</t>
        </is>
      </c>
      <c r="B2236" s="38" t="inlineStr">
        <is>
          <t>0-4008</t>
        </is>
      </c>
      <c r="C2236" t="inlineStr">
        <is>
          <t>OC</t>
        </is>
      </c>
      <c r="D2236" t="inlineStr">
        <is>
          <t>MA1011403</t>
        </is>
      </c>
      <c r="E2236" t="inlineStr">
        <is>
          <t>OC</t>
        </is>
      </c>
      <c r="F2236" t="inlineStr">
        <is>
          <t>MA1011403</t>
        </is>
      </c>
      <c r="G2236" s="128" t="n">
        <v>46134</v>
      </c>
      <c r="H2236" s="127" t="n">
        <v>46136</v>
      </c>
      <c r="I2236" t="inlineStr">
        <is>
          <t>18</t>
        </is>
      </c>
      <c r="J2236" s="38" t="inlineStr">
        <is>
          <t>0-4008</t>
        </is>
      </c>
      <c r="K2236" t="inlineStr">
        <is>
          <t>11IN CORN WHISK BROOM</t>
        </is>
      </c>
      <c r="L2236" t="n">
        <v>6</v>
      </c>
      <c r="M2236" t="n">
        <v>25.57</v>
      </c>
      <c r="N2236" t="inlineStr">
        <is>
          <t>INVOICE:ADJ-COMMIT</t>
        </is>
      </c>
      <c r="O2236" t="inlineStr">
        <is>
          <t>19480</t>
        </is>
      </c>
      <c r="P2236" t="inlineStr">
        <is>
          <t>TOTAL TOOL SUPPLY LLC</t>
        </is>
      </c>
      <c r="Q2236" s="114" t="n">
        <v>0</v>
      </c>
      <c r="R2236" s="114" t="n">
        <v>0</v>
      </c>
      <c r="S2236" s="114" t="n">
        <v>-25.57</v>
      </c>
      <c r="T2236" t="n">
        <v>0</v>
      </c>
    </row>
    <row r="2237">
      <c r="A2237" t="inlineStr">
        <is>
          <t>ttJTrans</t>
        </is>
      </c>
      <c r="B2237" s="38" t="inlineStr">
        <is>
          <t>0-4008</t>
        </is>
      </c>
      <c r="C2237" t="inlineStr">
        <is>
          <t>OC</t>
        </is>
      </c>
      <c r="D2237" t="inlineStr">
        <is>
          <t>MA1011403</t>
        </is>
      </c>
      <c r="E2237" t="inlineStr">
        <is>
          <t>OC</t>
        </is>
      </c>
      <c r="F2237" t="inlineStr">
        <is>
          <t>MA1011403</t>
        </is>
      </c>
      <c r="G2237" s="128" t="n">
        <v>46134</v>
      </c>
      <c r="H2237" s="127" t="n">
        <v>46149</v>
      </c>
      <c r="I2237" t="inlineStr">
        <is>
          <t>22</t>
        </is>
      </c>
      <c r="J2237" s="38" t="inlineStr">
        <is>
          <t>0-4008</t>
        </is>
      </c>
      <c r="K2237" t="inlineStr">
        <is>
          <t>17OZ FLUORESENT ORANGE SOLVENT</t>
        </is>
      </c>
      <c r="L2237" t="n">
        <v>12</v>
      </c>
      <c r="M2237" t="n">
        <v>70.86</v>
      </c>
      <c r="N2237" t="inlineStr">
        <is>
          <t>INVOICE</t>
        </is>
      </c>
      <c r="O2237" t="inlineStr">
        <is>
          <t>19480</t>
        </is>
      </c>
      <c r="P2237" t="inlineStr">
        <is>
          <t>TOTAL TOOL SUPPLY LLC</t>
        </is>
      </c>
      <c r="Q2237" s="114" t="n">
        <v>0</v>
      </c>
      <c r="R2237" s="114" t="n">
        <v>0</v>
      </c>
      <c r="S2237" s="114" t="n">
        <v>0</v>
      </c>
      <c r="T2237" t="n">
        <v>0</v>
      </c>
    </row>
    <row r="2238">
      <c r="A2238" t="inlineStr">
        <is>
          <t>ttJTrans</t>
        </is>
      </c>
      <c r="B2238" s="38" t="inlineStr">
        <is>
          <t>0-4008</t>
        </is>
      </c>
      <c r="C2238" t="inlineStr">
        <is>
          <t>OC</t>
        </is>
      </c>
      <c r="D2238" t="inlineStr">
        <is>
          <t>MA1011403</t>
        </is>
      </c>
      <c r="E2238" t="inlineStr">
        <is>
          <t>OC</t>
        </is>
      </c>
      <c r="F2238" t="inlineStr">
        <is>
          <t>MA1011403</t>
        </is>
      </c>
      <c r="G2238" s="128" t="n">
        <v>46134</v>
      </c>
      <c r="H2238" s="127" t="n">
        <v>46156</v>
      </c>
      <c r="I2238" t="inlineStr">
        <is>
          <t>9</t>
        </is>
      </c>
      <c r="J2238" s="38" t="inlineStr">
        <is>
          <t>0-4008</t>
        </is>
      </c>
      <c r="K2238" t="inlineStr">
        <is>
          <t>SC #ZCS2520 3/4IN KELLUM GRIP</t>
        </is>
      </c>
      <c r="L2238" t="n">
        <v>6</v>
      </c>
      <c r="M2238" t="n">
        <v>769.76</v>
      </c>
      <c r="N2238" t="inlineStr">
        <is>
          <t>INVOICE</t>
        </is>
      </c>
      <c r="O2238" t="inlineStr">
        <is>
          <t>19480</t>
        </is>
      </c>
      <c r="P2238" t="inlineStr">
        <is>
          <t>TOTAL TOOL SUPPLY LLC</t>
        </is>
      </c>
      <c r="Q2238" s="114" t="n">
        <v>0</v>
      </c>
      <c r="R2238" s="114" t="n">
        <v>0</v>
      </c>
      <c r="S2238" s="114" t="n">
        <v>0</v>
      </c>
      <c r="T2238" t="n">
        <v>0</v>
      </c>
    </row>
    <row r="2239">
      <c r="A2239" t="inlineStr">
        <is>
          <t>ttJTrans</t>
        </is>
      </c>
      <c r="B2239" s="38" t="inlineStr">
        <is>
          <t>0-4008</t>
        </is>
      </c>
      <c r="C2239" t="inlineStr">
        <is>
          <t>OC</t>
        </is>
      </c>
      <c r="D2239" t="inlineStr">
        <is>
          <t>MA1011403</t>
        </is>
      </c>
      <c r="E2239" t="inlineStr">
        <is>
          <t>OC</t>
        </is>
      </c>
      <c r="F2239" t="inlineStr">
        <is>
          <t>MA1011403</t>
        </is>
      </c>
      <c r="G2239" s="128" t="n">
        <v>46134</v>
      </c>
      <c r="H2239" s="127" t="n">
        <v>46156</v>
      </c>
      <c r="I2239" t="inlineStr">
        <is>
          <t>5</t>
        </is>
      </c>
      <c r="J2239" s="38" t="inlineStr">
        <is>
          <t>0-4008</t>
        </is>
      </c>
      <c r="K2239" t="inlineStr">
        <is>
          <t>SC #ZCS2515 1-1/2-2IN KELLUM</t>
        </is>
      </c>
      <c r="L2239" t="n">
        <v>30</v>
      </c>
      <c r="M2239" t="n">
        <v>3380.95</v>
      </c>
      <c r="N2239" t="inlineStr">
        <is>
          <t>INVOICE</t>
        </is>
      </c>
      <c r="O2239" t="inlineStr">
        <is>
          <t>19480</t>
        </is>
      </c>
      <c r="P2239" t="inlineStr">
        <is>
          <t>TOTAL TOOL SUPPLY LLC</t>
        </is>
      </c>
      <c r="Q2239" s="114" t="n">
        <v>0</v>
      </c>
      <c r="R2239" s="114" t="n">
        <v>0</v>
      </c>
      <c r="S2239" s="114" t="n">
        <v>0</v>
      </c>
      <c r="T2239" t="n">
        <v>0</v>
      </c>
    </row>
    <row r="2240">
      <c r="A2240" t="inlineStr">
        <is>
          <t>ttJTrans</t>
        </is>
      </c>
      <c r="B2240" s="38" t="inlineStr">
        <is>
          <t>0-4008</t>
        </is>
      </c>
      <c r="C2240" t="inlineStr">
        <is>
          <t>OC</t>
        </is>
      </c>
      <c r="D2240" t="inlineStr">
        <is>
          <t>MA1011403</t>
        </is>
      </c>
      <c r="E2240" t="inlineStr">
        <is>
          <t>OC</t>
        </is>
      </c>
      <c r="F2240" t="inlineStr">
        <is>
          <t>MA1011403</t>
        </is>
      </c>
      <c r="G2240" s="128" t="n">
        <v>46134</v>
      </c>
      <c r="H2240" s="127" t="n">
        <v>46156</v>
      </c>
      <c r="I2240" t="inlineStr">
        <is>
          <t>6</t>
        </is>
      </c>
      <c r="J2240" s="38" t="inlineStr">
        <is>
          <t>0-4008</t>
        </is>
      </c>
      <c r="K2240" t="inlineStr">
        <is>
          <t>SC #ZCS2523 2-2-1/2 KELLUM</t>
        </is>
      </c>
      <c r="L2240" t="n">
        <v>30</v>
      </c>
      <c r="M2240" t="n">
        <v>4607.06</v>
      </c>
      <c r="N2240" t="inlineStr">
        <is>
          <t>INVOICE</t>
        </is>
      </c>
      <c r="O2240" t="inlineStr">
        <is>
          <t>19480</t>
        </is>
      </c>
      <c r="P2240" t="inlineStr">
        <is>
          <t>TOTAL TOOL SUPPLY LLC</t>
        </is>
      </c>
      <c r="Q2240" s="114" t="n">
        <v>0</v>
      </c>
      <c r="R2240" s="114" t="n">
        <v>0</v>
      </c>
      <c r="S2240" s="114" t="n">
        <v>0</v>
      </c>
      <c r="T2240" t="n">
        <v>0</v>
      </c>
    </row>
    <row r="2241">
      <c r="A2241" t="inlineStr">
        <is>
          <t>ttJTrans</t>
        </is>
      </c>
      <c r="B2241" s="38" t="inlineStr">
        <is>
          <t>0-4008</t>
        </is>
      </c>
      <c r="C2241" t="inlineStr">
        <is>
          <t>OC</t>
        </is>
      </c>
      <c r="D2241" t="inlineStr">
        <is>
          <t>MA1011403</t>
        </is>
      </c>
      <c r="E2241" t="inlineStr">
        <is>
          <t>OC</t>
        </is>
      </c>
      <c r="F2241" t="inlineStr">
        <is>
          <t>MA1011403</t>
        </is>
      </c>
      <c r="G2241" s="128" t="n">
        <v>46134</v>
      </c>
      <c r="H2241" s="127" t="n">
        <v>46156</v>
      </c>
      <c r="I2241" t="inlineStr">
        <is>
          <t>7</t>
        </is>
      </c>
      <c r="J2241" s="38" t="inlineStr">
        <is>
          <t>0-4008</t>
        </is>
      </c>
      <c r="K2241" t="inlineStr">
        <is>
          <t>SC #ZCS2517 2-1/2-3IN KELLUM</t>
        </is>
      </c>
      <c r="L2241" t="n">
        <v>30</v>
      </c>
      <c r="M2241" t="n">
        <v>4020.64</v>
      </c>
      <c r="N2241" t="inlineStr">
        <is>
          <t>INVOICE</t>
        </is>
      </c>
      <c r="O2241" t="inlineStr">
        <is>
          <t>19480</t>
        </is>
      </c>
      <c r="P2241" t="inlineStr">
        <is>
          <t>TOTAL TOOL SUPPLY LLC</t>
        </is>
      </c>
      <c r="Q2241" s="114" t="n">
        <v>0</v>
      </c>
      <c r="R2241" s="114" t="n">
        <v>0</v>
      </c>
      <c r="S2241" s="114" t="n">
        <v>0</v>
      </c>
      <c r="T2241" t="n">
        <v>0</v>
      </c>
    </row>
    <row r="2242">
      <c r="A2242" t="inlineStr">
        <is>
          <t>ttJTrans</t>
        </is>
      </c>
      <c r="B2242" s="38" t="inlineStr">
        <is>
          <t>0-4008</t>
        </is>
      </c>
      <c r="C2242" t="inlineStr">
        <is>
          <t>OC</t>
        </is>
      </c>
      <c r="D2242" t="inlineStr">
        <is>
          <t>MA1011403</t>
        </is>
      </c>
      <c r="E2242" t="inlineStr">
        <is>
          <t>OC</t>
        </is>
      </c>
      <c r="F2242" t="inlineStr">
        <is>
          <t>MA1011403</t>
        </is>
      </c>
      <c r="G2242" s="128" t="n">
        <v>46134</v>
      </c>
      <c r="H2242" s="127" t="n">
        <v>46156</v>
      </c>
      <c r="I2242" t="inlineStr">
        <is>
          <t>2</t>
        </is>
      </c>
      <c r="J2242" s="38" t="inlineStr">
        <is>
          <t>0-4008</t>
        </is>
      </c>
      <c r="K2242" t="inlineStr">
        <is>
          <t>SC #ZCS3507 1-1-1/2 KELLUM</t>
        </is>
      </c>
      <c r="L2242" t="n">
        <v>9</v>
      </c>
      <c r="M2242" t="n">
        <v>2327.77</v>
      </c>
      <c r="N2242" t="inlineStr">
        <is>
          <t>INVOICE</t>
        </is>
      </c>
      <c r="O2242" t="inlineStr">
        <is>
          <t>19480</t>
        </is>
      </c>
      <c r="P2242" t="inlineStr">
        <is>
          <t>TOTAL TOOL SUPPLY LLC</t>
        </is>
      </c>
      <c r="Q2242" s="114" t="n">
        <v>0</v>
      </c>
      <c r="R2242" s="114" t="n">
        <v>0</v>
      </c>
      <c r="S2242" s="114" t="n">
        <v>0</v>
      </c>
      <c r="T2242" t="n">
        <v>0</v>
      </c>
    </row>
    <row r="2243">
      <c r="A2243" t="inlineStr">
        <is>
          <t>ttJTrans</t>
        </is>
      </c>
      <c r="B2243" s="38" t="inlineStr">
        <is>
          <t>0-4008</t>
        </is>
      </c>
      <c r="C2243" t="inlineStr">
        <is>
          <t>OC</t>
        </is>
      </c>
      <c r="D2243" t="inlineStr">
        <is>
          <t>MA1011403</t>
        </is>
      </c>
      <c r="E2243" t="inlineStr">
        <is>
          <t>OC</t>
        </is>
      </c>
      <c r="F2243" t="inlineStr">
        <is>
          <t>MA1011403</t>
        </is>
      </c>
      <c r="G2243" s="128" t="n">
        <v>46134</v>
      </c>
      <c r="H2243" s="127" t="n">
        <v>46156</v>
      </c>
      <c r="I2243" t="inlineStr">
        <is>
          <t>3</t>
        </is>
      </c>
      <c r="J2243" s="38" t="inlineStr">
        <is>
          <t>0-4008</t>
        </is>
      </c>
      <c r="K2243" t="inlineStr">
        <is>
          <t>SC #ZCS3508 1-1/2-2IN KELLUM</t>
        </is>
      </c>
      <c r="L2243" t="n">
        <v>9</v>
      </c>
      <c r="M2243" t="n">
        <v>2390.91</v>
      </c>
      <c r="N2243" t="inlineStr">
        <is>
          <t>INVOICE</t>
        </is>
      </c>
      <c r="O2243" t="inlineStr">
        <is>
          <t>19480</t>
        </is>
      </c>
      <c r="P2243" t="inlineStr">
        <is>
          <t>TOTAL TOOL SUPPLY LLC</t>
        </is>
      </c>
      <c r="Q2243" s="114" t="n">
        <v>0</v>
      </c>
      <c r="R2243" s="114" t="n">
        <v>0</v>
      </c>
      <c r="S2243" s="114" t="n">
        <v>0</v>
      </c>
      <c r="T2243" t="n">
        <v>0</v>
      </c>
    </row>
    <row r="2244">
      <c r="A2244" t="inlineStr">
        <is>
          <t>ttJTrans</t>
        </is>
      </c>
      <c r="B2244" s="38" t="inlineStr">
        <is>
          <t>0-4008</t>
        </is>
      </c>
      <c r="C2244" t="inlineStr">
        <is>
          <t>OC</t>
        </is>
      </c>
      <c r="D2244" t="inlineStr">
        <is>
          <t>MA1011403</t>
        </is>
      </c>
      <c r="E2244" t="inlineStr">
        <is>
          <t>OC</t>
        </is>
      </c>
      <c r="F2244" t="inlineStr">
        <is>
          <t>MA1011403</t>
        </is>
      </c>
      <c r="G2244" s="128" t="n">
        <v>46134</v>
      </c>
      <c r="H2244" s="127" t="n">
        <v>46156</v>
      </c>
      <c r="I2244" t="inlineStr">
        <is>
          <t>1</t>
        </is>
      </c>
      <c r="J2244" s="38" t="inlineStr">
        <is>
          <t>0-4008</t>
        </is>
      </c>
      <c r="K2244" t="inlineStr">
        <is>
          <t>SC #ZCS3506 KELLUM GRIP</t>
        </is>
      </c>
      <c r="L2244" t="n">
        <v>3</v>
      </c>
      <c r="M2244" t="n">
        <v>528.9</v>
      </c>
      <c r="N2244" t="inlineStr">
        <is>
          <t>INVOICE</t>
        </is>
      </c>
      <c r="O2244" t="inlineStr">
        <is>
          <t>19480</t>
        </is>
      </c>
      <c r="P2244" t="inlineStr">
        <is>
          <t>TOTAL TOOL SUPPLY LLC</t>
        </is>
      </c>
      <c r="Q2244" s="114" t="n">
        <v>0</v>
      </c>
      <c r="R2244" s="114" t="n">
        <v>0</v>
      </c>
      <c r="S2244" s="114" t="n">
        <v>0</v>
      </c>
      <c r="T2244" t="n">
        <v>0</v>
      </c>
    </row>
    <row r="2245">
      <c r="A2245" t="inlineStr">
        <is>
          <t>ttJTrans</t>
        </is>
      </c>
      <c r="B2245" s="38" t="inlineStr">
        <is>
          <t>0-4008</t>
        </is>
      </c>
      <c r="C2245" t="inlineStr">
        <is>
          <t>OC</t>
        </is>
      </c>
      <c r="D2245" t="inlineStr">
        <is>
          <t>MA1011403</t>
        </is>
      </c>
      <c r="E2245" t="inlineStr">
        <is>
          <t>OC</t>
        </is>
      </c>
      <c r="F2245" t="inlineStr">
        <is>
          <t>MA1011403</t>
        </is>
      </c>
      <c r="G2245" s="128" t="n">
        <v>46134</v>
      </c>
      <c r="H2245" s="127" t="n">
        <v>46162</v>
      </c>
      <c r="I2245" t="inlineStr">
        <is>
          <t>11</t>
        </is>
      </c>
      <c r="J2245" s="38" t="inlineStr">
        <is>
          <t>0-4008</t>
        </is>
      </c>
      <c r="K2245" t="inlineStr">
        <is>
          <t>3/4X50FT DOUBLE BRAID EYES</t>
        </is>
      </c>
      <c r="L2245" t="n">
        <v>30</v>
      </c>
      <c r="M2245" t="n">
        <v>6474.19</v>
      </c>
      <c r="N2245" t="inlineStr">
        <is>
          <t>INVOICE</t>
        </is>
      </c>
      <c r="O2245" t="inlineStr">
        <is>
          <t>19480</t>
        </is>
      </c>
      <c r="P2245" t="inlineStr">
        <is>
          <t>TOTAL TOOL SUPPLY LLC</t>
        </is>
      </c>
      <c r="Q2245" s="114" t="n">
        <v>0</v>
      </c>
      <c r="R2245" s="114" t="n">
        <v>0</v>
      </c>
      <c r="S2245" s="114" t="n">
        <v>0</v>
      </c>
      <c r="T2245" t="n">
        <v>0</v>
      </c>
    </row>
    <row r="2246">
      <c r="A2246" t="inlineStr">
        <is>
          <t>ttJTrans</t>
        </is>
      </c>
      <c r="B2246" s="38" t="inlineStr">
        <is>
          <t>0-4008</t>
        </is>
      </c>
      <c r="C2246" t="inlineStr">
        <is>
          <t>OC</t>
        </is>
      </c>
      <c r="D2246" t="inlineStr">
        <is>
          <t>MA1011403</t>
        </is>
      </c>
      <c r="E2246" t="inlineStr">
        <is>
          <t>OC</t>
        </is>
      </c>
      <c r="F2246" t="inlineStr">
        <is>
          <t>MA1011403</t>
        </is>
      </c>
      <c r="G2246" s="128" t="n">
        <v>46134</v>
      </c>
      <c r="H2246" s="127" t="n">
        <v>46149</v>
      </c>
      <c r="I2246" t="inlineStr">
        <is>
          <t>21</t>
        </is>
      </c>
      <c r="J2246" s="38" t="inlineStr">
        <is>
          <t>0-4008</t>
        </is>
      </c>
      <c r="K2246" t="inlineStr">
        <is>
          <t>WHITE PAINT MARKER</t>
        </is>
      </c>
      <c r="L2246" t="n">
        <v>12</v>
      </c>
      <c r="M2246" t="n">
        <v>53.68</v>
      </c>
      <c r="N2246" t="inlineStr">
        <is>
          <t>INVOICE</t>
        </is>
      </c>
      <c r="O2246" t="inlineStr">
        <is>
          <t>19480</t>
        </is>
      </c>
      <c r="P2246" t="inlineStr">
        <is>
          <t>TOTAL TOOL SUPPLY LLC</t>
        </is>
      </c>
      <c r="Q2246" s="114" t="n">
        <v>0</v>
      </c>
      <c r="R2246" s="114" t="n">
        <v>0</v>
      </c>
      <c r="S2246" s="114" t="n">
        <v>0</v>
      </c>
      <c r="T2246" t="n">
        <v>0</v>
      </c>
    </row>
    <row r="2247">
      <c r="A2247" t="inlineStr">
        <is>
          <t>ttJTrans</t>
        </is>
      </c>
      <c r="B2247" s="38" t="inlineStr">
        <is>
          <t>0-4008</t>
        </is>
      </c>
      <c r="C2247" t="inlineStr">
        <is>
          <t>OC</t>
        </is>
      </c>
      <c r="D2247" t="inlineStr">
        <is>
          <t>MA1011403</t>
        </is>
      </c>
      <c r="E2247" t="inlineStr">
        <is>
          <t>OC</t>
        </is>
      </c>
      <c r="F2247" t="inlineStr">
        <is>
          <t>MA1011403</t>
        </is>
      </c>
      <c r="G2247" s="128" t="n">
        <v>46134</v>
      </c>
      <c r="H2247" s="127" t="n">
        <v>46149</v>
      </c>
      <c r="I2247" t="inlineStr">
        <is>
          <t>20</t>
        </is>
      </c>
      <c r="J2247" s="38" t="inlineStr">
        <is>
          <t>0-4008</t>
        </is>
      </c>
      <c r="K2247" t="inlineStr">
        <is>
          <t>UL #S-25690 BLUE MICROFIBER</t>
        </is>
      </c>
      <c r="L2247" t="n">
        <v>1</v>
      </c>
      <c r="M2247" t="n">
        <v>83.25</v>
      </c>
      <c r="N2247" t="inlineStr">
        <is>
          <t>INVOICE</t>
        </is>
      </c>
      <c r="O2247" t="inlineStr">
        <is>
          <t>19480</t>
        </is>
      </c>
      <c r="P2247" t="inlineStr">
        <is>
          <t>TOTAL TOOL SUPPLY LLC</t>
        </is>
      </c>
      <c r="Q2247" s="114" t="n">
        <v>0</v>
      </c>
      <c r="R2247" s="114" t="n">
        <v>0</v>
      </c>
      <c r="S2247" s="114" t="n">
        <v>0</v>
      </c>
      <c r="T2247" t="n">
        <v>0</v>
      </c>
    </row>
    <row r="2248">
      <c r="A2248" t="inlineStr">
        <is>
          <t>ttJTrans</t>
        </is>
      </c>
      <c r="B2248" s="38" t="inlineStr">
        <is>
          <t>0-4008</t>
        </is>
      </c>
      <c r="C2248" t="inlineStr">
        <is>
          <t>OC</t>
        </is>
      </c>
      <c r="D2248" t="inlineStr">
        <is>
          <t>MA1011403</t>
        </is>
      </c>
      <c r="E2248" t="inlineStr">
        <is>
          <t>OC</t>
        </is>
      </c>
      <c r="F2248" t="inlineStr">
        <is>
          <t>MA1011403</t>
        </is>
      </c>
      <c r="G2248" s="128" t="n">
        <v>46134</v>
      </c>
      <c r="H2248" s="127" t="n">
        <v>46149</v>
      </c>
      <c r="I2248" t="inlineStr">
        <is>
          <t>19</t>
        </is>
      </c>
      <c r="J2248" s="38" t="inlineStr">
        <is>
          <t>0-4008</t>
        </is>
      </c>
      <c r="K2248" t="inlineStr">
        <is>
          <t>11IN BLACK CABLE TIE 50LBS</t>
        </is>
      </c>
      <c r="L2248" t="n">
        <v>1</v>
      </c>
      <c r="M2248" t="n">
        <v>6.39</v>
      </c>
      <c r="N2248" t="inlineStr">
        <is>
          <t>INVOICE</t>
        </is>
      </c>
      <c r="O2248" t="inlineStr">
        <is>
          <t>19480</t>
        </is>
      </c>
      <c r="P2248" t="inlineStr">
        <is>
          <t>TOTAL TOOL SUPPLY LLC</t>
        </is>
      </c>
      <c r="Q2248" s="114" t="n">
        <v>0</v>
      </c>
      <c r="R2248" s="114" t="n">
        <v>0</v>
      </c>
      <c r="S2248" s="114" t="n">
        <v>0</v>
      </c>
      <c r="T2248" t="n">
        <v>0</v>
      </c>
    </row>
    <row r="2249">
      <c r="A2249" t="inlineStr">
        <is>
          <t>ttJTrans</t>
        </is>
      </c>
      <c r="B2249" s="38" t="inlineStr">
        <is>
          <t>0-4008</t>
        </is>
      </c>
      <c r="C2249" t="inlineStr">
        <is>
          <t>OC</t>
        </is>
      </c>
      <c r="D2249" t="inlineStr">
        <is>
          <t>MA1011403</t>
        </is>
      </c>
      <c r="E2249" t="inlineStr">
        <is>
          <t>OC</t>
        </is>
      </c>
      <c r="F2249" t="inlineStr">
        <is>
          <t>MA1011403</t>
        </is>
      </c>
      <c r="G2249" s="128" t="n">
        <v>46134</v>
      </c>
      <c r="H2249" s="127" t="n">
        <v>46149</v>
      </c>
      <c r="I2249" t="inlineStr">
        <is>
          <t>18</t>
        </is>
      </c>
      <c r="J2249" s="38" t="inlineStr">
        <is>
          <t>0-4008</t>
        </is>
      </c>
      <c r="K2249" t="inlineStr">
        <is>
          <t>11IN CORN WHISK BROOM</t>
        </is>
      </c>
      <c r="L2249" t="n">
        <v>6</v>
      </c>
      <c r="M2249" t="n">
        <v>25.57</v>
      </c>
      <c r="N2249" t="inlineStr">
        <is>
          <t>INVOICE</t>
        </is>
      </c>
      <c r="O2249" t="inlineStr">
        <is>
          <t>19480</t>
        </is>
      </c>
      <c r="P2249" t="inlineStr">
        <is>
          <t>TOTAL TOOL SUPPLY LLC</t>
        </is>
      </c>
      <c r="Q2249" s="114" t="n">
        <v>0</v>
      </c>
      <c r="R2249" s="114" t="n">
        <v>0</v>
      </c>
      <c r="S2249" s="114" t="n">
        <v>0</v>
      </c>
      <c r="T2249" t="n">
        <v>0</v>
      </c>
    </row>
    <row r="2250">
      <c r="A2250" t="inlineStr">
        <is>
          <t>ttJTrans</t>
        </is>
      </c>
      <c r="B2250" s="38" t="inlineStr">
        <is>
          <t>0-4008</t>
        </is>
      </c>
      <c r="C2250" t="inlineStr">
        <is>
          <t>OC</t>
        </is>
      </c>
      <c r="D2250" t="inlineStr">
        <is>
          <t>MA1011403</t>
        </is>
      </c>
      <c r="E2250" t="inlineStr">
        <is>
          <t>OC</t>
        </is>
      </c>
      <c r="F2250" t="inlineStr">
        <is>
          <t>MA1011403</t>
        </is>
      </c>
      <c r="G2250" s="128" t="n">
        <v>46134</v>
      </c>
      <c r="H2250" s="127" t="n">
        <v>46149</v>
      </c>
      <c r="I2250" t="inlineStr">
        <is>
          <t>12</t>
        </is>
      </c>
      <c r="J2250" s="38" t="inlineStr">
        <is>
          <t>0-4008</t>
        </is>
      </c>
      <c r="K2250" t="inlineStr">
        <is>
          <t>44-7/8IN 14/18T PORTABLE BAND</t>
        </is>
      </c>
      <c r="L2250" t="n">
        <v>5</v>
      </c>
      <c r="M2250" t="n">
        <v>34.52</v>
      </c>
      <c r="N2250" t="inlineStr">
        <is>
          <t>INVOICE</t>
        </is>
      </c>
      <c r="O2250" t="inlineStr">
        <is>
          <t>19480</t>
        </is>
      </c>
      <c r="P2250" t="inlineStr">
        <is>
          <t>TOTAL TOOL SUPPLY LLC</t>
        </is>
      </c>
      <c r="Q2250" s="114" t="n">
        <v>0</v>
      </c>
      <c r="R2250" s="114" t="n">
        <v>0</v>
      </c>
      <c r="S2250" s="114" t="n">
        <v>0</v>
      </c>
      <c r="T2250" t="n">
        <v>0</v>
      </c>
    </row>
    <row r="2251">
      <c r="A2251" t="inlineStr">
        <is>
          <t>ttJTrans</t>
        </is>
      </c>
      <c r="B2251" s="38" t="inlineStr">
        <is>
          <t>0-4008</t>
        </is>
      </c>
      <c r="C2251" t="inlineStr">
        <is>
          <t>OC</t>
        </is>
      </c>
      <c r="D2251" t="inlineStr">
        <is>
          <t>MA1011403</t>
        </is>
      </c>
      <c r="E2251" t="inlineStr">
        <is>
          <t>OC</t>
        </is>
      </c>
      <c r="F2251" t="inlineStr">
        <is>
          <t>MA1011403</t>
        </is>
      </c>
      <c r="G2251" s="128" t="n">
        <v>46134</v>
      </c>
      <c r="H2251" s="127" t="n">
        <v>46149</v>
      </c>
      <c r="I2251" t="inlineStr">
        <is>
          <t>10</t>
        </is>
      </c>
      <c r="J2251" s="38" t="inlineStr">
        <is>
          <t>0-4008</t>
        </is>
      </c>
      <c r="K2251" t="inlineStr">
        <is>
          <t>7/8IN SCREW PIN ANCHOR SHACKLE</t>
        </is>
      </c>
      <c r="L2251" t="n">
        <v>15</v>
      </c>
      <c r="M2251" t="n">
        <v>501</v>
      </c>
      <c r="N2251" t="inlineStr">
        <is>
          <t>INVOICE</t>
        </is>
      </c>
      <c r="O2251" t="inlineStr">
        <is>
          <t>19480</t>
        </is>
      </c>
      <c r="P2251" t="inlineStr">
        <is>
          <t>TOTAL TOOL SUPPLY LLC</t>
        </is>
      </c>
      <c r="Q2251" s="114" t="n">
        <v>0</v>
      </c>
      <c r="R2251" s="114" t="n">
        <v>0</v>
      </c>
      <c r="S2251" s="114" t="n">
        <v>0</v>
      </c>
      <c r="T2251" t="n">
        <v>0</v>
      </c>
    </row>
    <row r="2252">
      <c r="A2252" t="inlineStr">
        <is>
          <t>ttJTrans</t>
        </is>
      </c>
      <c r="B2252" s="38" t="inlineStr">
        <is>
          <t>0-4008</t>
        </is>
      </c>
      <c r="C2252" t="inlineStr">
        <is>
          <t>OC</t>
        </is>
      </c>
      <c r="D2252" t="inlineStr">
        <is>
          <t>MA1011403</t>
        </is>
      </c>
      <c r="E2252" t="inlineStr">
        <is>
          <t>OC</t>
        </is>
      </c>
      <c r="F2252" t="inlineStr">
        <is>
          <t>MA1011403</t>
        </is>
      </c>
      <c r="G2252" s="128" t="n">
        <v>46134</v>
      </c>
      <c r="H2252" s="127" t="n">
        <v>46149</v>
      </c>
      <c r="I2252" t="inlineStr">
        <is>
          <t>25</t>
        </is>
      </c>
      <c r="J2252" s="38" t="inlineStr">
        <is>
          <t>0-4008</t>
        </is>
      </c>
      <c r="K2252" t="inlineStr">
        <is>
          <t>TDB EST FREIGHT</t>
        </is>
      </c>
      <c r="L2252" t="n">
        <v>1</v>
      </c>
      <c r="M2252" t="n">
        <v>333</v>
      </c>
      <c r="N2252" t="inlineStr">
        <is>
          <t>INVOICE</t>
        </is>
      </c>
      <c r="O2252" t="inlineStr">
        <is>
          <t>19480</t>
        </is>
      </c>
      <c r="P2252" t="inlineStr">
        <is>
          <t>TOTAL TOOL SUPPLY LLC</t>
        </is>
      </c>
      <c r="Q2252" s="114" t="n">
        <v>0</v>
      </c>
      <c r="R2252" s="114" t="n">
        <v>0</v>
      </c>
      <c r="S2252" s="114" t="n">
        <v>0</v>
      </c>
      <c r="T2252" t="n">
        <v>0</v>
      </c>
    </row>
    <row r="2253">
      <c r="A2253" t="inlineStr">
        <is>
          <t>ttJTrans</t>
        </is>
      </c>
      <c r="B2253" s="38" t="inlineStr">
        <is>
          <t>0-4008</t>
        </is>
      </c>
      <c r="C2253" t="inlineStr">
        <is>
          <t>OC</t>
        </is>
      </c>
      <c r="D2253" t="inlineStr">
        <is>
          <t>MA1011403</t>
        </is>
      </c>
      <c r="E2253" t="inlineStr">
        <is>
          <t>OC</t>
        </is>
      </c>
      <c r="F2253" t="inlineStr">
        <is>
          <t>MA1011403</t>
        </is>
      </c>
      <c r="G2253" s="128" t="n">
        <v>46134</v>
      </c>
      <c r="H2253" s="127" t="n">
        <v>46149</v>
      </c>
      <c r="I2253" t="inlineStr">
        <is>
          <t>17</t>
        </is>
      </c>
      <c r="J2253" s="38" t="inlineStr">
        <is>
          <t>0-4008</t>
        </is>
      </c>
      <c r="K2253" t="inlineStr">
        <is>
          <t>18OZ GLASS CLEANER</t>
        </is>
      </c>
      <c r="L2253" t="n">
        <v>12</v>
      </c>
      <c r="M2253" t="n">
        <v>84.72</v>
      </c>
      <c r="N2253" t="inlineStr">
        <is>
          <t>INVOICE</t>
        </is>
      </c>
      <c r="O2253" t="inlineStr">
        <is>
          <t>19480</t>
        </is>
      </c>
      <c r="P2253" t="inlineStr">
        <is>
          <t>TOTAL TOOL SUPPLY LLC</t>
        </is>
      </c>
      <c r="Q2253" s="114" t="n">
        <v>0</v>
      </c>
      <c r="R2253" s="114" t="n">
        <v>0</v>
      </c>
      <c r="S2253" s="114" t="n">
        <v>0</v>
      </c>
      <c r="T2253" t="n">
        <v>0</v>
      </c>
    </row>
    <row r="2254">
      <c r="A2254" t="inlineStr">
        <is>
          <t>ttJTrans</t>
        </is>
      </c>
      <c r="B2254" s="38" t="inlineStr">
        <is>
          <t>0-4008</t>
        </is>
      </c>
      <c r="C2254" t="inlineStr">
        <is>
          <t>OC</t>
        </is>
      </c>
      <c r="D2254" t="inlineStr">
        <is>
          <t>MA1011403</t>
        </is>
      </c>
      <c r="E2254" t="inlineStr">
        <is>
          <t>OC</t>
        </is>
      </c>
      <c r="F2254" t="inlineStr">
        <is>
          <t>MA1011403</t>
        </is>
      </c>
      <c r="G2254" s="128" t="n">
        <v>46134</v>
      </c>
      <c r="H2254" s="127" t="n">
        <v>46149</v>
      </c>
      <c r="I2254" t="inlineStr">
        <is>
          <t>16</t>
        </is>
      </c>
      <c r="J2254" s="38" t="inlineStr">
        <is>
          <t>0-4008</t>
        </is>
      </c>
      <c r="K2254" t="inlineStr">
        <is>
          <t>25LB NEAR WHITE RAGS</t>
        </is>
      </c>
      <c r="L2254" t="n">
        <v>1</v>
      </c>
      <c r="M2254" t="n">
        <v>29.6</v>
      </c>
      <c r="N2254" t="inlineStr">
        <is>
          <t>INVOICE</t>
        </is>
      </c>
      <c r="O2254" t="inlineStr">
        <is>
          <t>19480</t>
        </is>
      </c>
      <c r="P2254" t="inlineStr">
        <is>
          <t>TOTAL TOOL SUPPLY LLC</t>
        </is>
      </c>
      <c r="Q2254" s="114" t="n">
        <v>0</v>
      </c>
      <c r="R2254" s="114" t="n">
        <v>0</v>
      </c>
      <c r="S2254" s="114" t="n">
        <v>0</v>
      </c>
      <c r="T2254" t="n">
        <v>0</v>
      </c>
    </row>
    <row r="2255">
      <c r="A2255" t="inlineStr">
        <is>
          <t>ttJTrans</t>
        </is>
      </c>
      <c r="B2255" s="38" t="inlineStr">
        <is>
          <t>0-4008</t>
        </is>
      </c>
      <c r="C2255" t="inlineStr">
        <is>
          <t>OC</t>
        </is>
      </c>
      <c r="D2255" t="inlineStr">
        <is>
          <t>MA1011403</t>
        </is>
      </c>
      <c r="E2255" t="inlineStr">
        <is>
          <t>OC</t>
        </is>
      </c>
      <c r="F2255" t="inlineStr">
        <is>
          <t>MA1011403</t>
        </is>
      </c>
      <c r="G2255" s="128" t="n">
        <v>46134</v>
      </c>
      <c r="H2255" s="127" t="n">
        <v>46149</v>
      </c>
      <c r="I2255" t="inlineStr">
        <is>
          <t>14</t>
        </is>
      </c>
      <c r="J2255" s="38" t="inlineStr">
        <is>
          <t>0-4008</t>
        </is>
      </c>
      <c r="K2255" t="inlineStr">
        <is>
          <t>TYTVT3460311B</t>
        </is>
      </c>
      <c r="L2255" t="n">
        <v>100</v>
      </c>
      <c r="M2255" t="n">
        <v>95.45999999999999</v>
      </c>
      <c r="N2255" t="inlineStr">
        <is>
          <t>INVOICE</t>
        </is>
      </c>
      <c r="O2255" t="inlineStr">
        <is>
          <t>19480</t>
        </is>
      </c>
      <c r="P2255" t="inlineStr">
        <is>
          <t>TOTAL TOOL SUPPLY LLC</t>
        </is>
      </c>
      <c r="Q2255" s="114" t="n">
        <v>0</v>
      </c>
      <c r="R2255" s="114" t="n">
        <v>0</v>
      </c>
      <c r="S2255" s="114" t="n">
        <v>0</v>
      </c>
      <c r="T2255" t="n">
        <v>0</v>
      </c>
    </row>
    <row r="2256">
      <c r="A2256" t="inlineStr">
        <is>
          <t>ttJTrans</t>
        </is>
      </c>
      <c r="B2256" s="38" t="inlineStr">
        <is>
          <t>0-4008</t>
        </is>
      </c>
      <c r="C2256" t="inlineStr">
        <is>
          <t>OC</t>
        </is>
      </c>
      <c r="D2256" t="inlineStr">
        <is>
          <t>MA1011403</t>
        </is>
      </c>
      <c r="E2256" t="inlineStr">
        <is>
          <t>OC</t>
        </is>
      </c>
      <c r="F2256" t="inlineStr">
        <is>
          <t>MA1011403</t>
        </is>
      </c>
      <c r="G2256" s="128" t="n">
        <v>46134</v>
      </c>
      <c r="H2256" s="127" t="n">
        <v>46149</v>
      </c>
      <c r="I2256" t="inlineStr">
        <is>
          <t>13</t>
        </is>
      </c>
      <c r="J2256" s="38" t="inlineStr">
        <is>
          <t>0-4008</t>
        </is>
      </c>
      <c r="K2256" t="inlineStr">
        <is>
          <t>2IN X 60YD SILVER DUCT TAPE</t>
        </is>
      </c>
      <c r="L2256" t="n">
        <v>48</v>
      </c>
      <c r="M2256" t="n">
        <v>312.22</v>
      </c>
      <c r="N2256" t="inlineStr">
        <is>
          <t>INVOICE</t>
        </is>
      </c>
      <c r="O2256" t="inlineStr">
        <is>
          <t>19480</t>
        </is>
      </c>
      <c r="P2256" t="inlineStr">
        <is>
          <t>TOTAL TOOL SUPPLY LLC</t>
        </is>
      </c>
      <c r="Q2256" s="114" t="n">
        <v>0</v>
      </c>
      <c r="R2256" s="114" t="n">
        <v>0</v>
      </c>
      <c r="S2256" s="114" t="n">
        <v>0</v>
      </c>
      <c r="T2256" t="n">
        <v>0</v>
      </c>
    </row>
    <row r="2257">
      <c r="A2257" t="inlineStr">
        <is>
          <t>ttJTrans</t>
        </is>
      </c>
      <c r="B2257" s="38" t="inlineStr">
        <is>
          <t>0-4008</t>
        </is>
      </c>
      <c r="C2257" t="inlineStr">
        <is>
          <t>OC</t>
        </is>
      </c>
      <c r="D2257" t="inlineStr">
        <is>
          <t>MA1011403</t>
        </is>
      </c>
      <c r="E2257" t="inlineStr">
        <is>
          <t>OC</t>
        </is>
      </c>
      <c r="F2257" t="inlineStr">
        <is>
          <t>MA1011403</t>
        </is>
      </c>
      <c r="G2257" s="128" t="n">
        <v>46134</v>
      </c>
      <c r="H2257" s="127" t="n">
        <v>46149</v>
      </c>
      <c r="I2257" t="inlineStr">
        <is>
          <t>24</t>
        </is>
      </c>
      <c r="J2257" s="38" t="inlineStr">
        <is>
          <t>0-4008</t>
        </is>
      </c>
      <c r="K2257" t="inlineStr">
        <is>
          <t>1IN X 35FT POWERLOCK TAPE</t>
        </is>
      </c>
      <c r="L2257" t="n">
        <v>9</v>
      </c>
      <c r="M2257" t="n">
        <v>254.94</v>
      </c>
      <c r="N2257" t="inlineStr">
        <is>
          <t>INVOICE</t>
        </is>
      </c>
      <c r="O2257" t="inlineStr">
        <is>
          <t>19480</t>
        </is>
      </c>
      <c r="P2257" t="inlineStr">
        <is>
          <t>TOTAL TOOL SUPPLY LLC</t>
        </is>
      </c>
      <c r="Q2257" s="114" t="n">
        <v>0</v>
      </c>
      <c r="R2257" s="114" t="n">
        <v>0</v>
      </c>
      <c r="S2257" s="114" t="n">
        <v>0</v>
      </c>
      <c r="T2257" t="n">
        <v>0</v>
      </c>
    </row>
    <row r="2258">
      <c r="A2258" t="inlineStr">
        <is>
          <t>ttJTrans</t>
        </is>
      </c>
      <c r="B2258" s="38" t="inlineStr">
        <is>
          <t>0-4008</t>
        </is>
      </c>
      <c r="C2258" t="inlineStr">
        <is>
          <t>OC</t>
        </is>
      </c>
      <c r="D2258" t="inlineStr">
        <is>
          <t>MA1011403</t>
        </is>
      </c>
      <c r="E2258" t="inlineStr">
        <is>
          <t>OC</t>
        </is>
      </c>
      <c r="F2258" t="inlineStr">
        <is>
          <t>MA1011403</t>
        </is>
      </c>
      <c r="G2258" s="128" t="n">
        <v>46134</v>
      </c>
      <c r="H2258" s="127" t="n">
        <v>46149</v>
      </c>
      <c r="I2258" t="inlineStr">
        <is>
          <t>23</t>
        </is>
      </c>
      <c r="J2258" s="38" t="inlineStr">
        <is>
          <t>0-4008</t>
        </is>
      </c>
      <c r="K2258" t="inlineStr">
        <is>
          <t>34IN WHEELER HAND HELD MARKING</t>
        </is>
      </c>
      <c r="L2258" t="n">
        <v>1</v>
      </c>
      <c r="M2258" t="n">
        <v>40.61</v>
      </c>
      <c r="N2258" t="inlineStr">
        <is>
          <t>INVOICE</t>
        </is>
      </c>
      <c r="O2258" t="inlineStr">
        <is>
          <t>19480</t>
        </is>
      </c>
      <c r="P2258" t="inlineStr">
        <is>
          <t>TOTAL TOOL SUPPLY LLC</t>
        </is>
      </c>
      <c r="Q2258" s="114" t="n">
        <v>0</v>
      </c>
      <c r="R2258" s="114" t="n">
        <v>0</v>
      </c>
      <c r="S2258" s="114" t="n">
        <v>0</v>
      </c>
      <c r="T2258" t="n">
        <v>0</v>
      </c>
    </row>
    <row r="2259">
      <c r="A2259" t="inlineStr">
        <is>
          <t>ttJTrans</t>
        </is>
      </c>
      <c r="B2259" s="38" t="inlineStr">
        <is>
          <t>0-4008</t>
        </is>
      </c>
      <c r="C2259" t="inlineStr">
        <is>
          <t>OC</t>
        </is>
      </c>
      <c r="D2259" t="inlineStr">
        <is>
          <t>MA1011405</t>
        </is>
      </c>
      <c r="E2259" t="inlineStr">
        <is>
          <t>OC</t>
        </is>
      </c>
      <c r="F2259" t="inlineStr">
        <is>
          <t>MA1011405</t>
        </is>
      </c>
      <c r="G2259" s="128" t="n">
        <v>46134</v>
      </c>
      <c r="H2259" s="127" t="n">
        <v>46142</v>
      </c>
      <c r="I2259" t="inlineStr">
        <is>
          <t>1</t>
        </is>
      </c>
      <c r="J2259" s="38" t="inlineStr">
        <is>
          <t>0-4008</t>
        </is>
      </c>
      <c r="K2259" t="inlineStr">
        <is>
          <t>Box cutters W/ pouch</t>
        </is>
      </c>
      <c r="L2259" t="n">
        <v>20</v>
      </c>
      <c r="M2259" t="n">
        <v>210.01</v>
      </c>
      <c r="N2259" t="inlineStr">
        <is>
          <t>INVOICE</t>
        </is>
      </c>
      <c r="O2259" t="inlineStr">
        <is>
          <t>20395</t>
        </is>
      </c>
      <c r="P2259" t="inlineStr">
        <is>
          <t>AMAZON.COM SERVICES LLC</t>
        </is>
      </c>
      <c r="Q2259" s="114" t="n">
        <v>0</v>
      </c>
      <c r="R2259" s="114" t="n">
        <v>0</v>
      </c>
      <c r="S2259" s="114" t="n">
        <v>0</v>
      </c>
      <c r="T2259" t="n">
        <v>0</v>
      </c>
    </row>
    <row r="2260">
      <c r="A2260" t="inlineStr">
        <is>
          <t>ttJTrans</t>
        </is>
      </c>
      <c r="B2260" s="38" t="inlineStr">
        <is>
          <t>0-4008</t>
        </is>
      </c>
      <c r="C2260" t="inlineStr">
        <is>
          <t>OC</t>
        </is>
      </c>
      <c r="D2260" t="inlineStr">
        <is>
          <t>MA1011405</t>
        </is>
      </c>
      <c r="E2260" t="inlineStr">
        <is>
          <t>OC</t>
        </is>
      </c>
      <c r="F2260" t="inlineStr">
        <is>
          <t>MA1011405</t>
        </is>
      </c>
      <c r="G2260" s="128" t="n">
        <v>46134</v>
      </c>
      <c r="H2260" s="127" t="n">
        <v>46136</v>
      </c>
      <c r="I2260" t="inlineStr">
        <is>
          <t>1</t>
        </is>
      </c>
      <c r="J2260" s="38" t="inlineStr">
        <is>
          <t>0-4008</t>
        </is>
      </c>
      <c r="K2260" t="inlineStr">
        <is>
          <t>Box cutters W/ pouch</t>
        </is>
      </c>
      <c r="L2260" t="n">
        <v>20</v>
      </c>
      <c r="M2260" t="n">
        <v>210.01</v>
      </c>
      <c r="N2260" t="inlineStr">
        <is>
          <t>INVOICE:ADJ-COMMIT</t>
        </is>
      </c>
      <c r="O2260" t="inlineStr">
        <is>
          <t>20395</t>
        </is>
      </c>
      <c r="P2260" t="inlineStr">
        <is>
          <t>AMAZON.COM SERVICES LLC</t>
        </is>
      </c>
      <c r="Q2260" s="114" t="n">
        <v>0</v>
      </c>
      <c r="R2260" s="114" t="n">
        <v>0</v>
      </c>
      <c r="S2260" s="114" t="n">
        <v>-210.01</v>
      </c>
      <c r="T2260" t="n">
        <v>0</v>
      </c>
    </row>
    <row r="2261">
      <c r="A2261" t="inlineStr">
        <is>
          <t>ttJTrans</t>
        </is>
      </c>
      <c r="B2261" s="38" t="inlineStr">
        <is>
          <t>0-4008</t>
        </is>
      </c>
      <c r="C2261" t="inlineStr">
        <is>
          <t>OC</t>
        </is>
      </c>
      <c r="D2261" t="inlineStr">
        <is>
          <t>MA1011405</t>
        </is>
      </c>
      <c r="E2261" t="inlineStr">
        <is>
          <t>OC</t>
        </is>
      </c>
      <c r="F2261" t="inlineStr">
        <is>
          <t>MA1011405</t>
        </is>
      </c>
      <c r="G2261" s="128" t="n">
        <v>46134</v>
      </c>
      <c r="H2261" s="127" t="n">
        <v>46136</v>
      </c>
      <c r="I2261" t="inlineStr">
        <is>
          <t>1</t>
        </is>
      </c>
      <c r="J2261" s="38" t="inlineStr">
        <is>
          <t>0-4008</t>
        </is>
      </c>
      <c r="K2261" t="inlineStr">
        <is>
          <t>Box cutters W/ pouch</t>
        </is>
      </c>
      <c r="L2261" t="n">
        <v>20</v>
      </c>
      <c r="M2261" t="n">
        <v>210.01</v>
      </c>
      <c r="N2261" t="inlineStr">
        <is>
          <t>PO:COMMIT</t>
        </is>
      </c>
      <c r="O2261" t="inlineStr">
        <is>
          <t>20395</t>
        </is>
      </c>
      <c r="P2261" t="inlineStr">
        <is>
          <t>AMAZON.COM SERVICES LLC</t>
        </is>
      </c>
      <c r="Q2261" s="114" t="n">
        <v>0</v>
      </c>
      <c r="R2261" s="114" t="n">
        <v>0</v>
      </c>
      <c r="S2261" s="114" t="n">
        <v>210.01</v>
      </c>
      <c r="T2261" t="n">
        <v>0</v>
      </c>
    </row>
    <row r="2262">
      <c r="A2262" t="inlineStr">
        <is>
          <t>ttJTrans</t>
        </is>
      </c>
      <c r="B2262" s="38" t="inlineStr">
        <is>
          <t>0-4008</t>
        </is>
      </c>
      <c r="C2262" t="inlineStr">
        <is>
          <t>OC</t>
        </is>
      </c>
      <c r="D2262" t="inlineStr">
        <is>
          <t>MA1011410</t>
        </is>
      </c>
      <c r="E2262" t="inlineStr">
        <is>
          <t>OC</t>
        </is>
      </c>
      <c r="F2262" t="inlineStr">
        <is>
          <t>MA1011410</t>
        </is>
      </c>
      <c r="G2262" s="128" t="n">
        <v>46134</v>
      </c>
      <c r="H2262" s="127" t="n">
        <v>46136</v>
      </c>
      <c r="I2262" t="inlineStr">
        <is>
          <t>1</t>
        </is>
      </c>
      <c r="J2262" s="38" t="inlineStr">
        <is>
          <t>0-4008</t>
        </is>
      </c>
      <c r="K2262" t="inlineStr">
        <is>
          <t>Replace (6) 2.5# ABC’s fire extinguishers</t>
        </is>
      </c>
      <c r="L2262" t="n">
        <v>1</v>
      </c>
      <c r="M2262" t="n">
        <v>1219.89</v>
      </c>
      <c r="N2262" t="inlineStr">
        <is>
          <t>PO:COMMIT</t>
        </is>
      </c>
      <c r="O2262" t="inlineStr">
        <is>
          <t>21395</t>
        </is>
      </c>
      <c r="P2262" t="inlineStr">
        <is>
          <t>ALLIED FIRE PROTECTION, LLC</t>
        </is>
      </c>
      <c r="Q2262" s="114" t="n">
        <v>0</v>
      </c>
      <c r="R2262" s="114" t="n">
        <v>0</v>
      </c>
      <c r="S2262" s="114" t="n">
        <v>1219.89</v>
      </c>
      <c r="T2262" t="n">
        <v>0</v>
      </c>
    </row>
    <row r="2263">
      <c r="A2263" t="inlineStr">
        <is>
          <t>ttJTrans</t>
        </is>
      </c>
      <c r="B2263" s="38" t="inlineStr">
        <is>
          <t>0-4008</t>
        </is>
      </c>
      <c r="C2263" t="inlineStr">
        <is>
          <t>OC</t>
        </is>
      </c>
      <c r="D2263" t="inlineStr">
        <is>
          <t>MA1011411</t>
        </is>
      </c>
      <c r="E2263" t="inlineStr">
        <is>
          <t>OC</t>
        </is>
      </c>
      <c r="F2263" t="inlineStr">
        <is>
          <t>MA1011411</t>
        </is>
      </c>
      <c r="G2263" s="128" t="n">
        <v>46134</v>
      </c>
      <c r="H2263" s="127" t="n">
        <v>46139</v>
      </c>
      <c r="I2263" t="inlineStr">
        <is>
          <t>2</t>
        </is>
      </c>
      <c r="J2263" s="38" t="inlineStr">
        <is>
          <t>0-4008</t>
        </is>
      </c>
      <c r="K2263" t="inlineStr">
        <is>
          <t>IPad 11 inch case</t>
        </is>
      </c>
      <c r="L2263" t="n">
        <v>6</v>
      </c>
      <c r="M2263" t="n">
        <v>154.45</v>
      </c>
      <c r="N2263" t="inlineStr">
        <is>
          <t>PO:COMMIT</t>
        </is>
      </c>
      <c r="O2263" t="inlineStr">
        <is>
          <t>20395</t>
        </is>
      </c>
      <c r="P2263" t="inlineStr">
        <is>
          <t>AMAZON.COM SERVICES LLC</t>
        </is>
      </c>
      <c r="Q2263" s="114" t="n">
        <v>0</v>
      </c>
      <c r="R2263" s="114" t="n">
        <v>0</v>
      </c>
      <c r="S2263" s="114" t="n">
        <v>154.45</v>
      </c>
      <c r="T2263" t="n">
        <v>0</v>
      </c>
    </row>
    <row r="2264">
      <c r="A2264" t="inlineStr">
        <is>
          <t>ttJTrans</t>
        </is>
      </c>
      <c r="B2264" s="38" t="inlineStr">
        <is>
          <t>0-4008</t>
        </is>
      </c>
      <c r="C2264" t="inlineStr">
        <is>
          <t>OC</t>
        </is>
      </c>
      <c r="D2264" t="inlineStr">
        <is>
          <t>MA1011411</t>
        </is>
      </c>
      <c r="E2264" t="inlineStr">
        <is>
          <t>OC</t>
        </is>
      </c>
      <c r="F2264" t="inlineStr">
        <is>
          <t>MA1011411</t>
        </is>
      </c>
      <c r="G2264" s="128" t="n">
        <v>46134</v>
      </c>
      <c r="H2264" s="127" t="n">
        <v>46139</v>
      </c>
      <c r="I2264" t="inlineStr">
        <is>
          <t>1</t>
        </is>
      </c>
      <c r="J2264" s="38" t="inlineStr">
        <is>
          <t>0-4008</t>
        </is>
      </c>
      <c r="K2264" t="inlineStr">
        <is>
          <t>Apple iPad 11 inch</t>
        </is>
      </c>
      <c r="L2264" t="n">
        <v>6</v>
      </c>
      <c r="M2264" t="n">
        <v>3056.94</v>
      </c>
      <c r="N2264" t="inlineStr">
        <is>
          <t>INVOICE:ADJ-COMMIT</t>
        </is>
      </c>
      <c r="O2264" t="inlineStr">
        <is>
          <t>20395</t>
        </is>
      </c>
      <c r="P2264" t="inlineStr">
        <is>
          <t>AMAZON.COM SERVICES LLC</t>
        </is>
      </c>
      <c r="Q2264" s="114" t="n">
        <v>0</v>
      </c>
      <c r="R2264" s="114" t="n">
        <v>0</v>
      </c>
      <c r="S2264" s="114" t="n">
        <v>-3056.94</v>
      </c>
      <c r="T2264" t="n">
        <v>0</v>
      </c>
    </row>
    <row r="2265">
      <c r="A2265" t="inlineStr">
        <is>
          <t>ttJTrans</t>
        </is>
      </c>
      <c r="B2265" s="38" t="inlineStr">
        <is>
          <t>0-4008</t>
        </is>
      </c>
      <c r="C2265" t="inlineStr">
        <is>
          <t>OC</t>
        </is>
      </c>
      <c r="D2265" t="inlineStr">
        <is>
          <t>MA1011411</t>
        </is>
      </c>
      <c r="E2265" t="inlineStr">
        <is>
          <t>OC</t>
        </is>
      </c>
      <c r="F2265" t="inlineStr">
        <is>
          <t>MA1011411</t>
        </is>
      </c>
      <c r="G2265" s="128" t="n">
        <v>46134</v>
      </c>
      <c r="H2265" s="127" t="n">
        <v>46139</v>
      </c>
      <c r="I2265" t="inlineStr">
        <is>
          <t>1</t>
        </is>
      </c>
      <c r="J2265" s="38" t="inlineStr">
        <is>
          <t>0-4008</t>
        </is>
      </c>
      <c r="K2265" t="inlineStr">
        <is>
          <t>Apple iPad 11 inch</t>
        </is>
      </c>
      <c r="L2265" t="n">
        <v>6</v>
      </c>
      <c r="M2265" t="n">
        <v>3056.94</v>
      </c>
      <c r="N2265" t="inlineStr">
        <is>
          <t>PO:COMMIT</t>
        </is>
      </c>
      <c r="O2265" t="inlineStr">
        <is>
          <t>20395</t>
        </is>
      </c>
      <c r="P2265" t="inlineStr">
        <is>
          <t>AMAZON.COM SERVICES LLC</t>
        </is>
      </c>
      <c r="Q2265" s="114" t="n">
        <v>0</v>
      </c>
      <c r="R2265" s="114" t="n">
        <v>0</v>
      </c>
      <c r="S2265" s="114" t="n">
        <v>3056.94</v>
      </c>
      <c r="T2265" t="n">
        <v>0</v>
      </c>
    </row>
    <row r="2266">
      <c r="A2266" t="inlineStr">
        <is>
          <t>ttJTrans</t>
        </is>
      </c>
      <c r="B2266" s="38" t="inlineStr">
        <is>
          <t>0-4008</t>
        </is>
      </c>
      <c r="C2266" t="inlineStr">
        <is>
          <t>OC</t>
        </is>
      </c>
      <c r="D2266" t="inlineStr">
        <is>
          <t>MA1011411</t>
        </is>
      </c>
      <c r="E2266" t="inlineStr">
        <is>
          <t>OC</t>
        </is>
      </c>
      <c r="F2266" t="inlineStr">
        <is>
          <t>MA1011411</t>
        </is>
      </c>
      <c r="G2266" s="128" t="n">
        <v>46134</v>
      </c>
      <c r="H2266" s="127" t="n">
        <v>46139</v>
      </c>
      <c r="I2266" t="inlineStr">
        <is>
          <t>2</t>
        </is>
      </c>
      <c r="J2266" s="38" t="inlineStr">
        <is>
          <t>0-4008</t>
        </is>
      </c>
      <c r="K2266" t="inlineStr">
        <is>
          <t>IPad 11 inch case</t>
        </is>
      </c>
      <c r="L2266" t="n">
        <v>6</v>
      </c>
      <c r="M2266" t="n">
        <v>154.45</v>
      </c>
      <c r="N2266" t="inlineStr">
        <is>
          <t>INVOICE:ADJ-COMMIT</t>
        </is>
      </c>
      <c r="O2266" t="inlineStr">
        <is>
          <t>20395</t>
        </is>
      </c>
      <c r="P2266" t="inlineStr">
        <is>
          <t>AMAZON.COM SERVICES LLC</t>
        </is>
      </c>
      <c r="Q2266" s="114" t="n">
        <v>0</v>
      </c>
      <c r="R2266" s="114" t="n">
        <v>0</v>
      </c>
      <c r="S2266" s="114" t="n">
        <v>-154.45</v>
      </c>
      <c r="T2266" t="n">
        <v>0</v>
      </c>
    </row>
    <row r="2267">
      <c r="A2267" t="inlineStr">
        <is>
          <t>ttJTrans</t>
        </is>
      </c>
      <c r="B2267" s="38" t="inlineStr">
        <is>
          <t>0-4008</t>
        </is>
      </c>
      <c r="C2267" t="inlineStr">
        <is>
          <t>OC</t>
        </is>
      </c>
      <c r="D2267" t="inlineStr">
        <is>
          <t>MA1011411</t>
        </is>
      </c>
      <c r="E2267" t="inlineStr">
        <is>
          <t>OC</t>
        </is>
      </c>
      <c r="F2267" t="inlineStr">
        <is>
          <t>MA1011411</t>
        </is>
      </c>
      <c r="G2267" s="128" t="n">
        <v>46134</v>
      </c>
      <c r="H2267" s="127" t="n">
        <v>46142</v>
      </c>
      <c r="I2267" t="inlineStr">
        <is>
          <t>2</t>
        </is>
      </c>
      <c r="J2267" s="38" t="inlineStr">
        <is>
          <t>0-4008</t>
        </is>
      </c>
      <c r="K2267" t="inlineStr">
        <is>
          <t>IPad 11 inch case</t>
        </is>
      </c>
      <c r="L2267" t="n">
        <v>6</v>
      </c>
      <c r="M2267" t="n">
        <v>154.45</v>
      </c>
      <c r="N2267" t="inlineStr">
        <is>
          <t>INVOICE</t>
        </is>
      </c>
      <c r="O2267" t="inlineStr">
        <is>
          <t>20395</t>
        </is>
      </c>
      <c r="P2267" t="inlineStr">
        <is>
          <t>AMAZON.COM SERVICES LLC</t>
        </is>
      </c>
      <c r="Q2267" s="114" t="n">
        <v>0</v>
      </c>
      <c r="R2267" s="114" t="n">
        <v>0</v>
      </c>
      <c r="S2267" s="114" t="n">
        <v>0</v>
      </c>
      <c r="T2267" t="n">
        <v>0</v>
      </c>
    </row>
    <row r="2268">
      <c r="A2268" t="inlineStr">
        <is>
          <t>ttJTrans</t>
        </is>
      </c>
      <c r="B2268" s="38" t="inlineStr">
        <is>
          <t>0-4008</t>
        </is>
      </c>
      <c r="C2268" t="inlineStr">
        <is>
          <t>OC</t>
        </is>
      </c>
      <c r="D2268" t="inlineStr">
        <is>
          <t>MA1011411</t>
        </is>
      </c>
      <c r="E2268" t="inlineStr">
        <is>
          <t>OC</t>
        </is>
      </c>
      <c r="F2268" t="inlineStr">
        <is>
          <t>MA1011411</t>
        </is>
      </c>
      <c r="G2268" s="128" t="n">
        <v>46134</v>
      </c>
      <c r="H2268" s="127" t="n">
        <v>46142</v>
      </c>
      <c r="I2268" t="inlineStr">
        <is>
          <t>1</t>
        </is>
      </c>
      <c r="J2268" s="38" t="inlineStr">
        <is>
          <t>0-4008</t>
        </is>
      </c>
      <c r="K2268" t="inlineStr">
        <is>
          <t>Apple iPad 11 inch</t>
        </is>
      </c>
      <c r="L2268" t="n">
        <v>6</v>
      </c>
      <c r="M2268" t="n">
        <v>3056.94</v>
      </c>
      <c r="N2268" t="inlineStr">
        <is>
          <t>INVOICE</t>
        </is>
      </c>
      <c r="O2268" t="inlineStr">
        <is>
          <t>20395</t>
        </is>
      </c>
      <c r="P2268" t="inlineStr">
        <is>
          <t>AMAZON.COM SERVICES LLC</t>
        </is>
      </c>
      <c r="Q2268" s="114" t="n">
        <v>0</v>
      </c>
      <c r="R2268" s="114" t="n">
        <v>0</v>
      </c>
      <c r="S2268" s="114" t="n">
        <v>0</v>
      </c>
      <c r="T2268" t="n">
        <v>0</v>
      </c>
    </row>
    <row r="2269">
      <c r="A2269" t="inlineStr">
        <is>
          <t>ttJTrans</t>
        </is>
      </c>
      <c r="B2269" s="38" t="inlineStr">
        <is>
          <t>0-4008</t>
        </is>
      </c>
      <c r="C2269" t="inlineStr">
        <is>
          <t>OC</t>
        </is>
      </c>
      <c r="D2269" t="inlineStr">
        <is>
          <t>MA1011423</t>
        </is>
      </c>
      <c r="E2269" t="inlineStr">
        <is>
          <t>OC</t>
        </is>
      </c>
      <c r="F2269" t="inlineStr">
        <is>
          <t>MA1011423</t>
        </is>
      </c>
      <c r="G2269" s="128" t="n">
        <v>46134</v>
      </c>
      <c r="H2269" s="127" t="n">
        <v>46142</v>
      </c>
      <c r="I2269" t="inlineStr">
        <is>
          <t>2</t>
        </is>
      </c>
      <c r="J2269" s="38" t="inlineStr">
        <is>
          <t>0-4008</t>
        </is>
      </c>
      <c r="K2269" t="inlineStr">
        <is>
          <t>3" 3 Ring binders</t>
        </is>
      </c>
      <c r="L2269" t="n">
        <v>3</v>
      </c>
      <c r="M2269" t="n">
        <v>113.05</v>
      </c>
      <c r="N2269" t="inlineStr">
        <is>
          <t>INVOICE</t>
        </is>
      </c>
      <c r="O2269" t="inlineStr">
        <is>
          <t>20395</t>
        </is>
      </c>
      <c r="P2269" t="inlineStr">
        <is>
          <t>AMAZON.COM SERVICES LLC</t>
        </is>
      </c>
      <c r="Q2269" s="114" t="n">
        <v>0</v>
      </c>
      <c r="R2269" s="114" t="n">
        <v>0</v>
      </c>
      <c r="S2269" s="114" t="n">
        <v>0</v>
      </c>
      <c r="T2269" t="n">
        <v>0</v>
      </c>
    </row>
    <row r="2270">
      <c r="A2270" t="inlineStr">
        <is>
          <t>ttJTrans</t>
        </is>
      </c>
      <c r="B2270" s="38" t="inlineStr">
        <is>
          <t>0-4008</t>
        </is>
      </c>
      <c r="C2270" t="inlineStr">
        <is>
          <t>OC</t>
        </is>
      </c>
      <c r="D2270" t="inlineStr">
        <is>
          <t>MA1011423</t>
        </is>
      </c>
      <c r="E2270" t="inlineStr">
        <is>
          <t>OC</t>
        </is>
      </c>
      <c r="F2270" t="inlineStr">
        <is>
          <t>MA1011423</t>
        </is>
      </c>
      <c r="G2270" s="128" t="n">
        <v>46134</v>
      </c>
      <c r="H2270" s="127" t="n">
        <v>46142</v>
      </c>
      <c r="I2270" t="inlineStr">
        <is>
          <t>1</t>
        </is>
      </c>
      <c r="J2270" s="38" t="inlineStr">
        <is>
          <t>0-4008</t>
        </is>
      </c>
      <c r="K2270" t="inlineStr">
        <is>
          <t>HP 952 Ink combo</t>
        </is>
      </c>
      <c r="L2270" t="n">
        <v>2</v>
      </c>
      <c r="M2270" t="n">
        <v>166.48</v>
      </c>
      <c r="N2270" t="inlineStr">
        <is>
          <t>INVOICE</t>
        </is>
      </c>
      <c r="O2270" t="inlineStr">
        <is>
          <t>20395</t>
        </is>
      </c>
      <c r="P2270" t="inlineStr">
        <is>
          <t>AMAZON.COM SERVICES LLC</t>
        </is>
      </c>
      <c r="Q2270" s="114" t="n">
        <v>0</v>
      </c>
      <c r="R2270" s="114" t="n">
        <v>0</v>
      </c>
      <c r="S2270" s="114" t="n">
        <v>0</v>
      </c>
      <c r="T2270" t="n">
        <v>0</v>
      </c>
    </row>
    <row r="2271">
      <c r="A2271" t="inlineStr">
        <is>
          <t>ttJTrans</t>
        </is>
      </c>
      <c r="B2271" s="38" t="inlineStr">
        <is>
          <t>0-4008</t>
        </is>
      </c>
      <c r="C2271" t="inlineStr">
        <is>
          <t>OC</t>
        </is>
      </c>
      <c r="D2271" t="inlineStr">
        <is>
          <t>MA1011423</t>
        </is>
      </c>
      <c r="E2271" t="inlineStr">
        <is>
          <t>OC</t>
        </is>
      </c>
      <c r="F2271" t="inlineStr">
        <is>
          <t>MA1011423</t>
        </is>
      </c>
      <c r="G2271" s="128" t="n">
        <v>46134</v>
      </c>
      <c r="H2271" s="127" t="n">
        <v>46136</v>
      </c>
      <c r="I2271" t="inlineStr">
        <is>
          <t>1</t>
        </is>
      </c>
      <c r="J2271" s="38" t="inlineStr">
        <is>
          <t>0-4008</t>
        </is>
      </c>
      <c r="K2271" t="inlineStr">
        <is>
          <t>HP 952 Ink combo</t>
        </is>
      </c>
      <c r="L2271" t="n">
        <v>2</v>
      </c>
      <c r="M2271" t="n">
        <v>166.48</v>
      </c>
      <c r="N2271" t="inlineStr">
        <is>
          <t>INVOICE:ADJ-COMMIT</t>
        </is>
      </c>
      <c r="O2271" t="inlineStr">
        <is>
          <t>20395</t>
        </is>
      </c>
      <c r="P2271" t="inlineStr">
        <is>
          <t>AMAZON.COM SERVICES LLC</t>
        </is>
      </c>
      <c r="Q2271" s="114" t="n">
        <v>0</v>
      </c>
      <c r="R2271" s="114" t="n">
        <v>0</v>
      </c>
      <c r="S2271" s="114" t="n">
        <v>-166.48</v>
      </c>
      <c r="T2271" t="n">
        <v>0</v>
      </c>
    </row>
    <row r="2272">
      <c r="A2272" t="inlineStr">
        <is>
          <t>ttJTrans</t>
        </is>
      </c>
      <c r="B2272" s="38" t="inlineStr">
        <is>
          <t>0-4008</t>
        </is>
      </c>
      <c r="C2272" t="inlineStr">
        <is>
          <t>OC</t>
        </is>
      </c>
      <c r="D2272" t="inlineStr">
        <is>
          <t>MA1011423</t>
        </is>
      </c>
      <c r="E2272" t="inlineStr">
        <is>
          <t>OC</t>
        </is>
      </c>
      <c r="F2272" t="inlineStr">
        <is>
          <t>MA1011423</t>
        </is>
      </c>
      <c r="G2272" s="128" t="n">
        <v>46134</v>
      </c>
      <c r="H2272" s="127" t="n">
        <v>46136</v>
      </c>
      <c r="I2272" t="inlineStr">
        <is>
          <t>1</t>
        </is>
      </c>
      <c r="J2272" s="38" t="inlineStr">
        <is>
          <t>0-4008</t>
        </is>
      </c>
      <c r="K2272" t="inlineStr">
        <is>
          <t>HP 952 Ink combo</t>
        </is>
      </c>
      <c r="L2272" t="n">
        <v>2</v>
      </c>
      <c r="M2272" t="n">
        <v>166.48</v>
      </c>
      <c r="N2272" t="inlineStr">
        <is>
          <t>PO:COMMIT</t>
        </is>
      </c>
      <c r="O2272" t="inlineStr">
        <is>
          <t>20395</t>
        </is>
      </c>
      <c r="P2272" t="inlineStr">
        <is>
          <t>AMAZON.COM SERVICES LLC</t>
        </is>
      </c>
      <c r="Q2272" s="114" t="n">
        <v>0</v>
      </c>
      <c r="R2272" s="114" t="n">
        <v>0</v>
      </c>
      <c r="S2272" s="114" t="n">
        <v>166.48</v>
      </c>
      <c r="T2272" t="n">
        <v>0</v>
      </c>
    </row>
    <row r="2273">
      <c r="A2273" t="inlineStr">
        <is>
          <t>ttJTrans</t>
        </is>
      </c>
      <c r="B2273" s="38" t="inlineStr">
        <is>
          <t>0-4008</t>
        </is>
      </c>
      <c r="C2273" t="inlineStr">
        <is>
          <t>OC</t>
        </is>
      </c>
      <c r="D2273" t="inlineStr">
        <is>
          <t>MA1011423</t>
        </is>
      </c>
      <c r="E2273" t="inlineStr">
        <is>
          <t>OC</t>
        </is>
      </c>
      <c r="F2273" t="inlineStr">
        <is>
          <t>MA1011423</t>
        </is>
      </c>
      <c r="G2273" s="128" t="n">
        <v>46134</v>
      </c>
      <c r="H2273" s="127" t="n">
        <v>46136</v>
      </c>
      <c r="I2273" t="inlineStr">
        <is>
          <t>2</t>
        </is>
      </c>
      <c r="J2273" s="38" t="inlineStr">
        <is>
          <t>0-4008</t>
        </is>
      </c>
      <c r="K2273" t="inlineStr">
        <is>
          <t>3" 3 Ring binders</t>
        </is>
      </c>
      <c r="L2273" t="n">
        <v>3</v>
      </c>
      <c r="M2273" t="n">
        <v>113.05</v>
      </c>
      <c r="N2273" t="inlineStr">
        <is>
          <t>PO:COMMIT</t>
        </is>
      </c>
      <c r="O2273" t="inlineStr">
        <is>
          <t>20395</t>
        </is>
      </c>
      <c r="P2273" t="inlineStr">
        <is>
          <t>AMAZON.COM SERVICES LLC</t>
        </is>
      </c>
      <c r="Q2273" s="114" t="n">
        <v>0</v>
      </c>
      <c r="R2273" s="114" t="n">
        <v>0</v>
      </c>
      <c r="S2273" s="114" t="n">
        <v>113.05</v>
      </c>
      <c r="T2273" t="n">
        <v>0</v>
      </c>
    </row>
    <row r="2274">
      <c r="A2274" t="inlineStr">
        <is>
          <t>ttJTrans</t>
        </is>
      </c>
      <c r="B2274" s="38" t="inlineStr">
        <is>
          <t>0-4008</t>
        </is>
      </c>
      <c r="C2274" t="inlineStr">
        <is>
          <t>OC</t>
        </is>
      </c>
      <c r="D2274" t="inlineStr">
        <is>
          <t>MA1011423</t>
        </is>
      </c>
      <c r="E2274" t="inlineStr">
        <is>
          <t>OC</t>
        </is>
      </c>
      <c r="F2274" t="inlineStr">
        <is>
          <t>MA1011423</t>
        </is>
      </c>
      <c r="G2274" s="128" t="n">
        <v>46134</v>
      </c>
      <c r="H2274" s="127" t="n">
        <v>46136</v>
      </c>
      <c r="I2274" t="inlineStr">
        <is>
          <t>2</t>
        </is>
      </c>
      <c r="J2274" s="38" t="inlineStr">
        <is>
          <t>0-4008</t>
        </is>
      </c>
      <c r="K2274" t="inlineStr">
        <is>
          <t>3" 3 Ring binders</t>
        </is>
      </c>
      <c r="L2274" t="n">
        <v>3</v>
      </c>
      <c r="M2274" t="n">
        <v>113.05</v>
      </c>
      <c r="N2274" t="inlineStr">
        <is>
          <t>INVOICE:ADJ-COMMIT</t>
        </is>
      </c>
      <c r="O2274" t="inlineStr">
        <is>
          <t>20395</t>
        </is>
      </c>
      <c r="P2274" t="inlineStr">
        <is>
          <t>AMAZON.COM SERVICES LLC</t>
        </is>
      </c>
      <c r="Q2274" s="114" t="n">
        <v>0</v>
      </c>
      <c r="R2274" s="114" t="n">
        <v>0</v>
      </c>
      <c r="S2274" s="114" t="n">
        <v>-96.40000000000001</v>
      </c>
      <c r="T2274" t="n">
        <v>0</v>
      </c>
    </row>
    <row r="2275">
      <c r="A2275" t="inlineStr">
        <is>
          <t>ttJTrans</t>
        </is>
      </c>
      <c r="B2275" s="38" t="inlineStr">
        <is>
          <t>0-4008</t>
        </is>
      </c>
      <c r="C2275" t="inlineStr">
        <is>
          <t>OC</t>
        </is>
      </c>
      <c r="D2275" t="inlineStr">
        <is>
          <t>MA1011457</t>
        </is>
      </c>
      <c r="E2275" t="inlineStr">
        <is>
          <t>OC</t>
        </is>
      </c>
      <c r="F2275" t="inlineStr">
        <is>
          <t>MA1011457</t>
        </is>
      </c>
      <c r="G2275" s="128" t="n">
        <v>46136</v>
      </c>
      <c r="H2275" s="127" t="n">
        <v>46139</v>
      </c>
      <c r="I2275" t="inlineStr">
        <is>
          <t>1</t>
        </is>
      </c>
      <c r="J2275" s="38" t="inlineStr">
        <is>
          <t>0-4008</t>
        </is>
      </c>
      <c r="K2275" t="inlineStr">
        <is>
          <t>Wrapper twine</t>
        </is>
      </c>
      <c r="L2275" t="n">
        <v>20</v>
      </c>
      <c r="M2275" t="n">
        <v>3885</v>
      </c>
      <c r="N2275" t="inlineStr">
        <is>
          <t>PO:COMMIT</t>
        </is>
      </c>
      <c r="O2275" t="inlineStr">
        <is>
          <t>19286</t>
        </is>
      </c>
      <c r="P2275" t="inlineStr">
        <is>
          <t>PREMIER TRUCK RENTAL, LLC</t>
        </is>
      </c>
      <c r="Q2275" s="114" t="n">
        <v>3885</v>
      </c>
      <c r="R2275" s="114" t="n">
        <v>0</v>
      </c>
      <c r="S2275" s="114" t="n">
        <v>0</v>
      </c>
      <c r="T2275" t="n">
        <v>0</v>
      </c>
    </row>
    <row r="2276">
      <c r="A2276" t="inlineStr">
        <is>
          <t>ttJTrans</t>
        </is>
      </c>
      <c r="B2276" s="38" t="inlineStr">
        <is>
          <t>0-4008</t>
        </is>
      </c>
      <c r="C2276" t="inlineStr">
        <is>
          <t>OC</t>
        </is>
      </c>
      <c r="D2276" t="inlineStr">
        <is>
          <t>MA1011457</t>
        </is>
      </c>
      <c r="E2276" t="inlineStr">
        <is>
          <t>OC</t>
        </is>
      </c>
      <c r="F2276" t="inlineStr">
        <is>
          <t>MA1011457</t>
        </is>
      </c>
      <c r="G2276" s="128" t="n">
        <v>46136</v>
      </c>
      <c r="H2276" s="127" t="n">
        <v>46139</v>
      </c>
      <c r="I2276" t="inlineStr">
        <is>
          <t>2</t>
        </is>
      </c>
      <c r="J2276" s="38" t="inlineStr">
        <is>
          <t>0-4008</t>
        </is>
      </c>
      <c r="K2276" t="inlineStr">
        <is>
          <t>Freight</t>
        </is>
      </c>
      <c r="L2276" t="n">
        <v>1</v>
      </c>
      <c r="M2276" t="n">
        <v>471.75</v>
      </c>
      <c r="N2276" t="inlineStr">
        <is>
          <t>PO:COMMIT</t>
        </is>
      </c>
      <c r="O2276" t="inlineStr">
        <is>
          <t>19286</t>
        </is>
      </c>
      <c r="P2276" t="inlineStr">
        <is>
          <t>PREMIER TRUCK RENTAL, LLC</t>
        </is>
      </c>
      <c r="Q2276" s="114" t="n">
        <v>471.75</v>
      </c>
      <c r="R2276" s="114" t="n">
        <v>0</v>
      </c>
      <c r="S2276" s="114" t="n">
        <v>0</v>
      </c>
      <c r="T2276" t="n">
        <v>0</v>
      </c>
    </row>
    <row r="2277">
      <c r="A2277" t="inlineStr">
        <is>
          <t>ttJTrans</t>
        </is>
      </c>
      <c r="B2277" s="38" t="inlineStr">
        <is>
          <t>0-4008</t>
        </is>
      </c>
      <c r="C2277" t="inlineStr">
        <is>
          <t>OC</t>
        </is>
      </c>
      <c r="D2277" t="inlineStr">
        <is>
          <t>MA1011474</t>
        </is>
      </c>
      <c r="E2277" t="inlineStr">
        <is>
          <t>OC</t>
        </is>
      </c>
      <c r="F2277" t="inlineStr">
        <is>
          <t>MA1011474</t>
        </is>
      </c>
      <c r="G2277" s="128" t="n">
        <v>46136</v>
      </c>
      <c r="H2277" s="127" t="n">
        <v>46139</v>
      </c>
      <c r="I2277" t="inlineStr">
        <is>
          <t>21</t>
        </is>
      </c>
      <c r="J2277" s="38" t="inlineStr">
        <is>
          <t>0-4008</t>
        </is>
      </c>
      <c r="K2277" t="inlineStr">
        <is>
          <t>SHACKLE 1-1/2IN S-209 17 TON</t>
        </is>
      </c>
      <c r="L2277" t="n">
        <v>2</v>
      </c>
      <c r="M2277" t="n">
        <v>464.27</v>
      </c>
      <c r="N2277" t="inlineStr">
        <is>
          <t>PO:COMMIT</t>
        </is>
      </c>
      <c r="O2277" t="inlineStr">
        <is>
          <t>12561</t>
        </is>
      </c>
      <c r="P2277" t="inlineStr">
        <is>
          <t>CROSS COUNTRY INFRASTRUCTURE SERVICES INC.</t>
        </is>
      </c>
      <c r="Q2277" s="114" t="n">
        <v>0</v>
      </c>
      <c r="R2277" s="114" t="n">
        <v>0</v>
      </c>
      <c r="S2277" s="114" t="n">
        <v>464.27</v>
      </c>
      <c r="T2277" t="n">
        <v>0</v>
      </c>
    </row>
    <row r="2278">
      <c r="A2278" t="inlineStr">
        <is>
          <t>ttJTrans</t>
        </is>
      </c>
      <c r="B2278" s="38" t="inlineStr">
        <is>
          <t>0-4008</t>
        </is>
      </c>
      <c r="C2278" t="inlineStr">
        <is>
          <t>OC</t>
        </is>
      </c>
      <c r="D2278" t="inlineStr">
        <is>
          <t>MA1011474</t>
        </is>
      </c>
      <c r="E2278" t="inlineStr">
        <is>
          <t>OC</t>
        </is>
      </c>
      <c r="F2278" t="inlineStr">
        <is>
          <t>MA1011474</t>
        </is>
      </c>
      <c r="G2278" s="128" t="n">
        <v>46136</v>
      </c>
      <c r="H2278" s="127" t="n">
        <v>46139</v>
      </c>
      <c r="I2278" t="inlineStr">
        <is>
          <t>5</t>
        </is>
      </c>
      <c r="J2278" s="38" t="inlineStr">
        <is>
          <t>0-4008</t>
        </is>
      </c>
      <c r="K2278" t="inlineStr">
        <is>
          <t>AIR TOOL ACCESORY KIT</t>
        </is>
      </c>
      <c r="L2278" t="n">
        <v>1</v>
      </c>
      <c r="M2278" t="n">
        <v>13.32</v>
      </c>
      <c r="N2278" t="inlineStr">
        <is>
          <t>PO:COMMIT</t>
        </is>
      </c>
      <c r="O2278" t="inlineStr">
        <is>
          <t>12561</t>
        </is>
      </c>
      <c r="P2278" t="inlineStr">
        <is>
          <t>CROSS COUNTRY INFRASTRUCTURE SERVICES INC.</t>
        </is>
      </c>
      <c r="Q2278" s="114" t="n">
        <v>0</v>
      </c>
      <c r="R2278" s="114" t="n">
        <v>0</v>
      </c>
      <c r="S2278" s="114" t="n">
        <v>13.32</v>
      </c>
      <c r="T2278" t="n">
        <v>0</v>
      </c>
    </row>
    <row r="2279">
      <c r="A2279" t="inlineStr">
        <is>
          <t>ttJTrans</t>
        </is>
      </c>
      <c r="B2279" s="38" t="inlineStr">
        <is>
          <t>0-4008</t>
        </is>
      </c>
      <c r="C2279" t="inlineStr">
        <is>
          <t>OC</t>
        </is>
      </c>
      <c r="D2279" t="inlineStr">
        <is>
          <t>MA1011474</t>
        </is>
      </c>
      <c r="E2279" t="inlineStr">
        <is>
          <t>OC</t>
        </is>
      </c>
      <c r="F2279" t="inlineStr">
        <is>
          <t>MA1011474</t>
        </is>
      </c>
      <c r="G2279" s="128" t="n">
        <v>46136</v>
      </c>
      <c r="H2279" s="127" t="n">
        <v>46139</v>
      </c>
      <c r="I2279" t="inlineStr">
        <is>
          <t>4</t>
        </is>
      </c>
      <c r="J2279" s="38" t="inlineStr">
        <is>
          <t>0-4008</t>
        </is>
      </c>
      <c r="K2279" t="inlineStr">
        <is>
          <t>50FT AIR HOSE</t>
        </is>
      </c>
      <c r="L2279" t="n">
        <v>2</v>
      </c>
      <c r="M2279" t="n">
        <v>81.59</v>
      </c>
      <c r="N2279" t="inlineStr">
        <is>
          <t>PO:COMMIT</t>
        </is>
      </c>
      <c r="O2279" t="inlineStr">
        <is>
          <t>12561</t>
        </is>
      </c>
      <c r="P2279" t="inlineStr">
        <is>
          <t>CROSS COUNTRY INFRASTRUCTURE SERVICES INC.</t>
        </is>
      </c>
      <c r="Q2279" s="114" t="n">
        <v>0</v>
      </c>
      <c r="R2279" s="114" t="n">
        <v>0</v>
      </c>
      <c r="S2279" s="114" t="n">
        <v>81.59</v>
      </c>
      <c r="T2279" t="n">
        <v>0</v>
      </c>
    </row>
    <row r="2280">
      <c r="A2280" t="inlineStr">
        <is>
          <t>ttJTrans</t>
        </is>
      </c>
      <c r="B2280" s="38" t="inlineStr">
        <is>
          <t>0-4008</t>
        </is>
      </c>
      <c r="C2280" t="inlineStr">
        <is>
          <t>OC</t>
        </is>
      </c>
      <c r="D2280" t="inlineStr">
        <is>
          <t>MA1011474</t>
        </is>
      </c>
      <c r="E2280" t="inlineStr">
        <is>
          <t>OC</t>
        </is>
      </c>
      <c r="F2280" t="inlineStr">
        <is>
          <t>MA1011474</t>
        </is>
      </c>
      <c r="G2280" s="128" t="n">
        <v>46136</v>
      </c>
      <c r="H2280" s="127" t="n">
        <v>46139</v>
      </c>
      <c r="I2280" t="inlineStr">
        <is>
          <t>32</t>
        </is>
      </c>
      <c r="J2280" s="38" t="inlineStr">
        <is>
          <t>0-4008</t>
        </is>
      </c>
      <c r="K2280" t="inlineStr">
        <is>
          <t>SHOVEL SQUARE PT 45IN WOOD HDL</t>
        </is>
      </c>
      <c r="L2280" t="n">
        <v>2</v>
      </c>
      <c r="M2280" t="n">
        <v>20.6</v>
      </c>
      <c r="N2280" t="inlineStr">
        <is>
          <t>PO:COMMIT</t>
        </is>
      </c>
      <c r="O2280" t="inlineStr">
        <is>
          <t>12561</t>
        </is>
      </c>
      <c r="P2280" t="inlineStr">
        <is>
          <t>CROSS COUNTRY INFRASTRUCTURE SERVICES INC.</t>
        </is>
      </c>
      <c r="Q2280" s="114" t="n">
        <v>0</v>
      </c>
      <c r="R2280" s="114" t="n">
        <v>0</v>
      </c>
      <c r="S2280" s="114" t="n">
        <v>20.6</v>
      </c>
      <c r="T2280" t="n">
        <v>0</v>
      </c>
    </row>
    <row r="2281">
      <c r="A2281" t="inlineStr">
        <is>
          <t>ttJTrans</t>
        </is>
      </c>
      <c r="B2281" s="38" t="inlineStr">
        <is>
          <t>0-4008</t>
        </is>
      </c>
      <c r="C2281" t="inlineStr">
        <is>
          <t>OC</t>
        </is>
      </c>
      <c r="D2281" t="inlineStr">
        <is>
          <t>MA1011474</t>
        </is>
      </c>
      <c r="E2281" t="inlineStr">
        <is>
          <t>OC</t>
        </is>
      </c>
      <c r="F2281" t="inlineStr">
        <is>
          <t>MA1011474</t>
        </is>
      </c>
      <c r="G2281" s="128" t="n">
        <v>46136</v>
      </c>
      <c r="H2281" s="127" t="n">
        <v>46139</v>
      </c>
      <c r="I2281" t="inlineStr">
        <is>
          <t>22</t>
        </is>
      </c>
      <c r="J2281" s="38" t="inlineStr">
        <is>
          <t>0-4008</t>
        </is>
      </c>
      <c r="K2281" t="inlineStr">
        <is>
          <t>LADDER STEP FBRGLS 8FT 300LB C</t>
        </is>
      </c>
      <c r="L2281" t="n">
        <v>2</v>
      </c>
      <c r="M2281" t="n">
        <v>468.33</v>
      </c>
      <c r="N2281" t="inlineStr">
        <is>
          <t>PO:COMMIT</t>
        </is>
      </c>
      <c r="O2281" t="inlineStr">
        <is>
          <t>12561</t>
        </is>
      </c>
      <c r="P2281" t="inlineStr">
        <is>
          <t>CROSS COUNTRY INFRASTRUCTURE SERVICES INC.</t>
        </is>
      </c>
      <c r="Q2281" s="114" t="n">
        <v>0</v>
      </c>
      <c r="R2281" s="114" t="n">
        <v>0</v>
      </c>
      <c r="S2281" s="114" t="n">
        <v>468.33</v>
      </c>
      <c r="T2281" t="n">
        <v>0</v>
      </c>
    </row>
    <row r="2282">
      <c r="A2282" t="inlineStr">
        <is>
          <t>ttJTrans</t>
        </is>
      </c>
      <c r="B2282" s="38" t="inlineStr">
        <is>
          <t>0-4008</t>
        </is>
      </c>
      <c r="C2282" t="inlineStr">
        <is>
          <t>OC</t>
        </is>
      </c>
      <c r="D2282" t="inlineStr">
        <is>
          <t>MA1011474</t>
        </is>
      </c>
      <c r="E2282" t="inlineStr">
        <is>
          <t>OC</t>
        </is>
      </c>
      <c r="F2282" t="inlineStr">
        <is>
          <t>MA1011474</t>
        </is>
      </c>
      <c r="G2282" s="128" t="n">
        <v>46136</v>
      </c>
      <c r="H2282" s="127" t="n">
        <v>46139</v>
      </c>
      <c r="I2282" t="inlineStr">
        <is>
          <t>34</t>
        </is>
      </c>
      <c r="J2282" s="38" t="inlineStr">
        <is>
          <t>0-4008</t>
        </is>
      </c>
      <c r="K2282" t="inlineStr">
        <is>
          <t>UTILITY WATER PUMP</t>
        </is>
      </c>
      <c r="L2282" t="n">
        <v>1</v>
      </c>
      <c r="M2282" t="n">
        <v>149.85</v>
      </c>
      <c r="N2282" t="inlineStr">
        <is>
          <t>PO:COMMIT</t>
        </is>
      </c>
      <c r="O2282" t="inlineStr">
        <is>
          <t>12561</t>
        </is>
      </c>
      <c r="P2282" t="inlineStr">
        <is>
          <t>CROSS COUNTRY INFRASTRUCTURE SERVICES INC.</t>
        </is>
      </c>
      <c r="Q2282" s="114" t="n">
        <v>0</v>
      </c>
      <c r="R2282" s="114" t="n">
        <v>0</v>
      </c>
      <c r="S2282" s="114" t="n">
        <v>149.85</v>
      </c>
      <c r="T2282" t="n">
        <v>0</v>
      </c>
    </row>
    <row r="2283">
      <c r="A2283" t="inlineStr">
        <is>
          <t>ttJTrans</t>
        </is>
      </c>
      <c r="B2283" s="38" t="inlineStr">
        <is>
          <t>0-4008</t>
        </is>
      </c>
      <c r="C2283" t="inlineStr">
        <is>
          <t>OC</t>
        </is>
      </c>
      <c r="D2283" t="inlineStr">
        <is>
          <t>MA1011474</t>
        </is>
      </c>
      <c r="E2283" t="inlineStr">
        <is>
          <t>OC</t>
        </is>
      </c>
      <c r="F2283" t="inlineStr">
        <is>
          <t>MA1011474</t>
        </is>
      </c>
      <c r="G2283" s="128" t="n">
        <v>46136</v>
      </c>
      <c r="H2283" s="127" t="n">
        <v>46139</v>
      </c>
      <c r="I2283" t="inlineStr">
        <is>
          <t>20</t>
        </is>
      </c>
      <c r="J2283" s="38" t="inlineStr">
        <is>
          <t>0-4008</t>
        </is>
      </c>
      <c r="K2283" t="inlineStr">
        <is>
          <t>SHACKLE 1-1/4IN S-209 12T</t>
        </is>
      </c>
      <c r="L2283" t="n">
        <v>6</v>
      </c>
      <c r="M2283" t="n">
        <v>913.15</v>
      </c>
      <c r="N2283" t="inlineStr">
        <is>
          <t>PO:COMMIT</t>
        </is>
      </c>
      <c r="O2283" t="inlineStr">
        <is>
          <t>12561</t>
        </is>
      </c>
      <c r="P2283" t="inlineStr">
        <is>
          <t>CROSS COUNTRY INFRASTRUCTURE SERVICES INC.</t>
        </is>
      </c>
      <c r="Q2283" s="114" t="n">
        <v>0</v>
      </c>
      <c r="R2283" s="114" t="n">
        <v>0</v>
      </c>
      <c r="S2283" s="114" t="n">
        <v>913.15</v>
      </c>
      <c r="T2283" t="n">
        <v>0</v>
      </c>
    </row>
    <row r="2284">
      <c r="A2284" t="inlineStr">
        <is>
          <t>ttJTrans</t>
        </is>
      </c>
      <c r="B2284" s="38" t="inlineStr">
        <is>
          <t>0-4008</t>
        </is>
      </c>
      <c r="C2284" t="inlineStr">
        <is>
          <t>OC</t>
        </is>
      </c>
      <c r="D2284" t="inlineStr">
        <is>
          <t>MA1011474</t>
        </is>
      </c>
      <c r="E2284" t="inlineStr">
        <is>
          <t>OC</t>
        </is>
      </c>
      <c r="F2284" t="inlineStr">
        <is>
          <t>MA1011474</t>
        </is>
      </c>
      <c r="G2284" s="128" t="n">
        <v>46136</v>
      </c>
      <c r="H2284" s="127" t="n">
        <v>46139</v>
      </c>
      <c r="I2284" t="inlineStr">
        <is>
          <t>19</t>
        </is>
      </c>
      <c r="J2284" s="38" t="inlineStr">
        <is>
          <t>0-4008</t>
        </is>
      </c>
      <c r="K2284" t="inlineStr">
        <is>
          <t>SHACKLE 7/8IN S-209 6.5 TON</t>
        </is>
      </c>
      <c r="L2284" t="n">
        <v>4</v>
      </c>
      <c r="M2284" t="n">
        <v>213.56</v>
      </c>
      <c r="N2284" t="inlineStr">
        <is>
          <t>PO:COMMIT</t>
        </is>
      </c>
      <c r="O2284" t="inlineStr">
        <is>
          <t>12561</t>
        </is>
      </c>
      <c r="P2284" t="inlineStr">
        <is>
          <t>CROSS COUNTRY INFRASTRUCTURE SERVICES INC.</t>
        </is>
      </c>
      <c r="Q2284" s="114" t="n">
        <v>0</v>
      </c>
      <c r="R2284" s="114" t="n">
        <v>0</v>
      </c>
      <c r="S2284" s="114" t="n">
        <v>213.56</v>
      </c>
      <c r="T2284" t="n">
        <v>0</v>
      </c>
    </row>
    <row r="2285">
      <c r="A2285" t="inlineStr">
        <is>
          <t>ttJTrans</t>
        </is>
      </c>
      <c r="B2285" s="38" t="inlineStr">
        <is>
          <t>0-4008</t>
        </is>
      </c>
      <c r="C2285" t="inlineStr">
        <is>
          <t>OC</t>
        </is>
      </c>
      <c r="D2285" t="inlineStr">
        <is>
          <t>MA1011474</t>
        </is>
      </c>
      <c r="E2285" t="inlineStr">
        <is>
          <t>OC</t>
        </is>
      </c>
      <c r="F2285" t="inlineStr">
        <is>
          <t>MA1011474</t>
        </is>
      </c>
      <c r="G2285" s="128" t="n">
        <v>46136</v>
      </c>
      <c r="H2285" s="127" t="n">
        <v>46139</v>
      </c>
      <c r="I2285" t="inlineStr">
        <is>
          <t>3</t>
        </is>
      </c>
      <c r="J2285" s="38" t="inlineStr">
        <is>
          <t>0-4008</t>
        </is>
      </c>
      <c r="K2285" t="inlineStr">
        <is>
          <t>RIGID 6 GAL AIR COMPRESSOR</t>
        </is>
      </c>
      <c r="L2285" t="n">
        <v>1</v>
      </c>
      <c r="M2285" t="n">
        <v>183.15</v>
      </c>
      <c r="N2285" t="inlineStr">
        <is>
          <t>PO:COMMIT</t>
        </is>
      </c>
      <c r="O2285" t="inlineStr">
        <is>
          <t>12561</t>
        </is>
      </c>
      <c r="P2285" t="inlineStr">
        <is>
          <t>CROSS COUNTRY INFRASTRUCTURE SERVICES INC.</t>
        </is>
      </c>
      <c r="Q2285" s="114" t="n">
        <v>0</v>
      </c>
      <c r="R2285" s="114" t="n">
        <v>0</v>
      </c>
      <c r="S2285" s="114" t="n">
        <v>183.15</v>
      </c>
      <c r="T2285" t="n">
        <v>0</v>
      </c>
    </row>
    <row r="2286">
      <c r="A2286" t="inlineStr">
        <is>
          <t>ttJTrans</t>
        </is>
      </c>
      <c r="B2286" s="38" t="inlineStr">
        <is>
          <t>0-4008</t>
        </is>
      </c>
      <c r="C2286" t="inlineStr">
        <is>
          <t>OC</t>
        </is>
      </c>
      <c r="D2286" t="inlineStr">
        <is>
          <t>MA1011474</t>
        </is>
      </c>
      <c r="E2286" t="inlineStr">
        <is>
          <t>OC</t>
        </is>
      </c>
      <c r="F2286" t="inlineStr">
        <is>
          <t>MA1011474</t>
        </is>
      </c>
      <c r="G2286" s="128" t="n">
        <v>46136</v>
      </c>
      <c r="H2286" s="127" t="n">
        <v>46139</v>
      </c>
      <c r="I2286" t="inlineStr">
        <is>
          <t>2</t>
        </is>
      </c>
      <c r="J2286" s="38" t="inlineStr">
        <is>
          <t>0-4008</t>
        </is>
      </c>
      <c r="K2286" t="inlineStr">
        <is>
          <t>29/PC 3/4DR IMP SOCKETS</t>
        </is>
      </c>
      <c r="L2286" t="n">
        <v>1</v>
      </c>
      <c r="M2286" t="n">
        <v>782.55</v>
      </c>
      <c r="N2286" t="inlineStr">
        <is>
          <t>PO:COMMIT</t>
        </is>
      </c>
      <c r="O2286" t="inlineStr">
        <is>
          <t>12561</t>
        </is>
      </c>
      <c r="P2286" t="inlineStr">
        <is>
          <t>CROSS COUNTRY INFRASTRUCTURE SERVICES INC.</t>
        </is>
      </c>
      <c r="Q2286" s="114" t="n">
        <v>0</v>
      </c>
      <c r="R2286" s="114" t="n">
        <v>0</v>
      </c>
      <c r="S2286" s="114" t="n">
        <v>782.55</v>
      </c>
      <c r="T2286" t="n">
        <v>0</v>
      </c>
    </row>
    <row r="2287">
      <c r="A2287" t="inlineStr">
        <is>
          <t>ttJTrans</t>
        </is>
      </c>
      <c r="B2287" s="38" t="inlineStr">
        <is>
          <t>0-4008</t>
        </is>
      </c>
      <c r="C2287" t="inlineStr">
        <is>
          <t>OC</t>
        </is>
      </c>
      <c r="D2287" t="inlineStr">
        <is>
          <t>MA1011474</t>
        </is>
      </c>
      <c r="E2287" t="inlineStr">
        <is>
          <t>OC</t>
        </is>
      </c>
      <c r="F2287" t="inlineStr">
        <is>
          <t>MA1011474</t>
        </is>
      </c>
      <c r="G2287" s="128" t="n">
        <v>46136</v>
      </c>
      <c r="H2287" s="127" t="n">
        <v>46139</v>
      </c>
      <c r="I2287" t="inlineStr">
        <is>
          <t>9</t>
        </is>
      </c>
      <c r="J2287" s="38" t="inlineStr">
        <is>
          <t>0-4008</t>
        </is>
      </c>
      <c r="K2287" t="inlineStr">
        <is>
          <t>33T SOFT SHACKLE</t>
        </is>
      </c>
      <c r="L2287" t="n">
        <v>4</v>
      </c>
      <c r="M2287" t="n">
        <v>3263.4</v>
      </c>
      <c r="N2287" t="inlineStr">
        <is>
          <t>PO:COMMIT</t>
        </is>
      </c>
      <c r="O2287" t="inlineStr">
        <is>
          <t>12561</t>
        </is>
      </c>
      <c r="P2287" t="inlineStr">
        <is>
          <t>CROSS COUNTRY INFRASTRUCTURE SERVICES INC.</t>
        </is>
      </c>
      <c r="Q2287" s="114" t="n">
        <v>0</v>
      </c>
      <c r="R2287" s="114" t="n">
        <v>0</v>
      </c>
      <c r="S2287" s="114" t="n">
        <v>3263.4</v>
      </c>
      <c r="T2287" t="n">
        <v>0</v>
      </c>
    </row>
    <row r="2288">
      <c r="A2288" t="inlineStr">
        <is>
          <t>ttJTrans</t>
        </is>
      </c>
      <c r="B2288" s="38" t="inlineStr">
        <is>
          <t>0-4008</t>
        </is>
      </c>
      <c r="C2288" t="inlineStr">
        <is>
          <t>OC</t>
        </is>
      </c>
      <c r="D2288" t="inlineStr">
        <is>
          <t>MA1011474</t>
        </is>
      </c>
      <c r="E2288" t="inlineStr">
        <is>
          <t>OC</t>
        </is>
      </c>
      <c r="F2288" t="inlineStr">
        <is>
          <t>MA1011474</t>
        </is>
      </c>
      <c r="G2288" s="128" t="n">
        <v>46136</v>
      </c>
      <c r="H2288" s="127" t="n">
        <v>46139</v>
      </c>
      <c r="I2288" t="inlineStr">
        <is>
          <t>8</t>
        </is>
      </c>
      <c r="J2288" s="38" t="inlineStr">
        <is>
          <t>0-4008</t>
        </is>
      </c>
      <c r="K2288" t="inlineStr">
        <is>
          <t>SAMSON 22T RECOVERY ROPE</t>
        </is>
      </c>
      <c r="L2288" t="n">
        <v>2</v>
      </c>
      <c r="M2288" t="n">
        <v>12765</v>
      </c>
      <c r="N2288" t="inlineStr">
        <is>
          <t>PO:COMMIT</t>
        </is>
      </c>
      <c r="O2288" t="inlineStr">
        <is>
          <t>12561</t>
        </is>
      </c>
      <c r="P2288" t="inlineStr">
        <is>
          <t>CROSS COUNTRY INFRASTRUCTURE SERVICES INC.</t>
        </is>
      </c>
      <c r="Q2288" s="114" t="n">
        <v>0</v>
      </c>
      <c r="R2288" s="114" t="n">
        <v>0</v>
      </c>
      <c r="S2288" s="114" t="n">
        <v>12765</v>
      </c>
      <c r="T2288" t="n">
        <v>0</v>
      </c>
    </row>
    <row r="2289">
      <c r="A2289" t="inlineStr">
        <is>
          <t>ttJTrans</t>
        </is>
      </c>
      <c r="B2289" s="38" t="inlineStr">
        <is>
          <t>0-4008</t>
        </is>
      </c>
      <c r="C2289" t="inlineStr">
        <is>
          <t>OC</t>
        </is>
      </c>
      <c r="D2289" t="inlineStr">
        <is>
          <t>MA1011474</t>
        </is>
      </c>
      <c r="E2289" t="inlineStr">
        <is>
          <t>OC</t>
        </is>
      </c>
      <c r="F2289" t="inlineStr">
        <is>
          <t>MA1011474</t>
        </is>
      </c>
      <c r="G2289" s="128" t="n">
        <v>46136</v>
      </c>
      <c r="H2289" s="127" t="n">
        <v>46139</v>
      </c>
      <c r="I2289" t="inlineStr">
        <is>
          <t>7</t>
        </is>
      </c>
      <c r="J2289" s="38" t="inlineStr">
        <is>
          <t>0-4008</t>
        </is>
      </c>
      <c r="K2289" t="inlineStr">
        <is>
          <t>BANDSAW COMPACT M18 FUEL DUEL</t>
        </is>
      </c>
      <c r="L2289" t="n">
        <v>2</v>
      </c>
      <c r="M2289" t="n">
        <v>951.6900000000001</v>
      </c>
      <c r="N2289" t="inlineStr">
        <is>
          <t>PO:COMMIT</t>
        </is>
      </c>
      <c r="O2289" t="inlineStr">
        <is>
          <t>12561</t>
        </is>
      </c>
      <c r="P2289" t="inlineStr">
        <is>
          <t>CROSS COUNTRY INFRASTRUCTURE SERVICES INC.</t>
        </is>
      </c>
      <c r="Q2289" s="114" t="n">
        <v>0</v>
      </c>
      <c r="R2289" s="114" t="n">
        <v>0</v>
      </c>
      <c r="S2289" s="114" t="n">
        <v>951.6900000000001</v>
      </c>
      <c r="T2289" t="n">
        <v>0</v>
      </c>
    </row>
    <row r="2290">
      <c r="A2290" t="inlineStr">
        <is>
          <t>ttJTrans</t>
        </is>
      </c>
      <c r="B2290" s="38" t="inlineStr">
        <is>
          <t>0-4008</t>
        </is>
      </c>
      <c r="C2290" t="inlineStr">
        <is>
          <t>OC</t>
        </is>
      </c>
      <c r="D2290" t="inlineStr">
        <is>
          <t>MA1011474</t>
        </is>
      </c>
      <c r="E2290" t="inlineStr">
        <is>
          <t>OC</t>
        </is>
      </c>
      <c r="F2290" t="inlineStr">
        <is>
          <t>MA1011474</t>
        </is>
      </c>
      <c r="G2290" s="128" t="n">
        <v>46136</v>
      </c>
      <c r="H2290" s="127" t="n">
        <v>46139</v>
      </c>
      <c r="I2290" t="inlineStr">
        <is>
          <t>27</t>
        </is>
      </c>
      <c r="J2290" s="38" t="inlineStr">
        <is>
          <t>0-4008</t>
        </is>
      </c>
      <c r="K2290" t="inlineStr">
        <is>
          <t>HAMMER SLEDGE 12LB WOOD</t>
        </is>
      </c>
      <c r="L2290" t="n">
        <v>1</v>
      </c>
      <c r="M2290" t="n">
        <v>42</v>
      </c>
      <c r="N2290" t="inlineStr">
        <is>
          <t>PO:COMMIT</t>
        </is>
      </c>
      <c r="O2290" t="inlineStr">
        <is>
          <t>12561</t>
        </is>
      </c>
      <c r="P2290" t="inlineStr">
        <is>
          <t>CROSS COUNTRY INFRASTRUCTURE SERVICES INC.</t>
        </is>
      </c>
      <c r="Q2290" s="114" t="n">
        <v>0</v>
      </c>
      <c r="R2290" s="114" t="n">
        <v>0</v>
      </c>
      <c r="S2290" s="114" t="n">
        <v>42</v>
      </c>
      <c r="T2290" t="n">
        <v>0</v>
      </c>
    </row>
    <row r="2291">
      <c r="A2291" t="inlineStr">
        <is>
          <t>ttJTrans</t>
        </is>
      </c>
      <c r="B2291" s="38" t="inlineStr">
        <is>
          <t>0-4008</t>
        </is>
      </c>
      <c r="C2291" t="inlineStr">
        <is>
          <t>OC</t>
        </is>
      </c>
      <c r="D2291" t="inlineStr">
        <is>
          <t>MA1011474</t>
        </is>
      </c>
      <c r="E2291" t="inlineStr">
        <is>
          <t>OC</t>
        </is>
      </c>
      <c r="F2291" t="inlineStr">
        <is>
          <t>MA1011474</t>
        </is>
      </c>
      <c r="G2291" s="128" t="n">
        <v>46136</v>
      </c>
      <c r="H2291" s="127" t="n">
        <v>46139</v>
      </c>
      <c r="I2291" t="inlineStr">
        <is>
          <t>17</t>
        </is>
      </c>
      <c r="J2291" s="38" t="inlineStr">
        <is>
          <t>0-4008</t>
        </is>
      </c>
      <c r="K2291" t="inlineStr">
        <is>
          <t>SLING ROUND 7 X 10 BLUE</t>
        </is>
      </c>
      <c r="L2291" t="n">
        <v>2</v>
      </c>
      <c r="M2291" t="n">
        <v>140.08</v>
      </c>
      <c r="N2291" t="inlineStr">
        <is>
          <t>PO:COMMIT</t>
        </is>
      </c>
      <c r="O2291" t="inlineStr">
        <is>
          <t>12561</t>
        </is>
      </c>
      <c r="P2291" t="inlineStr">
        <is>
          <t>CROSS COUNTRY INFRASTRUCTURE SERVICES INC.</t>
        </is>
      </c>
      <c r="Q2291" s="114" t="n">
        <v>0</v>
      </c>
      <c r="R2291" s="114" t="n">
        <v>0</v>
      </c>
      <c r="S2291" s="114" t="n">
        <v>140.08</v>
      </c>
      <c r="T2291" t="n">
        <v>0</v>
      </c>
    </row>
    <row r="2292">
      <c r="A2292" t="inlineStr">
        <is>
          <t>ttJTrans</t>
        </is>
      </c>
      <c r="B2292" s="38" t="inlineStr">
        <is>
          <t>0-4008</t>
        </is>
      </c>
      <c r="C2292" t="inlineStr">
        <is>
          <t>OC</t>
        </is>
      </c>
      <c r="D2292" t="inlineStr">
        <is>
          <t>MA1011474</t>
        </is>
      </c>
      <c r="E2292" t="inlineStr">
        <is>
          <t>OC</t>
        </is>
      </c>
      <c r="F2292" t="inlineStr">
        <is>
          <t>MA1011474</t>
        </is>
      </c>
      <c r="G2292" s="128" t="n">
        <v>46136</v>
      </c>
      <c r="H2292" s="127" t="n">
        <v>46139</v>
      </c>
      <c r="I2292" t="inlineStr">
        <is>
          <t>16</t>
        </is>
      </c>
      <c r="J2292" s="38" t="inlineStr">
        <is>
          <t>0-4008</t>
        </is>
      </c>
      <c r="K2292" t="inlineStr">
        <is>
          <t>SLING ROUND 7 X 8 BLUE</t>
        </is>
      </c>
      <c r="L2292" t="n">
        <v>2</v>
      </c>
      <c r="M2292" t="n">
        <v>114.55</v>
      </c>
      <c r="N2292" t="inlineStr">
        <is>
          <t>PO:COMMIT</t>
        </is>
      </c>
      <c r="O2292" t="inlineStr">
        <is>
          <t>12561</t>
        </is>
      </c>
      <c r="P2292" t="inlineStr">
        <is>
          <t>CROSS COUNTRY INFRASTRUCTURE SERVICES INC.</t>
        </is>
      </c>
      <c r="Q2292" s="114" t="n">
        <v>0</v>
      </c>
      <c r="R2292" s="114" t="n">
        <v>0</v>
      </c>
      <c r="S2292" s="114" t="n">
        <v>114.55</v>
      </c>
      <c r="T2292" t="n">
        <v>0</v>
      </c>
    </row>
    <row r="2293">
      <c r="A2293" t="inlineStr">
        <is>
          <t>ttJTrans</t>
        </is>
      </c>
      <c r="B2293" s="38" t="inlineStr">
        <is>
          <t>0-4008</t>
        </is>
      </c>
      <c r="C2293" t="inlineStr">
        <is>
          <t>OC</t>
        </is>
      </c>
      <c r="D2293" t="inlineStr">
        <is>
          <t>MA1011474</t>
        </is>
      </c>
      <c r="E2293" t="inlineStr">
        <is>
          <t>OC</t>
        </is>
      </c>
      <c r="F2293" t="inlineStr">
        <is>
          <t>MA1011474</t>
        </is>
      </c>
      <c r="G2293" s="128" t="n">
        <v>46136</v>
      </c>
      <c r="H2293" s="127" t="n">
        <v>46139</v>
      </c>
      <c r="I2293" t="inlineStr">
        <is>
          <t>15</t>
        </is>
      </c>
      <c r="J2293" s="38" t="inlineStr">
        <is>
          <t>0-4008</t>
        </is>
      </c>
      <c r="K2293" t="inlineStr">
        <is>
          <t>SLING ROUND 7 X 6 BLUE</t>
        </is>
      </c>
      <c r="L2293" t="n">
        <v>2</v>
      </c>
      <c r="M2293" t="n">
        <v>92.59999999999999</v>
      </c>
      <c r="N2293" t="inlineStr">
        <is>
          <t>PO:COMMIT</t>
        </is>
      </c>
      <c r="O2293" t="inlineStr">
        <is>
          <t>12561</t>
        </is>
      </c>
      <c r="P2293" t="inlineStr">
        <is>
          <t>CROSS COUNTRY INFRASTRUCTURE SERVICES INC.</t>
        </is>
      </c>
      <c r="Q2293" s="114" t="n">
        <v>0</v>
      </c>
      <c r="R2293" s="114" t="n">
        <v>0</v>
      </c>
      <c r="S2293" s="114" t="n">
        <v>92.59999999999999</v>
      </c>
      <c r="T2293" t="n">
        <v>0</v>
      </c>
    </row>
    <row r="2294">
      <c r="A2294" t="inlineStr">
        <is>
          <t>ttJTrans</t>
        </is>
      </c>
      <c r="B2294" s="38" t="inlineStr">
        <is>
          <t>0-4008</t>
        </is>
      </c>
      <c r="C2294" t="inlineStr">
        <is>
          <t>OC</t>
        </is>
      </c>
      <c r="D2294" t="inlineStr">
        <is>
          <t>MA1011474</t>
        </is>
      </c>
      <c r="E2294" t="inlineStr">
        <is>
          <t>OC</t>
        </is>
      </c>
      <c r="F2294" t="inlineStr">
        <is>
          <t>MA1011474</t>
        </is>
      </c>
      <c r="G2294" s="128" t="n">
        <v>46136</v>
      </c>
      <c r="H2294" s="127" t="n">
        <v>46139</v>
      </c>
      <c r="I2294" t="inlineStr">
        <is>
          <t>14</t>
        </is>
      </c>
      <c r="J2294" s="38" t="inlineStr">
        <is>
          <t>0-4008</t>
        </is>
      </c>
      <c r="K2294" t="inlineStr">
        <is>
          <t>PULLER, T POST COMPLETE</t>
        </is>
      </c>
      <c r="L2294" t="n">
        <v>2</v>
      </c>
      <c r="M2294" t="n">
        <v>167.01</v>
      </c>
      <c r="N2294" t="inlineStr">
        <is>
          <t>PO:COMMIT</t>
        </is>
      </c>
      <c r="O2294" t="inlineStr">
        <is>
          <t>12561</t>
        </is>
      </c>
      <c r="P2294" t="inlineStr">
        <is>
          <t>CROSS COUNTRY INFRASTRUCTURE SERVICES INC.</t>
        </is>
      </c>
      <c r="Q2294" s="114" t="n">
        <v>0</v>
      </c>
      <c r="R2294" s="114" t="n">
        <v>0</v>
      </c>
      <c r="S2294" s="114" t="n">
        <v>167.01</v>
      </c>
      <c r="T2294" t="n">
        <v>0</v>
      </c>
    </row>
    <row r="2295">
      <c r="A2295" t="inlineStr">
        <is>
          <t>ttJTrans</t>
        </is>
      </c>
      <c r="B2295" s="38" t="inlineStr">
        <is>
          <t>0-4008</t>
        </is>
      </c>
      <c r="C2295" t="inlineStr">
        <is>
          <t>OC</t>
        </is>
      </c>
      <c r="D2295" t="inlineStr">
        <is>
          <t>MA1011474</t>
        </is>
      </c>
      <c r="E2295" t="inlineStr">
        <is>
          <t>OC</t>
        </is>
      </c>
      <c r="F2295" t="inlineStr">
        <is>
          <t>MA1011474</t>
        </is>
      </c>
      <c r="G2295" s="128" t="n">
        <v>46136</v>
      </c>
      <c r="H2295" s="127" t="n">
        <v>46139</v>
      </c>
      <c r="I2295" t="inlineStr">
        <is>
          <t>13</t>
        </is>
      </c>
      <c r="J2295" s="38" t="inlineStr">
        <is>
          <t>0-4008</t>
        </is>
      </c>
      <c r="K2295" t="inlineStr">
        <is>
          <t>RADIO MOTOROLA 2 WAY 2/PK</t>
        </is>
      </c>
      <c r="L2295" t="n">
        <v>10</v>
      </c>
      <c r="M2295" t="n">
        <v>832.5</v>
      </c>
      <c r="N2295" t="inlineStr">
        <is>
          <t>PO:COMMIT</t>
        </is>
      </c>
      <c r="O2295" t="inlineStr">
        <is>
          <t>12561</t>
        </is>
      </c>
      <c r="P2295" t="inlineStr">
        <is>
          <t>CROSS COUNTRY INFRASTRUCTURE SERVICES INC.</t>
        </is>
      </c>
      <c r="Q2295" s="114" t="n">
        <v>0</v>
      </c>
      <c r="R2295" s="114" t="n">
        <v>0</v>
      </c>
      <c r="S2295" s="114" t="n">
        <v>832.5</v>
      </c>
      <c r="T2295" t="n">
        <v>0</v>
      </c>
    </row>
    <row r="2296">
      <c r="A2296" t="inlineStr">
        <is>
          <t>ttJTrans</t>
        </is>
      </c>
      <c r="B2296" s="38" t="inlineStr">
        <is>
          <t>0-4008</t>
        </is>
      </c>
      <c r="C2296" t="inlineStr">
        <is>
          <t>OC</t>
        </is>
      </c>
      <c r="D2296" t="inlineStr">
        <is>
          <t>MA1011474</t>
        </is>
      </c>
      <c r="E2296" t="inlineStr">
        <is>
          <t>OC</t>
        </is>
      </c>
      <c r="F2296" t="inlineStr">
        <is>
          <t>MA1011474</t>
        </is>
      </c>
      <c r="G2296" s="128" t="n">
        <v>46136</v>
      </c>
      <c r="H2296" s="127" t="n">
        <v>46139</v>
      </c>
      <c r="I2296" t="inlineStr">
        <is>
          <t>12</t>
        </is>
      </c>
      <c r="J2296" s="38" t="inlineStr">
        <is>
          <t>0-4008</t>
        </is>
      </c>
      <c r="K2296" t="inlineStr">
        <is>
          <t>TAPE MEASURE 1/2INX100FT FBGLS</t>
        </is>
      </c>
      <c r="L2296" t="n">
        <v>2</v>
      </c>
      <c r="M2296" t="n">
        <v>58.19</v>
      </c>
      <c r="N2296" t="inlineStr">
        <is>
          <t>PO:COMMIT</t>
        </is>
      </c>
      <c r="O2296" t="inlineStr">
        <is>
          <t>12561</t>
        </is>
      </c>
      <c r="P2296" t="inlineStr">
        <is>
          <t>CROSS COUNTRY INFRASTRUCTURE SERVICES INC.</t>
        </is>
      </c>
      <c r="Q2296" s="114" t="n">
        <v>0</v>
      </c>
      <c r="R2296" s="114" t="n">
        <v>0</v>
      </c>
      <c r="S2296" s="114" t="n">
        <v>58.19</v>
      </c>
      <c r="T2296" t="n">
        <v>0</v>
      </c>
    </row>
    <row r="2297">
      <c r="A2297" t="inlineStr">
        <is>
          <t>ttJTrans</t>
        </is>
      </c>
      <c r="B2297" s="38" t="inlineStr">
        <is>
          <t>0-4008</t>
        </is>
      </c>
      <c r="C2297" t="inlineStr">
        <is>
          <t>OC</t>
        </is>
      </c>
      <c r="D2297" t="inlineStr">
        <is>
          <t>MA1011474</t>
        </is>
      </c>
      <c r="E2297" t="inlineStr">
        <is>
          <t>OC</t>
        </is>
      </c>
      <c r="F2297" t="inlineStr">
        <is>
          <t>MA1011474</t>
        </is>
      </c>
      <c r="G2297" s="128" t="n">
        <v>46136</v>
      </c>
      <c r="H2297" s="127" t="n">
        <v>46139</v>
      </c>
      <c r="I2297" t="inlineStr">
        <is>
          <t>11</t>
        </is>
      </c>
      <c r="J2297" s="38" t="inlineStr">
        <is>
          <t>0-4008</t>
        </is>
      </c>
      <c r="K2297" t="inlineStr">
        <is>
          <t>DRIVER POST GAS 3-1/8IN GUIDE</t>
        </is>
      </c>
      <c r="L2297" t="n">
        <v>2</v>
      </c>
      <c r="M2297" t="n">
        <v>4705.69</v>
      </c>
      <c r="N2297" t="inlineStr">
        <is>
          <t>PO:COMMIT</t>
        </is>
      </c>
      <c r="O2297" t="inlineStr">
        <is>
          <t>12561</t>
        </is>
      </c>
      <c r="P2297" t="inlineStr">
        <is>
          <t>CROSS COUNTRY INFRASTRUCTURE SERVICES INC.</t>
        </is>
      </c>
      <c r="Q2297" s="114" t="n">
        <v>0</v>
      </c>
      <c r="R2297" s="114" t="n">
        <v>0</v>
      </c>
      <c r="S2297" s="114" t="n">
        <v>4705.69</v>
      </c>
      <c r="T2297" t="n">
        <v>0</v>
      </c>
    </row>
    <row r="2298">
      <c r="A2298" t="inlineStr">
        <is>
          <t>ttJTrans</t>
        </is>
      </c>
      <c r="B2298" s="38" t="inlineStr">
        <is>
          <t>0-4008</t>
        </is>
      </c>
      <c r="C2298" t="inlineStr">
        <is>
          <t>OC</t>
        </is>
      </c>
      <c r="D2298" t="inlineStr">
        <is>
          <t>MA1011474</t>
        </is>
      </c>
      <c r="E2298" t="inlineStr">
        <is>
          <t>OC</t>
        </is>
      </c>
      <c r="F2298" t="inlineStr">
        <is>
          <t>MA1011474</t>
        </is>
      </c>
      <c r="G2298" s="128" t="n">
        <v>46136</v>
      </c>
      <c r="H2298" s="127" t="n">
        <v>46139</v>
      </c>
      <c r="I2298" t="inlineStr">
        <is>
          <t>10</t>
        </is>
      </c>
      <c r="J2298" s="38" t="inlineStr">
        <is>
          <t>0-4008</t>
        </is>
      </c>
      <c r="K2298" t="inlineStr">
        <is>
          <t>GUN GREASE M18 2SPEED KIT 10K</t>
        </is>
      </c>
      <c r="L2298" t="n">
        <v>2</v>
      </c>
      <c r="M2298" t="n">
        <v>806.04</v>
      </c>
      <c r="N2298" t="inlineStr">
        <is>
          <t>PO:COMMIT</t>
        </is>
      </c>
      <c r="O2298" t="inlineStr">
        <is>
          <t>12561</t>
        </is>
      </c>
      <c r="P2298" t="inlineStr">
        <is>
          <t>CROSS COUNTRY INFRASTRUCTURE SERVICES INC.</t>
        </is>
      </c>
      <c r="Q2298" s="114" t="n">
        <v>0</v>
      </c>
      <c r="R2298" s="114" t="n">
        <v>0</v>
      </c>
      <c r="S2298" s="114" t="n">
        <v>806.04</v>
      </c>
      <c r="T2298" t="n">
        <v>0</v>
      </c>
    </row>
    <row r="2299">
      <c r="A2299" t="inlineStr">
        <is>
          <t>ttJTrans</t>
        </is>
      </c>
      <c r="B2299" s="38" t="inlineStr">
        <is>
          <t>0-4008</t>
        </is>
      </c>
      <c r="C2299" t="inlineStr">
        <is>
          <t>OC</t>
        </is>
      </c>
      <c r="D2299" t="inlineStr">
        <is>
          <t>MA1011474</t>
        </is>
      </c>
      <c r="E2299" t="inlineStr">
        <is>
          <t>OC</t>
        </is>
      </c>
      <c r="F2299" t="inlineStr">
        <is>
          <t>MA1011474</t>
        </is>
      </c>
      <c r="G2299" s="128" t="n">
        <v>46136</v>
      </c>
      <c r="H2299" s="127" t="n">
        <v>46139</v>
      </c>
      <c r="I2299" t="inlineStr">
        <is>
          <t>26</t>
        </is>
      </c>
      <c r="J2299" s="38" t="inlineStr">
        <is>
          <t>0-4008</t>
        </is>
      </c>
      <c r="K2299" t="inlineStr">
        <is>
          <t>HAMMER SET</t>
        </is>
      </c>
      <c r="L2299" t="n">
        <v>1</v>
      </c>
      <c r="M2299" t="n">
        <v>79.92</v>
      </c>
      <c r="N2299" t="inlineStr">
        <is>
          <t>PO:COMMIT</t>
        </is>
      </c>
      <c r="O2299" t="inlineStr">
        <is>
          <t>12561</t>
        </is>
      </c>
      <c r="P2299" t="inlineStr">
        <is>
          <t>CROSS COUNTRY INFRASTRUCTURE SERVICES INC.</t>
        </is>
      </c>
      <c r="Q2299" s="114" t="n">
        <v>0</v>
      </c>
      <c r="R2299" s="114" t="n">
        <v>0</v>
      </c>
      <c r="S2299" s="114" t="n">
        <v>79.92</v>
      </c>
      <c r="T2299" t="n">
        <v>0</v>
      </c>
    </row>
    <row r="2300">
      <c r="A2300" t="inlineStr">
        <is>
          <t>ttJTrans</t>
        </is>
      </c>
      <c r="B2300" s="38" t="inlineStr">
        <is>
          <t>0-4008</t>
        </is>
      </c>
      <c r="C2300" t="inlineStr">
        <is>
          <t>OC</t>
        </is>
      </c>
      <c r="D2300" t="inlineStr">
        <is>
          <t>MA1011474</t>
        </is>
      </c>
      <c r="E2300" t="inlineStr">
        <is>
          <t>OC</t>
        </is>
      </c>
      <c r="F2300" t="inlineStr">
        <is>
          <t>MA1011474</t>
        </is>
      </c>
      <c r="G2300" s="128" t="n">
        <v>46136</v>
      </c>
      <c r="H2300" s="127" t="n">
        <v>46139</v>
      </c>
      <c r="I2300" t="inlineStr">
        <is>
          <t>25</t>
        </is>
      </c>
      <c r="J2300" s="38" t="inlineStr">
        <is>
          <t>0-4008</t>
        </is>
      </c>
      <c r="K2300" t="inlineStr">
        <is>
          <t>450/PC 1/4,3/8,1/2 TOOL SET</t>
        </is>
      </c>
      <c r="L2300" t="n">
        <v>1</v>
      </c>
      <c r="M2300" t="n">
        <v>333</v>
      </c>
      <c r="N2300" t="inlineStr">
        <is>
          <t>PO:COMMIT</t>
        </is>
      </c>
      <c r="O2300" t="inlineStr">
        <is>
          <t>12561</t>
        </is>
      </c>
      <c r="P2300" t="inlineStr">
        <is>
          <t>CROSS COUNTRY INFRASTRUCTURE SERVICES INC.</t>
        </is>
      </c>
      <c r="Q2300" s="114" t="n">
        <v>0</v>
      </c>
      <c r="R2300" s="114" t="n">
        <v>0</v>
      </c>
      <c r="S2300" s="114" t="n">
        <v>333</v>
      </c>
      <c r="T2300" t="n">
        <v>0</v>
      </c>
    </row>
    <row r="2301">
      <c r="A2301" t="inlineStr">
        <is>
          <t>ttJTrans</t>
        </is>
      </c>
      <c r="B2301" s="38" t="inlineStr">
        <is>
          <t>0-4008</t>
        </is>
      </c>
      <c r="C2301" t="inlineStr">
        <is>
          <t>OC</t>
        </is>
      </c>
      <c r="D2301" t="inlineStr">
        <is>
          <t>MA1011474</t>
        </is>
      </c>
      <c r="E2301" t="inlineStr">
        <is>
          <t>OC</t>
        </is>
      </c>
      <c r="F2301" t="inlineStr">
        <is>
          <t>MA1011474</t>
        </is>
      </c>
      <c r="G2301" s="128" t="n">
        <v>46136</v>
      </c>
      <c r="H2301" s="127" t="n">
        <v>46139</v>
      </c>
      <c r="I2301" t="inlineStr">
        <is>
          <t>24</t>
        </is>
      </c>
      <c r="J2301" s="38" t="inlineStr">
        <is>
          <t>0-4008</t>
        </is>
      </c>
      <c r="K2301" t="inlineStr">
        <is>
          <t>MAT HOOK 11TON SWIVEL W/LATCH</t>
        </is>
      </c>
      <c r="L2301" t="n">
        <v>2</v>
      </c>
      <c r="M2301" t="n">
        <v>758.42</v>
      </c>
      <c r="N2301" t="inlineStr">
        <is>
          <t>PO:COMMIT</t>
        </is>
      </c>
      <c r="O2301" t="inlineStr">
        <is>
          <t>12561</t>
        </is>
      </c>
      <c r="P2301" t="inlineStr">
        <is>
          <t>CROSS COUNTRY INFRASTRUCTURE SERVICES INC.</t>
        </is>
      </c>
      <c r="Q2301" s="114" t="n">
        <v>0</v>
      </c>
      <c r="R2301" s="114" t="n">
        <v>0</v>
      </c>
      <c r="S2301" s="114" t="n">
        <v>758.42</v>
      </c>
      <c r="T2301" t="n">
        <v>0</v>
      </c>
    </row>
    <row r="2302">
      <c r="A2302" t="inlineStr">
        <is>
          <t>ttJTrans</t>
        </is>
      </c>
      <c r="B2302" s="38" t="inlineStr">
        <is>
          <t>0-4008</t>
        </is>
      </c>
      <c r="C2302" t="inlineStr">
        <is>
          <t>OC</t>
        </is>
      </c>
      <c r="D2302" t="inlineStr">
        <is>
          <t>MA1011474</t>
        </is>
      </c>
      <c r="E2302" t="inlineStr">
        <is>
          <t>OC</t>
        </is>
      </c>
      <c r="F2302" t="inlineStr">
        <is>
          <t>MA1011474</t>
        </is>
      </c>
      <c r="G2302" s="128" t="n">
        <v>46136</v>
      </c>
      <c r="H2302" s="127" t="n">
        <v>46139</v>
      </c>
      <c r="I2302" t="inlineStr">
        <is>
          <t>23</t>
        </is>
      </c>
      <c r="J2302" s="38" t="inlineStr">
        <is>
          <t>0-4008</t>
        </is>
      </c>
      <c r="K2302" t="inlineStr">
        <is>
          <t>3/PC SPUD WRENCH SET W CASE</t>
        </is>
      </c>
      <c r="L2302" t="n">
        <v>2</v>
      </c>
      <c r="M2302" t="n">
        <v>133.2</v>
      </c>
      <c r="N2302" t="inlineStr">
        <is>
          <t>PO:COMMIT</t>
        </is>
      </c>
      <c r="O2302" t="inlineStr">
        <is>
          <t>12561</t>
        </is>
      </c>
      <c r="P2302" t="inlineStr">
        <is>
          <t>CROSS COUNTRY INFRASTRUCTURE SERVICES INC.</t>
        </is>
      </c>
      <c r="Q2302" s="114" t="n">
        <v>0</v>
      </c>
      <c r="R2302" s="114" t="n">
        <v>0</v>
      </c>
      <c r="S2302" s="114" t="n">
        <v>133.2</v>
      </c>
      <c r="T2302" t="n">
        <v>0</v>
      </c>
    </row>
    <row r="2303">
      <c r="A2303" t="inlineStr">
        <is>
          <t>ttJTrans</t>
        </is>
      </c>
      <c r="B2303" s="38" t="inlineStr">
        <is>
          <t>0-4008</t>
        </is>
      </c>
      <c r="C2303" t="inlineStr">
        <is>
          <t>OC</t>
        </is>
      </c>
      <c r="D2303" t="inlineStr">
        <is>
          <t>MA1011474</t>
        </is>
      </c>
      <c r="E2303" t="inlineStr">
        <is>
          <t>OC</t>
        </is>
      </c>
      <c r="F2303" t="inlineStr">
        <is>
          <t>MA1011474</t>
        </is>
      </c>
      <c r="G2303" s="128" t="n">
        <v>46136</v>
      </c>
      <c r="H2303" s="127" t="n">
        <v>46139</v>
      </c>
      <c r="I2303" t="inlineStr">
        <is>
          <t>46</t>
        </is>
      </c>
      <c r="J2303" s="38" t="inlineStr">
        <is>
          <t>0-4008</t>
        </is>
      </c>
      <c r="K2303" t="inlineStr">
        <is>
          <t>INFLATOR M18 36IN HOSE 150PSI</t>
        </is>
      </c>
      <c r="L2303" t="n">
        <v>1</v>
      </c>
      <c r="M2303" t="n">
        <v>219.42</v>
      </c>
      <c r="N2303" t="inlineStr">
        <is>
          <t>PO:COMMIT</t>
        </is>
      </c>
      <c r="O2303" t="inlineStr">
        <is>
          <t>12561</t>
        </is>
      </c>
      <c r="P2303" t="inlineStr">
        <is>
          <t>CROSS COUNTRY INFRASTRUCTURE SERVICES INC.</t>
        </is>
      </c>
      <c r="Q2303" s="114" t="n">
        <v>0</v>
      </c>
      <c r="R2303" s="114" t="n">
        <v>0</v>
      </c>
      <c r="S2303" s="114" t="n">
        <v>219.42</v>
      </c>
      <c r="T2303" t="n">
        <v>0</v>
      </c>
    </row>
    <row r="2304">
      <c r="A2304" t="inlineStr">
        <is>
          <t>ttJTrans</t>
        </is>
      </c>
      <c r="B2304" s="38" t="inlineStr">
        <is>
          <t>0-4008</t>
        </is>
      </c>
      <c r="C2304" t="inlineStr">
        <is>
          <t>OC</t>
        </is>
      </c>
      <c r="D2304" t="inlineStr">
        <is>
          <t>MA1011474</t>
        </is>
      </c>
      <c r="E2304" t="inlineStr">
        <is>
          <t>OC</t>
        </is>
      </c>
      <c r="F2304" t="inlineStr">
        <is>
          <t>MA1011474</t>
        </is>
      </c>
      <c r="G2304" s="128" t="n">
        <v>46136</v>
      </c>
      <c r="H2304" s="127" t="n">
        <v>46139</v>
      </c>
      <c r="I2304" t="inlineStr">
        <is>
          <t>45</t>
        </is>
      </c>
      <c r="J2304" s="38" t="inlineStr">
        <is>
          <t>0-4008</t>
        </is>
      </c>
      <c r="K2304" t="inlineStr">
        <is>
          <t>M&amp;W LIFT BEAM 10000LB CAPACITY</t>
        </is>
      </c>
      <c r="L2304" t="n">
        <v>1</v>
      </c>
      <c r="M2304" t="n">
        <v>3052.5</v>
      </c>
      <c r="N2304" t="inlineStr">
        <is>
          <t>PO:COMMIT</t>
        </is>
      </c>
      <c r="O2304" t="inlineStr">
        <is>
          <t>12561</t>
        </is>
      </c>
      <c r="P2304" t="inlineStr">
        <is>
          <t>CROSS COUNTRY INFRASTRUCTURE SERVICES INC.</t>
        </is>
      </c>
      <c r="Q2304" s="114" t="n">
        <v>0</v>
      </c>
      <c r="R2304" s="114" t="n">
        <v>0</v>
      </c>
      <c r="S2304" s="114" t="n">
        <v>3052.5</v>
      </c>
      <c r="T2304" t="n">
        <v>0</v>
      </c>
    </row>
    <row r="2305">
      <c r="A2305" t="inlineStr">
        <is>
          <t>ttJTrans</t>
        </is>
      </c>
      <c r="B2305" s="38" t="inlineStr">
        <is>
          <t>0-4008</t>
        </is>
      </c>
      <c r="C2305" t="inlineStr">
        <is>
          <t>OC</t>
        </is>
      </c>
      <c r="D2305" t="inlineStr">
        <is>
          <t>MA1011474</t>
        </is>
      </c>
      <c r="E2305" t="inlineStr">
        <is>
          <t>OC</t>
        </is>
      </c>
      <c r="F2305" t="inlineStr">
        <is>
          <t>MA1011474</t>
        </is>
      </c>
      <c r="G2305" s="128" t="n">
        <v>46136</v>
      </c>
      <c r="H2305" s="127" t="n">
        <v>46139</v>
      </c>
      <c r="I2305" t="inlineStr">
        <is>
          <t>44</t>
        </is>
      </c>
      <c r="J2305" s="38" t="inlineStr">
        <is>
          <t>0-4008</t>
        </is>
      </c>
      <c r="K2305" t="inlineStr">
        <is>
          <t>420/PC COTTER PIN SET</t>
        </is>
      </c>
      <c r="L2305" t="n">
        <v>1</v>
      </c>
      <c r="M2305" t="n">
        <v>27.75</v>
      </c>
      <c r="N2305" t="inlineStr">
        <is>
          <t>PO:COMMIT</t>
        </is>
      </c>
      <c r="O2305" t="inlineStr">
        <is>
          <t>12561</t>
        </is>
      </c>
      <c r="P2305" t="inlineStr">
        <is>
          <t>CROSS COUNTRY INFRASTRUCTURE SERVICES INC.</t>
        </is>
      </c>
      <c r="Q2305" s="114" t="n">
        <v>0</v>
      </c>
      <c r="R2305" s="114" t="n">
        <v>0</v>
      </c>
      <c r="S2305" s="114" t="n">
        <v>27.75</v>
      </c>
      <c r="T2305" t="n">
        <v>0</v>
      </c>
    </row>
    <row r="2306">
      <c r="A2306" t="inlineStr">
        <is>
          <t>ttJTrans</t>
        </is>
      </c>
      <c r="B2306" s="38" t="inlineStr">
        <is>
          <t>0-4008</t>
        </is>
      </c>
      <c r="C2306" t="inlineStr">
        <is>
          <t>OC</t>
        </is>
      </c>
      <c r="D2306" t="inlineStr">
        <is>
          <t>MA1011474</t>
        </is>
      </c>
      <c r="E2306" t="inlineStr">
        <is>
          <t>OC</t>
        </is>
      </c>
      <c r="F2306" t="inlineStr">
        <is>
          <t>MA1011474</t>
        </is>
      </c>
      <c r="G2306" s="128" t="n">
        <v>46136</v>
      </c>
      <c r="H2306" s="127" t="n">
        <v>46139</v>
      </c>
      <c r="I2306" t="inlineStr">
        <is>
          <t>6</t>
        </is>
      </c>
      <c r="J2306" s="38" t="inlineStr">
        <is>
          <t>0-4008</t>
        </is>
      </c>
      <c r="K2306" t="inlineStr">
        <is>
          <t>UNDERGROUND CABLE CUTTER 3IN</t>
        </is>
      </c>
      <c r="L2306" t="n">
        <v>2</v>
      </c>
      <c r="M2306" t="n">
        <v>8769</v>
      </c>
      <c r="N2306" t="inlineStr">
        <is>
          <t>PO:COMMIT</t>
        </is>
      </c>
      <c r="O2306" t="inlineStr">
        <is>
          <t>12561</t>
        </is>
      </c>
      <c r="P2306" t="inlineStr">
        <is>
          <t>CROSS COUNTRY INFRASTRUCTURE SERVICES INC.</t>
        </is>
      </c>
      <c r="Q2306" s="114" t="n">
        <v>0</v>
      </c>
      <c r="R2306" s="114" t="n">
        <v>0</v>
      </c>
      <c r="S2306" s="114" t="n">
        <v>8769</v>
      </c>
      <c r="T2306" t="n">
        <v>0</v>
      </c>
    </row>
    <row r="2307">
      <c r="A2307" t="inlineStr">
        <is>
          <t>ttJTrans</t>
        </is>
      </c>
      <c r="B2307" s="38" t="inlineStr">
        <is>
          <t>0-4008</t>
        </is>
      </c>
      <c r="C2307" t="inlineStr">
        <is>
          <t>OC</t>
        </is>
      </c>
      <c r="D2307" t="inlineStr">
        <is>
          <t>MA1011474</t>
        </is>
      </c>
      <c r="E2307" t="inlineStr">
        <is>
          <t>OC</t>
        </is>
      </c>
      <c r="F2307" t="inlineStr">
        <is>
          <t>MA1011474</t>
        </is>
      </c>
      <c r="G2307" s="128" t="n">
        <v>46136</v>
      </c>
      <c r="H2307" s="127" t="n">
        <v>46139</v>
      </c>
      <c r="I2307" t="inlineStr">
        <is>
          <t>1</t>
        </is>
      </c>
      <c r="J2307" s="38" t="inlineStr">
        <is>
          <t>0-4008</t>
        </is>
      </c>
      <c r="K2307" t="inlineStr">
        <is>
          <t>WRENCH IMPACT 3/4IN M18 FUEL</t>
        </is>
      </c>
      <c r="L2307" t="n">
        <v>1</v>
      </c>
      <c r="M2307" t="n">
        <v>771.45</v>
      </c>
      <c r="N2307" t="inlineStr">
        <is>
          <t>PO:COMMIT</t>
        </is>
      </c>
      <c r="O2307" t="inlineStr">
        <is>
          <t>12561</t>
        </is>
      </c>
      <c r="P2307" t="inlineStr">
        <is>
          <t>CROSS COUNTRY INFRASTRUCTURE SERVICES INC.</t>
        </is>
      </c>
      <c r="Q2307" s="114" t="n">
        <v>0</v>
      </c>
      <c r="R2307" s="114" t="n">
        <v>0</v>
      </c>
      <c r="S2307" s="114" t="n">
        <v>771.45</v>
      </c>
      <c r="T2307" t="n">
        <v>0</v>
      </c>
    </row>
    <row r="2308">
      <c r="A2308" t="inlineStr">
        <is>
          <t>ttJTrans</t>
        </is>
      </c>
      <c r="B2308" s="38" t="inlineStr">
        <is>
          <t>0-4008</t>
        </is>
      </c>
      <c r="C2308" t="inlineStr">
        <is>
          <t>OC</t>
        </is>
      </c>
      <c r="D2308" t="inlineStr">
        <is>
          <t>MA1011474</t>
        </is>
      </c>
      <c r="E2308" t="inlineStr">
        <is>
          <t>OC</t>
        </is>
      </c>
      <c r="F2308" t="inlineStr">
        <is>
          <t>MA1011474</t>
        </is>
      </c>
      <c r="G2308" s="128" t="n">
        <v>46136</v>
      </c>
      <c r="H2308" s="127" t="n">
        <v>46139</v>
      </c>
      <c r="I2308" t="inlineStr">
        <is>
          <t>39</t>
        </is>
      </c>
      <c r="J2308" s="38" t="inlineStr">
        <is>
          <t>0-4008</t>
        </is>
      </c>
      <c r="K2308" t="inlineStr">
        <is>
          <t>STRAP RATCHET 2INX27FT W FLAT</t>
        </is>
      </c>
      <c r="L2308" t="n">
        <v>4</v>
      </c>
      <c r="M2308" t="n">
        <v>73.62</v>
      </c>
      <c r="N2308" t="inlineStr">
        <is>
          <t>PO:COMMIT</t>
        </is>
      </c>
      <c r="O2308" t="inlineStr">
        <is>
          <t>12561</t>
        </is>
      </c>
      <c r="P2308" t="inlineStr">
        <is>
          <t>CROSS COUNTRY INFRASTRUCTURE SERVICES INC.</t>
        </is>
      </c>
      <c r="Q2308" s="114" t="n">
        <v>0</v>
      </c>
      <c r="R2308" s="114" t="n">
        <v>0</v>
      </c>
      <c r="S2308" s="114" t="n">
        <v>73.62</v>
      </c>
      <c r="T2308" t="n">
        <v>0</v>
      </c>
    </row>
    <row r="2309">
      <c r="A2309" t="inlineStr">
        <is>
          <t>ttJTrans</t>
        </is>
      </c>
      <c r="B2309" s="38" t="inlineStr">
        <is>
          <t>0-4008</t>
        </is>
      </c>
      <c r="C2309" t="inlineStr">
        <is>
          <t>OC</t>
        </is>
      </c>
      <c r="D2309" t="inlineStr">
        <is>
          <t>MA1011474</t>
        </is>
      </c>
      <c r="E2309" t="inlineStr">
        <is>
          <t>OC</t>
        </is>
      </c>
      <c r="F2309" t="inlineStr">
        <is>
          <t>MA1011474</t>
        </is>
      </c>
      <c r="G2309" s="128" t="n">
        <v>46136</v>
      </c>
      <c r="H2309" s="127" t="n">
        <v>46139</v>
      </c>
      <c r="I2309" t="inlineStr">
        <is>
          <t>38</t>
        </is>
      </c>
      <c r="J2309" s="38" t="inlineStr">
        <is>
          <t>0-4008</t>
        </is>
      </c>
      <c r="K2309" t="inlineStr">
        <is>
          <t>42IN REFELCTIVE TRAFFIC CONE</t>
        </is>
      </c>
      <c r="L2309" t="n">
        <v>4</v>
      </c>
      <c r="M2309" t="n">
        <v>310.8</v>
      </c>
      <c r="N2309" t="inlineStr">
        <is>
          <t>PO:COMMIT</t>
        </is>
      </c>
      <c r="O2309" t="inlineStr">
        <is>
          <t>12561</t>
        </is>
      </c>
      <c r="P2309" t="inlineStr">
        <is>
          <t>CROSS COUNTRY INFRASTRUCTURE SERVICES INC.</t>
        </is>
      </c>
      <c r="Q2309" s="114" t="n">
        <v>0</v>
      </c>
      <c r="R2309" s="114" t="n">
        <v>0</v>
      </c>
      <c r="S2309" s="114" t="n">
        <v>310.8</v>
      </c>
      <c r="T2309" t="n">
        <v>0</v>
      </c>
    </row>
    <row r="2310">
      <c r="A2310" t="inlineStr">
        <is>
          <t>ttJTrans</t>
        </is>
      </c>
      <c r="B2310" s="38" t="inlineStr">
        <is>
          <t>0-4008</t>
        </is>
      </c>
      <c r="C2310" t="inlineStr">
        <is>
          <t>OC</t>
        </is>
      </c>
      <c r="D2310" t="inlineStr">
        <is>
          <t>MA1011474</t>
        </is>
      </c>
      <c r="E2310" t="inlineStr">
        <is>
          <t>OC</t>
        </is>
      </c>
      <c r="F2310" t="inlineStr">
        <is>
          <t>MA1011474</t>
        </is>
      </c>
      <c r="G2310" s="128" t="n">
        <v>46136</v>
      </c>
      <c r="H2310" s="127" t="n">
        <v>46139</v>
      </c>
      <c r="I2310" t="inlineStr">
        <is>
          <t>37</t>
        </is>
      </c>
      <c r="J2310" s="38" t="inlineStr">
        <is>
          <t>0-4008</t>
        </is>
      </c>
      <c r="K2310" t="inlineStr">
        <is>
          <t>DIGGING BAR 70IN</t>
        </is>
      </c>
      <c r="L2310" t="n">
        <v>1</v>
      </c>
      <c r="M2310" t="n">
        <v>116.55</v>
      </c>
      <c r="N2310" t="inlineStr">
        <is>
          <t>PO:COMMIT</t>
        </is>
      </c>
      <c r="O2310" t="inlineStr">
        <is>
          <t>12561</t>
        </is>
      </c>
      <c r="P2310" t="inlineStr">
        <is>
          <t>CROSS COUNTRY INFRASTRUCTURE SERVICES INC.</t>
        </is>
      </c>
      <c r="Q2310" s="114" t="n">
        <v>0</v>
      </c>
      <c r="R2310" s="114" t="n">
        <v>0</v>
      </c>
      <c r="S2310" s="114" t="n">
        <v>116.55</v>
      </c>
      <c r="T2310" t="n">
        <v>0</v>
      </c>
    </row>
    <row r="2311">
      <c r="A2311" t="inlineStr">
        <is>
          <t>ttJTrans</t>
        </is>
      </c>
      <c r="B2311" s="38" t="inlineStr">
        <is>
          <t>0-4008</t>
        </is>
      </c>
      <c r="C2311" t="inlineStr">
        <is>
          <t>OC</t>
        </is>
      </c>
      <c r="D2311" t="inlineStr">
        <is>
          <t>MA1011474</t>
        </is>
      </c>
      <c r="E2311" t="inlineStr">
        <is>
          <t>OC</t>
        </is>
      </c>
      <c r="F2311" t="inlineStr">
        <is>
          <t>MA1011474</t>
        </is>
      </c>
      <c r="G2311" t="n">
        <v>46136</v>
      </c>
      <c r="H2311" s="127" t="n">
        <v>46139</v>
      </c>
      <c r="I2311" t="inlineStr">
        <is>
          <t>36</t>
        </is>
      </c>
      <c r="J2311" s="38" t="inlineStr">
        <is>
          <t>0-4008</t>
        </is>
      </c>
      <c r="K2311" t="inlineStr">
        <is>
          <t>GENERATOR GP6500 6500W PULL ST</t>
        </is>
      </c>
      <c r="L2311" t="n">
        <v>1</v>
      </c>
      <c r="M2311" t="n">
        <v>943.5</v>
      </c>
      <c r="N2311" t="inlineStr">
        <is>
          <t>PO:COMMIT</t>
        </is>
      </c>
      <c r="O2311" t="inlineStr">
        <is>
          <t>12561</t>
        </is>
      </c>
      <c r="P2311" t="inlineStr">
        <is>
          <t>CROSS COUNTRY INFRASTRUCTURE SERVICES INC.</t>
        </is>
      </c>
      <c r="Q2311" s="114" t="n">
        <v>0</v>
      </c>
      <c r="R2311" s="114" t="n">
        <v>0</v>
      </c>
      <c r="S2311" s="114" t="n">
        <v>943.5</v>
      </c>
      <c r="T2311" t="n">
        <v>0</v>
      </c>
    </row>
    <row r="2312">
      <c r="A2312" t="inlineStr">
        <is>
          <t>ttJTrans</t>
        </is>
      </c>
      <c r="B2312" s="38" t="inlineStr">
        <is>
          <t>0-4008</t>
        </is>
      </c>
      <c r="C2312" t="inlineStr">
        <is>
          <t>OC</t>
        </is>
      </c>
      <c r="D2312" t="inlineStr">
        <is>
          <t>MA1011474</t>
        </is>
      </c>
      <c r="E2312" t="inlineStr">
        <is>
          <t>OC</t>
        </is>
      </c>
      <c r="F2312" t="inlineStr">
        <is>
          <t>MA1011474</t>
        </is>
      </c>
      <c r="G2312" t="n">
        <v>46136</v>
      </c>
      <c r="H2312" s="127" t="n">
        <v>46139</v>
      </c>
      <c r="I2312" t="inlineStr">
        <is>
          <t>43</t>
        </is>
      </c>
      <c r="J2312" s="38" t="inlineStr">
        <is>
          <t>0-4008</t>
        </is>
      </c>
      <c r="K2312" t="inlineStr">
        <is>
          <t>CAN GAS SAFETY 5GAL RED METAL</t>
        </is>
      </c>
      <c r="L2312" t="n">
        <v>1</v>
      </c>
      <c r="M2312" t="n">
        <v>84.06</v>
      </c>
      <c r="N2312" t="inlineStr">
        <is>
          <t>PO:COMMIT</t>
        </is>
      </c>
      <c r="O2312" t="inlineStr">
        <is>
          <t>12561</t>
        </is>
      </c>
      <c r="P2312" t="inlineStr">
        <is>
          <t>CROSS COUNTRY INFRASTRUCTURE SERVICES INC.</t>
        </is>
      </c>
      <c r="Q2312" s="114" t="n">
        <v>0</v>
      </c>
      <c r="R2312" s="114" t="n">
        <v>0</v>
      </c>
      <c r="S2312" s="114" t="n">
        <v>84.06</v>
      </c>
      <c r="T2312" t="n">
        <v>0</v>
      </c>
    </row>
    <row r="2313">
      <c r="A2313" t="inlineStr">
        <is>
          <t>ttJTrans</t>
        </is>
      </c>
      <c r="B2313" s="38" t="inlineStr">
        <is>
          <t>0-4008</t>
        </is>
      </c>
      <c r="C2313" t="inlineStr">
        <is>
          <t>OC</t>
        </is>
      </c>
      <c r="D2313" t="inlineStr">
        <is>
          <t>MA1011474</t>
        </is>
      </c>
      <c r="E2313" t="inlineStr">
        <is>
          <t>OC</t>
        </is>
      </c>
      <c r="F2313" t="inlineStr">
        <is>
          <t>MA1011474</t>
        </is>
      </c>
      <c r="G2313" t="n">
        <v>46136</v>
      </c>
      <c r="H2313" s="127" t="n">
        <v>46139</v>
      </c>
      <c r="I2313" t="inlineStr">
        <is>
          <t>42</t>
        </is>
      </c>
      <c r="J2313" s="38" t="inlineStr">
        <is>
          <t>0-4008</t>
        </is>
      </c>
      <c r="K2313" t="inlineStr">
        <is>
          <t>CHARGER MILWAUKEE M18 6-CAPACI</t>
        </is>
      </c>
      <c r="L2313" t="n">
        <v>2</v>
      </c>
      <c r="M2313" t="n">
        <v>332.42</v>
      </c>
      <c r="N2313" t="inlineStr">
        <is>
          <t>PO:COMMIT</t>
        </is>
      </c>
      <c r="O2313" t="inlineStr">
        <is>
          <t>12561</t>
        </is>
      </c>
      <c r="P2313" t="inlineStr">
        <is>
          <t>CROSS COUNTRY INFRASTRUCTURE SERVICES INC.</t>
        </is>
      </c>
      <c r="Q2313" s="114" t="n">
        <v>0</v>
      </c>
      <c r="R2313" s="114" t="n">
        <v>0</v>
      </c>
      <c r="S2313" s="114" t="n">
        <v>332.42</v>
      </c>
      <c r="T2313" t="n">
        <v>0</v>
      </c>
    </row>
    <row r="2314">
      <c r="A2314" t="inlineStr">
        <is>
          <t>ttJTrans</t>
        </is>
      </c>
      <c r="B2314" s="38" t="inlineStr">
        <is>
          <t>0-4008</t>
        </is>
      </c>
      <c r="C2314" t="inlineStr">
        <is>
          <t>OC</t>
        </is>
      </c>
      <c r="D2314" t="inlineStr">
        <is>
          <t>MA1011474</t>
        </is>
      </c>
      <c r="E2314" t="inlineStr">
        <is>
          <t>OC</t>
        </is>
      </c>
      <c r="F2314" t="inlineStr">
        <is>
          <t>MA1011474</t>
        </is>
      </c>
      <c r="G2314" t="n">
        <v>46136</v>
      </c>
      <c r="H2314" s="127" t="n">
        <v>46139</v>
      </c>
      <c r="I2314" t="inlineStr">
        <is>
          <t>41</t>
        </is>
      </c>
      <c r="J2314" s="38" t="inlineStr">
        <is>
          <t>0-4008</t>
        </is>
      </c>
      <c r="K2314" t="inlineStr">
        <is>
          <t>BATTERY M18 XC8.0AH MILWAUKEE</t>
        </is>
      </c>
      <c r="L2314" t="n">
        <v>4</v>
      </c>
      <c r="M2314" t="n">
        <v>1211.41</v>
      </c>
      <c r="N2314" t="inlineStr">
        <is>
          <t>PO:COMMIT</t>
        </is>
      </c>
      <c r="O2314" t="inlineStr">
        <is>
          <t>12561</t>
        </is>
      </c>
      <c r="P2314" t="inlineStr">
        <is>
          <t>CROSS COUNTRY INFRASTRUCTURE SERVICES INC.</t>
        </is>
      </c>
      <c r="Q2314" s="114" t="n">
        <v>0</v>
      </c>
      <c r="R2314" s="114" t="n">
        <v>0</v>
      </c>
      <c r="S2314" s="114" t="n">
        <v>1211.41</v>
      </c>
      <c r="T2314" t="n">
        <v>0</v>
      </c>
    </row>
    <row r="2315">
      <c r="A2315" t="inlineStr">
        <is>
          <t>ttJTrans</t>
        </is>
      </c>
      <c r="B2315" s="38" t="inlineStr">
        <is>
          <t>0-4008</t>
        </is>
      </c>
      <c r="C2315" t="inlineStr">
        <is>
          <t>OC</t>
        </is>
      </c>
      <c r="D2315" t="inlineStr">
        <is>
          <t>MA1011474</t>
        </is>
      </c>
      <c r="E2315" t="inlineStr">
        <is>
          <t>OC</t>
        </is>
      </c>
      <c r="F2315" t="inlineStr">
        <is>
          <t>MA1011474</t>
        </is>
      </c>
      <c r="G2315" t="n">
        <v>46136</v>
      </c>
      <c r="H2315" s="127" t="n">
        <v>46139</v>
      </c>
      <c r="I2315" t="inlineStr">
        <is>
          <t>40</t>
        </is>
      </c>
      <c r="J2315" s="38" t="inlineStr">
        <is>
          <t>0-4008</t>
        </is>
      </c>
      <c r="K2315" t="inlineStr">
        <is>
          <t>STRAP RATCHET 1INX15FT S-HOOK</t>
        </is>
      </c>
      <c r="L2315" t="n">
        <v>10</v>
      </c>
      <c r="M2315" t="n">
        <v>116.22</v>
      </c>
      <c r="N2315" t="inlineStr">
        <is>
          <t>PO:COMMIT</t>
        </is>
      </c>
      <c r="O2315" t="inlineStr">
        <is>
          <t>12561</t>
        </is>
      </c>
      <c r="P2315" t="inlineStr">
        <is>
          <t>CROSS COUNTRY INFRASTRUCTURE SERVICES INC.</t>
        </is>
      </c>
      <c r="Q2315" s="114" t="n">
        <v>0</v>
      </c>
      <c r="R2315" s="114" t="n">
        <v>0</v>
      </c>
      <c r="S2315" s="114" t="n">
        <v>116.22</v>
      </c>
      <c r="T2315" t="n">
        <v>0</v>
      </c>
    </row>
    <row r="2316">
      <c r="A2316" t="inlineStr">
        <is>
          <t>ttJTrans</t>
        </is>
      </c>
      <c r="B2316" s="38" t="inlineStr">
        <is>
          <t>0-4008</t>
        </is>
      </c>
      <c r="C2316" t="inlineStr">
        <is>
          <t>OC</t>
        </is>
      </c>
      <c r="D2316" t="inlineStr">
        <is>
          <t>MA1011474</t>
        </is>
      </c>
      <c r="E2316" t="inlineStr">
        <is>
          <t>OC</t>
        </is>
      </c>
      <c r="F2316" t="inlineStr">
        <is>
          <t>MA1011474</t>
        </is>
      </c>
      <c r="G2316" t="n">
        <v>46136</v>
      </c>
      <c r="H2316" s="127" t="n">
        <v>46139</v>
      </c>
      <c r="I2316" t="inlineStr">
        <is>
          <t>35</t>
        </is>
      </c>
      <c r="J2316" s="38" t="inlineStr">
        <is>
          <t>0-4008</t>
        </is>
      </c>
      <c r="K2316" t="inlineStr">
        <is>
          <t>ELECTRIC PRESSURE WASHER</t>
        </is>
      </c>
      <c r="L2316" t="n">
        <v>1</v>
      </c>
      <c r="M2316" t="n">
        <v>416.25</v>
      </c>
      <c r="N2316" t="inlineStr">
        <is>
          <t>PO:COMMIT</t>
        </is>
      </c>
      <c r="O2316" t="inlineStr">
        <is>
          <t>12561</t>
        </is>
      </c>
      <c r="P2316" t="inlineStr">
        <is>
          <t>CROSS COUNTRY INFRASTRUCTURE SERVICES INC.</t>
        </is>
      </c>
      <c r="Q2316" s="114" t="n">
        <v>0</v>
      </c>
      <c r="R2316" s="114" t="n">
        <v>0</v>
      </c>
      <c r="S2316" s="114" t="n">
        <v>416.25</v>
      </c>
      <c r="T2316" t="n">
        <v>0</v>
      </c>
    </row>
    <row r="2317">
      <c r="A2317" t="inlineStr">
        <is>
          <t>ttJTrans</t>
        </is>
      </c>
      <c r="B2317" s="38" t="inlineStr">
        <is>
          <t>0-4008</t>
        </is>
      </c>
      <c r="C2317" t="inlineStr">
        <is>
          <t>OC</t>
        </is>
      </c>
      <c r="D2317" t="inlineStr">
        <is>
          <t>MA1011474</t>
        </is>
      </c>
      <c r="E2317" t="inlineStr">
        <is>
          <t>OC</t>
        </is>
      </c>
      <c r="F2317" t="inlineStr">
        <is>
          <t>MA1011474</t>
        </is>
      </c>
      <c r="G2317" t="n">
        <v>46136</v>
      </c>
      <c r="H2317" s="127" t="n">
        <v>46139</v>
      </c>
      <c r="I2317" t="inlineStr">
        <is>
          <t>29</t>
        </is>
      </c>
      <c r="J2317" s="38" t="inlineStr">
        <is>
          <t>0-4008</t>
        </is>
      </c>
      <c r="K2317" t="inlineStr">
        <is>
          <t>DRILL M18 1/2 CHECK TOOL ONLY</t>
        </is>
      </c>
      <c r="L2317" t="n">
        <v>1</v>
      </c>
      <c r="M2317" t="n">
        <v>157.84</v>
      </c>
      <c r="N2317" t="inlineStr">
        <is>
          <t>PO:COMMIT</t>
        </is>
      </c>
      <c r="O2317" t="inlineStr">
        <is>
          <t>12561</t>
        </is>
      </c>
      <c r="P2317" t="inlineStr">
        <is>
          <t>CROSS COUNTRY INFRASTRUCTURE SERVICES INC.</t>
        </is>
      </c>
      <c r="Q2317" s="114" t="n">
        <v>0</v>
      </c>
      <c r="R2317" s="114" t="n">
        <v>0</v>
      </c>
      <c r="S2317" s="114" t="n">
        <v>157.84</v>
      </c>
      <c r="T2317" t="n">
        <v>0</v>
      </c>
    </row>
    <row r="2318">
      <c r="A2318" t="inlineStr">
        <is>
          <t>ttJTrans</t>
        </is>
      </c>
      <c r="B2318" s="38" t="inlineStr">
        <is>
          <t>0-4008</t>
        </is>
      </c>
      <c r="C2318" t="inlineStr">
        <is>
          <t>OC</t>
        </is>
      </c>
      <c r="D2318" t="inlineStr">
        <is>
          <t>MA1011474</t>
        </is>
      </c>
      <c r="E2318" t="inlineStr">
        <is>
          <t>OC</t>
        </is>
      </c>
      <c r="F2318" t="inlineStr">
        <is>
          <t>MA1011474</t>
        </is>
      </c>
      <c r="G2318" t="n">
        <v>46136</v>
      </c>
      <c r="H2318" s="127" t="n">
        <v>46139</v>
      </c>
      <c r="I2318" t="inlineStr">
        <is>
          <t>28</t>
        </is>
      </c>
      <c r="J2318" s="38" t="inlineStr">
        <is>
          <t>0-4008</t>
        </is>
      </c>
      <c r="K2318" t="inlineStr">
        <is>
          <t>3/PC PRY BAR SET</t>
        </is>
      </c>
      <c r="L2318" t="n">
        <v>1</v>
      </c>
      <c r="M2318" t="n">
        <v>33.3</v>
      </c>
      <c r="N2318" t="inlineStr">
        <is>
          <t>PO:COMMIT</t>
        </is>
      </c>
      <c r="O2318" t="inlineStr">
        <is>
          <t>12561</t>
        </is>
      </c>
      <c r="P2318" t="inlineStr">
        <is>
          <t>CROSS COUNTRY INFRASTRUCTURE SERVICES INC.</t>
        </is>
      </c>
      <c r="Q2318" s="114" t="n">
        <v>0</v>
      </c>
      <c r="R2318" s="114" t="n">
        <v>0</v>
      </c>
      <c r="S2318" s="114" t="n">
        <v>33.3</v>
      </c>
      <c r="T2318" t="n">
        <v>0</v>
      </c>
    </row>
    <row r="2319">
      <c r="A2319" t="inlineStr">
        <is>
          <t>ttJTrans</t>
        </is>
      </c>
      <c r="B2319" s="38" t="inlineStr">
        <is>
          <t>0-4008</t>
        </is>
      </c>
      <c r="C2319" t="inlineStr">
        <is>
          <t>OC</t>
        </is>
      </c>
      <c r="D2319" t="inlineStr">
        <is>
          <t>MA1011474</t>
        </is>
      </c>
      <c r="E2319" t="inlineStr">
        <is>
          <t>OC</t>
        </is>
      </c>
      <c r="F2319" t="inlineStr">
        <is>
          <t>MA1011474</t>
        </is>
      </c>
      <c r="G2319" t="n">
        <v>46136</v>
      </c>
      <c r="H2319" s="127" t="n">
        <v>46139</v>
      </c>
      <c r="I2319" t="inlineStr">
        <is>
          <t>30</t>
        </is>
      </c>
      <c r="J2319" s="38" t="inlineStr">
        <is>
          <t>0-4008</t>
        </is>
      </c>
      <c r="K2319" t="inlineStr">
        <is>
          <t>SHOVEL SHARP SHOOTER D-HDL 6/B</t>
        </is>
      </c>
      <c r="L2319" t="n">
        <v>4</v>
      </c>
      <c r="M2319" t="n">
        <v>52.35</v>
      </c>
      <c r="N2319" t="inlineStr">
        <is>
          <t>PO:COMMIT</t>
        </is>
      </c>
      <c r="O2319" t="inlineStr">
        <is>
          <t>12561</t>
        </is>
      </c>
      <c r="P2319" t="inlineStr">
        <is>
          <t>CROSS COUNTRY INFRASTRUCTURE SERVICES INC.</t>
        </is>
      </c>
      <c r="Q2319" s="114" t="n">
        <v>0</v>
      </c>
      <c r="R2319" s="114" t="n">
        <v>0</v>
      </c>
      <c r="S2319" s="114" t="n">
        <v>52.35</v>
      </c>
      <c r="T2319" t="n">
        <v>0</v>
      </c>
    </row>
    <row r="2320">
      <c r="A2320" t="inlineStr">
        <is>
          <t>ttJTrans</t>
        </is>
      </c>
      <c r="B2320" s="38" t="inlineStr">
        <is>
          <t>0-4008</t>
        </is>
      </c>
      <c r="C2320" t="inlineStr">
        <is>
          <t>OC</t>
        </is>
      </c>
      <c r="D2320" t="inlineStr">
        <is>
          <t>MA1011474</t>
        </is>
      </c>
      <c r="E2320" t="inlineStr">
        <is>
          <t>OC</t>
        </is>
      </c>
      <c r="F2320" t="inlineStr">
        <is>
          <t>MA1011474</t>
        </is>
      </c>
      <c r="G2320" t="n">
        <v>46136</v>
      </c>
      <c r="H2320" s="127" t="n">
        <v>46139</v>
      </c>
      <c r="I2320" t="inlineStr">
        <is>
          <t>33</t>
        </is>
      </c>
      <c r="J2320" s="38" t="inlineStr">
        <is>
          <t>0-4008</t>
        </is>
      </c>
      <c r="K2320" t="inlineStr">
        <is>
          <t>65 GAL WATER STORAGE TANK</t>
        </is>
      </c>
      <c r="L2320" t="n">
        <v>1</v>
      </c>
      <c r="M2320" t="n">
        <v>360.75</v>
      </c>
      <c r="N2320" t="inlineStr">
        <is>
          <t>PO:COMMIT</t>
        </is>
      </c>
      <c r="O2320" t="inlineStr">
        <is>
          <t>12561</t>
        </is>
      </c>
      <c r="P2320" t="inlineStr">
        <is>
          <t>CROSS COUNTRY INFRASTRUCTURE SERVICES INC.</t>
        </is>
      </c>
      <c r="Q2320" s="114" t="n">
        <v>0</v>
      </c>
      <c r="R2320" s="114" t="n">
        <v>0</v>
      </c>
      <c r="S2320" s="114" t="n">
        <v>360.75</v>
      </c>
      <c r="T2320" t="n">
        <v>0</v>
      </c>
    </row>
    <row r="2321">
      <c r="A2321" t="inlineStr">
        <is>
          <t>ttJTrans</t>
        </is>
      </c>
      <c r="B2321" s="38" t="inlineStr">
        <is>
          <t>0-4008</t>
        </is>
      </c>
      <c r="C2321" t="inlineStr">
        <is>
          <t>OC</t>
        </is>
      </c>
      <c r="D2321" t="inlineStr">
        <is>
          <t>MA1011474</t>
        </is>
      </c>
      <c r="E2321" t="inlineStr">
        <is>
          <t>OC</t>
        </is>
      </c>
      <c r="F2321" t="inlineStr">
        <is>
          <t>MA1011474</t>
        </is>
      </c>
      <c r="G2321" t="n">
        <v>46136</v>
      </c>
      <c r="H2321" s="127" t="n">
        <v>46139</v>
      </c>
      <c r="I2321" t="inlineStr">
        <is>
          <t>18</t>
        </is>
      </c>
      <c r="J2321" s="38" t="inlineStr">
        <is>
          <t>0-4008</t>
        </is>
      </c>
      <c r="K2321" t="inlineStr">
        <is>
          <t>SLING PROTECTOR 4INX12IN</t>
        </is>
      </c>
      <c r="L2321" t="n">
        <v>4</v>
      </c>
      <c r="M2321" t="n">
        <v>666</v>
      </c>
      <c r="N2321" t="inlineStr">
        <is>
          <t>PO:COMMIT</t>
        </is>
      </c>
      <c r="O2321" t="inlineStr">
        <is>
          <t>12561</t>
        </is>
      </c>
      <c r="P2321" t="inlineStr">
        <is>
          <t>CROSS COUNTRY INFRASTRUCTURE SERVICES INC.</t>
        </is>
      </c>
      <c r="Q2321" s="114" t="n">
        <v>0</v>
      </c>
      <c r="R2321" s="114" t="n">
        <v>0</v>
      </c>
      <c r="S2321" s="114" t="n">
        <v>666</v>
      </c>
      <c r="T2321" t="n">
        <v>0</v>
      </c>
    </row>
    <row r="2322">
      <c r="A2322" t="inlineStr">
        <is>
          <t>ttJTrans</t>
        </is>
      </c>
      <c r="B2322" s="38" t="inlineStr">
        <is>
          <t>0-4008</t>
        </is>
      </c>
      <c r="C2322" t="inlineStr">
        <is>
          <t>OC</t>
        </is>
      </c>
      <c r="D2322" t="inlineStr">
        <is>
          <t>MA1011474</t>
        </is>
      </c>
      <c r="E2322" t="inlineStr">
        <is>
          <t>OC</t>
        </is>
      </c>
      <c r="F2322" t="inlineStr">
        <is>
          <t>MA1011474</t>
        </is>
      </c>
      <c r="G2322" t="n">
        <v>46136</v>
      </c>
      <c r="H2322" s="127" t="n">
        <v>46139</v>
      </c>
      <c r="I2322" t="inlineStr">
        <is>
          <t>31</t>
        </is>
      </c>
      <c r="J2322" s="38" t="inlineStr">
        <is>
          <t>0-4008</t>
        </is>
      </c>
      <c r="K2322" t="inlineStr">
        <is>
          <t>SHOVEL ROUND PT 49" WOOD HDL</t>
        </is>
      </c>
      <c r="L2322" t="n">
        <v>2</v>
      </c>
      <c r="M2322" t="n">
        <v>32.43</v>
      </c>
      <c r="N2322" t="inlineStr">
        <is>
          <t>PO:COMMIT</t>
        </is>
      </c>
      <c r="O2322" t="inlineStr">
        <is>
          <t>12561</t>
        </is>
      </c>
      <c r="P2322" t="inlineStr">
        <is>
          <t>CROSS COUNTRY INFRASTRUCTURE SERVICES INC.</t>
        </is>
      </c>
      <c r="Q2322" s="114" t="n">
        <v>0</v>
      </c>
      <c r="R2322" s="114" t="n">
        <v>0</v>
      </c>
      <c r="S2322" s="114" t="n">
        <v>32.43</v>
      </c>
      <c r="T2322" t="n">
        <v>0</v>
      </c>
    </row>
    <row r="2323">
      <c r="A2323" t="inlineStr">
        <is>
          <t>ttJTrans</t>
        </is>
      </c>
      <c r="B2323" s="38" t="inlineStr">
        <is>
          <t>0-4008</t>
        </is>
      </c>
      <c r="C2323" t="inlineStr">
        <is>
          <t>OC</t>
        </is>
      </c>
      <c r="D2323" t="inlineStr">
        <is>
          <t>MA1011496</t>
        </is>
      </c>
      <c r="E2323" t="inlineStr">
        <is>
          <t>OC</t>
        </is>
      </c>
      <c r="F2323" t="inlineStr">
        <is>
          <t>MA1011496</t>
        </is>
      </c>
      <c r="G2323" t="n">
        <v>46139</v>
      </c>
      <c r="H2323" s="127" t="n">
        <v>46139</v>
      </c>
      <c r="I2323" t="inlineStr">
        <is>
          <t>1</t>
        </is>
      </c>
      <c r="J2323" s="38" t="inlineStr">
        <is>
          <t>0-4008</t>
        </is>
      </c>
      <c r="K2323" t="inlineStr">
        <is>
          <t>Gonex Snake Gaiters, Waterproof Snake Guards,</t>
        </is>
      </c>
      <c r="L2323" t="n">
        <v>15</v>
      </c>
      <c r="M2323" t="n">
        <v>532.63</v>
      </c>
      <c r="N2323" t="inlineStr">
        <is>
          <t>PO:COMMIT</t>
        </is>
      </c>
      <c r="O2323" t="inlineStr">
        <is>
          <t>20395</t>
        </is>
      </c>
      <c r="P2323" t="inlineStr">
        <is>
          <t>AMAZON.COM SERVICES LLC</t>
        </is>
      </c>
      <c r="Q2323" s="114" t="n">
        <v>0</v>
      </c>
      <c r="R2323" s="114" t="n">
        <v>0</v>
      </c>
      <c r="S2323" s="114" t="n">
        <v>532.63</v>
      </c>
      <c r="T2323" t="n">
        <v>0</v>
      </c>
    </row>
    <row r="2324">
      <c r="A2324" t="inlineStr">
        <is>
          <t>ttJTrans</t>
        </is>
      </c>
      <c r="B2324" s="38" t="inlineStr">
        <is>
          <t>0-4008</t>
        </is>
      </c>
      <c r="C2324" t="inlineStr">
        <is>
          <t>OC</t>
        </is>
      </c>
      <c r="D2324" t="inlineStr">
        <is>
          <t>MA1011496</t>
        </is>
      </c>
      <c r="E2324" t="inlineStr">
        <is>
          <t>OC</t>
        </is>
      </c>
      <c r="F2324" t="inlineStr">
        <is>
          <t>MA1011496</t>
        </is>
      </c>
      <c r="G2324" t="n">
        <v>46139</v>
      </c>
      <c r="H2324" s="127" t="n">
        <v>46139</v>
      </c>
      <c r="I2324" t="inlineStr">
        <is>
          <t>1</t>
        </is>
      </c>
      <c r="J2324" s="38" t="inlineStr">
        <is>
          <t>0-4008</t>
        </is>
      </c>
      <c r="K2324" t="inlineStr">
        <is>
          <t>Gonex Snake Gaiters, Waterproof Snake Guards,</t>
        </is>
      </c>
      <c r="L2324" t="n">
        <v>15</v>
      </c>
      <c r="M2324" t="n">
        <v>532.63</v>
      </c>
      <c r="N2324" t="inlineStr">
        <is>
          <t>INVOICE:ADJ-COMMIT</t>
        </is>
      </c>
      <c r="O2324" t="inlineStr">
        <is>
          <t>20395</t>
        </is>
      </c>
      <c r="P2324" t="inlineStr">
        <is>
          <t>AMAZON.COM SERVICES LLC</t>
        </is>
      </c>
      <c r="Q2324" s="114" t="n">
        <v>0</v>
      </c>
      <c r="R2324" s="114" t="n">
        <v>0</v>
      </c>
      <c r="S2324" s="114" t="n">
        <v>-532.63</v>
      </c>
      <c r="T2324" t="n">
        <v>0</v>
      </c>
    </row>
    <row r="2325">
      <c r="A2325" t="inlineStr">
        <is>
          <t>ttJTrans</t>
        </is>
      </c>
      <c r="B2325" s="38" t="inlineStr">
        <is>
          <t>0-4008</t>
        </is>
      </c>
      <c r="C2325" t="inlineStr">
        <is>
          <t>OC</t>
        </is>
      </c>
      <c r="D2325" t="inlineStr">
        <is>
          <t>MA1011496</t>
        </is>
      </c>
      <c r="E2325" t="inlineStr">
        <is>
          <t>OC</t>
        </is>
      </c>
      <c r="F2325" t="inlineStr">
        <is>
          <t>MA1011496</t>
        </is>
      </c>
      <c r="G2325" t="n">
        <v>46139</v>
      </c>
      <c r="H2325" s="127" t="n">
        <v>46149</v>
      </c>
      <c r="I2325" t="inlineStr">
        <is>
          <t>1</t>
        </is>
      </c>
      <c r="J2325" s="38" t="inlineStr">
        <is>
          <t>0-4008</t>
        </is>
      </c>
      <c r="K2325" t="inlineStr">
        <is>
          <t>Gonex Snake Gaiters, Waterproof Snake Guards,</t>
        </is>
      </c>
      <c r="L2325" t="n">
        <v>15</v>
      </c>
      <c r="M2325" t="n">
        <v>532.63</v>
      </c>
      <c r="N2325" t="inlineStr">
        <is>
          <t>INVOICE</t>
        </is>
      </c>
      <c r="O2325" t="inlineStr">
        <is>
          <t>20395</t>
        </is>
      </c>
      <c r="P2325" t="inlineStr">
        <is>
          <t>AMAZON.COM SERVICES LLC</t>
        </is>
      </c>
      <c r="Q2325" s="114" t="n">
        <v>0</v>
      </c>
      <c r="R2325" s="114" t="n">
        <v>0</v>
      </c>
      <c r="S2325" s="114" t="n">
        <v>0</v>
      </c>
      <c r="T2325" t="n">
        <v>0</v>
      </c>
    </row>
    <row r="2326">
      <c r="A2326" t="inlineStr">
        <is>
          <t>ttJTrans</t>
        </is>
      </c>
      <c r="B2326" s="38" t="inlineStr">
        <is>
          <t>0-4008</t>
        </is>
      </c>
      <c r="C2326" t="inlineStr">
        <is>
          <t>OC</t>
        </is>
      </c>
      <c r="D2326" t="inlineStr">
        <is>
          <t>MA1011510</t>
        </is>
      </c>
      <c r="E2326" t="inlineStr">
        <is>
          <t>OC</t>
        </is>
      </c>
      <c r="F2326" t="inlineStr">
        <is>
          <t>MA1011510</t>
        </is>
      </c>
      <c r="G2326" t="n">
        <v>46139</v>
      </c>
      <c r="H2326" s="127" t="n">
        <v>46167</v>
      </c>
      <c r="I2326" t="inlineStr">
        <is>
          <t>6</t>
        </is>
      </c>
      <c r="J2326" s="38" t="inlineStr">
        <is>
          <t>0-4008</t>
        </is>
      </c>
      <c r="K2326" t="inlineStr">
        <is>
          <t>FREIGHT SHIP TO: W H C Energy Services CO/</t>
        </is>
      </c>
      <c r="L2326" t="n">
        <v>1</v>
      </c>
      <c r="M2326" t="n">
        <v>32.91</v>
      </c>
      <c r="N2326" t="inlineStr">
        <is>
          <t>PO:COMMIT</t>
        </is>
      </c>
      <c r="O2326" t="inlineStr">
        <is>
          <t>14828</t>
        </is>
      </c>
      <c r="P2326" t="inlineStr">
        <is>
          <t>McMASTER-CARR SUPPLY CO.</t>
        </is>
      </c>
      <c r="Q2326" s="114" t="n">
        <v>32.91</v>
      </c>
      <c r="R2326" s="114" t="n">
        <v>0</v>
      </c>
      <c r="S2326" s="114" t="n">
        <v>0</v>
      </c>
      <c r="T2326" t="n">
        <v>0</v>
      </c>
    </row>
    <row r="2327">
      <c r="A2327" t="inlineStr">
        <is>
          <t>ttJTrans</t>
        </is>
      </c>
      <c r="B2327" s="38" t="inlineStr">
        <is>
          <t>0-4008</t>
        </is>
      </c>
      <c r="C2327" t="inlineStr">
        <is>
          <t>OC</t>
        </is>
      </c>
      <c r="D2327" t="inlineStr">
        <is>
          <t>MA1011510</t>
        </is>
      </c>
      <c r="E2327" t="inlineStr">
        <is>
          <t>OC</t>
        </is>
      </c>
      <c r="F2327" t="inlineStr">
        <is>
          <t>MA1011510</t>
        </is>
      </c>
      <c r="G2327" t="n">
        <v>46139</v>
      </c>
      <c r="H2327" s="127" t="n">
        <v>46167</v>
      </c>
      <c r="I2327" t="inlineStr">
        <is>
          <t>4</t>
        </is>
      </c>
      <c r="J2327" s="38" t="inlineStr">
        <is>
          <t>0-4008</t>
        </is>
      </c>
      <c r="K2327" t="inlineStr">
        <is>
          <t>92620A328 Zinc Yellow-Chromate Plated Hex</t>
        </is>
      </c>
      <c r="L2327" t="n">
        <v>8</v>
      </c>
      <c r="M2327" t="n">
        <v>262.76</v>
      </c>
      <c r="N2327" t="inlineStr">
        <is>
          <t>PO:COMMIT</t>
        </is>
      </c>
      <c r="O2327" t="inlineStr">
        <is>
          <t>14828</t>
        </is>
      </c>
      <c r="P2327" t="inlineStr">
        <is>
          <t>McMASTER-CARR SUPPLY CO.</t>
        </is>
      </c>
      <c r="Q2327" s="114" t="n">
        <v>262.76</v>
      </c>
      <c r="R2327" s="114" t="n">
        <v>0</v>
      </c>
      <c r="S2327" s="114" t="n">
        <v>0</v>
      </c>
      <c r="T2327" t="n">
        <v>0</v>
      </c>
    </row>
    <row r="2328">
      <c r="A2328" t="inlineStr">
        <is>
          <t>ttJTrans</t>
        </is>
      </c>
      <c r="B2328" s="38" t="inlineStr">
        <is>
          <t>0-4008</t>
        </is>
      </c>
      <c r="C2328" t="inlineStr">
        <is>
          <t>OC</t>
        </is>
      </c>
      <c r="D2328" t="inlineStr">
        <is>
          <t>MA1011510</t>
        </is>
      </c>
      <c r="E2328" t="inlineStr">
        <is>
          <t>OC</t>
        </is>
      </c>
      <c r="F2328" t="inlineStr">
        <is>
          <t>MA1011510</t>
        </is>
      </c>
      <c r="G2328" t="n">
        <v>46139</v>
      </c>
      <c r="H2328" s="127" t="n">
        <v>46167</v>
      </c>
      <c r="I2328" t="inlineStr">
        <is>
          <t>3</t>
        </is>
      </c>
      <c r="J2328" s="38" t="inlineStr">
        <is>
          <t>0-4008</t>
        </is>
      </c>
      <c r="K2328" t="inlineStr">
        <is>
          <t>94895A038 SAE Grade 8 High-Strength Steel</t>
        </is>
      </c>
      <c r="L2328" t="n">
        <v>1</v>
      </c>
      <c r="M2328" t="n">
        <v>26.01</v>
      </c>
      <c r="N2328" t="inlineStr">
        <is>
          <t>PO:COMMIT</t>
        </is>
      </c>
      <c r="O2328" t="inlineStr">
        <is>
          <t>14828</t>
        </is>
      </c>
      <c r="P2328" t="inlineStr">
        <is>
          <t>McMASTER-CARR SUPPLY CO.</t>
        </is>
      </c>
      <c r="Q2328" s="114" t="n">
        <v>26.01</v>
      </c>
      <c r="R2328" s="114" t="n">
        <v>0</v>
      </c>
      <c r="S2328" s="114" t="n">
        <v>0</v>
      </c>
      <c r="T2328" t="n">
        <v>0</v>
      </c>
    </row>
    <row r="2329">
      <c r="A2329" t="inlineStr">
        <is>
          <t>ttJTrans</t>
        </is>
      </c>
      <c r="B2329" s="38" t="inlineStr">
        <is>
          <t>0-4008</t>
        </is>
      </c>
      <c r="C2329" t="inlineStr">
        <is>
          <t>OC</t>
        </is>
      </c>
      <c r="D2329" t="inlineStr">
        <is>
          <t>MA1011510</t>
        </is>
      </c>
      <c r="E2329" t="inlineStr">
        <is>
          <t>OC</t>
        </is>
      </c>
      <c r="F2329" t="inlineStr">
        <is>
          <t>MA1011510</t>
        </is>
      </c>
      <c r="G2329" t="n">
        <v>46139</v>
      </c>
      <c r="H2329" s="127" t="n">
        <v>46167</v>
      </c>
      <c r="I2329" t="inlineStr">
        <is>
          <t>5</t>
        </is>
      </c>
      <c r="J2329" s="38" t="inlineStr">
        <is>
          <t>0-4008</t>
        </is>
      </c>
      <c r="K2329" t="inlineStr">
        <is>
          <t>94895A859 SAE Grade 8 High-Strength Steel</t>
        </is>
      </c>
      <c r="L2329" t="n">
        <v>2</v>
      </c>
      <c r="M2329" t="n">
        <v>55.37</v>
      </c>
      <c r="N2329" t="inlineStr">
        <is>
          <t>PO:COMMIT</t>
        </is>
      </c>
      <c r="O2329" t="inlineStr">
        <is>
          <t>14828</t>
        </is>
      </c>
      <c r="P2329" t="inlineStr">
        <is>
          <t>McMASTER-CARR SUPPLY CO.</t>
        </is>
      </c>
      <c r="Q2329" s="114" t="n">
        <v>55.37</v>
      </c>
      <c r="R2329" s="114" t="n">
        <v>0</v>
      </c>
      <c r="S2329" s="114" t="n">
        <v>0</v>
      </c>
      <c r="T2329" t="n">
        <v>0</v>
      </c>
    </row>
    <row r="2330">
      <c r="A2330" t="inlineStr">
        <is>
          <t>ttJTrans</t>
        </is>
      </c>
      <c r="B2330" s="38" t="inlineStr">
        <is>
          <t>0-4008</t>
        </is>
      </c>
      <c r="C2330" t="inlineStr">
        <is>
          <t>OC</t>
        </is>
      </c>
      <c r="D2330" t="inlineStr">
        <is>
          <t>MA1011510</t>
        </is>
      </c>
      <c r="E2330" t="inlineStr">
        <is>
          <t>OC</t>
        </is>
      </c>
      <c r="F2330" t="inlineStr">
        <is>
          <t>MA1011510</t>
        </is>
      </c>
      <c r="G2330" t="n">
        <v>46139</v>
      </c>
      <c r="H2330" s="127" t="n">
        <v>46167</v>
      </c>
      <c r="I2330" t="inlineStr">
        <is>
          <t>1</t>
        </is>
      </c>
      <c r="J2330" s="38" t="inlineStr">
        <is>
          <t>0-4008</t>
        </is>
      </c>
      <c r="K2330" t="inlineStr">
        <is>
          <t>91257A983 Zinc Yellow-Chromate Plated Hex</t>
        </is>
      </c>
      <c r="L2330" t="n">
        <v>5</v>
      </c>
      <c r="M2330" t="n">
        <v>111.44</v>
      </c>
      <c r="N2330" t="inlineStr">
        <is>
          <t>PO:COMMIT</t>
        </is>
      </c>
      <c r="O2330" t="inlineStr">
        <is>
          <t>14828</t>
        </is>
      </c>
      <c r="P2330" t="inlineStr">
        <is>
          <t>McMASTER-CARR SUPPLY CO.</t>
        </is>
      </c>
      <c r="Q2330" s="114" t="n">
        <v>111.44</v>
      </c>
      <c r="R2330" s="114" t="n">
        <v>0</v>
      </c>
      <c r="S2330" s="114" t="n">
        <v>0</v>
      </c>
      <c r="T2330" t="n">
        <v>0</v>
      </c>
    </row>
    <row r="2331">
      <c r="A2331" t="inlineStr">
        <is>
          <t>ttJTrans</t>
        </is>
      </c>
      <c r="B2331" s="38" t="inlineStr">
        <is>
          <t>0-4008</t>
        </is>
      </c>
      <c r="C2331" t="inlineStr">
        <is>
          <t>OC</t>
        </is>
      </c>
      <c r="D2331" t="inlineStr">
        <is>
          <t>MA1011510</t>
        </is>
      </c>
      <c r="E2331" t="inlineStr">
        <is>
          <t>OC</t>
        </is>
      </c>
      <c r="F2331" t="inlineStr">
        <is>
          <t>MA1011510</t>
        </is>
      </c>
      <c r="G2331" t="n">
        <v>46139</v>
      </c>
      <c r="H2331" s="127" t="n">
        <v>46167</v>
      </c>
      <c r="I2331" t="inlineStr">
        <is>
          <t>2</t>
        </is>
      </c>
      <c r="J2331" s="38" t="inlineStr">
        <is>
          <t>0-4008</t>
        </is>
      </c>
      <c r="K2331" t="inlineStr">
        <is>
          <t>91257A967 Zinc Yellow-Chromate Plated Hex</t>
        </is>
      </c>
      <c r="L2331" t="n">
        <v>5</v>
      </c>
      <c r="M2331" t="n">
        <v>79.64</v>
      </c>
      <c r="N2331" t="inlineStr">
        <is>
          <t>PO:COMMIT</t>
        </is>
      </c>
      <c r="O2331" t="inlineStr">
        <is>
          <t>14828</t>
        </is>
      </c>
      <c r="P2331" t="inlineStr">
        <is>
          <t>McMASTER-CARR SUPPLY CO.</t>
        </is>
      </c>
      <c r="Q2331" s="114" t="n">
        <v>79.64</v>
      </c>
      <c r="R2331" s="114" t="n">
        <v>0</v>
      </c>
      <c r="S2331" s="114" t="n">
        <v>0</v>
      </c>
      <c r="T2331" t="n">
        <v>0</v>
      </c>
    </row>
    <row r="2332">
      <c r="A2332" t="inlineStr">
        <is>
          <t>ttJTrans</t>
        </is>
      </c>
      <c r="B2332" s="38" t="inlineStr">
        <is>
          <t>0-4008</t>
        </is>
      </c>
      <c r="C2332" t="inlineStr">
        <is>
          <t>OC</t>
        </is>
      </c>
      <c r="D2332" t="inlineStr">
        <is>
          <t>MA1011522</t>
        </is>
      </c>
      <c r="E2332" t="inlineStr">
        <is>
          <t>OC</t>
        </is>
      </c>
      <c r="F2332" t="inlineStr">
        <is>
          <t>MA1011522</t>
        </is>
      </c>
      <c r="G2332" t="n">
        <v>46140</v>
      </c>
      <c r="H2332" s="127" t="n">
        <v>46140</v>
      </c>
      <c r="I2332" t="inlineStr">
        <is>
          <t>1</t>
        </is>
      </c>
      <c r="J2332" s="38" t="inlineStr">
        <is>
          <t>0-4008</t>
        </is>
      </c>
      <c r="K2332" t="inlineStr">
        <is>
          <t>Mosquito spray</t>
        </is>
      </c>
      <c r="L2332" t="n">
        <v>24</v>
      </c>
      <c r="M2332" t="n">
        <v>292.77</v>
      </c>
      <c r="N2332" t="inlineStr">
        <is>
          <t>INVOICE:ADJ-COMMIT</t>
        </is>
      </c>
      <c r="O2332" t="inlineStr">
        <is>
          <t>21265</t>
        </is>
      </c>
      <c r="P2332" t="inlineStr">
        <is>
          <t>WHARTON FEED &amp; SUPPLY LLC</t>
        </is>
      </c>
      <c r="Q2332" s="114" t="n">
        <v>0</v>
      </c>
      <c r="R2332" s="114" t="n">
        <v>0</v>
      </c>
      <c r="S2332" s="114" t="n">
        <v>-292.77</v>
      </c>
      <c r="T2332" t="n">
        <v>0</v>
      </c>
    </row>
    <row r="2333">
      <c r="A2333" t="inlineStr">
        <is>
          <t>ttJTrans</t>
        </is>
      </c>
      <c r="B2333" s="38" t="inlineStr">
        <is>
          <t>0-4008</t>
        </is>
      </c>
      <c r="C2333" t="inlineStr">
        <is>
          <t>OC</t>
        </is>
      </c>
      <c r="D2333" t="inlineStr">
        <is>
          <t>MA1011522</t>
        </is>
      </c>
      <c r="E2333" t="inlineStr">
        <is>
          <t>OC</t>
        </is>
      </c>
      <c r="F2333" t="inlineStr">
        <is>
          <t>MA1011522</t>
        </is>
      </c>
      <c r="G2333" t="n">
        <v>46140</v>
      </c>
      <c r="H2333" s="127" t="n">
        <v>46140</v>
      </c>
      <c r="I2333" t="inlineStr">
        <is>
          <t>1</t>
        </is>
      </c>
      <c r="J2333" s="38" t="inlineStr">
        <is>
          <t>0-4008</t>
        </is>
      </c>
      <c r="K2333" t="inlineStr">
        <is>
          <t>Mosquito spray</t>
        </is>
      </c>
      <c r="L2333" t="n">
        <v>24</v>
      </c>
      <c r="M2333" t="n">
        <v>292.77</v>
      </c>
      <c r="N2333" t="inlineStr">
        <is>
          <t>PO:COMMIT</t>
        </is>
      </c>
      <c r="O2333" t="inlineStr">
        <is>
          <t>21265</t>
        </is>
      </c>
      <c r="P2333" t="inlineStr">
        <is>
          <t>WHARTON FEED &amp; SUPPLY LLC</t>
        </is>
      </c>
      <c r="Q2333" s="114" t="n">
        <v>0</v>
      </c>
      <c r="R2333" s="114" t="n">
        <v>0</v>
      </c>
      <c r="S2333" s="114" t="n">
        <v>292.77</v>
      </c>
      <c r="T2333" t="n">
        <v>0</v>
      </c>
    </row>
    <row r="2334">
      <c r="A2334" t="inlineStr">
        <is>
          <t>ttJTrans</t>
        </is>
      </c>
      <c r="B2334" s="38" t="inlineStr">
        <is>
          <t>0-4008</t>
        </is>
      </c>
      <c r="C2334" t="inlineStr">
        <is>
          <t>OC</t>
        </is>
      </c>
      <c r="D2334" t="inlineStr">
        <is>
          <t>MA1011522</t>
        </is>
      </c>
      <c r="E2334" t="inlineStr">
        <is>
          <t>OC</t>
        </is>
      </c>
      <c r="F2334" t="inlineStr">
        <is>
          <t>MA1011522</t>
        </is>
      </c>
      <c r="G2334" t="n">
        <v>46140</v>
      </c>
      <c r="H2334" s="127" t="n">
        <v>46149</v>
      </c>
      <c r="I2334" t="inlineStr">
        <is>
          <t>1</t>
        </is>
      </c>
      <c r="J2334" s="38" t="inlineStr">
        <is>
          <t>0-4008</t>
        </is>
      </c>
      <c r="K2334" t="inlineStr">
        <is>
          <t>Mosquito spray</t>
        </is>
      </c>
      <c r="L2334" t="n">
        <v>24</v>
      </c>
      <c r="M2334" t="n">
        <v>292.77</v>
      </c>
      <c r="N2334" t="inlineStr">
        <is>
          <t>INVOICE</t>
        </is>
      </c>
      <c r="O2334" t="inlineStr">
        <is>
          <t>21265</t>
        </is>
      </c>
      <c r="P2334" t="inlineStr">
        <is>
          <t>WHARTON FEED &amp; SUPPLY LLC</t>
        </is>
      </c>
      <c r="Q2334" s="114" t="n">
        <v>0</v>
      </c>
      <c r="R2334" s="114" t="n">
        <v>0</v>
      </c>
      <c r="S2334" s="114" t="n">
        <v>0</v>
      </c>
      <c r="T2334" t="n">
        <v>0</v>
      </c>
    </row>
    <row r="2335">
      <c r="A2335" t="inlineStr">
        <is>
          <t>ttJTrans</t>
        </is>
      </c>
      <c r="B2335" s="38" t="inlineStr">
        <is>
          <t>0-4008</t>
        </is>
      </c>
      <c r="C2335" t="inlineStr">
        <is>
          <t>OC</t>
        </is>
      </c>
      <c r="D2335" t="inlineStr">
        <is>
          <t>MA1011569</t>
        </is>
      </c>
      <c r="E2335" t="inlineStr">
        <is>
          <t>OC</t>
        </is>
      </c>
      <c r="F2335" t="inlineStr">
        <is>
          <t>MA1011569</t>
        </is>
      </c>
      <c r="G2335" t="n">
        <v>46141</v>
      </c>
      <c r="H2335" s="127" t="n">
        <v>46141</v>
      </c>
      <c r="I2335" t="inlineStr">
        <is>
          <t>1</t>
        </is>
      </c>
      <c r="J2335" s="38" t="inlineStr">
        <is>
          <t>0-4008</t>
        </is>
      </c>
      <c r="K2335" t="inlineStr">
        <is>
          <t>48'' Rollups Non Reflective</t>
        </is>
      </c>
      <c r="L2335" t="n">
        <v>6</v>
      </c>
      <c r="M2335" t="n">
        <v>456.21</v>
      </c>
      <c r="N2335" t="inlineStr">
        <is>
          <t>PO:COMMIT</t>
        </is>
      </c>
      <c r="O2335" t="inlineStr">
        <is>
          <t>12177</t>
        </is>
      </c>
      <c r="P2335" t="inlineStr">
        <is>
          <t>TRAFFIC CONTROL PRODUCTS OF LOUISIANA CO. INC.</t>
        </is>
      </c>
      <c r="Q2335" s="114" t="n">
        <v>0</v>
      </c>
      <c r="R2335" s="114" t="n">
        <v>0</v>
      </c>
      <c r="S2335" s="114" t="n">
        <v>456.21</v>
      </c>
      <c r="T2335" t="n">
        <v>0</v>
      </c>
    </row>
    <row r="2336">
      <c r="A2336" t="inlineStr">
        <is>
          <t>ttJTrans</t>
        </is>
      </c>
      <c r="B2336" s="38" t="inlineStr">
        <is>
          <t>0-4008</t>
        </is>
      </c>
      <c r="C2336" t="inlineStr">
        <is>
          <t>OC</t>
        </is>
      </c>
      <c r="D2336" t="inlineStr">
        <is>
          <t>MA1011569</t>
        </is>
      </c>
      <c r="E2336" t="inlineStr">
        <is>
          <t>OC</t>
        </is>
      </c>
      <c r="F2336" t="inlineStr">
        <is>
          <t>MA1011569</t>
        </is>
      </c>
      <c r="G2336" t="n">
        <v>46141</v>
      </c>
      <c r="H2336" s="127" t="n">
        <v>46141</v>
      </c>
      <c r="I2336" t="inlineStr">
        <is>
          <t>2</t>
        </is>
      </c>
      <c r="J2336" s="38" t="inlineStr">
        <is>
          <t>0-4008</t>
        </is>
      </c>
      <c r="K2336" t="inlineStr">
        <is>
          <t>48'' Rollups Non Reflective Trucks</t>
        </is>
      </c>
      <c r="L2336" t="n">
        <v>6</v>
      </c>
      <c r="M2336" t="n">
        <v>456.21</v>
      </c>
      <c r="N2336" t="inlineStr">
        <is>
          <t>PO:COMMIT</t>
        </is>
      </c>
      <c r="O2336" t="inlineStr">
        <is>
          <t>12177</t>
        </is>
      </c>
      <c r="P2336" t="inlineStr">
        <is>
          <t>TRAFFIC CONTROL PRODUCTS OF LOUISIANA CO. INC.</t>
        </is>
      </c>
      <c r="Q2336" s="114" t="n">
        <v>0</v>
      </c>
      <c r="R2336" s="114" t="n">
        <v>0</v>
      </c>
      <c r="S2336" s="114" t="n">
        <v>456.21</v>
      </c>
      <c r="T2336" t="n">
        <v>0</v>
      </c>
    </row>
    <row r="2337">
      <c r="A2337" t="inlineStr">
        <is>
          <t>ttJTrans</t>
        </is>
      </c>
      <c r="B2337" s="38" t="inlineStr">
        <is>
          <t>0-4008</t>
        </is>
      </c>
      <c r="C2337" t="inlineStr">
        <is>
          <t>OC</t>
        </is>
      </c>
      <c r="D2337" t="inlineStr">
        <is>
          <t>MA1011569</t>
        </is>
      </c>
      <c r="E2337" t="inlineStr">
        <is>
          <t>OC</t>
        </is>
      </c>
      <c r="F2337" t="inlineStr">
        <is>
          <t>MA1011569</t>
        </is>
      </c>
      <c r="G2337" t="n">
        <v>46141</v>
      </c>
      <c r="H2337" s="127" t="n">
        <v>46141</v>
      </c>
      <c r="I2337" t="inlineStr">
        <is>
          <t>3</t>
        </is>
      </c>
      <c r="J2337" s="38" t="inlineStr">
        <is>
          <t>0-4008</t>
        </is>
      </c>
      <c r="K2337" t="inlineStr">
        <is>
          <t>48'' Rollups Non Reflective Be</t>
        </is>
      </c>
      <c r="L2337" t="n">
        <v>6</v>
      </c>
      <c r="M2337" t="n">
        <v>456.21</v>
      </c>
      <c r="N2337" t="inlineStr">
        <is>
          <t>PO:COMMIT</t>
        </is>
      </c>
      <c r="O2337" t="inlineStr">
        <is>
          <t>12177</t>
        </is>
      </c>
      <c r="P2337" t="inlineStr">
        <is>
          <t>TRAFFIC CONTROL PRODUCTS OF LOUISIANA CO. INC.</t>
        </is>
      </c>
      <c r="Q2337" s="114" t="n">
        <v>0</v>
      </c>
      <c r="R2337" s="114" t="n">
        <v>0</v>
      </c>
      <c r="S2337" s="114" t="n">
        <v>456.21</v>
      </c>
      <c r="T2337" t="n">
        <v>0</v>
      </c>
    </row>
    <row r="2338">
      <c r="A2338" t="inlineStr">
        <is>
          <t>ttJTrans</t>
        </is>
      </c>
      <c r="B2338" s="38" t="inlineStr">
        <is>
          <t>0-4008</t>
        </is>
      </c>
      <c r="C2338" t="inlineStr">
        <is>
          <t>OC</t>
        </is>
      </c>
      <c r="D2338" t="inlineStr">
        <is>
          <t>MA1011569</t>
        </is>
      </c>
      <c r="E2338" t="inlineStr">
        <is>
          <t>OC</t>
        </is>
      </c>
      <c r="F2338" t="inlineStr">
        <is>
          <t>MA1011569</t>
        </is>
      </c>
      <c r="G2338" t="n">
        <v>46141</v>
      </c>
      <c r="H2338" s="127" t="n">
        <v>46141</v>
      </c>
      <c r="I2338" t="inlineStr">
        <is>
          <t>4</t>
        </is>
      </c>
      <c r="J2338" s="38" t="inlineStr">
        <is>
          <t>0-4008</t>
        </is>
      </c>
      <c r="K2338" t="inlineStr">
        <is>
          <t>Shipping: 520 SLake Ct Dr Lake</t>
        </is>
      </c>
      <c r="L2338" t="n">
        <v>1</v>
      </c>
      <c r="M2338" t="n">
        <v>166.5</v>
      </c>
      <c r="N2338" t="inlineStr">
        <is>
          <t>PO:COMMIT</t>
        </is>
      </c>
      <c r="O2338" t="inlineStr">
        <is>
          <t>12177</t>
        </is>
      </c>
      <c r="P2338" t="inlineStr">
        <is>
          <t>TRAFFIC CONTROL PRODUCTS OF LOUISIANA CO. INC.</t>
        </is>
      </c>
      <c r="Q2338" s="114" t="n">
        <v>0</v>
      </c>
      <c r="R2338" s="114" t="n">
        <v>0</v>
      </c>
      <c r="S2338" s="114" t="n">
        <v>166.5</v>
      </c>
      <c r="T2338" t="n">
        <v>0</v>
      </c>
    </row>
    <row r="2339">
      <c r="A2339" t="inlineStr">
        <is>
          <t>ttJTrans</t>
        </is>
      </c>
      <c r="B2339" s="38" t="inlineStr">
        <is>
          <t>0-4008</t>
        </is>
      </c>
      <c r="C2339" t="inlineStr">
        <is>
          <t>OC</t>
        </is>
      </c>
      <c r="D2339" t="inlineStr">
        <is>
          <t>MA1011594</t>
        </is>
      </c>
      <c r="E2339" t="inlineStr">
        <is>
          <t>OC</t>
        </is>
      </c>
      <c r="F2339" t="inlineStr">
        <is>
          <t>MA1011594</t>
        </is>
      </c>
      <c r="G2339" t="n">
        <v>46142</v>
      </c>
      <c r="H2339" s="127" t="n">
        <v>46143</v>
      </c>
      <c r="I2339" t="inlineStr">
        <is>
          <t>1</t>
        </is>
      </c>
      <c r="J2339" s="38" t="inlineStr">
        <is>
          <t>0-4008</t>
        </is>
      </c>
      <c r="K2339" t="inlineStr">
        <is>
          <t>HAUL OF 1 LOAD OF DIGGING MATS FROM MIDLAND</t>
        </is>
      </c>
      <c r="L2339" t="n">
        <v>1</v>
      </c>
      <c r="M2339" t="n">
        <v>1998</v>
      </c>
      <c r="N2339" t="inlineStr">
        <is>
          <t>PO:COMMIT</t>
        </is>
      </c>
      <c r="O2339" t="inlineStr">
        <is>
          <t>12843</t>
        </is>
      </c>
      <c r="P2339" t="inlineStr">
        <is>
          <t>JONES TRANSPORT, LLC</t>
        </is>
      </c>
      <c r="Q2339" s="114" t="n">
        <v>0</v>
      </c>
      <c r="R2339" s="114" t="n">
        <v>0</v>
      </c>
      <c r="S2339" s="114" t="n">
        <v>1998</v>
      </c>
      <c r="T2339" t="n">
        <v>0</v>
      </c>
    </row>
    <row r="2340">
      <c r="A2340" t="inlineStr">
        <is>
          <t>ttJTrans</t>
        </is>
      </c>
      <c r="B2340" s="38" t="inlineStr">
        <is>
          <t>0-4008</t>
        </is>
      </c>
      <c r="C2340" t="inlineStr">
        <is>
          <t>OC</t>
        </is>
      </c>
      <c r="D2340" t="inlineStr">
        <is>
          <t>MA1011594</t>
        </is>
      </c>
      <c r="E2340" t="inlineStr">
        <is>
          <t>OC</t>
        </is>
      </c>
      <c r="F2340" t="inlineStr">
        <is>
          <t>MA1011594</t>
        </is>
      </c>
      <c r="G2340" s="128" t="n">
        <v>46142</v>
      </c>
      <c r="H2340" s="127" t="n">
        <v>46143</v>
      </c>
      <c r="I2340" t="inlineStr">
        <is>
          <t>1</t>
        </is>
      </c>
      <c r="J2340" s="38" t="inlineStr">
        <is>
          <t>0-4008</t>
        </is>
      </c>
      <c r="K2340" t="inlineStr">
        <is>
          <t>HAUL OF 1 LOAD OF DIGGING MATS FROM MIDLAND</t>
        </is>
      </c>
      <c r="L2340" t="n">
        <v>1</v>
      </c>
      <c r="M2340" t="n">
        <v>1998</v>
      </c>
      <c r="N2340" t="inlineStr">
        <is>
          <t>INVOICE:ADJ-COMMIT</t>
        </is>
      </c>
      <c r="O2340" t="inlineStr">
        <is>
          <t>12843</t>
        </is>
      </c>
      <c r="P2340" t="inlineStr">
        <is>
          <t>JONES TRANSPORT, LLC</t>
        </is>
      </c>
      <c r="Q2340" s="114" t="n">
        <v>0</v>
      </c>
      <c r="R2340" s="114" t="n">
        <v>0</v>
      </c>
      <c r="S2340" s="114" t="n">
        <v>-1998</v>
      </c>
      <c r="T2340" t="n">
        <v>0</v>
      </c>
    </row>
    <row r="2341">
      <c r="A2341" t="inlineStr">
        <is>
          <t>ttJTrans</t>
        </is>
      </c>
      <c r="B2341" s="38" t="inlineStr">
        <is>
          <t>0-4008</t>
        </is>
      </c>
      <c r="C2341" t="inlineStr">
        <is>
          <t>OC</t>
        </is>
      </c>
      <c r="D2341" t="inlineStr">
        <is>
          <t>MA1011594</t>
        </is>
      </c>
      <c r="E2341" t="inlineStr">
        <is>
          <t>OC</t>
        </is>
      </c>
      <c r="F2341" t="inlineStr">
        <is>
          <t>MA1011594</t>
        </is>
      </c>
      <c r="G2341" s="128" t="n">
        <v>46142</v>
      </c>
      <c r="H2341" s="127" t="n">
        <v>46156</v>
      </c>
      <c r="I2341" t="inlineStr">
        <is>
          <t>1</t>
        </is>
      </c>
      <c r="J2341" s="38" t="inlineStr">
        <is>
          <t>0-4008</t>
        </is>
      </c>
      <c r="K2341" t="inlineStr">
        <is>
          <t>HAUL OF 1 LOAD OF DIGGING MATS FROM MIDLAND</t>
        </is>
      </c>
      <c r="L2341" t="n">
        <v>1</v>
      </c>
      <c r="M2341" t="n">
        <v>1998</v>
      </c>
      <c r="N2341" t="inlineStr">
        <is>
          <t>INVOICE</t>
        </is>
      </c>
      <c r="O2341" t="inlineStr">
        <is>
          <t>12843</t>
        </is>
      </c>
      <c r="P2341" t="inlineStr">
        <is>
          <t>JONES TRANSPORT, LLC</t>
        </is>
      </c>
      <c r="Q2341" s="114" t="n">
        <v>0</v>
      </c>
      <c r="R2341" s="114" t="n">
        <v>0</v>
      </c>
      <c r="S2341" s="114" t="n">
        <v>0</v>
      </c>
      <c r="T2341" t="n">
        <v>0</v>
      </c>
    </row>
    <row r="2342">
      <c r="A2342" t="inlineStr">
        <is>
          <t>ttJTrans</t>
        </is>
      </c>
      <c r="B2342" s="38" t="inlineStr">
        <is>
          <t>0-4008</t>
        </is>
      </c>
      <c r="C2342" t="inlineStr">
        <is>
          <t>OC</t>
        </is>
      </c>
      <c r="D2342" t="inlineStr">
        <is>
          <t>MA1011641</t>
        </is>
      </c>
      <c r="E2342" t="inlineStr">
        <is>
          <t>OC</t>
        </is>
      </c>
      <c r="F2342" t="inlineStr">
        <is>
          <t>MA1011641</t>
        </is>
      </c>
      <c r="G2342" s="128" t="n">
        <v>46146</v>
      </c>
      <c r="H2342" s="127" t="n">
        <v>46154</v>
      </c>
      <c r="I2342" t="inlineStr">
        <is>
          <t>1</t>
        </is>
      </c>
      <c r="J2342" s="38" t="inlineStr">
        <is>
          <t>0-4008</t>
        </is>
      </c>
      <c r="K2342" t="inlineStr">
        <is>
          <t>Power Cable for Topcon GPS Power Stick</t>
        </is>
      </c>
      <c r="L2342" t="n">
        <v>1</v>
      </c>
      <c r="M2342" t="n">
        <v>33.29</v>
      </c>
      <c r="N2342" t="inlineStr">
        <is>
          <t>INVOICE</t>
        </is>
      </c>
      <c r="O2342" t="inlineStr">
        <is>
          <t>20395</t>
        </is>
      </c>
      <c r="P2342" t="inlineStr">
        <is>
          <t>AMAZON.COM SERVICES LLC</t>
        </is>
      </c>
      <c r="Q2342" s="114" t="n">
        <v>0</v>
      </c>
      <c r="R2342" s="114" t="n">
        <v>0</v>
      </c>
      <c r="S2342" s="114" t="n">
        <v>0</v>
      </c>
      <c r="T2342" t="n">
        <v>0</v>
      </c>
    </row>
    <row r="2343">
      <c r="A2343" t="inlineStr">
        <is>
          <t>ttJTrans</t>
        </is>
      </c>
      <c r="B2343" s="38" t="inlineStr">
        <is>
          <t>0-4008</t>
        </is>
      </c>
      <c r="C2343" t="inlineStr">
        <is>
          <t>OC</t>
        </is>
      </c>
      <c r="D2343" t="inlineStr">
        <is>
          <t>MA1011641</t>
        </is>
      </c>
      <c r="E2343" t="inlineStr">
        <is>
          <t>OC</t>
        </is>
      </c>
      <c r="F2343" t="inlineStr">
        <is>
          <t>MA1011641</t>
        </is>
      </c>
      <c r="G2343" s="128" t="n">
        <v>46146</v>
      </c>
      <c r="H2343" s="127" t="n">
        <v>46151</v>
      </c>
      <c r="I2343" t="inlineStr">
        <is>
          <t>1</t>
        </is>
      </c>
      <c r="J2343" s="38" t="inlineStr">
        <is>
          <t>0-4008</t>
        </is>
      </c>
      <c r="K2343" t="inlineStr">
        <is>
          <t>Power Cable for Topcon GPS Power Stick</t>
        </is>
      </c>
      <c r="L2343" t="n">
        <v>1</v>
      </c>
      <c r="M2343" t="n">
        <v>33.29</v>
      </c>
      <c r="N2343" t="inlineStr">
        <is>
          <t>PO:COMMIT</t>
        </is>
      </c>
      <c r="O2343" t="inlineStr">
        <is>
          <t>20395</t>
        </is>
      </c>
      <c r="P2343" t="inlineStr">
        <is>
          <t>AMAZON.COM SERVICES LLC</t>
        </is>
      </c>
      <c r="Q2343" s="114" t="n">
        <v>0</v>
      </c>
      <c r="R2343" s="114" t="n">
        <v>0</v>
      </c>
      <c r="S2343" s="114" t="n">
        <v>33.29</v>
      </c>
      <c r="T2343" t="n">
        <v>0</v>
      </c>
    </row>
    <row r="2344">
      <c r="A2344" t="inlineStr">
        <is>
          <t>ttJTrans</t>
        </is>
      </c>
      <c r="B2344" s="38" t="inlineStr">
        <is>
          <t>0-4008</t>
        </is>
      </c>
      <c r="C2344" t="inlineStr">
        <is>
          <t>OC</t>
        </is>
      </c>
      <c r="D2344" t="inlineStr">
        <is>
          <t>MA1011641</t>
        </is>
      </c>
      <c r="E2344" t="inlineStr">
        <is>
          <t>OC</t>
        </is>
      </c>
      <c r="F2344" t="inlineStr">
        <is>
          <t>MA1011641</t>
        </is>
      </c>
      <c r="G2344" s="128" t="n">
        <v>46146</v>
      </c>
      <c r="H2344" s="127" t="n">
        <v>46151</v>
      </c>
      <c r="I2344" t="inlineStr">
        <is>
          <t>1</t>
        </is>
      </c>
      <c r="J2344" s="38" t="inlineStr">
        <is>
          <t>0-4008</t>
        </is>
      </c>
      <c r="K2344" t="inlineStr">
        <is>
          <t>Power Cable for Topcon GPS Power Stick</t>
        </is>
      </c>
      <c r="L2344" t="n">
        <v>1</v>
      </c>
      <c r="M2344" t="n">
        <v>33.29</v>
      </c>
      <c r="N2344" t="inlineStr">
        <is>
          <t>INVOICE:ADJ-COMMIT</t>
        </is>
      </c>
      <c r="O2344" t="inlineStr">
        <is>
          <t>20395</t>
        </is>
      </c>
      <c r="P2344" t="inlineStr">
        <is>
          <t>AMAZON.COM SERVICES LLC</t>
        </is>
      </c>
      <c r="Q2344" s="114" t="n">
        <v>0</v>
      </c>
      <c r="R2344" s="114" t="n">
        <v>0</v>
      </c>
      <c r="S2344" s="114" t="n">
        <v>-33.29</v>
      </c>
      <c r="T2344" t="n">
        <v>0</v>
      </c>
    </row>
    <row r="2345">
      <c r="A2345" t="inlineStr">
        <is>
          <t>ttJTrans</t>
        </is>
      </c>
      <c r="B2345" s="38" t="inlineStr">
        <is>
          <t>0-4008</t>
        </is>
      </c>
      <c r="C2345" t="inlineStr">
        <is>
          <t>OC</t>
        </is>
      </c>
      <c r="D2345" t="inlineStr">
        <is>
          <t>MA1011641</t>
        </is>
      </c>
      <c r="E2345" t="inlineStr">
        <is>
          <t>OC</t>
        </is>
      </c>
      <c r="F2345" t="inlineStr">
        <is>
          <t>MA1011641</t>
        </is>
      </c>
      <c r="G2345" s="128" t="n">
        <v>46146</v>
      </c>
      <c r="H2345" s="127" t="n">
        <v>46151</v>
      </c>
      <c r="I2345" t="inlineStr">
        <is>
          <t>2</t>
        </is>
      </c>
      <c r="J2345" s="38" t="inlineStr">
        <is>
          <t>0-4008</t>
        </is>
      </c>
      <c r="K2345" t="inlineStr">
        <is>
          <t>10000mAh External RTK Battery Bar 12V 5-Pin</t>
        </is>
      </c>
      <c r="L2345" t="n">
        <v>1</v>
      </c>
      <c r="M2345" t="n">
        <v>158.72</v>
      </c>
      <c r="N2345" t="inlineStr">
        <is>
          <t>PO:COMMIT</t>
        </is>
      </c>
      <c r="O2345" t="inlineStr">
        <is>
          <t>20395</t>
        </is>
      </c>
      <c r="P2345" t="inlineStr">
        <is>
          <t>AMAZON.COM SERVICES LLC</t>
        </is>
      </c>
      <c r="Q2345" s="114" t="n">
        <v>0</v>
      </c>
      <c r="R2345" s="114" t="n">
        <v>0</v>
      </c>
      <c r="S2345" s="114" t="n">
        <v>158.72</v>
      </c>
      <c r="T2345" t="n">
        <v>0</v>
      </c>
    </row>
    <row r="2346">
      <c r="A2346" t="inlineStr">
        <is>
          <t>ttJTrans</t>
        </is>
      </c>
      <c r="B2346" s="38" t="inlineStr">
        <is>
          <t>0-4008</t>
        </is>
      </c>
      <c r="C2346" t="inlineStr">
        <is>
          <t>OC</t>
        </is>
      </c>
      <c r="D2346" t="inlineStr">
        <is>
          <t>MA1011644</t>
        </is>
      </c>
      <c r="E2346" t="inlineStr">
        <is>
          <t>OC</t>
        </is>
      </c>
      <c r="F2346" t="inlineStr">
        <is>
          <t>MA1011644</t>
        </is>
      </c>
      <c r="G2346" s="128" t="n">
        <v>46146</v>
      </c>
      <c r="H2346" s="127" t="n">
        <v>46147</v>
      </c>
      <c r="I2346" t="inlineStr">
        <is>
          <t>5</t>
        </is>
      </c>
      <c r="J2346" s="38" t="inlineStr">
        <is>
          <t>0-4008</t>
        </is>
      </c>
      <c r="K2346" t="inlineStr">
        <is>
          <t>4' Light bulbs</t>
        </is>
      </c>
      <c r="L2346" t="n">
        <v>1</v>
      </c>
      <c r="M2346" t="n">
        <v>11.63</v>
      </c>
      <c r="N2346" t="inlineStr">
        <is>
          <t>PO:COMMIT</t>
        </is>
      </c>
      <c r="O2346" t="inlineStr">
        <is>
          <t>12808</t>
        </is>
      </c>
      <c r="P2346" t="inlineStr">
        <is>
          <t>HOME DEPOT CREDIT SERVICES</t>
        </is>
      </c>
      <c r="Q2346" s="114" t="n">
        <v>11.63</v>
      </c>
      <c r="R2346" s="114" t="n">
        <v>0</v>
      </c>
      <c r="S2346" s="114" t="n">
        <v>0</v>
      </c>
      <c r="T2346" t="n">
        <v>0</v>
      </c>
    </row>
    <row r="2347">
      <c r="A2347" t="inlineStr">
        <is>
          <t>ttJTrans</t>
        </is>
      </c>
      <c r="B2347" s="38" t="inlineStr">
        <is>
          <t>0-4008</t>
        </is>
      </c>
      <c r="C2347" t="inlineStr">
        <is>
          <t>OC</t>
        </is>
      </c>
      <c r="D2347" t="inlineStr">
        <is>
          <t>MA1011644</t>
        </is>
      </c>
      <c r="E2347" t="inlineStr">
        <is>
          <t>OC</t>
        </is>
      </c>
      <c r="F2347" t="inlineStr">
        <is>
          <t>MA1011644</t>
        </is>
      </c>
      <c r="G2347" s="128" t="n">
        <v>46146</v>
      </c>
      <c r="H2347" s="127" t="n">
        <v>46147</v>
      </c>
      <c r="I2347" t="inlineStr">
        <is>
          <t>2</t>
        </is>
      </c>
      <c r="J2347" s="38" t="inlineStr">
        <is>
          <t>0-4008</t>
        </is>
      </c>
      <c r="K2347" t="inlineStr">
        <is>
          <t>Power inlet box</t>
        </is>
      </c>
      <c r="L2347" t="n">
        <v>2</v>
      </c>
      <c r="M2347" t="n">
        <v>144.08</v>
      </c>
      <c r="N2347" t="inlineStr">
        <is>
          <t>PO:COMMIT</t>
        </is>
      </c>
      <c r="O2347" t="inlineStr">
        <is>
          <t>12808</t>
        </is>
      </c>
      <c r="P2347" t="inlineStr">
        <is>
          <t>HOME DEPOT CREDIT SERVICES</t>
        </is>
      </c>
      <c r="Q2347" s="114" t="n">
        <v>144.08</v>
      </c>
      <c r="R2347" s="114" t="n">
        <v>0</v>
      </c>
      <c r="S2347" s="114" t="n">
        <v>0</v>
      </c>
      <c r="T2347" t="n">
        <v>0</v>
      </c>
    </row>
    <row r="2348">
      <c r="A2348" t="inlineStr">
        <is>
          <t>ttJTrans</t>
        </is>
      </c>
      <c r="B2348" s="38" t="inlineStr">
        <is>
          <t>0-4008</t>
        </is>
      </c>
      <c r="C2348" t="inlineStr">
        <is>
          <t>OC</t>
        </is>
      </c>
      <c r="D2348" t="inlineStr">
        <is>
          <t>MA1011644</t>
        </is>
      </c>
      <c r="E2348" t="inlineStr">
        <is>
          <t>OC</t>
        </is>
      </c>
      <c r="F2348" t="inlineStr">
        <is>
          <t>MA1011644</t>
        </is>
      </c>
      <c r="G2348" s="128" t="n">
        <v>46146</v>
      </c>
      <c r="H2348" s="127" t="n">
        <v>46147</v>
      </c>
      <c r="I2348" t="inlineStr">
        <is>
          <t>2</t>
        </is>
      </c>
      <c r="J2348" s="38" t="inlineStr">
        <is>
          <t>0-4008</t>
        </is>
      </c>
      <c r="K2348" t="inlineStr">
        <is>
          <t>Power inlet box</t>
        </is>
      </c>
      <c r="L2348" t="n">
        <v>2</v>
      </c>
      <c r="M2348" t="n">
        <v>144.08</v>
      </c>
      <c r="N2348" t="inlineStr">
        <is>
          <t>INVOICE:ADJ-ACCRUAL</t>
        </is>
      </c>
      <c r="O2348" t="inlineStr">
        <is>
          <t>12808</t>
        </is>
      </c>
      <c r="P2348" t="inlineStr">
        <is>
          <t>HOME DEPOT CREDIT SERVICES</t>
        </is>
      </c>
      <c r="Q2348" s="114" t="n">
        <v>-144.08</v>
      </c>
      <c r="R2348" s="114" t="n">
        <v>0</v>
      </c>
      <c r="S2348" s="114" t="n">
        <v>0</v>
      </c>
      <c r="T2348" t="n">
        <v>0</v>
      </c>
    </row>
    <row r="2349">
      <c r="A2349" t="inlineStr">
        <is>
          <t>ttJTrans</t>
        </is>
      </c>
      <c r="B2349" s="38" t="inlineStr">
        <is>
          <t>0-4008</t>
        </is>
      </c>
      <c r="C2349" t="inlineStr">
        <is>
          <t>OC</t>
        </is>
      </c>
      <c r="D2349" t="inlineStr">
        <is>
          <t>MA1011644</t>
        </is>
      </c>
      <c r="E2349" t="inlineStr">
        <is>
          <t>OC</t>
        </is>
      </c>
      <c r="F2349" t="inlineStr">
        <is>
          <t>MA1011644</t>
        </is>
      </c>
      <c r="G2349" s="128" t="n">
        <v>46146</v>
      </c>
      <c r="H2349" s="127" t="n">
        <v>46147</v>
      </c>
      <c r="I2349" t="inlineStr">
        <is>
          <t>4</t>
        </is>
      </c>
      <c r="J2349" s="38" t="inlineStr">
        <is>
          <t>0-4008</t>
        </is>
      </c>
      <c r="K2349" t="inlineStr">
        <is>
          <t>30 Amp 125/250 Plugs</t>
        </is>
      </c>
      <c r="L2349" t="n">
        <v>2</v>
      </c>
      <c r="M2349" t="n">
        <v>55.23</v>
      </c>
      <c r="N2349" t="inlineStr">
        <is>
          <t>INVOICE:ADJ-ACCRUAL</t>
        </is>
      </c>
      <c r="O2349" t="inlineStr">
        <is>
          <t>12808</t>
        </is>
      </c>
      <c r="P2349" t="inlineStr">
        <is>
          <t>HOME DEPOT CREDIT SERVICES</t>
        </is>
      </c>
      <c r="Q2349" s="114" t="n">
        <v>-55.23</v>
      </c>
      <c r="R2349" s="114" t="n">
        <v>0</v>
      </c>
      <c r="S2349" s="114" t="n">
        <v>0</v>
      </c>
      <c r="T2349" t="n">
        <v>0</v>
      </c>
    </row>
    <row r="2350">
      <c r="A2350" t="inlineStr">
        <is>
          <t>ttJTrans</t>
        </is>
      </c>
      <c r="B2350" s="38" t="inlineStr">
        <is>
          <t>0-4008</t>
        </is>
      </c>
      <c r="C2350" t="inlineStr">
        <is>
          <t>OC</t>
        </is>
      </c>
      <c r="D2350" t="inlineStr">
        <is>
          <t>MA1011644</t>
        </is>
      </c>
      <c r="E2350" t="inlineStr">
        <is>
          <t>OC</t>
        </is>
      </c>
      <c r="F2350" t="inlineStr">
        <is>
          <t>MA1011644</t>
        </is>
      </c>
      <c r="G2350" s="128" t="n">
        <v>46146</v>
      </c>
      <c r="H2350" s="127" t="n">
        <v>46147</v>
      </c>
      <c r="I2350" t="inlineStr">
        <is>
          <t>5</t>
        </is>
      </c>
      <c r="J2350" s="38" t="inlineStr">
        <is>
          <t>0-4008</t>
        </is>
      </c>
      <c r="K2350" t="inlineStr">
        <is>
          <t>4' Light bulbs</t>
        </is>
      </c>
      <c r="L2350" t="n">
        <v>1</v>
      </c>
      <c r="M2350" t="n">
        <v>11.63</v>
      </c>
      <c r="N2350" t="inlineStr">
        <is>
          <t>INVOICE:ADJ-ACCRUAL</t>
        </is>
      </c>
      <c r="O2350" t="inlineStr">
        <is>
          <t>12808</t>
        </is>
      </c>
      <c r="P2350" t="inlineStr">
        <is>
          <t>HOME DEPOT CREDIT SERVICES</t>
        </is>
      </c>
      <c r="Q2350" s="114" t="n">
        <v>-11.63</v>
      </c>
      <c r="R2350" s="114" t="n">
        <v>0</v>
      </c>
      <c r="S2350" s="114" t="n">
        <v>0</v>
      </c>
      <c r="T2350" t="n">
        <v>0</v>
      </c>
    </row>
    <row r="2351">
      <c r="A2351" t="inlineStr">
        <is>
          <t>ttJTrans</t>
        </is>
      </c>
      <c r="B2351" s="38" t="inlineStr">
        <is>
          <t>0-4008</t>
        </is>
      </c>
      <c r="C2351" t="inlineStr">
        <is>
          <t>OC</t>
        </is>
      </c>
      <c r="D2351" t="inlineStr">
        <is>
          <t>MA1011644</t>
        </is>
      </c>
      <c r="E2351" t="inlineStr">
        <is>
          <t>OC</t>
        </is>
      </c>
      <c r="F2351" t="inlineStr">
        <is>
          <t>MA1011644</t>
        </is>
      </c>
      <c r="G2351" s="128" t="n">
        <v>46146</v>
      </c>
      <c r="H2351" s="127" t="n">
        <v>46147</v>
      </c>
      <c r="I2351" t="inlineStr">
        <is>
          <t>1</t>
        </is>
      </c>
      <c r="J2351" s="38" t="inlineStr">
        <is>
          <t>0-4008</t>
        </is>
      </c>
      <c r="K2351" t="inlineStr">
        <is>
          <t>4' Lights tool fan</t>
        </is>
      </c>
      <c r="L2351" t="n">
        <v>5</v>
      </c>
      <c r="M2351" t="n">
        <v>221.83</v>
      </c>
      <c r="N2351" t="inlineStr">
        <is>
          <t>INVOICE:ADJ-ACCRUAL</t>
        </is>
      </c>
      <c r="O2351" t="inlineStr">
        <is>
          <t>12808</t>
        </is>
      </c>
      <c r="P2351" t="inlineStr">
        <is>
          <t>HOME DEPOT CREDIT SERVICES</t>
        </is>
      </c>
      <c r="Q2351" s="114" t="n">
        <v>-221.83</v>
      </c>
      <c r="R2351" s="114" t="n">
        <v>0</v>
      </c>
      <c r="S2351" s="114" t="n">
        <v>0</v>
      </c>
      <c r="T2351" t="n">
        <v>0</v>
      </c>
    </row>
    <row r="2352">
      <c r="A2352" t="inlineStr">
        <is>
          <t>ttJTrans</t>
        </is>
      </c>
      <c r="B2352" s="38" t="inlineStr">
        <is>
          <t>0-4008</t>
        </is>
      </c>
      <c r="C2352" t="inlineStr">
        <is>
          <t>OC</t>
        </is>
      </c>
      <c r="D2352" t="inlineStr">
        <is>
          <t>MA1011644</t>
        </is>
      </c>
      <c r="E2352" t="inlineStr">
        <is>
          <t>OC</t>
        </is>
      </c>
      <c r="F2352" t="inlineStr">
        <is>
          <t>MA1011644</t>
        </is>
      </c>
      <c r="G2352" s="128" t="n">
        <v>46146</v>
      </c>
      <c r="H2352" s="127" t="n">
        <v>46147</v>
      </c>
      <c r="I2352" t="inlineStr">
        <is>
          <t>1</t>
        </is>
      </c>
      <c r="J2352" s="38" t="inlineStr">
        <is>
          <t>0-4008</t>
        </is>
      </c>
      <c r="K2352" t="inlineStr">
        <is>
          <t>4' Lights tool fan</t>
        </is>
      </c>
      <c r="L2352" t="n">
        <v>5</v>
      </c>
      <c r="M2352" t="n">
        <v>221.83</v>
      </c>
      <c r="N2352" t="inlineStr">
        <is>
          <t>PO:COMMIT</t>
        </is>
      </c>
      <c r="O2352" t="inlineStr">
        <is>
          <t>12808</t>
        </is>
      </c>
      <c r="P2352" t="inlineStr">
        <is>
          <t>HOME DEPOT CREDIT SERVICES</t>
        </is>
      </c>
      <c r="Q2352" s="114" t="n">
        <v>221.83</v>
      </c>
      <c r="R2352" s="114" t="n">
        <v>0</v>
      </c>
      <c r="S2352" s="114" t="n">
        <v>0</v>
      </c>
      <c r="T2352" t="n">
        <v>0</v>
      </c>
    </row>
    <row r="2353">
      <c r="A2353" t="inlineStr">
        <is>
          <t>ttJTrans</t>
        </is>
      </c>
      <c r="B2353" s="38" t="inlineStr">
        <is>
          <t>0-4008</t>
        </is>
      </c>
      <c r="C2353" t="inlineStr">
        <is>
          <t>OC</t>
        </is>
      </c>
      <c r="D2353" t="inlineStr">
        <is>
          <t>MA1011644</t>
        </is>
      </c>
      <c r="E2353" t="inlineStr">
        <is>
          <t>OC</t>
        </is>
      </c>
      <c r="F2353" t="inlineStr">
        <is>
          <t>MA1011644</t>
        </is>
      </c>
      <c r="G2353" s="128" t="n">
        <v>46146</v>
      </c>
      <c r="H2353" s="127" t="n">
        <v>46147</v>
      </c>
      <c r="I2353" t="inlineStr">
        <is>
          <t>3</t>
        </is>
      </c>
      <c r="J2353" s="38" t="inlineStr">
        <is>
          <t>0-4008</t>
        </is>
      </c>
      <c r="K2353" t="inlineStr">
        <is>
          <t>Magnet swing hook</t>
        </is>
      </c>
      <c r="L2353" t="n">
        <v>2</v>
      </c>
      <c r="M2353" t="n">
        <v>40.8</v>
      </c>
      <c r="N2353" t="inlineStr">
        <is>
          <t>PO:COMMIT</t>
        </is>
      </c>
      <c r="O2353" t="inlineStr">
        <is>
          <t>12808</t>
        </is>
      </c>
      <c r="P2353" t="inlineStr">
        <is>
          <t>HOME DEPOT CREDIT SERVICES</t>
        </is>
      </c>
      <c r="Q2353" s="114" t="n">
        <v>40.8</v>
      </c>
      <c r="R2353" s="114" t="n">
        <v>0</v>
      </c>
      <c r="S2353" s="114" t="n">
        <v>0</v>
      </c>
      <c r="T2353" t="n">
        <v>0</v>
      </c>
    </row>
    <row r="2354">
      <c r="A2354" t="inlineStr">
        <is>
          <t>ttJTrans</t>
        </is>
      </c>
      <c r="B2354" s="38" t="inlineStr">
        <is>
          <t>0-4008</t>
        </is>
      </c>
      <c r="C2354" t="inlineStr">
        <is>
          <t>OC</t>
        </is>
      </c>
      <c r="D2354" t="inlineStr">
        <is>
          <t>MA1011644</t>
        </is>
      </c>
      <c r="E2354" t="inlineStr">
        <is>
          <t>OC</t>
        </is>
      </c>
      <c r="F2354" t="inlineStr">
        <is>
          <t>MA1011644</t>
        </is>
      </c>
      <c r="G2354" s="128" t="n">
        <v>46146</v>
      </c>
      <c r="H2354" s="127" t="n">
        <v>46147</v>
      </c>
      <c r="I2354" t="inlineStr">
        <is>
          <t>4</t>
        </is>
      </c>
      <c r="J2354" s="38" t="inlineStr">
        <is>
          <t>0-4008</t>
        </is>
      </c>
      <c r="K2354" t="inlineStr">
        <is>
          <t>30 Amp 125/250 Plugs</t>
        </is>
      </c>
      <c r="L2354" t="n">
        <v>2</v>
      </c>
      <c r="M2354" t="n">
        <v>55.23</v>
      </c>
      <c r="N2354" t="inlineStr">
        <is>
          <t>PO:COMMIT</t>
        </is>
      </c>
      <c r="O2354" t="inlineStr">
        <is>
          <t>12808</t>
        </is>
      </c>
      <c r="P2354" t="inlineStr">
        <is>
          <t>HOME DEPOT CREDIT SERVICES</t>
        </is>
      </c>
      <c r="Q2354" s="114" t="n">
        <v>55.23</v>
      </c>
      <c r="R2354" s="114" t="n">
        <v>0</v>
      </c>
      <c r="S2354" s="114" t="n">
        <v>0</v>
      </c>
      <c r="T2354" t="n">
        <v>0</v>
      </c>
    </row>
    <row r="2355">
      <c r="A2355" t="inlineStr">
        <is>
          <t>ttJTrans</t>
        </is>
      </c>
      <c r="B2355" s="38" t="inlineStr">
        <is>
          <t>0-4008</t>
        </is>
      </c>
      <c r="C2355" t="inlineStr">
        <is>
          <t>OC</t>
        </is>
      </c>
      <c r="D2355" t="inlineStr">
        <is>
          <t>MA1011644</t>
        </is>
      </c>
      <c r="E2355" t="inlineStr">
        <is>
          <t>OC</t>
        </is>
      </c>
      <c r="F2355" t="inlineStr">
        <is>
          <t>MA1011644</t>
        </is>
      </c>
      <c r="G2355" s="128" t="n">
        <v>46146</v>
      </c>
      <c r="H2355" s="127" t="n">
        <v>46147</v>
      </c>
      <c r="I2355" t="inlineStr">
        <is>
          <t>3</t>
        </is>
      </c>
      <c r="J2355" s="38" t="inlineStr">
        <is>
          <t>0-4008</t>
        </is>
      </c>
      <c r="K2355" t="inlineStr">
        <is>
          <t>Magnet swing hook</t>
        </is>
      </c>
      <c r="L2355" t="n">
        <v>2</v>
      </c>
      <c r="M2355" t="n">
        <v>40.8</v>
      </c>
      <c r="N2355" t="inlineStr">
        <is>
          <t>INVOICE:ADJ-ACCRUAL</t>
        </is>
      </c>
      <c r="O2355" t="inlineStr">
        <is>
          <t>12808</t>
        </is>
      </c>
      <c r="P2355" t="inlineStr">
        <is>
          <t>HOME DEPOT CREDIT SERVICES</t>
        </is>
      </c>
      <c r="Q2355" s="114" t="n">
        <v>-40.8</v>
      </c>
      <c r="R2355" s="114" t="n">
        <v>0</v>
      </c>
      <c r="S2355" s="114" t="n">
        <v>0</v>
      </c>
      <c r="T2355" t="n">
        <v>0</v>
      </c>
    </row>
    <row r="2356">
      <c r="A2356" t="inlineStr">
        <is>
          <t>ttJTrans</t>
        </is>
      </c>
      <c r="B2356" s="38" t="inlineStr">
        <is>
          <t>0-4008</t>
        </is>
      </c>
      <c r="C2356" t="inlineStr">
        <is>
          <t>OC</t>
        </is>
      </c>
      <c r="D2356" t="inlineStr">
        <is>
          <t>MA1011644</t>
        </is>
      </c>
      <c r="E2356" t="inlineStr">
        <is>
          <t>OC</t>
        </is>
      </c>
      <c r="F2356" t="inlineStr">
        <is>
          <t>MA1011644</t>
        </is>
      </c>
      <c r="G2356" s="128" t="n">
        <v>46146</v>
      </c>
      <c r="H2356" s="127" t="n">
        <v>46154</v>
      </c>
      <c r="I2356" t="inlineStr">
        <is>
          <t>2</t>
        </is>
      </c>
      <c r="J2356" s="38" t="inlineStr">
        <is>
          <t>0-4008</t>
        </is>
      </c>
      <c r="K2356" t="inlineStr">
        <is>
          <t>Power inlet box</t>
        </is>
      </c>
      <c r="L2356" t="n">
        <v>2</v>
      </c>
      <c r="M2356" t="n">
        <v>144.08</v>
      </c>
      <c r="N2356" t="inlineStr">
        <is>
          <t>INVOICE</t>
        </is>
      </c>
      <c r="O2356" t="inlineStr">
        <is>
          <t>12808</t>
        </is>
      </c>
      <c r="P2356" t="inlineStr">
        <is>
          <t>HOME DEPOT CREDIT SERVICES</t>
        </is>
      </c>
      <c r="Q2356" s="114" t="n">
        <v>0</v>
      </c>
      <c r="R2356" s="114" t="n">
        <v>0</v>
      </c>
      <c r="S2356" s="114" t="n">
        <v>0</v>
      </c>
      <c r="T2356" t="n">
        <v>0</v>
      </c>
    </row>
    <row r="2357">
      <c r="A2357" t="inlineStr">
        <is>
          <t>ttJTrans</t>
        </is>
      </c>
      <c r="B2357" s="38" t="inlineStr">
        <is>
          <t>0-4008</t>
        </is>
      </c>
      <c r="C2357" t="inlineStr">
        <is>
          <t>OC</t>
        </is>
      </c>
      <c r="D2357" t="inlineStr">
        <is>
          <t>MA1011644</t>
        </is>
      </c>
      <c r="E2357" t="inlineStr">
        <is>
          <t>OC</t>
        </is>
      </c>
      <c r="F2357" t="inlineStr">
        <is>
          <t>MA1011644</t>
        </is>
      </c>
      <c r="G2357" s="128" t="n">
        <v>46146</v>
      </c>
      <c r="H2357" s="127" t="n">
        <v>46154</v>
      </c>
      <c r="I2357" t="inlineStr">
        <is>
          <t>4</t>
        </is>
      </c>
      <c r="J2357" s="38" t="inlineStr">
        <is>
          <t>0-4008</t>
        </is>
      </c>
      <c r="K2357" t="inlineStr">
        <is>
          <t>30 Amp 125/250 Plugs</t>
        </is>
      </c>
      <c r="L2357" t="n">
        <v>2</v>
      </c>
      <c r="M2357" t="n">
        <v>55.23</v>
      </c>
      <c r="N2357" t="inlineStr">
        <is>
          <t>INVOICE</t>
        </is>
      </c>
      <c r="O2357" t="inlineStr">
        <is>
          <t>12808</t>
        </is>
      </c>
      <c r="P2357" t="inlineStr">
        <is>
          <t>HOME DEPOT CREDIT SERVICES</t>
        </is>
      </c>
      <c r="Q2357" s="114" t="n">
        <v>0</v>
      </c>
      <c r="R2357" s="114" t="n">
        <v>0</v>
      </c>
      <c r="S2357" s="114" t="n">
        <v>0</v>
      </c>
      <c r="T2357" t="n">
        <v>0</v>
      </c>
    </row>
    <row r="2358">
      <c r="A2358" t="inlineStr">
        <is>
          <t>ttJTrans</t>
        </is>
      </c>
      <c r="B2358" s="38" t="inlineStr">
        <is>
          <t>0-4008</t>
        </is>
      </c>
      <c r="C2358" t="inlineStr">
        <is>
          <t>OC</t>
        </is>
      </c>
      <c r="D2358" t="inlineStr">
        <is>
          <t>MA1011644</t>
        </is>
      </c>
      <c r="E2358" t="inlineStr">
        <is>
          <t>OC</t>
        </is>
      </c>
      <c r="F2358" t="inlineStr">
        <is>
          <t>MA1011644</t>
        </is>
      </c>
      <c r="G2358" s="128" t="n">
        <v>46146</v>
      </c>
      <c r="H2358" s="127" t="n">
        <v>46154</v>
      </c>
      <c r="I2358" t="inlineStr">
        <is>
          <t>5</t>
        </is>
      </c>
      <c r="J2358" s="38" t="inlineStr">
        <is>
          <t>0-4008</t>
        </is>
      </c>
      <c r="K2358" t="inlineStr">
        <is>
          <t>4' Light bulbs</t>
        </is>
      </c>
      <c r="L2358" t="n">
        <v>1</v>
      </c>
      <c r="M2358" t="n">
        <v>11.63</v>
      </c>
      <c r="N2358" t="inlineStr">
        <is>
          <t>INVOICE</t>
        </is>
      </c>
      <c r="O2358" t="inlineStr">
        <is>
          <t>12808</t>
        </is>
      </c>
      <c r="P2358" t="inlineStr">
        <is>
          <t>HOME DEPOT CREDIT SERVICES</t>
        </is>
      </c>
      <c r="Q2358" s="114" t="n">
        <v>0</v>
      </c>
      <c r="R2358" s="114" t="n">
        <v>0</v>
      </c>
      <c r="S2358" s="114" t="n">
        <v>0</v>
      </c>
      <c r="T2358" t="n">
        <v>0</v>
      </c>
    </row>
    <row r="2359">
      <c r="A2359" t="inlineStr">
        <is>
          <t>ttJTrans</t>
        </is>
      </c>
      <c r="B2359" s="38" t="inlineStr">
        <is>
          <t>0-4008</t>
        </is>
      </c>
      <c r="C2359" t="inlineStr">
        <is>
          <t>OC</t>
        </is>
      </c>
      <c r="D2359" t="inlineStr">
        <is>
          <t>MA1011644</t>
        </is>
      </c>
      <c r="E2359" t="inlineStr">
        <is>
          <t>OC</t>
        </is>
      </c>
      <c r="F2359" t="inlineStr">
        <is>
          <t>MA1011644</t>
        </is>
      </c>
      <c r="G2359" s="128" t="n">
        <v>46146</v>
      </c>
      <c r="H2359" s="127" t="n">
        <v>46154</v>
      </c>
      <c r="I2359" t="inlineStr">
        <is>
          <t>1</t>
        </is>
      </c>
      <c r="J2359" s="38" t="inlineStr">
        <is>
          <t>0-4008</t>
        </is>
      </c>
      <c r="K2359" t="inlineStr">
        <is>
          <t>4' Lights tool fan</t>
        </is>
      </c>
      <c r="L2359" t="n">
        <v>5</v>
      </c>
      <c r="M2359" t="n">
        <v>221.83</v>
      </c>
      <c r="N2359" t="inlineStr">
        <is>
          <t>INVOICE</t>
        </is>
      </c>
      <c r="O2359" t="inlineStr">
        <is>
          <t>12808</t>
        </is>
      </c>
      <c r="P2359" t="inlineStr">
        <is>
          <t>HOME DEPOT CREDIT SERVICES</t>
        </is>
      </c>
      <c r="Q2359" s="114" t="n">
        <v>0</v>
      </c>
      <c r="R2359" s="114" t="n">
        <v>0</v>
      </c>
      <c r="S2359" s="114" t="n">
        <v>0</v>
      </c>
      <c r="T2359" t="n">
        <v>0</v>
      </c>
    </row>
    <row r="2360">
      <c r="A2360" t="inlineStr">
        <is>
          <t>ttJTrans</t>
        </is>
      </c>
      <c r="B2360" s="38" t="inlineStr">
        <is>
          <t>0-4008</t>
        </is>
      </c>
      <c r="C2360" t="inlineStr">
        <is>
          <t>OC</t>
        </is>
      </c>
      <c r="D2360" t="inlineStr">
        <is>
          <t>MA1011644</t>
        </is>
      </c>
      <c r="E2360" t="inlineStr">
        <is>
          <t>OC</t>
        </is>
      </c>
      <c r="F2360" t="inlineStr">
        <is>
          <t>MA1011644</t>
        </is>
      </c>
      <c r="G2360" s="128" t="n">
        <v>46146</v>
      </c>
      <c r="H2360" s="127" t="n">
        <v>46154</v>
      </c>
      <c r="I2360" t="inlineStr">
        <is>
          <t>3</t>
        </is>
      </c>
      <c r="J2360" s="38" t="inlineStr">
        <is>
          <t>0-4008</t>
        </is>
      </c>
      <c r="K2360" t="inlineStr">
        <is>
          <t>Magnet swing hook</t>
        </is>
      </c>
      <c r="L2360" t="n">
        <v>2</v>
      </c>
      <c r="M2360" t="n">
        <v>40.8</v>
      </c>
      <c r="N2360" t="inlineStr">
        <is>
          <t>INVOICE</t>
        </is>
      </c>
      <c r="O2360" t="inlineStr">
        <is>
          <t>12808</t>
        </is>
      </c>
      <c r="P2360" t="inlineStr">
        <is>
          <t>HOME DEPOT CREDIT SERVICES</t>
        </is>
      </c>
      <c r="Q2360" s="114" t="n">
        <v>0</v>
      </c>
      <c r="R2360" s="114" t="n">
        <v>0</v>
      </c>
      <c r="S2360" s="114" t="n">
        <v>0</v>
      </c>
      <c r="T2360" t="n">
        <v>0</v>
      </c>
    </row>
    <row r="2361">
      <c r="A2361" t="inlineStr">
        <is>
          <t>ttJTrans</t>
        </is>
      </c>
      <c r="B2361" s="38" t="inlineStr">
        <is>
          <t>0-4008</t>
        </is>
      </c>
      <c r="C2361" t="inlineStr">
        <is>
          <t>OC</t>
        </is>
      </c>
      <c r="D2361" t="inlineStr">
        <is>
          <t>MA1011682</t>
        </is>
      </c>
      <c r="E2361" t="inlineStr">
        <is>
          <t>OC</t>
        </is>
      </c>
      <c r="F2361" t="inlineStr">
        <is>
          <t>MA1011682</t>
        </is>
      </c>
      <c r="G2361" s="128" t="n">
        <v>46147</v>
      </c>
      <c r="H2361" s="127" t="n">
        <v>46161</v>
      </c>
      <c r="I2361" t="inlineStr">
        <is>
          <t>1</t>
        </is>
      </c>
      <c r="J2361" s="38" t="inlineStr">
        <is>
          <t>0-4008</t>
        </is>
      </c>
      <c r="K2361" t="inlineStr">
        <is>
          <t>55-GAL Steel drums</t>
        </is>
      </c>
      <c r="L2361" t="n">
        <v>3</v>
      </c>
      <c r="M2361" t="n">
        <v>354.61</v>
      </c>
      <c r="N2361" t="inlineStr">
        <is>
          <t>INVOICE</t>
        </is>
      </c>
      <c r="O2361" t="inlineStr">
        <is>
          <t>12561</t>
        </is>
      </c>
      <c r="P2361" t="inlineStr">
        <is>
          <t>CROSS COUNTRY INFRASTRUCTURE SERVICES INC.</t>
        </is>
      </c>
      <c r="Q2361" s="114" t="n">
        <v>0</v>
      </c>
      <c r="R2361" s="114" t="n">
        <v>0</v>
      </c>
      <c r="S2361" s="114" t="n">
        <v>0</v>
      </c>
      <c r="T2361" t="n">
        <v>0</v>
      </c>
    </row>
    <row r="2362">
      <c r="A2362" t="inlineStr">
        <is>
          <t>ttJTrans</t>
        </is>
      </c>
      <c r="B2362" s="38" t="inlineStr">
        <is>
          <t>0-4008</t>
        </is>
      </c>
      <c r="C2362" t="inlineStr">
        <is>
          <t>OC</t>
        </is>
      </c>
      <c r="D2362" t="inlineStr">
        <is>
          <t>MA1011682</t>
        </is>
      </c>
      <c r="E2362" t="inlineStr">
        <is>
          <t>OC</t>
        </is>
      </c>
      <c r="F2362" t="inlineStr">
        <is>
          <t>MA1011682</t>
        </is>
      </c>
      <c r="G2362" s="128" t="n">
        <v>46147</v>
      </c>
      <c r="H2362" s="127" t="n">
        <v>46161</v>
      </c>
      <c r="I2362" t="inlineStr">
        <is>
          <t>2</t>
        </is>
      </c>
      <c r="J2362" s="38" t="inlineStr">
        <is>
          <t>0-4008</t>
        </is>
      </c>
      <c r="K2362" t="inlineStr">
        <is>
          <t>T-Post Caps</t>
        </is>
      </c>
      <c r="L2362" t="n">
        <v>19</v>
      </c>
      <c r="M2362" t="n">
        <v>437.83</v>
      </c>
      <c r="N2362" t="inlineStr">
        <is>
          <t>INVOICE</t>
        </is>
      </c>
      <c r="O2362" t="inlineStr">
        <is>
          <t>12561</t>
        </is>
      </c>
      <c r="P2362" t="inlineStr">
        <is>
          <t>CROSS COUNTRY INFRASTRUCTURE SERVICES INC.</t>
        </is>
      </c>
      <c r="Q2362" s="114" t="n">
        <v>0</v>
      </c>
      <c r="R2362" s="114" t="n">
        <v>0</v>
      </c>
      <c r="S2362" s="114" t="n">
        <v>0</v>
      </c>
      <c r="T2362" t="n">
        <v>0</v>
      </c>
    </row>
    <row r="2363">
      <c r="A2363" t="inlineStr">
        <is>
          <t>ttJTrans</t>
        </is>
      </c>
      <c r="B2363" s="38" t="inlineStr">
        <is>
          <t>0-4008</t>
        </is>
      </c>
      <c r="C2363" t="inlineStr">
        <is>
          <t>OC</t>
        </is>
      </c>
      <c r="D2363" t="inlineStr">
        <is>
          <t>MA1011682</t>
        </is>
      </c>
      <c r="E2363" t="inlineStr">
        <is>
          <t>OC</t>
        </is>
      </c>
      <c r="F2363" t="inlineStr">
        <is>
          <t>MA1011682</t>
        </is>
      </c>
      <c r="G2363" s="128" t="n">
        <v>46147</v>
      </c>
      <c r="H2363" s="127" t="n">
        <v>46161</v>
      </c>
      <c r="I2363" t="inlineStr">
        <is>
          <t>3</t>
        </is>
      </c>
      <c r="J2363" s="38" t="inlineStr">
        <is>
          <t>0-4008</t>
        </is>
      </c>
      <c r="K2363" t="inlineStr">
        <is>
          <t>Freight</t>
        </is>
      </c>
      <c r="L2363" t="n">
        <v>2</v>
      </c>
      <c r="M2363" t="n">
        <v>222</v>
      </c>
      <c r="N2363" t="inlineStr">
        <is>
          <t>INVOICE</t>
        </is>
      </c>
      <c r="O2363" t="inlineStr">
        <is>
          <t>12561</t>
        </is>
      </c>
      <c r="P2363" t="inlineStr">
        <is>
          <t>CROSS COUNTRY INFRASTRUCTURE SERVICES INC.</t>
        </is>
      </c>
      <c r="Q2363" s="114" t="n">
        <v>0</v>
      </c>
      <c r="R2363" s="114" t="n">
        <v>0</v>
      </c>
      <c r="S2363" s="114" t="n">
        <v>0</v>
      </c>
      <c r="T2363" t="n">
        <v>0</v>
      </c>
    </row>
    <row r="2364">
      <c r="A2364" t="inlineStr">
        <is>
          <t>ttJTrans</t>
        </is>
      </c>
      <c r="B2364" s="38" t="inlineStr">
        <is>
          <t>0-4008</t>
        </is>
      </c>
      <c r="C2364" t="inlineStr">
        <is>
          <t>OC</t>
        </is>
      </c>
      <c r="D2364" t="inlineStr">
        <is>
          <t>MA1011682</t>
        </is>
      </c>
      <c r="E2364" t="inlineStr">
        <is>
          <t>OC</t>
        </is>
      </c>
      <c r="F2364" t="inlineStr">
        <is>
          <t>MA1011682</t>
        </is>
      </c>
      <c r="G2364" s="128" t="n">
        <v>46147</v>
      </c>
      <c r="H2364" s="127" t="n">
        <v>46151</v>
      </c>
      <c r="I2364" t="inlineStr">
        <is>
          <t>5</t>
        </is>
      </c>
      <c r="J2364" s="38" t="inlineStr">
        <is>
          <t>0-4008</t>
        </is>
      </c>
      <c r="K2364" t="inlineStr">
        <is>
          <t>Poly rope</t>
        </is>
      </c>
      <c r="L2364" t="n">
        <v>8</v>
      </c>
      <c r="M2364" t="n">
        <v>150.96</v>
      </c>
      <c r="N2364" t="inlineStr">
        <is>
          <t>INVOICE:ADJ-COMMIT</t>
        </is>
      </c>
      <c r="O2364" t="inlineStr">
        <is>
          <t>12561</t>
        </is>
      </c>
      <c r="P2364" t="inlineStr">
        <is>
          <t>CROSS COUNTRY INFRASTRUCTURE SERVICES INC.</t>
        </is>
      </c>
      <c r="Q2364" s="114" t="n">
        <v>0</v>
      </c>
      <c r="R2364" s="114" t="n">
        <v>0</v>
      </c>
      <c r="S2364" s="114" t="n">
        <v>-150.96</v>
      </c>
      <c r="T2364" t="n">
        <v>0</v>
      </c>
    </row>
    <row r="2365">
      <c r="A2365" t="inlineStr">
        <is>
          <t>ttJTrans</t>
        </is>
      </c>
      <c r="B2365" s="38" t="inlineStr">
        <is>
          <t>0-4008</t>
        </is>
      </c>
      <c r="C2365" t="inlineStr">
        <is>
          <t>OC</t>
        </is>
      </c>
      <c r="D2365" t="inlineStr">
        <is>
          <t>MA1011682</t>
        </is>
      </c>
      <c r="E2365" t="inlineStr">
        <is>
          <t>OC</t>
        </is>
      </c>
      <c r="F2365" t="inlineStr">
        <is>
          <t>MA1011682</t>
        </is>
      </c>
      <c r="G2365" s="128" t="n">
        <v>46147</v>
      </c>
      <c r="H2365" s="127" t="n">
        <v>46151</v>
      </c>
      <c r="I2365" t="inlineStr">
        <is>
          <t>1</t>
        </is>
      </c>
      <c r="J2365" s="38" t="inlineStr">
        <is>
          <t>0-4008</t>
        </is>
      </c>
      <c r="K2365" t="inlineStr">
        <is>
          <t>55-GAL Steel drums</t>
        </is>
      </c>
      <c r="L2365" t="n">
        <v>3</v>
      </c>
      <c r="M2365" t="n">
        <v>354.61</v>
      </c>
      <c r="N2365" t="inlineStr">
        <is>
          <t>PO:COMMIT</t>
        </is>
      </c>
      <c r="O2365" t="inlineStr">
        <is>
          <t>12561</t>
        </is>
      </c>
      <c r="P2365" t="inlineStr">
        <is>
          <t>CROSS COUNTRY INFRASTRUCTURE SERVICES INC.</t>
        </is>
      </c>
      <c r="Q2365" s="114" t="n">
        <v>0</v>
      </c>
      <c r="R2365" s="114" t="n">
        <v>0</v>
      </c>
      <c r="S2365" s="114" t="n">
        <v>354.61</v>
      </c>
      <c r="T2365" t="n">
        <v>0</v>
      </c>
    </row>
    <row r="2366">
      <c r="A2366" t="inlineStr">
        <is>
          <t>ttJTrans</t>
        </is>
      </c>
      <c r="B2366" s="38" t="inlineStr">
        <is>
          <t>0-4008</t>
        </is>
      </c>
      <c r="C2366" t="inlineStr">
        <is>
          <t>OC</t>
        </is>
      </c>
      <c r="D2366" t="inlineStr">
        <is>
          <t>MA1011682</t>
        </is>
      </c>
      <c r="E2366" t="inlineStr">
        <is>
          <t>OC</t>
        </is>
      </c>
      <c r="F2366" t="inlineStr">
        <is>
          <t>MA1011682</t>
        </is>
      </c>
      <c r="G2366" s="128" t="n">
        <v>46147</v>
      </c>
      <c r="H2366" s="127" t="n">
        <v>46151</v>
      </c>
      <c r="I2366" t="inlineStr">
        <is>
          <t>1</t>
        </is>
      </c>
      <c r="J2366" s="38" t="inlineStr">
        <is>
          <t>0-4008</t>
        </is>
      </c>
      <c r="K2366" t="inlineStr">
        <is>
          <t>55-GAL Steel drums</t>
        </is>
      </c>
      <c r="L2366" t="n">
        <v>3</v>
      </c>
      <c r="M2366" t="n">
        <v>354.61</v>
      </c>
      <c r="N2366" t="inlineStr">
        <is>
          <t>INVOICE:ADJ-COMMIT</t>
        </is>
      </c>
      <c r="O2366" t="inlineStr">
        <is>
          <t>12561</t>
        </is>
      </c>
      <c r="P2366" t="inlineStr">
        <is>
          <t>CROSS COUNTRY INFRASTRUCTURE SERVICES INC.</t>
        </is>
      </c>
      <c r="Q2366" s="114" t="n">
        <v>0</v>
      </c>
      <c r="R2366" s="114" t="n">
        <v>0</v>
      </c>
      <c r="S2366" s="114" t="n">
        <v>-354.61</v>
      </c>
      <c r="T2366" t="n">
        <v>0</v>
      </c>
    </row>
    <row r="2367">
      <c r="A2367" t="inlineStr">
        <is>
          <t>ttJTrans</t>
        </is>
      </c>
      <c r="B2367" s="38" t="inlineStr">
        <is>
          <t>0-4008</t>
        </is>
      </c>
      <c r="C2367" t="inlineStr">
        <is>
          <t>OC</t>
        </is>
      </c>
      <c r="D2367" t="inlineStr">
        <is>
          <t>MA1011682</t>
        </is>
      </c>
      <c r="E2367" t="inlineStr">
        <is>
          <t>OC</t>
        </is>
      </c>
      <c r="F2367" t="inlineStr">
        <is>
          <t>MA1011682</t>
        </is>
      </c>
      <c r="G2367" s="128" t="n">
        <v>46147</v>
      </c>
      <c r="H2367" s="127" t="n">
        <v>46151</v>
      </c>
      <c r="I2367" t="inlineStr">
        <is>
          <t>4</t>
        </is>
      </c>
      <c r="J2367" s="38" t="inlineStr">
        <is>
          <t>0-4008</t>
        </is>
      </c>
      <c r="K2367" t="inlineStr">
        <is>
          <t>Safety fence</t>
        </is>
      </c>
      <c r="L2367" t="n">
        <v>20</v>
      </c>
      <c r="M2367" t="n">
        <v>454.66</v>
      </c>
      <c r="N2367" t="inlineStr">
        <is>
          <t>PO:COMMIT</t>
        </is>
      </c>
      <c r="O2367" t="inlineStr">
        <is>
          <t>12561</t>
        </is>
      </c>
      <c r="P2367" t="inlineStr">
        <is>
          <t>CROSS COUNTRY INFRASTRUCTURE SERVICES INC.</t>
        </is>
      </c>
      <c r="Q2367" s="114" t="n">
        <v>0</v>
      </c>
      <c r="R2367" s="114" t="n">
        <v>0</v>
      </c>
      <c r="S2367" s="114" t="n">
        <v>454.66</v>
      </c>
      <c r="T2367" t="n">
        <v>0</v>
      </c>
    </row>
    <row r="2368">
      <c r="A2368" t="inlineStr">
        <is>
          <t>ttJTrans</t>
        </is>
      </c>
      <c r="B2368" s="38" t="inlineStr">
        <is>
          <t>0-4008</t>
        </is>
      </c>
      <c r="C2368" t="inlineStr">
        <is>
          <t>OC</t>
        </is>
      </c>
      <c r="D2368" t="inlineStr">
        <is>
          <t>MA1011682</t>
        </is>
      </c>
      <c r="E2368" t="inlineStr">
        <is>
          <t>OC</t>
        </is>
      </c>
      <c r="F2368" t="inlineStr">
        <is>
          <t>MA1011682</t>
        </is>
      </c>
      <c r="G2368" s="128" t="n">
        <v>46147</v>
      </c>
      <c r="H2368" s="127" t="n">
        <v>46151</v>
      </c>
      <c r="I2368" t="inlineStr">
        <is>
          <t>2</t>
        </is>
      </c>
      <c r="J2368" s="38" t="inlineStr">
        <is>
          <t>0-4008</t>
        </is>
      </c>
      <c r="K2368" t="inlineStr">
        <is>
          <t>T-Post Caps</t>
        </is>
      </c>
      <c r="L2368" t="n">
        <v>19</v>
      </c>
      <c r="M2368" t="n">
        <v>437.83</v>
      </c>
      <c r="N2368" t="inlineStr">
        <is>
          <t>INVOICE:ADJ-COMMIT</t>
        </is>
      </c>
      <c r="O2368" t="inlineStr">
        <is>
          <t>12561</t>
        </is>
      </c>
      <c r="P2368" t="inlineStr">
        <is>
          <t>CROSS COUNTRY INFRASTRUCTURE SERVICES INC.</t>
        </is>
      </c>
      <c r="Q2368" s="114" t="n">
        <v>0</v>
      </c>
      <c r="R2368" s="114" t="n">
        <v>0</v>
      </c>
      <c r="S2368" s="114" t="n">
        <v>-437.83</v>
      </c>
      <c r="T2368" t="n">
        <v>0</v>
      </c>
    </row>
    <row r="2369">
      <c r="A2369" t="inlineStr">
        <is>
          <t>ttJTrans</t>
        </is>
      </c>
      <c r="B2369" s="38" t="inlineStr">
        <is>
          <t>0-4008</t>
        </is>
      </c>
      <c r="C2369" t="inlineStr">
        <is>
          <t>OC</t>
        </is>
      </c>
      <c r="D2369" t="inlineStr">
        <is>
          <t>MA1011682</t>
        </is>
      </c>
      <c r="E2369" t="inlineStr">
        <is>
          <t>OC</t>
        </is>
      </c>
      <c r="F2369" t="inlineStr">
        <is>
          <t>MA1011682</t>
        </is>
      </c>
      <c r="G2369" s="128" t="n">
        <v>46147</v>
      </c>
      <c r="H2369" s="127" t="n">
        <v>46151</v>
      </c>
      <c r="I2369" t="inlineStr">
        <is>
          <t>2</t>
        </is>
      </c>
      <c r="J2369" s="38" t="inlineStr">
        <is>
          <t>0-4008</t>
        </is>
      </c>
      <c r="K2369" t="inlineStr">
        <is>
          <t>T-Post Caps</t>
        </is>
      </c>
      <c r="L2369" t="n">
        <v>19</v>
      </c>
      <c r="M2369" t="n">
        <v>437.83</v>
      </c>
      <c r="N2369" t="inlineStr">
        <is>
          <t>PO:COMMIT</t>
        </is>
      </c>
      <c r="O2369" t="inlineStr">
        <is>
          <t>12561</t>
        </is>
      </c>
      <c r="P2369" t="inlineStr">
        <is>
          <t>CROSS COUNTRY INFRASTRUCTURE SERVICES INC.</t>
        </is>
      </c>
      <c r="Q2369" s="114" t="n">
        <v>0</v>
      </c>
      <c r="R2369" s="114" t="n">
        <v>0</v>
      </c>
      <c r="S2369" s="114" t="n">
        <v>437.83</v>
      </c>
      <c r="T2369" t="n">
        <v>0</v>
      </c>
    </row>
    <row r="2370">
      <c r="A2370" t="inlineStr">
        <is>
          <t>ttJTrans</t>
        </is>
      </c>
      <c r="B2370" s="38" t="inlineStr">
        <is>
          <t>0-4008</t>
        </is>
      </c>
      <c r="C2370" t="inlineStr">
        <is>
          <t>OC</t>
        </is>
      </c>
      <c r="D2370" t="inlineStr">
        <is>
          <t>MA1011682</t>
        </is>
      </c>
      <c r="E2370" t="inlineStr">
        <is>
          <t>OC</t>
        </is>
      </c>
      <c r="F2370" t="inlineStr">
        <is>
          <t>MA1011682</t>
        </is>
      </c>
      <c r="G2370" s="128" t="n">
        <v>46147</v>
      </c>
      <c r="H2370" s="127" t="n">
        <v>46151</v>
      </c>
      <c r="I2370" t="inlineStr">
        <is>
          <t>5</t>
        </is>
      </c>
      <c r="J2370" s="38" t="inlineStr">
        <is>
          <t>0-4008</t>
        </is>
      </c>
      <c r="K2370" t="inlineStr">
        <is>
          <t>Poly rope</t>
        </is>
      </c>
      <c r="L2370" t="n">
        <v>8</v>
      </c>
      <c r="M2370" t="n">
        <v>150.96</v>
      </c>
      <c r="N2370" t="inlineStr">
        <is>
          <t>PO:COMMIT</t>
        </is>
      </c>
      <c r="O2370" t="inlineStr">
        <is>
          <t>12561</t>
        </is>
      </c>
      <c r="P2370" t="inlineStr">
        <is>
          <t>CROSS COUNTRY INFRASTRUCTURE SERVICES INC.</t>
        </is>
      </c>
      <c r="Q2370" s="114" t="n">
        <v>0</v>
      </c>
      <c r="R2370" s="114" t="n">
        <v>0</v>
      </c>
      <c r="S2370" s="114" t="n">
        <v>150.96</v>
      </c>
      <c r="T2370" t="n">
        <v>0</v>
      </c>
    </row>
    <row r="2371">
      <c r="A2371" t="inlineStr">
        <is>
          <t>ttJTrans</t>
        </is>
      </c>
      <c r="B2371" s="38" t="inlineStr">
        <is>
          <t>0-4008</t>
        </is>
      </c>
      <c r="C2371" t="inlineStr">
        <is>
          <t>OC</t>
        </is>
      </c>
      <c r="D2371" t="inlineStr">
        <is>
          <t>MA1011682</t>
        </is>
      </c>
      <c r="E2371" t="inlineStr">
        <is>
          <t>OC</t>
        </is>
      </c>
      <c r="F2371" t="inlineStr">
        <is>
          <t>MA1011682</t>
        </is>
      </c>
      <c r="G2371" s="128" t="n">
        <v>46147</v>
      </c>
      <c r="H2371" s="127" t="n">
        <v>46151</v>
      </c>
      <c r="I2371" t="inlineStr">
        <is>
          <t>3</t>
        </is>
      </c>
      <c r="J2371" s="38" t="inlineStr">
        <is>
          <t>0-4008</t>
        </is>
      </c>
      <c r="K2371" t="inlineStr">
        <is>
          <t>Freight</t>
        </is>
      </c>
      <c r="L2371" t="n">
        <v>2</v>
      </c>
      <c r="M2371" t="n">
        <v>222</v>
      </c>
      <c r="N2371" t="inlineStr">
        <is>
          <t>PO:COMMIT</t>
        </is>
      </c>
      <c r="O2371" t="inlineStr">
        <is>
          <t>12561</t>
        </is>
      </c>
      <c r="P2371" t="inlineStr">
        <is>
          <t>CROSS COUNTRY INFRASTRUCTURE SERVICES INC.</t>
        </is>
      </c>
      <c r="Q2371" s="114" t="n">
        <v>0</v>
      </c>
      <c r="R2371" s="114" t="n">
        <v>0</v>
      </c>
      <c r="S2371" s="114" t="n">
        <v>222</v>
      </c>
      <c r="T2371" t="n">
        <v>0</v>
      </c>
    </row>
    <row r="2372">
      <c r="A2372" t="inlineStr">
        <is>
          <t>ttJTrans</t>
        </is>
      </c>
      <c r="B2372" s="38" t="inlineStr">
        <is>
          <t>0-4008</t>
        </is>
      </c>
      <c r="C2372" t="inlineStr">
        <is>
          <t>OC</t>
        </is>
      </c>
      <c r="D2372" t="inlineStr">
        <is>
          <t>MA1011682</t>
        </is>
      </c>
      <c r="E2372" t="inlineStr">
        <is>
          <t>OC</t>
        </is>
      </c>
      <c r="F2372" t="inlineStr">
        <is>
          <t>MA1011682</t>
        </is>
      </c>
      <c r="G2372" s="128" t="n">
        <v>46147</v>
      </c>
      <c r="H2372" s="127" t="n">
        <v>46151</v>
      </c>
      <c r="I2372" t="inlineStr">
        <is>
          <t>3</t>
        </is>
      </c>
      <c r="J2372" s="38" t="inlineStr">
        <is>
          <t>0-4008</t>
        </is>
      </c>
      <c r="K2372" t="inlineStr">
        <is>
          <t>Freight</t>
        </is>
      </c>
      <c r="L2372" t="n">
        <v>2</v>
      </c>
      <c r="M2372" t="n">
        <v>222</v>
      </c>
      <c r="N2372" t="inlineStr">
        <is>
          <t>INVOICE:ADJ-COMMIT</t>
        </is>
      </c>
      <c r="O2372" t="inlineStr">
        <is>
          <t>12561</t>
        </is>
      </c>
      <c r="P2372" t="inlineStr">
        <is>
          <t>CROSS COUNTRY INFRASTRUCTURE SERVICES INC.</t>
        </is>
      </c>
      <c r="Q2372" s="114" t="n">
        <v>0</v>
      </c>
      <c r="R2372" s="114" t="n">
        <v>0</v>
      </c>
      <c r="S2372" s="114" t="n">
        <v>-111</v>
      </c>
      <c r="T2372" t="n">
        <v>0</v>
      </c>
    </row>
    <row r="2373">
      <c r="A2373" t="inlineStr">
        <is>
          <t>ttJTrans</t>
        </is>
      </c>
      <c r="B2373" s="38" t="inlineStr">
        <is>
          <t>0-4008</t>
        </is>
      </c>
      <c r="C2373" t="inlineStr">
        <is>
          <t>OC</t>
        </is>
      </c>
      <c r="D2373" t="inlineStr">
        <is>
          <t>MA1011682</t>
        </is>
      </c>
      <c r="E2373" t="inlineStr">
        <is>
          <t>OC</t>
        </is>
      </c>
      <c r="F2373" t="inlineStr">
        <is>
          <t>MA1011682</t>
        </is>
      </c>
      <c r="G2373" s="128" t="n">
        <v>46147</v>
      </c>
      <c r="H2373" s="127" t="n">
        <v>46151</v>
      </c>
      <c r="I2373" t="inlineStr">
        <is>
          <t>4</t>
        </is>
      </c>
      <c r="J2373" s="38" t="inlineStr">
        <is>
          <t>0-4008</t>
        </is>
      </c>
      <c r="K2373" t="inlineStr">
        <is>
          <t>Safety fence</t>
        </is>
      </c>
      <c r="L2373" t="n">
        <v>20</v>
      </c>
      <c r="M2373" t="n">
        <v>454.66</v>
      </c>
      <c r="N2373" t="inlineStr">
        <is>
          <t>INVOICE:ADJ-COMMIT</t>
        </is>
      </c>
      <c r="O2373" t="inlineStr">
        <is>
          <t>12561</t>
        </is>
      </c>
      <c r="P2373" t="inlineStr">
        <is>
          <t>CROSS COUNTRY INFRASTRUCTURE SERVICES INC.</t>
        </is>
      </c>
      <c r="Q2373" s="114" t="n">
        <v>0</v>
      </c>
      <c r="R2373" s="114" t="n">
        <v>0</v>
      </c>
      <c r="S2373" s="114" t="n">
        <v>-454.66</v>
      </c>
      <c r="T2373" t="n">
        <v>0</v>
      </c>
    </row>
    <row r="2374">
      <c r="A2374" t="inlineStr">
        <is>
          <t>ttJTrans</t>
        </is>
      </c>
      <c r="B2374" s="38" t="inlineStr">
        <is>
          <t>0-4008</t>
        </is>
      </c>
      <c r="C2374" t="inlineStr">
        <is>
          <t>OC</t>
        </is>
      </c>
      <c r="D2374" t="inlineStr">
        <is>
          <t>MA1011759</t>
        </is>
      </c>
      <c r="E2374" t="inlineStr">
        <is>
          <t>OC</t>
        </is>
      </c>
      <c r="F2374" t="inlineStr">
        <is>
          <t>MA1011759</t>
        </is>
      </c>
      <c r="G2374" s="128" t="n">
        <v>46149</v>
      </c>
      <c r="H2374" s="127" t="n">
        <v>46155</v>
      </c>
      <c r="I2374" t="inlineStr">
        <is>
          <t>2</t>
        </is>
      </c>
      <c r="J2374" s="38" t="inlineStr">
        <is>
          <t>0-4008</t>
        </is>
      </c>
      <c r="K2374" t="inlineStr">
        <is>
          <t>Element Fuel</t>
        </is>
      </c>
      <c r="L2374" t="n">
        <v>1</v>
      </c>
      <c r="M2374" t="n">
        <v>122.41</v>
      </c>
      <c r="N2374" t="inlineStr">
        <is>
          <t>INVOICE:ADJ-ACCRUAL</t>
        </is>
      </c>
      <c r="O2374" t="inlineStr">
        <is>
          <t>12806</t>
        </is>
      </c>
      <c r="P2374" t="inlineStr">
        <is>
          <t>HOLT CAT</t>
        </is>
      </c>
      <c r="Q2374" s="114" t="n">
        <v>-122.41</v>
      </c>
      <c r="R2374" s="114" t="n">
        <v>0</v>
      </c>
      <c r="S2374" s="114" t="n">
        <v>0</v>
      </c>
      <c r="T2374" t="n">
        <v>0</v>
      </c>
    </row>
    <row r="2375">
      <c r="A2375" t="inlineStr">
        <is>
          <t>ttJTrans</t>
        </is>
      </c>
      <c r="B2375" s="38" t="inlineStr">
        <is>
          <t>0-4008</t>
        </is>
      </c>
      <c r="C2375" t="inlineStr">
        <is>
          <t>OC</t>
        </is>
      </c>
      <c r="D2375" t="inlineStr">
        <is>
          <t>MA1011759</t>
        </is>
      </c>
      <c r="E2375" t="inlineStr">
        <is>
          <t>OC</t>
        </is>
      </c>
      <c r="F2375" t="inlineStr">
        <is>
          <t>MA1011759</t>
        </is>
      </c>
      <c r="G2375" s="128" t="n">
        <v>46149</v>
      </c>
      <c r="H2375" s="127" t="n">
        <v>46155</v>
      </c>
      <c r="I2375" t="inlineStr">
        <is>
          <t>1</t>
        </is>
      </c>
      <c r="J2375" s="38" t="inlineStr">
        <is>
          <t>0-4008</t>
        </is>
      </c>
      <c r="K2375" t="inlineStr">
        <is>
          <t>Element Fuel</t>
        </is>
      </c>
      <c r="L2375" t="n">
        <v>1</v>
      </c>
      <c r="M2375" t="n">
        <v>53.46</v>
      </c>
      <c r="N2375" t="inlineStr">
        <is>
          <t>INVOICE:ADJ-ACCRUAL</t>
        </is>
      </c>
      <c r="O2375" t="inlineStr">
        <is>
          <t>12806</t>
        </is>
      </c>
      <c r="P2375" t="inlineStr">
        <is>
          <t>HOLT CAT</t>
        </is>
      </c>
      <c r="Q2375" s="114" t="n">
        <v>-53.46</v>
      </c>
      <c r="R2375" s="114" t="n">
        <v>0</v>
      </c>
      <c r="S2375" s="114" t="n">
        <v>0</v>
      </c>
      <c r="T2375" t="n">
        <v>0</v>
      </c>
    </row>
    <row r="2376">
      <c r="A2376" t="inlineStr">
        <is>
          <t>ttJTrans</t>
        </is>
      </c>
      <c r="B2376" s="38" t="inlineStr">
        <is>
          <t>0-4008</t>
        </is>
      </c>
      <c r="C2376" t="inlineStr">
        <is>
          <t>OC</t>
        </is>
      </c>
      <c r="D2376" t="inlineStr">
        <is>
          <t>MA1011759</t>
        </is>
      </c>
      <c r="E2376" t="inlineStr">
        <is>
          <t>OC</t>
        </is>
      </c>
      <c r="F2376" t="inlineStr">
        <is>
          <t>MA1011759</t>
        </is>
      </c>
      <c r="G2376" s="128" t="n">
        <v>46149</v>
      </c>
      <c r="H2376" s="127" t="n">
        <v>46155</v>
      </c>
      <c r="I2376" t="inlineStr">
        <is>
          <t>2</t>
        </is>
      </c>
      <c r="J2376" s="38" t="inlineStr">
        <is>
          <t>0-4008</t>
        </is>
      </c>
      <c r="K2376" t="inlineStr">
        <is>
          <t>Element Fuel</t>
        </is>
      </c>
      <c r="L2376" t="n">
        <v>1</v>
      </c>
      <c r="M2376" t="n">
        <v>122.41</v>
      </c>
      <c r="N2376" t="inlineStr">
        <is>
          <t>PO:COMMIT</t>
        </is>
      </c>
      <c r="O2376" t="inlineStr">
        <is>
          <t>12806</t>
        </is>
      </c>
      <c r="P2376" t="inlineStr">
        <is>
          <t>HOLT CAT</t>
        </is>
      </c>
      <c r="Q2376" s="114" t="n">
        <v>122.41</v>
      </c>
      <c r="R2376" s="114" t="n">
        <v>0</v>
      </c>
      <c r="S2376" s="114" t="n">
        <v>0</v>
      </c>
      <c r="T2376" t="n">
        <v>0</v>
      </c>
    </row>
    <row r="2377">
      <c r="A2377" t="inlineStr">
        <is>
          <t>ttJTrans</t>
        </is>
      </c>
      <c r="B2377" s="38" t="inlineStr">
        <is>
          <t>0-4008</t>
        </is>
      </c>
      <c r="C2377" t="inlineStr">
        <is>
          <t>OC</t>
        </is>
      </c>
      <c r="D2377" t="inlineStr">
        <is>
          <t>MA1011759</t>
        </is>
      </c>
      <c r="E2377" t="inlineStr">
        <is>
          <t>OC</t>
        </is>
      </c>
      <c r="F2377" t="inlineStr">
        <is>
          <t>MA1011759</t>
        </is>
      </c>
      <c r="G2377" s="128" t="n">
        <v>46149</v>
      </c>
      <c r="H2377" s="127" t="n">
        <v>46155</v>
      </c>
      <c r="I2377" t="inlineStr">
        <is>
          <t>1</t>
        </is>
      </c>
      <c r="J2377" s="38" t="inlineStr">
        <is>
          <t>0-4008</t>
        </is>
      </c>
      <c r="K2377" t="inlineStr">
        <is>
          <t>Element Fuel</t>
        </is>
      </c>
      <c r="L2377" t="n">
        <v>1</v>
      </c>
      <c r="M2377" t="n">
        <v>53.46</v>
      </c>
      <c r="N2377" t="inlineStr">
        <is>
          <t>PO:COMMIT</t>
        </is>
      </c>
      <c r="O2377" t="inlineStr">
        <is>
          <t>12806</t>
        </is>
      </c>
      <c r="P2377" t="inlineStr">
        <is>
          <t>HOLT CAT</t>
        </is>
      </c>
      <c r="Q2377" s="114" t="n">
        <v>53.46</v>
      </c>
      <c r="R2377" s="114" t="n">
        <v>0</v>
      </c>
      <c r="S2377" s="114" t="n">
        <v>0</v>
      </c>
      <c r="T2377" t="n">
        <v>0</v>
      </c>
    </row>
    <row r="2378">
      <c r="A2378" t="inlineStr">
        <is>
          <t>ttJTrans</t>
        </is>
      </c>
      <c r="B2378" s="38" t="inlineStr">
        <is>
          <t>0-4008</t>
        </is>
      </c>
      <c r="C2378" t="inlineStr">
        <is>
          <t>OC</t>
        </is>
      </c>
      <c r="D2378" t="inlineStr">
        <is>
          <t>MA1011759</t>
        </is>
      </c>
      <c r="E2378" t="inlineStr">
        <is>
          <t>OC</t>
        </is>
      </c>
      <c r="F2378" t="inlineStr">
        <is>
          <t>MA1011759</t>
        </is>
      </c>
      <c r="G2378" s="128" t="n">
        <v>46149</v>
      </c>
      <c r="H2378" s="127" t="n">
        <v>46161</v>
      </c>
      <c r="I2378" t="inlineStr">
        <is>
          <t>1</t>
        </is>
      </c>
      <c r="J2378" s="38" t="inlineStr">
        <is>
          <t>0-4008</t>
        </is>
      </c>
      <c r="K2378" t="inlineStr">
        <is>
          <t>Element Fuel</t>
        </is>
      </c>
      <c r="L2378" t="n">
        <v>1</v>
      </c>
      <c r="M2378" t="n">
        <v>53.46</v>
      </c>
      <c r="N2378" t="inlineStr">
        <is>
          <t>INVOICE</t>
        </is>
      </c>
      <c r="O2378" t="inlineStr">
        <is>
          <t>12806</t>
        </is>
      </c>
      <c r="P2378" t="inlineStr">
        <is>
          <t>HOLT CAT</t>
        </is>
      </c>
      <c r="Q2378" s="114" t="n">
        <v>0</v>
      </c>
      <c r="R2378" s="114" t="n">
        <v>0</v>
      </c>
      <c r="S2378" s="114" t="n">
        <v>0</v>
      </c>
      <c r="T2378" t="n">
        <v>0</v>
      </c>
    </row>
    <row r="2379">
      <c r="A2379" t="inlineStr">
        <is>
          <t>ttJTrans</t>
        </is>
      </c>
      <c r="B2379" s="38" t="inlineStr">
        <is>
          <t>0-4008</t>
        </is>
      </c>
      <c r="C2379" t="inlineStr">
        <is>
          <t>OC</t>
        </is>
      </c>
      <c r="D2379" t="inlineStr">
        <is>
          <t>MA1011759</t>
        </is>
      </c>
      <c r="E2379" t="inlineStr">
        <is>
          <t>OC</t>
        </is>
      </c>
      <c r="F2379" t="inlineStr">
        <is>
          <t>MA1011759</t>
        </is>
      </c>
      <c r="G2379" s="128" t="n">
        <v>46149</v>
      </c>
      <c r="H2379" s="127" t="n">
        <v>46161</v>
      </c>
      <c r="I2379" t="inlineStr">
        <is>
          <t>2</t>
        </is>
      </c>
      <c r="J2379" s="38" t="inlineStr">
        <is>
          <t>0-4008</t>
        </is>
      </c>
      <c r="K2379" t="inlineStr">
        <is>
          <t>Element Fuel</t>
        </is>
      </c>
      <c r="L2379" t="n">
        <v>1</v>
      </c>
      <c r="M2379" t="n">
        <v>122.41</v>
      </c>
      <c r="N2379" t="inlineStr">
        <is>
          <t>INVOICE</t>
        </is>
      </c>
      <c r="O2379" t="inlineStr">
        <is>
          <t>12806</t>
        </is>
      </c>
      <c r="P2379" t="inlineStr">
        <is>
          <t>HOLT CAT</t>
        </is>
      </c>
      <c r="Q2379" s="114" t="n">
        <v>0</v>
      </c>
      <c r="R2379" s="114" t="n">
        <v>0</v>
      </c>
      <c r="S2379" s="114" t="n">
        <v>0</v>
      </c>
      <c r="T2379" t="n">
        <v>0</v>
      </c>
    </row>
    <row r="2380">
      <c r="A2380" t="inlineStr">
        <is>
          <t>ttJTrans</t>
        </is>
      </c>
      <c r="B2380" s="38" t="inlineStr">
        <is>
          <t>0-4008</t>
        </is>
      </c>
      <c r="C2380" t="inlineStr">
        <is>
          <t>OC</t>
        </is>
      </c>
      <c r="D2380" t="inlineStr">
        <is>
          <t>MA1011796</t>
        </is>
      </c>
      <c r="E2380" t="inlineStr">
        <is>
          <t>OC</t>
        </is>
      </c>
      <c r="F2380" t="inlineStr">
        <is>
          <t>MA1011796</t>
        </is>
      </c>
      <c r="G2380" s="128" t="n">
        <v>46150</v>
      </c>
      <c r="H2380" s="127" t="n">
        <v>46151</v>
      </c>
      <c r="I2380" t="inlineStr">
        <is>
          <t>1</t>
        </is>
      </c>
      <c r="J2380" s="38" t="inlineStr">
        <is>
          <t>0-4008</t>
        </is>
      </c>
      <c r="K2380" t="inlineStr">
        <is>
          <t>SATEL COMPACT PROOF, 1W, IP67 CLASSIFIED</t>
        </is>
      </c>
      <c r="L2380" t="n">
        <v>1</v>
      </c>
      <c r="M2380" t="n">
        <v>2525.25</v>
      </c>
      <c r="N2380" t="inlineStr">
        <is>
          <t>PO:COMMIT</t>
        </is>
      </c>
      <c r="O2380" t="inlineStr">
        <is>
          <t>16688</t>
        </is>
      </c>
      <c r="P2380" t="inlineStr">
        <is>
          <t>RDO EQUIPMENT CO.</t>
        </is>
      </c>
      <c r="Q2380" s="114" t="n">
        <v>2525.25</v>
      </c>
      <c r="R2380" s="114" t="n">
        <v>0</v>
      </c>
      <c r="S2380" s="114" t="n">
        <v>0</v>
      </c>
      <c r="T2380" t="n">
        <v>0</v>
      </c>
    </row>
    <row r="2381">
      <c r="A2381" t="inlineStr">
        <is>
          <t>ttJTrans</t>
        </is>
      </c>
      <c r="B2381" s="38" t="inlineStr">
        <is>
          <t>0-4008</t>
        </is>
      </c>
      <c r="C2381" t="inlineStr">
        <is>
          <t>OC</t>
        </is>
      </c>
      <c r="D2381" t="inlineStr">
        <is>
          <t>MA1011796</t>
        </is>
      </c>
      <c r="E2381" t="inlineStr">
        <is>
          <t>OC</t>
        </is>
      </c>
      <c r="F2381" t="inlineStr">
        <is>
          <t>MA1011796</t>
        </is>
      </c>
      <c r="G2381" s="128" t="n">
        <v>46150</v>
      </c>
      <c r="H2381" s="127" t="n">
        <v>46151</v>
      </c>
      <c r="I2381" t="inlineStr">
        <is>
          <t>2</t>
        </is>
      </c>
      <c r="J2381" s="38" t="inlineStr">
        <is>
          <t>0-4008</t>
        </is>
      </c>
      <c r="K2381" t="inlineStr">
        <is>
          <t>SATEL USA KIT,SATEL 1W EXT RADIO W/CABLE</t>
        </is>
      </c>
      <c r="L2381" t="n">
        <v>1</v>
      </c>
      <c r="M2381" t="n">
        <v>3298.92</v>
      </c>
      <c r="N2381" t="inlineStr">
        <is>
          <t>PO:COMMIT</t>
        </is>
      </c>
      <c r="O2381" t="inlineStr">
        <is>
          <t>16688</t>
        </is>
      </c>
      <c r="P2381" t="inlineStr">
        <is>
          <t>RDO EQUIPMENT CO.</t>
        </is>
      </c>
      <c r="Q2381" s="114" t="n">
        <v>3298.92</v>
      </c>
      <c r="R2381" s="114" t="n">
        <v>0</v>
      </c>
      <c r="S2381" s="114" t="n">
        <v>0</v>
      </c>
      <c r="T2381" t="n">
        <v>0</v>
      </c>
    </row>
    <row r="2382">
      <c r="A2382" t="inlineStr">
        <is>
          <t>ttJTrans</t>
        </is>
      </c>
      <c r="B2382" s="38" t="inlineStr">
        <is>
          <t>0-4008</t>
        </is>
      </c>
      <c r="C2382" t="inlineStr">
        <is>
          <t>OC</t>
        </is>
      </c>
      <c r="D2382" t="inlineStr">
        <is>
          <t>MA1011831</t>
        </is>
      </c>
      <c r="E2382" t="inlineStr">
        <is>
          <t>OC</t>
        </is>
      </c>
      <c r="F2382" t="inlineStr">
        <is>
          <t>MA1011831</t>
        </is>
      </c>
      <c r="G2382" s="128" t="n">
        <v>46153</v>
      </c>
      <c r="H2382" s="127" t="n">
        <v>46163</v>
      </c>
      <c r="I2382" t="inlineStr">
        <is>
          <t>4</t>
        </is>
      </c>
      <c r="J2382" s="38" t="inlineStr">
        <is>
          <t>0-4008</t>
        </is>
      </c>
      <c r="K2382" t="inlineStr">
        <is>
          <t>CONTAINMENT BERM 21'X8'X1'</t>
        </is>
      </c>
      <c r="L2382" t="n">
        <v>1</v>
      </c>
      <c r="M2382" t="n">
        <v>621.6</v>
      </c>
      <c r="N2382" t="inlineStr">
        <is>
          <t>PO:COMMIT</t>
        </is>
      </c>
      <c r="O2382" t="inlineStr">
        <is>
          <t>12561</t>
        </is>
      </c>
      <c r="P2382" t="inlineStr">
        <is>
          <t>CROSS COUNTRY INFRASTRUCTURE SERVICES INC.</t>
        </is>
      </c>
      <c r="Q2382" s="114" t="n">
        <v>0</v>
      </c>
      <c r="R2382" s="114" t="n">
        <v>0</v>
      </c>
      <c r="S2382" s="114" t="n">
        <v>621.6</v>
      </c>
      <c r="T2382" t="n">
        <v>0</v>
      </c>
    </row>
    <row r="2383">
      <c r="A2383" t="inlineStr">
        <is>
          <t>ttJTrans</t>
        </is>
      </c>
      <c r="B2383" s="38" t="inlineStr">
        <is>
          <t>0-4008</t>
        </is>
      </c>
      <c r="C2383" t="inlineStr">
        <is>
          <t>OC</t>
        </is>
      </c>
      <c r="D2383" t="inlineStr">
        <is>
          <t>MA1011831</t>
        </is>
      </c>
      <c r="E2383" t="inlineStr">
        <is>
          <t>OC</t>
        </is>
      </c>
      <c r="F2383" t="inlineStr">
        <is>
          <t>MA1011831</t>
        </is>
      </c>
      <c r="G2383" s="128" t="n">
        <v>46153</v>
      </c>
      <c r="H2383" s="127" t="n">
        <v>46163</v>
      </c>
      <c r="I2383" t="inlineStr">
        <is>
          <t>9</t>
        </is>
      </c>
      <c r="J2383" s="38" t="inlineStr">
        <is>
          <t>0-4008</t>
        </is>
      </c>
      <c r="K2383" t="inlineStr">
        <is>
          <t>PADLOCK MASTER COMBO 2/14INX1I</t>
        </is>
      </c>
      <c r="L2383" t="n">
        <v>10</v>
      </c>
      <c r="M2383" t="n">
        <v>288.6</v>
      </c>
      <c r="N2383" t="inlineStr">
        <is>
          <t>PO:COMMIT</t>
        </is>
      </c>
      <c r="O2383" t="inlineStr">
        <is>
          <t>12561</t>
        </is>
      </c>
      <c r="P2383" t="inlineStr">
        <is>
          <t>CROSS COUNTRY INFRASTRUCTURE SERVICES INC.</t>
        </is>
      </c>
      <c r="Q2383" s="114" t="n">
        <v>0</v>
      </c>
      <c r="R2383" s="114" t="n">
        <v>0</v>
      </c>
      <c r="S2383" s="114" t="n">
        <v>288.6</v>
      </c>
      <c r="T2383" t="n">
        <v>0</v>
      </c>
    </row>
    <row r="2384">
      <c r="A2384" t="inlineStr">
        <is>
          <t>ttJTrans</t>
        </is>
      </c>
      <c r="B2384" s="38" t="inlineStr">
        <is>
          <t>0-4008</t>
        </is>
      </c>
      <c r="C2384" t="inlineStr">
        <is>
          <t>OC</t>
        </is>
      </c>
      <c r="D2384" t="inlineStr">
        <is>
          <t>MA1011831</t>
        </is>
      </c>
      <c r="E2384" t="inlineStr">
        <is>
          <t>OC</t>
        </is>
      </c>
      <c r="F2384" t="inlineStr">
        <is>
          <t>MA1011831</t>
        </is>
      </c>
      <c r="G2384" s="128" t="n">
        <v>46153</v>
      </c>
      <c r="H2384" s="127" t="n">
        <v>46163</v>
      </c>
      <c r="I2384" t="inlineStr">
        <is>
          <t>6</t>
        </is>
      </c>
      <c r="J2384" s="38" t="inlineStr">
        <is>
          <t>0-4008</t>
        </is>
      </c>
      <c r="K2384" t="inlineStr">
        <is>
          <t>BILLED FREIGHT</t>
        </is>
      </c>
      <c r="L2384" t="n">
        <v>1</v>
      </c>
      <c r="M2384" t="n">
        <v>166.5</v>
      </c>
      <c r="N2384" t="inlineStr">
        <is>
          <t>INVOICE:ADJ-COMMIT</t>
        </is>
      </c>
      <c r="O2384" t="inlineStr">
        <is>
          <t>12561</t>
        </is>
      </c>
      <c r="P2384" t="inlineStr">
        <is>
          <t>CROSS COUNTRY INFRASTRUCTURE SERVICES INC.</t>
        </is>
      </c>
      <c r="Q2384" s="114" t="n">
        <v>0</v>
      </c>
      <c r="R2384" s="114" t="n">
        <v>0</v>
      </c>
      <c r="S2384" s="114" t="n">
        <v>-166.5</v>
      </c>
      <c r="T2384" t="n">
        <v>0</v>
      </c>
    </row>
    <row r="2385">
      <c r="A2385" t="inlineStr">
        <is>
          <t>ttJTrans</t>
        </is>
      </c>
      <c r="B2385" s="38" t="inlineStr">
        <is>
          <t>0-4008</t>
        </is>
      </c>
      <c r="C2385" t="inlineStr">
        <is>
          <t>OC</t>
        </is>
      </c>
      <c r="D2385" t="inlineStr">
        <is>
          <t>MA1011831</t>
        </is>
      </c>
      <c r="E2385" t="inlineStr">
        <is>
          <t>OC</t>
        </is>
      </c>
      <c r="F2385" t="inlineStr">
        <is>
          <t>MA1011831</t>
        </is>
      </c>
      <c r="G2385" s="128" t="n">
        <v>46153</v>
      </c>
      <c r="H2385" s="127" t="n">
        <v>46163</v>
      </c>
      <c r="I2385" t="inlineStr">
        <is>
          <t>5</t>
        </is>
      </c>
      <c r="J2385" s="38" t="inlineStr">
        <is>
          <t>0-4008</t>
        </is>
      </c>
      <c r="K2385" t="inlineStr">
        <is>
          <t>TIMBER LANDSCAPE 8'</t>
        </is>
      </c>
      <c r="L2385" t="n">
        <v>300</v>
      </c>
      <c r="M2385" t="n">
        <v>2074.59</v>
      </c>
      <c r="N2385" t="inlineStr">
        <is>
          <t>INVOICE:ADJ-COMMIT</t>
        </is>
      </c>
      <c r="O2385" t="inlineStr">
        <is>
          <t>12561</t>
        </is>
      </c>
      <c r="P2385" t="inlineStr">
        <is>
          <t>CROSS COUNTRY INFRASTRUCTURE SERVICES INC.</t>
        </is>
      </c>
      <c r="Q2385" s="114" t="n">
        <v>0</v>
      </c>
      <c r="R2385" s="114" t="n">
        <v>0</v>
      </c>
      <c r="S2385" s="114" t="n">
        <v>-2074.59</v>
      </c>
      <c r="T2385" t="n">
        <v>0</v>
      </c>
    </row>
    <row r="2386">
      <c r="A2386" t="inlineStr">
        <is>
          <t>ttJTrans</t>
        </is>
      </c>
      <c r="B2386" s="38" t="inlineStr">
        <is>
          <t>0-4008</t>
        </is>
      </c>
      <c r="C2386" t="inlineStr">
        <is>
          <t>OC</t>
        </is>
      </c>
      <c r="D2386" t="inlineStr">
        <is>
          <t>MA1011831</t>
        </is>
      </c>
      <c r="E2386" t="inlineStr">
        <is>
          <t>OC</t>
        </is>
      </c>
      <c r="F2386" t="inlineStr">
        <is>
          <t>MA1011831</t>
        </is>
      </c>
      <c r="G2386" s="128" t="n">
        <v>46153</v>
      </c>
      <c r="H2386" s="127" t="n">
        <v>46163</v>
      </c>
      <c r="I2386" t="inlineStr">
        <is>
          <t>9</t>
        </is>
      </c>
      <c r="J2386" s="38" t="inlineStr">
        <is>
          <t>0-4008</t>
        </is>
      </c>
      <c r="K2386" t="inlineStr">
        <is>
          <t>PADLOCK MASTER COMBO 2/14INX1I</t>
        </is>
      </c>
      <c r="L2386" t="n">
        <v>10</v>
      </c>
      <c r="M2386" t="n">
        <v>288.6</v>
      </c>
      <c r="N2386" t="inlineStr">
        <is>
          <t>INVOICE:ADJ-COMMIT</t>
        </is>
      </c>
      <c r="O2386" t="inlineStr">
        <is>
          <t>12561</t>
        </is>
      </c>
      <c r="P2386" t="inlineStr">
        <is>
          <t>CROSS COUNTRY INFRASTRUCTURE SERVICES INC.</t>
        </is>
      </c>
      <c r="Q2386" s="114" t="n">
        <v>0</v>
      </c>
      <c r="R2386" s="114" t="n">
        <v>0</v>
      </c>
      <c r="S2386" s="114" t="n">
        <v>-288.6</v>
      </c>
      <c r="T2386" t="n">
        <v>0</v>
      </c>
    </row>
    <row r="2387">
      <c r="A2387" t="inlineStr">
        <is>
          <t>ttJTrans</t>
        </is>
      </c>
      <c r="B2387" s="38" t="inlineStr">
        <is>
          <t>0-4008</t>
        </is>
      </c>
      <c r="C2387" t="inlineStr">
        <is>
          <t>OC</t>
        </is>
      </c>
      <c r="D2387" t="inlineStr">
        <is>
          <t>MA1011831</t>
        </is>
      </c>
      <c r="E2387" t="inlineStr">
        <is>
          <t>OC</t>
        </is>
      </c>
      <c r="F2387" t="inlineStr">
        <is>
          <t>MA1011831</t>
        </is>
      </c>
      <c r="G2387" s="128" t="n">
        <v>46153</v>
      </c>
      <c r="H2387" s="127" t="n">
        <v>46163</v>
      </c>
      <c r="I2387" t="inlineStr">
        <is>
          <t>8</t>
        </is>
      </c>
      <c r="J2387" s="38" t="inlineStr">
        <is>
          <t>0-4008</t>
        </is>
      </c>
      <c r="K2387" t="inlineStr">
        <is>
          <t>STAKE PINE 2X2X48 20/BDL</t>
        </is>
      </c>
      <c r="L2387" t="n">
        <v>135</v>
      </c>
      <c r="M2387" t="n">
        <v>5619.38</v>
      </c>
      <c r="N2387" t="inlineStr">
        <is>
          <t>INVOICE:ADJ-COMMIT</t>
        </is>
      </c>
      <c r="O2387" t="inlineStr">
        <is>
          <t>12561</t>
        </is>
      </c>
      <c r="P2387" t="inlineStr">
        <is>
          <t>CROSS COUNTRY INFRASTRUCTURE SERVICES INC.</t>
        </is>
      </c>
      <c r="Q2387" s="114" t="n">
        <v>0</v>
      </c>
      <c r="R2387" s="114" t="n">
        <v>0</v>
      </c>
      <c r="S2387" s="114" t="n">
        <v>-5619.38</v>
      </c>
      <c r="T2387" t="n">
        <v>0</v>
      </c>
    </row>
    <row r="2388">
      <c r="A2388" t="inlineStr">
        <is>
          <t>ttJTrans</t>
        </is>
      </c>
      <c r="B2388" s="38" t="inlineStr">
        <is>
          <t>0-4008</t>
        </is>
      </c>
      <c r="C2388" t="inlineStr">
        <is>
          <t>OC</t>
        </is>
      </c>
      <c r="D2388" t="inlineStr">
        <is>
          <t>MA1011831</t>
        </is>
      </c>
      <c r="E2388" t="inlineStr">
        <is>
          <t>OC</t>
        </is>
      </c>
      <c r="F2388" t="inlineStr">
        <is>
          <t>MA1011831</t>
        </is>
      </c>
      <c r="G2388" t="n">
        <v>46153</v>
      </c>
      <c r="H2388" s="127" t="n">
        <v>46163</v>
      </c>
      <c r="I2388" t="inlineStr">
        <is>
          <t>4</t>
        </is>
      </c>
      <c r="J2388" s="38" t="inlineStr">
        <is>
          <t>0-4008</t>
        </is>
      </c>
      <c r="K2388" t="inlineStr">
        <is>
          <t>CONTAINMENT BERM 21'X8'X1'</t>
        </is>
      </c>
      <c r="L2388" t="n">
        <v>1</v>
      </c>
      <c r="M2388" t="n">
        <v>621.6</v>
      </c>
      <c r="N2388" t="inlineStr">
        <is>
          <t>INVOICE:ADJ-COMMIT</t>
        </is>
      </c>
      <c r="O2388" t="inlineStr">
        <is>
          <t>12561</t>
        </is>
      </c>
      <c r="P2388" t="inlineStr">
        <is>
          <t>CROSS COUNTRY INFRASTRUCTURE SERVICES INC.</t>
        </is>
      </c>
      <c r="Q2388" s="114" t="n">
        <v>0</v>
      </c>
      <c r="R2388" s="114" t="n">
        <v>0</v>
      </c>
      <c r="S2388" s="114" t="n">
        <v>-621.6</v>
      </c>
      <c r="T2388" t="n">
        <v>0</v>
      </c>
    </row>
    <row r="2389">
      <c r="A2389" t="inlineStr">
        <is>
          <t>ttJTrans</t>
        </is>
      </c>
      <c r="B2389" s="38" t="inlineStr">
        <is>
          <t>0-4008</t>
        </is>
      </c>
      <c r="C2389" t="inlineStr">
        <is>
          <t>OC</t>
        </is>
      </c>
      <c r="D2389" t="inlineStr">
        <is>
          <t>MA1011831</t>
        </is>
      </c>
      <c r="E2389" t="inlineStr">
        <is>
          <t>OC</t>
        </is>
      </c>
      <c r="F2389" t="inlineStr">
        <is>
          <t>MA1011831</t>
        </is>
      </c>
      <c r="G2389" t="n">
        <v>46153</v>
      </c>
      <c r="H2389" s="127" t="n">
        <v>46163</v>
      </c>
      <c r="I2389" t="inlineStr">
        <is>
          <t>3</t>
        </is>
      </c>
      <c r="J2389" s="38" t="inlineStr">
        <is>
          <t>0-4008</t>
        </is>
      </c>
      <c r="K2389" t="inlineStr">
        <is>
          <t>CONTAINMENT BERM 8'X14'X1'</t>
        </is>
      </c>
      <c r="L2389" t="n">
        <v>1</v>
      </c>
      <c r="M2389" t="n">
        <v>555</v>
      </c>
      <c r="N2389" t="inlineStr">
        <is>
          <t>INVOICE:ADJ-COMMIT</t>
        </is>
      </c>
      <c r="O2389" t="inlineStr">
        <is>
          <t>12561</t>
        </is>
      </c>
      <c r="P2389" t="inlineStr">
        <is>
          <t>CROSS COUNTRY INFRASTRUCTURE SERVICES INC.</t>
        </is>
      </c>
      <c r="Q2389" s="114" t="n">
        <v>0</v>
      </c>
      <c r="R2389" s="114" t="n">
        <v>0</v>
      </c>
      <c r="S2389" s="114" t="n">
        <v>-555</v>
      </c>
      <c r="T2389" t="n">
        <v>0</v>
      </c>
    </row>
    <row r="2390">
      <c r="A2390" t="inlineStr">
        <is>
          <t>ttJTrans</t>
        </is>
      </c>
      <c r="B2390" s="38" t="inlineStr">
        <is>
          <t>0-4008</t>
        </is>
      </c>
      <c r="C2390" t="inlineStr">
        <is>
          <t>OC</t>
        </is>
      </c>
      <c r="D2390" t="inlineStr">
        <is>
          <t>MA1011831</t>
        </is>
      </c>
      <c r="E2390" t="inlineStr">
        <is>
          <t>OC</t>
        </is>
      </c>
      <c r="F2390" t="inlineStr">
        <is>
          <t>MA1011831</t>
        </is>
      </c>
      <c r="G2390" t="n">
        <v>46153</v>
      </c>
      <c r="H2390" s="127" t="n">
        <v>46163</v>
      </c>
      <c r="I2390" t="inlineStr">
        <is>
          <t>3</t>
        </is>
      </c>
      <c r="J2390" s="38" t="inlineStr">
        <is>
          <t>0-4008</t>
        </is>
      </c>
      <c r="K2390" t="inlineStr">
        <is>
          <t>CONTAINMENT BERM 8'X14'X1'</t>
        </is>
      </c>
      <c r="L2390" t="n">
        <v>1</v>
      </c>
      <c r="M2390" t="n">
        <v>555</v>
      </c>
      <c r="N2390" t="inlineStr">
        <is>
          <t>PO:COMMIT</t>
        </is>
      </c>
      <c r="O2390" t="inlineStr">
        <is>
          <t>12561</t>
        </is>
      </c>
      <c r="P2390" t="inlineStr">
        <is>
          <t>CROSS COUNTRY INFRASTRUCTURE SERVICES INC.</t>
        </is>
      </c>
      <c r="Q2390" s="114" t="n">
        <v>0</v>
      </c>
      <c r="R2390" s="114" t="n">
        <v>0</v>
      </c>
      <c r="S2390" s="114" t="n">
        <v>555</v>
      </c>
      <c r="T2390" t="n">
        <v>0</v>
      </c>
    </row>
    <row r="2391">
      <c r="A2391" t="inlineStr">
        <is>
          <t>ttJTrans</t>
        </is>
      </c>
      <c r="B2391" s="38" t="inlineStr">
        <is>
          <t>0-4008</t>
        </is>
      </c>
      <c r="C2391" t="inlineStr">
        <is>
          <t>OC</t>
        </is>
      </c>
      <c r="D2391" t="inlineStr">
        <is>
          <t>MA1011831</t>
        </is>
      </c>
      <c r="E2391" t="inlineStr">
        <is>
          <t>OC</t>
        </is>
      </c>
      <c r="F2391" t="inlineStr">
        <is>
          <t>MA1011831</t>
        </is>
      </c>
      <c r="G2391" t="n">
        <v>46153</v>
      </c>
      <c r="H2391" s="127" t="n">
        <v>46163</v>
      </c>
      <c r="I2391" t="inlineStr">
        <is>
          <t>8</t>
        </is>
      </c>
      <c r="J2391" s="38" t="inlineStr">
        <is>
          <t>0-4008</t>
        </is>
      </c>
      <c r="K2391" t="inlineStr">
        <is>
          <t>STAKE PINE 2X2X48 20/BDL</t>
        </is>
      </c>
      <c r="L2391" t="n">
        <v>135</v>
      </c>
      <c r="M2391" t="n">
        <v>5619.38</v>
      </c>
      <c r="N2391" t="inlineStr">
        <is>
          <t>PO:COMMIT</t>
        </is>
      </c>
      <c r="O2391" t="inlineStr">
        <is>
          <t>12561</t>
        </is>
      </c>
      <c r="P2391" t="inlineStr">
        <is>
          <t>CROSS COUNTRY INFRASTRUCTURE SERVICES INC.</t>
        </is>
      </c>
      <c r="Q2391" s="114" t="n">
        <v>0</v>
      </c>
      <c r="R2391" s="114" t="n">
        <v>0</v>
      </c>
      <c r="S2391" s="114" t="n">
        <v>5619.38</v>
      </c>
      <c r="T2391" t="n">
        <v>0</v>
      </c>
    </row>
    <row r="2392">
      <c r="A2392" t="inlineStr">
        <is>
          <t>ttJTrans</t>
        </is>
      </c>
      <c r="B2392" s="38" t="inlineStr">
        <is>
          <t>0-4008</t>
        </is>
      </c>
      <c r="C2392" t="inlineStr">
        <is>
          <t>OC</t>
        </is>
      </c>
      <c r="D2392" t="inlineStr">
        <is>
          <t>MA1011831</t>
        </is>
      </c>
      <c r="E2392" t="inlineStr">
        <is>
          <t>OC</t>
        </is>
      </c>
      <c r="F2392" t="inlineStr">
        <is>
          <t>MA1011831</t>
        </is>
      </c>
      <c r="G2392" t="n">
        <v>46153</v>
      </c>
      <c r="H2392" s="127" t="n">
        <v>46163</v>
      </c>
      <c r="I2392" t="inlineStr">
        <is>
          <t>5</t>
        </is>
      </c>
      <c r="J2392" s="38" t="inlineStr">
        <is>
          <t>0-4008</t>
        </is>
      </c>
      <c r="K2392" t="inlineStr">
        <is>
          <t>TIMBER LANDSCAPE 8'</t>
        </is>
      </c>
      <c r="L2392" t="n">
        <v>300</v>
      </c>
      <c r="M2392" t="n">
        <v>2074.59</v>
      </c>
      <c r="N2392" t="inlineStr">
        <is>
          <t>PO:COMMIT</t>
        </is>
      </c>
      <c r="O2392" t="inlineStr">
        <is>
          <t>12561</t>
        </is>
      </c>
      <c r="P2392" t="inlineStr">
        <is>
          <t>CROSS COUNTRY INFRASTRUCTURE SERVICES INC.</t>
        </is>
      </c>
      <c r="Q2392" s="114" t="n">
        <v>0</v>
      </c>
      <c r="R2392" s="114" t="n">
        <v>0</v>
      </c>
      <c r="S2392" s="114" t="n">
        <v>2074.59</v>
      </c>
      <c r="T2392" t="n">
        <v>0</v>
      </c>
    </row>
    <row r="2393">
      <c r="A2393" t="inlineStr">
        <is>
          <t>ttJTrans</t>
        </is>
      </c>
      <c r="B2393" s="38" t="inlineStr">
        <is>
          <t>0-4008</t>
        </is>
      </c>
      <c r="C2393" t="inlineStr">
        <is>
          <t>OC</t>
        </is>
      </c>
      <c r="D2393" t="inlineStr">
        <is>
          <t>MA1011831</t>
        </is>
      </c>
      <c r="E2393" t="inlineStr">
        <is>
          <t>OC</t>
        </is>
      </c>
      <c r="F2393" t="inlineStr">
        <is>
          <t>MA1011831</t>
        </is>
      </c>
      <c r="G2393" s="128" t="n">
        <v>46153</v>
      </c>
      <c r="H2393" s="127" t="n">
        <v>46163</v>
      </c>
      <c r="I2393" t="inlineStr">
        <is>
          <t>6</t>
        </is>
      </c>
      <c r="J2393" s="38" t="inlineStr">
        <is>
          <t>0-4008</t>
        </is>
      </c>
      <c r="K2393" t="inlineStr">
        <is>
          <t>BILLED FREIGHT</t>
        </is>
      </c>
      <c r="L2393" t="n">
        <v>1</v>
      </c>
      <c r="M2393" t="n">
        <v>166.5</v>
      </c>
      <c r="N2393" t="inlineStr">
        <is>
          <t>PO:COMMIT</t>
        </is>
      </c>
      <c r="O2393" t="inlineStr">
        <is>
          <t>12561</t>
        </is>
      </c>
      <c r="P2393" t="inlineStr">
        <is>
          <t>CROSS COUNTRY INFRASTRUCTURE SERVICES INC.</t>
        </is>
      </c>
      <c r="Q2393" s="114" t="n">
        <v>0</v>
      </c>
      <c r="R2393" s="114" t="n">
        <v>0</v>
      </c>
      <c r="S2393" s="114" t="n">
        <v>166.5</v>
      </c>
      <c r="T2393" t="n">
        <v>0</v>
      </c>
    </row>
    <row r="2394">
      <c r="A2394" t="inlineStr">
        <is>
          <t>ttJTrans</t>
        </is>
      </c>
      <c r="B2394" s="38" t="inlineStr">
        <is>
          <t>0-4008</t>
        </is>
      </c>
      <c r="C2394" t="inlineStr">
        <is>
          <t>OC</t>
        </is>
      </c>
      <c r="D2394" t="inlineStr">
        <is>
          <t>MA1011831</t>
        </is>
      </c>
      <c r="E2394" t="inlineStr">
        <is>
          <t>OC</t>
        </is>
      </c>
      <c r="F2394" t="inlineStr">
        <is>
          <t>MA1011831</t>
        </is>
      </c>
      <c r="G2394" s="128" t="n">
        <v>46153</v>
      </c>
      <c r="H2394" s="127" t="n">
        <v>46163</v>
      </c>
      <c r="I2394" t="inlineStr">
        <is>
          <t>7</t>
        </is>
      </c>
      <c r="J2394" s="38" t="inlineStr">
        <is>
          <t>0-4008</t>
        </is>
      </c>
      <c r="K2394" t="inlineStr">
        <is>
          <t>#3 PLACKARDS</t>
        </is>
      </c>
      <c r="L2394" t="n">
        <v>4</v>
      </c>
      <c r="M2394" t="n">
        <v>20.56</v>
      </c>
      <c r="N2394" t="inlineStr">
        <is>
          <t>PO:COMMIT</t>
        </is>
      </c>
      <c r="O2394" t="inlineStr">
        <is>
          <t>12561</t>
        </is>
      </c>
      <c r="P2394" t="inlineStr">
        <is>
          <t>CROSS COUNTRY INFRASTRUCTURE SERVICES INC.</t>
        </is>
      </c>
      <c r="Q2394" s="114" t="n">
        <v>0</v>
      </c>
      <c r="R2394" s="114" t="n">
        <v>0</v>
      </c>
      <c r="S2394" s="114" t="n">
        <v>20.56</v>
      </c>
      <c r="T2394" t="n">
        <v>0</v>
      </c>
    </row>
    <row r="2395">
      <c r="A2395" t="inlineStr">
        <is>
          <t>ttJTrans</t>
        </is>
      </c>
      <c r="B2395" s="38" t="inlineStr">
        <is>
          <t>0-4008</t>
        </is>
      </c>
      <c r="C2395" t="inlineStr">
        <is>
          <t>OC</t>
        </is>
      </c>
      <c r="D2395" t="inlineStr">
        <is>
          <t>MA1011831</t>
        </is>
      </c>
      <c r="E2395" t="inlineStr">
        <is>
          <t>OC</t>
        </is>
      </c>
      <c r="F2395" t="inlineStr">
        <is>
          <t>MA1011831</t>
        </is>
      </c>
      <c r="G2395" s="128" t="n">
        <v>46153</v>
      </c>
      <c r="H2395" s="127" t="n">
        <v>46163</v>
      </c>
      <c r="I2395" t="inlineStr">
        <is>
          <t>7</t>
        </is>
      </c>
      <c r="J2395" s="38" t="inlineStr">
        <is>
          <t>0-4008</t>
        </is>
      </c>
      <c r="K2395" t="inlineStr">
        <is>
          <t>#3 PLACKARDS</t>
        </is>
      </c>
      <c r="L2395" t="n">
        <v>4</v>
      </c>
      <c r="M2395" t="n">
        <v>20.56</v>
      </c>
      <c r="N2395" t="inlineStr">
        <is>
          <t>INVOICE:ADJ-COMMIT</t>
        </is>
      </c>
      <c r="O2395" t="inlineStr">
        <is>
          <t>12561</t>
        </is>
      </c>
      <c r="P2395" t="inlineStr">
        <is>
          <t>CROSS COUNTRY INFRASTRUCTURE SERVICES INC.</t>
        </is>
      </c>
      <c r="Q2395" s="114" t="n">
        <v>0</v>
      </c>
      <c r="R2395" s="114" t="n">
        <v>0</v>
      </c>
      <c r="S2395" s="114" t="n">
        <v>-20.56</v>
      </c>
      <c r="T2395" t="n">
        <v>0</v>
      </c>
    </row>
    <row r="2396">
      <c r="A2396" t="inlineStr">
        <is>
          <t>ttJTrans</t>
        </is>
      </c>
      <c r="B2396" s="38" t="inlineStr">
        <is>
          <t>0-4008</t>
        </is>
      </c>
      <c r="C2396" t="inlineStr">
        <is>
          <t>OC</t>
        </is>
      </c>
      <c r="D2396" t="inlineStr">
        <is>
          <t>MA1011831</t>
        </is>
      </c>
      <c r="E2396" t="inlineStr">
        <is>
          <t>OC</t>
        </is>
      </c>
      <c r="F2396" t="inlineStr">
        <is>
          <t>MA1011831</t>
        </is>
      </c>
      <c r="G2396" s="128" t="n">
        <v>46153</v>
      </c>
      <c r="H2396" s="127" t="n">
        <v>46163</v>
      </c>
      <c r="I2396" t="inlineStr">
        <is>
          <t>1</t>
        </is>
      </c>
      <c r="J2396" s="38" t="inlineStr">
        <is>
          <t>0-4008</t>
        </is>
      </c>
      <c r="K2396" t="inlineStr">
        <is>
          <t>TUB MIXING 36INX24INX8IN ALL P</t>
        </is>
      </c>
      <c r="L2396" t="n">
        <v>15</v>
      </c>
      <c r="M2396" t="n">
        <v>296.2</v>
      </c>
      <c r="N2396" t="inlineStr">
        <is>
          <t>PO:COMMIT</t>
        </is>
      </c>
      <c r="O2396" t="inlineStr">
        <is>
          <t>12561</t>
        </is>
      </c>
      <c r="P2396" t="inlineStr">
        <is>
          <t>CROSS COUNTRY INFRASTRUCTURE SERVICES INC.</t>
        </is>
      </c>
      <c r="Q2396" s="114" t="n">
        <v>0</v>
      </c>
      <c r="R2396" s="114" t="n">
        <v>0</v>
      </c>
      <c r="S2396" s="114" t="n">
        <v>296.2</v>
      </c>
      <c r="T2396" t="n">
        <v>0</v>
      </c>
    </row>
    <row r="2397">
      <c r="A2397" t="inlineStr">
        <is>
          <t>ttJTrans</t>
        </is>
      </c>
      <c r="B2397" s="38" t="inlineStr">
        <is>
          <t>0-4008</t>
        </is>
      </c>
      <c r="C2397" t="inlineStr">
        <is>
          <t>OC</t>
        </is>
      </c>
      <c r="D2397" t="inlineStr">
        <is>
          <t>MA1011831</t>
        </is>
      </c>
      <c r="E2397" t="inlineStr">
        <is>
          <t>OC</t>
        </is>
      </c>
      <c r="F2397" t="inlineStr">
        <is>
          <t>MA1011831</t>
        </is>
      </c>
      <c r="G2397" s="128" t="n">
        <v>46153</v>
      </c>
      <c r="H2397" s="127" t="n">
        <v>46163</v>
      </c>
      <c r="I2397" t="inlineStr">
        <is>
          <t>2</t>
        </is>
      </c>
      <c r="J2397" s="38" t="inlineStr">
        <is>
          <t>0-4008</t>
        </is>
      </c>
      <c r="K2397" t="inlineStr">
        <is>
          <t>WATER BOTTLED 24/PACK 84PK/PLT</t>
        </is>
      </c>
      <c r="L2397" t="n">
        <v>168</v>
      </c>
      <c r="M2397" t="n">
        <v>688.11</v>
      </c>
      <c r="N2397" t="inlineStr">
        <is>
          <t>PO:COMMIT</t>
        </is>
      </c>
      <c r="O2397" t="inlineStr">
        <is>
          <t>12561</t>
        </is>
      </c>
      <c r="P2397" t="inlineStr">
        <is>
          <t>CROSS COUNTRY INFRASTRUCTURE SERVICES INC.</t>
        </is>
      </c>
      <c r="Q2397" s="114" t="n">
        <v>0</v>
      </c>
      <c r="R2397" s="114" t="n">
        <v>0</v>
      </c>
      <c r="S2397" s="114" t="n">
        <v>688.11</v>
      </c>
      <c r="T2397" t="n">
        <v>0</v>
      </c>
    </row>
    <row r="2398">
      <c r="A2398" t="inlineStr">
        <is>
          <t>ttJTrans</t>
        </is>
      </c>
      <c r="B2398" s="38" t="inlineStr">
        <is>
          <t>0-4008</t>
        </is>
      </c>
      <c r="C2398" t="inlineStr">
        <is>
          <t>OC</t>
        </is>
      </c>
      <c r="D2398" t="inlineStr">
        <is>
          <t>MA1011831</t>
        </is>
      </c>
      <c r="E2398" t="inlineStr">
        <is>
          <t>OC</t>
        </is>
      </c>
      <c r="F2398" t="inlineStr">
        <is>
          <t>MA1011831</t>
        </is>
      </c>
      <c r="G2398" s="128" t="n">
        <v>46153</v>
      </c>
      <c r="H2398" s="127" t="n">
        <v>46163</v>
      </c>
      <c r="I2398" t="inlineStr">
        <is>
          <t>1</t>
        </is>
      </c>
      <c r="J2398" s="38" t="inlineStr">
        <is>
          <t>0-4008</t>
        </is>
      </c>
      <c r="K2398" t="inlineStr">
        <is>
          <t>TUB MIXING 36INX24INX8IN ALL P</t>
        </is>
      </c>
      <c r="L2398" t="n">
        <v>15</v>
      </c>
      <c r="M2398" t="n">
        <v>296.2</v>
      </c>
      <c r="N2398" t="inlineStr">
        <is>
          <t>INVOICE:ADJ-COMMIT</t>
        </is>
      </c>
      <c r="O2398" t="inlineStr">
        <is>
          <t>12561</t>
        </is>
      </c>
      <c r="P2398" t="inlineStr">
        <is>
          <t>CROSS COUNTRY INFRASTRUCTURE SERVICES INC.</t>
        </is>
      </c>
      <c r="Q2398" s="114" t="n">
        <v>0</v>
      </c>
      <c r="R2398" s="114" t="n">
        <v>0</v>
      </c>
      <c r="S2398" s="114" t="n">
        <v>-296.2</v>
      </c>
      <c r="T2398" t="n">
        <v>0</v>
      </c>
    </row>
    <row r="2399">
      <c r="A2399" t="inlineStr">
        <is>
          <t>ttJTrans</t>
        </is>
      </c>
      <c r="B2399" s="38" t="inlineStr">
        <is>
          <t>0-4008</t>
        </is>
      </c>
      <c r="C2399" t="inlineStr">
        <is>
          <t>OC</t>
        </is>
      </c>
      <c r="D2399" t="inlineStr">
        <is>
          <t>MA1011831</t>
        </is>
      </c>
      <c r="E2399" t="inlineStr">
        <is>
          <t>OC</t>
        </is>
      </c>
      <c r="F2399" t="inlineStr">
        <is>
          <t>MA1011831</t>
        </is>
      </c>
      <c r="G2399" s="128" t="n">
        <v>46153</v>
      </c>
      <c r="H2399" s="127" t="n">
        <v>46163</v>
      </c>
      <c r="I2399" t="inlineStr">
        <is>
          <t>2</t>
        </is>
      </c>
      <c r="J2399" s="38" t="inlineStr">
        <is>
          <t>0-4008</t>
        </is>
      </c>
      <c r="K2399" t="inlineStr">
        <is>
          <t>WATER BOTTLED 24/PACK 84PK/PLT</t>
        </is>
      </c>
      <c r="L2399" t="n">
        <v>168</v>
      </c>
      <c r="M2399" t="n">
        <v>688.11</v>
      </c>
      <c r="N2399" t="inlineStr">
        <is>
          <t>INVOICE:ADJ-COMMIT</t>
        </is>
      </c>
      <c r="O2399" t="inlineStr">
        <is>
          <t>12561</t>
        </is>
      </c>
      <c r="P2399" t="inlineStr">
        <is>
          <t>CROSS COUNTRY INFRASTRUCTURE SERVICES INC.</t>
        </is>
      </c>
      <c r="Q2399" s="114" t="n">
        <v>0</v>
      </c>
      <c r="R2399" s="114" t="n">
        <v>0</v>
      </c>
      <c r="S2399" s="114" t="n">
        <v>-688.11</v>
      </c>
      <c r="T2399" t="n">
        <v>0</v>
      </c>
    </row>
    <row r="2400">
      <c r="A2400" t="inlineStr">
        <is>
          <t>ttJTrans</t>
        </is>
      </c>
      <c r="B2400" s="38" t="inlineStr">
        <is>
          <t>0-4008</t>
        </is>
      </c>
      <c r="C2400" t="inlineStr">
        <is>
          <t>OC</t>
        </is>
      </c>
      <c r="D2400" t="inlineStr">
        <is>
          <t>MA1011992</t>
        </is>
      </c>
      <c r="E2400" t="inlineStr">
        <is>
          <t>OC</t>
        </is>
      </c>
      <c r="F2400" t="inlineStr">
        <is>
          <t>MA1011992</t>
        </is>
      </c>
      <c r="G2400" s="128" t="n">
        <v>46160</v>
      </c>
      <c r="H2400" s="127" t="n">
        <v>46162</v>
      </c>
      <c r="I2400" t="inlineStr">
        <is>
          <t>2</t>
        </is>
      </c>
      <c r="J2400" s="38" t="inlineStr">
        <is>
          <t>0-4008</t>
        </is>
      </c>
      <c r="K2400" t="inlineStr">
        <is>
          <t>ESTIMATED FREIGHT</t>
        </is>
      </c>
      <c r="L2400" t="n">
        <v>1</v>
      </c>
      <c r="M2400" t="n">
        <v>166.5</v>
      </c>
      <c r="N2400" t="inlineStr">
        <is>
          <t>PO:COMMIT</t>
        </is>
      </c>
      <c r="O2400" t="inlineStr">
        <is>
          <t>12561</t>
        </is>
      </c>
      <c r="P2400" t="inlineStr">
        <is>
          <t>CROSS COUNTRY INFRASTRUCTURE SERVICES INC.</t>
        </is>
      </c>
      <c r="Q2400" s="114" t="n">
        <v>0</v>
      </c>
      <c r="R2400" s="114" t="n">
        <v>0</v>
      </c>
      <c r="S2400" s="114" t="n">
        <v>166.5</v>
      </c>
      <c r="T2400" t="n">
        <v>0</v>
      </c>
    </row>
    <row r="2401">
      <c r="A2401" t="inlineStr">
        <is>
          <t>ttJTrans</t>
        </is>
      </c>
      <c r="B2401" s="38" t="inlineStr">
        <is>
          <t>0-4008</t>
        </is>
      </c>
      <c r="C2401" t="inlineStr">
        <is>
          <t>OC</t>
        </is>
      </c>
      <c r="D2401" t="inlineStr">
        <is>
          <t>MA1011992</t>
        </is>
      </c>
      <c r="E2401" t="inlineStr">
        <is>
          <t>OC</t>
        </is>
      </c>
      <c r="F2401" t="inlineStr">
        <is>
          <t>MA1011992</t>
        </is>
      </c>
      <c r="G2401" s="128" t="n">
        <v>46160</v>
      </c>
      <c r="H2401" s="127" t="n">
        <v>46162</v>
      </c>
      <c r="I2401" t="inlineStr">
        <is>
          <t>1</t>
        </is>
      </c>
      <c r="J2401" s="38" t="inlineStr">
        <is>
          <t>0-4008</t>
        </is>
      </c>
      <c r="K2401" t="inlineStr">
        <is>
          <t>GLASSES SAFETY CLEAR RAD-SEQUE</t>
        </is>
      </c>
      <c r="L2401" t="n">
        <v>72</v>
      </c>
      <c r="M2401" t="n">
        <v>143.06</v>
      </c>
      <c r="N2401" t="inlineStr">
        <is>
          <t>PO:COMMIT</t>
        </is>
      </c>
      <c r="O2401" t="inlineStr">
        <is>
          <t>12561</t>
        </is>
      </c>
      <c r="P2401" t="inlineStr">
        <is>
          <t>CROSS COUNTRY INFRASTRUCTURE SERVICES INC.</t>
        </is>
      </c>
      <c r="Q2401" s="114" t="n">
        <v>0</v>
      </c>
      <c r="R2401" s="114" t="n">
        <v>0</v>
      </c>
      <c r="S2401" s="114" t="n">
        <v>143.06</v>
      </c>
      <c r="T2401" t="n">
        <v>0</v>
      </c>
    </row>
    <row r="2402">
      <c r="A2402" t="inlineStr">
        <is>
          <t>ttJTrans</t>
        </is>
      </c>
      <c r="B2402" s="38" t="inlineStr">
        <is>
          <t>0-4008</t>
        </is>
      </c>
      <c r="C2402" t="inlineStr">
        <is>
          <t>OC</t>
        </is>
      </c>
      <c r="D2402" t="inlineStr">
        <is>
          <t>MA1012020</t>
        </is>
      </c>
      <c r="E2402" t="inlineStr">
        <is>
          <t>OC</t>
        </is>
      </c>
      <c r="F2402" t="inlineStr">
        <is>
          <t>MA1012020</t>
        </is>
      </c>
      <c r="G2402" s="128" t="n">
        <v>46161</v>
      </c>
      <c r="H2402" s="127" t="n">
        <v>46162</v>
      </c>
      <c r="I2402" t="inlineStr">
        <is>
          <t>1</t>
        </is>
      </c>
      <c r="J2402" s="38" t="inlineStr">
        <is>
          <t>0-4008</t>
        </is>
      </c>
      <c r="K2402" t="inlineStr">
        <is>
          <t>DELL 27" MONITORS</t>
        </is>
      </c>
      <c r="L2402" t="n">
        <v>8</v>
      </c>
      <c r="M2402" t="n">
        <v>1933</v>
      </c>
      <c r="N2402" t="inlineStr">
        <is>
          <t>PO:COMMIT</t>
        </is>
      </c>
      <c r="O2402" t="inlineStr">
        <is>
          <t>20395</t>
        </is>
      </c>
      <c r="P2402" t="inlineStr">
        <is>
          <t>AMAZON.COM SERVICES LLC</t>
        </is>
      </c>
      <c r="Q2402" s="114" t="n">
        <v>0</v>
      </c>
      <c r="R2402" s="114" t="n">
        <v>0</v>
      </c>
      <c r="S2402" s="114" t="n">
        <v>1933</v>
      </c>
      <c r="T2402" t="n">
        <v>0</v>
      </c>
    </row>
    <row r="2403">
      <c r="A2403" t="inlineStr">
        <is>
          <t>ttJTrans</t>
        </is>
      </c>
      <c r="B2403" s="38" t="inlineStr">
        <is>
          <t>0-4008</t>
        </is>
      </c>
      <c r="C2403" t="inlineStr">
        <is>
          <t>OC</t>
        </is>
      </c>
      <c r="D2403" t="inlineStr">
        <is>
          <t>MA1012020</t>
        </is>
      </c>
      <c r="E2403" t="inlineStr">
        <is>
          <t>OC</t>
        </is>
      </c>
      <c r="F2403" t="inlineStr">
        <is>
          <t>MA1012020</t>
        </is>
      </c>
      <c r="G2403" s="128" t="n">
        <v>46161</v>
      </c>
      <c r="H2403" s="127" t="n">
        <v>46162</v>
      </c>
      <c r="I2403" t="inlineStr">
        <is>
          <t>2</t>
        </is>
      </c>
      <c r="J2403" s="38" t="inlineStr">
        <is>
          <t>0-4008</t>
        </is>
      </c>
      <c r="K2403" t="inlineStr">
        <is>
          <t>DELL SMARTDOCK SD25</t>
        </is>
      </c>
      <c r="L2403" t="n">
        <v>4</v>
      </c>
      <c r="M2403" t="n">
        <v>772.5599999999999</v>
      </c>
      <c r="N2403" t="inlineStr">
        <is>
          <t>PO:COMMIT</t>
        </is>
      </c>
      <c r="O2403" t="inlineStr">
        <is>
          <t>20395</t>
        </is>
      </c>
      <c r="P2403" t="inlineStr">
        <is>
          <t>AMAZON.COM SERVICES LLC</t>
        </is>
      </c>
      <c r="Q2403" s="114" t="n">
        <v>0</v>
      </c>
      <c r="R2403" s="114" t="n">
        <v>0</v>
      </c>
      <c r="S2403" s="114" t="n">
        <v>772.5599999999999</v>
      </c>
      <c r="T2403" t="n">
        <v>0</v>
      </c>
    </row>
    <row r="2404">
      <c r="A2404" t="inlineStr">
        <is>
          <t>ttJTrans</t>
        </is>
      </c>
      <c r="B2404" s="38" t="inlineStr">
        <is>
          <t>0-4008</t>
        </is>
      </c>
      <c r="C2404" t="inlineStr">
        <is>
          <t>OC</t>
        </is>
      </c>
      <c r="D2404" t="inlineStr">
        <is>
          <t>MA1012064</t>
        </is>
      </c>
      <c r="E2404" t="inlineStr">
        <is>
          <t>OC</t>
        </is>
      </c>
      <c r="F2404" t="inlineStr">
        <is>
          <t>MA1012064</t>
        </is>
      </c>
      <c r="G2404" s="128" t="n">
        <v>46162</v>
      </c>
      <c r="H2404" s="127" t="n">
        <v>46163</v>
      </c>
      <c r="I2404" t="inlineStr">
        <is>
          <t>1</t>
        </is>
      </c>
      <c r="J2404" s="38" t="inlineStr">
        <is>
          <t>0-4008</t>
        </is>
      </c>
      <c r="K2404" t="inlineStr">
        <is>
          <t>Mount mag tripler10</t>
        </is>
      </c>
      <c r="L2404" t="n">
        <v>1</v>
      </c>
      <c r="M2404" t="n">
        <v>384.45</v>
      </c>
      <c r="N2404" t="inlineStr">
        <is>
          <t>PO:COMMIT</t>
        </is>
      </c>
      <c r="O2404" t="inlineStr">
        <is>
          <t>20746</t>
        </is>
      </c>
      <c r="P2404" t="inlineStr">
        <is>
          <t>ALLTERRA CENTRAL, INC</t>
        </is>
      </c>
      <c r="Q2404" s="114" t="n">
        <v>0</v>
      </c>
      <c r="R2404" s="114" t="n">
        <v>0</v>
      </c>
      <c r="S2404" s="114" t="n">
        <v>384.45</v>
      </c>
      <c r="T2404" t="n">
        <v>0</v>
      </c>
    </row>
    <row r="2405">
      <c r="A2405" t="inlineStr">
        <is>
          <t>ttJTrans</t>
        </is>
      </c>
      <c r="B2405" s="38" t="inlineStr">
        <is>
          <t>0-4008</t>
        </is>
      </c>
      <c r="C2405" t="inlineStr">
        <is>
          <t>OC</t>
        </is>
      </c>
      <c r="D2405" t="inlineStr">
        <is>
          <t>MA1012066</t>
        </is>
      </c>
      <c r="E2405" t="inlineStr">
        <is>
          <t>OC</t>
        </is>
      </c>
      <c r="F2405" t="inlineStr">
        <is>
          <t>MA1012066</t>
        </is>
      </c>
      <c r="G2405" s="128" t="n">
        <v>46162</v>
      </c>
      <c r="H2405" s="127" t="n">
        <v>46163</v>
      </c>
      <c r="I2405" t="inlineStr">
        <is>
          <t>2</t>
        </is>
      </c>
      <c r="J2405" s="38" t="inlineStr">
        <is>
          <t>0-4008</t>
        </is>
      </c>
      <c r="K2405" t="inlineStr">
        <is>
          <t>Tarp 12 x 20</t>
        </is>
      </c>
      <c r="L2405" t="n">
        <v>1</v>
      </c>
      <c r="M2405" t="n">
        <v>77.69</v>
      </c>
      <c r="N2405" t="inlineStr">
        <is>
          <t>PO:COMMIT</t>
        </is>
      </c>
      <c r="O2405" t="inlineStr">
        <is>
          <t>21265</t>
        </is>
      </c>
      <c r="P2405" t="inlineStr">
        <is>
          <t>WHARTON FEED &amp; SUPPLY LLC</t>
        </is>
      </c>
      <c r="Q2405" s="114" t="n">
        <v>0</v>
      </c>
      <c r="R2405" s="114" t="n">
        <v>0</v>
      </c>
      <c r="S2405" s="114" t="n">
        <v>77.69</v>
      </c>
      <c r="T2405" t="n">
        <v>0</v>
      </c>
    </row>
    <row r="2406">
      <c r="A2406" t="inlineStr">
        <is>
          <t>ttJTrans</t>
        </is>
      </c>
      <c r="B2406" s="38" t="inlineStr">
        <is>
          <t>0-4008</t>
        </is>
      </c>
      <c r="C2406" t="inlineStr">
        <is>
          <t>OC</t>
        </is>
      </c>
      <c r="D2406" t="inlineStr">
        <is>
          <t>MA1012066</t>
        </is>
      </c>
      <c r="E2406" t="inlineStr">
        <is>
          <t>OC</t>
        </is>
      </c>
      <c r="F2406" t="inlineStr">
        <is>
          <t>MA1012066</t>
        </is>
      </c>
      <c r="G2406" s="128" t="n">
        <v>46162</v>
      </c>
      <c r="H2406" s="127" t="n">
        <v>46163</v>
      </c>
      <c r="I2406" t="inlineStr">
        <is>
          <t>3</t>
        </is>
      </c>
      <c r="J2406" s="38" t="inlineStr">
        <is>
          <t>0-4008</t>
        </is>
      </c>
      <c r="K2406" t="inlineStr">
        <is>
          <t>8 X 10 Treated lumber</t>
        </is>
      </c>
      <c r="L2406" t="n">
        <v>1</v>
      </c>
      <c r="M2406" t="n">
        <v>61.04</v>
      </c>
      <c r="N2406" t="inlineStr">
        <is>
          <t>PO:COMMIT</t>
        </is>
      </c>
      <c r="O2406" t="inlineStr">
        <is>
          <t>21265</t>
        </is>
      </c>
      <c r="P2406" t="inlineStr">
        <is>
          <t>WHARTON FEED &amp; SUPPLY LLC</t>
        </is>
      </c>
      <c r="Q2406" s="114" t="n">
        <v>0</v>
      </c>
      <c r="R2406" s="114" t="n">
        <v>0</v>
      </c>
      <c r="S2406" s="114" t="n">
        <v>61.04</v>
      </c>
      <c r="T2406" t="n">
        <v>0</v>
      </c>
    </row>
    <row r="2407">
      <c r="A2407" t="inlineStr">
        <is>
          <t>ttJTrans</t>
        </is>
      </c>
      <c r="B2407" s="38" t="inlineStr">
        <is>
          <t>0-4008</t>
        </is>
      </c>
      <c r="C2407" t="inlineStr">
        <is>
          <t>OC</t>
        </is>
      </c>
      <c r="D2407" t="inlineStr">
        <is>
          <t>MA1012066</t>
        </is>
      </c>
      <c r="E2407" t="inlineStr">
        <is>
          <t>OC</t>
        </is>
      </c>
      <c r="F2407" t="inlineStr">
        <is>
          <t>MA1012066</t>
        </is>
      </c>
      <c r="G2407" s="128" t="n">
        <v>46162</v>
      </c>
      <c r="H2407" s="127" t="n">
        <v>46163</v>
      </c>
      <c r="I2407" t="inlineStr">
        <is>
          <t>1</t>
        </is>
      </c>
      <c r="J2407" s="38" t="inlineStr">
        <is>
          <t>0-4008</t>
        </is>
      </c>
      <c r="K2407" t="inlineStr">
        <is>
          <t>Tarp</t>
        </is>
      </c>
      <c r="L2407" t="n">
        <v>1</v>
      </c>
      <c r="M2407" t="n">
        <v>49.94</v>
      </c>
      <c r="N2407" t="inlineStr">
        <is>
          <t>PO:COMMIT</t>
        </is>
      </c>
      <c r="O2407" t="inlineStr">
        <is>
          <t>21265</t>
        </is>
      </c>
      <c r="P2407" t="inlineStr">
        <is>
          <t>WHARTON FEED &amp; SUPPLY LLC</t>
        </is>
      </c>
      <c r="Q2407" s="114" t="n">
        <v>0</v>
      </c>
      <c r="R2407" s="114" t="n">
        <v>0</v>
      </c>
      <c r="S2407" s="114" t="n">
        <v>49.94</v>
      </c>
      <c r="T2407" t="n">
        <v>0</v>
      </c>
    </row>
    <row r="2408">
      <c r="A2408" t="inlineStr">
        <is>
          <t>ttJTrans</t>
        </is>
      </c>
      <c r="B2408" s="38" t="inlineStr">
        <is>
          <t>0-4008</t>
        </is>
      </c>
      <c r="C2408" t="inlineStr">
        <is>
          <t>OC</t>
        </is>
      </c>
      <c r="E2408" t="inlineStr">
        <is>
          <t>OC</t>
        </is>
      </c>
      <c r="G2408" s="128" t="inlineStr"/>
      <c r="H2408" s="127" t="n">
        <v>46044</v>
      </c>
      <c r="J2408" s="38" t="inlineStr">
        <is>
          <t>0-4008</t>
        </is>
      </c>
      <c r="K2408" t="inlineStr">
        <is>
          <t>DUSTIN HOPKINS EXPENSE REPORT</t>
        </is>
      </c>
      <c r="L2408" t="n">
        <v>0</v>
      </c>
      <c r="M2408" t="n">
        <v>0</v>
      </c>
      <c r="O2408" t="inlineStr">
        <is>
          <t>21284</t>
        </is>
      </c>
      <c r="P2408" t="inlineStr">
        <is>
          <t>HOPKINS, DUSTIN W.</t>
        </is>
      </c>
      <c r="Q2408" s="114" t="n">
        <v>0</v>
      </c>
      <c r="R2408" s="114" t="n">
        <v>59.5</v>
      </c>
      <c r="S2408" s="114" t="n">
        <v>0</v>
      </c>
      <c r="T2408" t="n">
        <v>0</v>
      </c>
    </row>
    <row r="2409">
      <c r="A2409" t="inlineStr">
        <is>
          <t>ttJTrans</t>
        </is>
      </c>
      <c r="B2409" s="38" t="inlineStr">
        <is>
          <t>0-4008</t>
        </is>
      </c>
      <c r="C2409" t="inlineStr">
        <is>
          <t>OC</t>
        </is>
      </c>
      <c r="E2409" t="inlineStr">
        <is>
          <t>OC</t>
        </is>
      </c>
      <c r="G2409" s="128" t="inlineStr"/>
      <c r="H2409" s="127" t="n">
        <v>46078</v>
      </c>
      <c r="J2409" s="38" t="inlineStr">
        <is>
          <t>0-4008</t>
        </is>
      </c>
      <c r="K2409" t="inlineStr">
        <is>
          <t>CHANCELLOR FRANKSON EXPENSE REPORT</t>
        </is>
      </c>
      <c r="L2409" t="n">
        <v>0</v>
      </c>
      <c r="M2409" t="n">
        <v>0</v>
      </c>
      <c r="O2409" t="inlineStr">
        <is>
          <t>21212</t>
        </is>
      </c>
      <c r="P2409" t="inlineStr">
        <is>
          <t>FRANKSON, CHANCELLOR R.</t>
        </is>
      </c>
      <c r="Q2409" s="114" t="n">
        <v>0</v>
      </c>
      <c r="R2409" s="114" t="n">
        <v>171.32</v>
      </c>
      <c r="S2409" s="114" t="n">
        <v>0</v>
      </c>
      <c r="T2409" t="n">
        <v>0</v>
      </c>
    </row>
    <row r="2410">
      <c r="A2410" t="inlineStr">
        <is>
          <t>ttJTrans</t>
        </is>
      </c>
      <c r="B2410" s="38" t="inlineStr">
        <is>
          <t>0-4008</t>
        </is>
      </c>
      <c r="C2410" t="inlineStr">
        <is>
          <t>OC</t>
        </is>
      </c>
      <c r="E2410" t="inlineStr">
        <is>
          <t>OC</t>
        </is>
      </c>
      <c r="G2410" s="128" t="inlineStr"/>
      <c r="H2410" s="127" t="n">
        <v>46078</v>
      </c>
      <c r="J2410" s="38" t="inlineStr">
        <is>
          <t>0-4008</t>
        </is>
      </c>
      <c r="K2410" t="inlineStr">
        <is>
          <t>SAFETY GLASSES/ SIDESHIELD VISION AID/ GLOVES/ CLIP GLOVE/ FREIGHT</t>
        </is>
      </c>
      <c r="L2410" t="n">
        <v>0</v>
      </c>
      <c r="M2410" t="n">
        <v>0</v>
      </c>
      <c r="O2410" t="inlineStr">
        <is>
          <t>12561</t>
        </is>
      </c>
      <c r="P2410" t="inlineStr">
        <is>
          <t>CROSS COUNTRY INFRASTRUCTURE SERVICES INC.</t>
        </is>
      </c>
      <c r="Q2410" s="114" t="n">
        <v>0</v>
      </c>
      <c r="R2410" s="114" t="n">
        <v>5876.91</v>
      </c>
      <c r="S2410" s="114" t="n">
        <v>0</v>
      </c>
      <c r="T2410" t="n">
        <v>0</v>
      </c>
    </row>
    <row r="2411">
      <c r="A2411" t="inlineStr">
        <is>
          <t>ttJTrans</t>
        </is>
      </c>
      <c r="B2411" s="38" t="inlineStr">
        <is>
          <t>0-4008</t>
        </is>
      </c>
      <c r="C2411" t="inlineStr">
        <is>
          <t>OC</t>
        </is>
      </c>
      <c r="E2411" t="inlineStr">
        <is>
          <t>OC</t>
        </is>
      </c>
      <c r="G2411" s="128" t="inlineStr"/>
      <c r="H2411" s="127" t="n">
        <v>46078</v>
      </c>
      <c r="J2411" s="38" t="inlineStr">
        <is>
          <t>0-4008</t>
        </is>
      </c>
      <c r="K2411" t="inlineStr">
        <is>
          <t>SAFETY GLASSES/ SIDESHIELD VISION AID/ GLOVES/ CLIP GLOVE/ FREIGHT</t>
        </is>
      </c>
      <c r="L2411" t="n">
        <v>0</v>
      </c>
      <c r="M2411" t="n">
        <v>0</v>
      </c>
      <c r="O2411" t="inlineStr">
        <is>
          <t>12561</t>
        </is>
      </c>
      <c r="P2411" t="inlineStr">
        <is>
          <t>CROSS COUNTRY INFRASTRUCTURE SERVICES INC.</t>
        </is>
      </c>
      <c r="Q2411" s="114" t="n">
        <v>0</v>
      </c>
      <c r="R2411" s="114" t="n">
        <v>193.81</v>
      </c>
      <c r="S2411" s="114" t="n">
        <v>0</v>
      </c>
      <c r="T2411" t="n">
        <v>0</v>
      </c>
    </row>
    <row r="2412">
      <c r="A2412" t="inlineStr">
        <is>
          <t>ttJTrans</t>
        </is>
      </c>
      <c r="B2412" s="38" t="inlineStr">
        <is>
          <t>0-4008</t>
        </is>
      </c>
      <c r="C2412" t="inlineStr">
        <is>
          <t>OC</t>
        </is>
      </c>
      <c r="E2412" t="inlineStr">
        <is>
          <t>OC</t>
        </is>
      </c>
      <c r="G2412" s="128" t="inlineStr"/>
      <c r="H2412" s="127" t="n">
        <v>46106</v>
      </c>
      <c r="J2412" s="38" t="inlineStr">
        <is>
          <t>0-4008</t>
        </is>
      </c>
      <c r="K2412" t="inlineStr">
        <is>
          <t>48'' Rollups Non Reflective Construction Ahead</t>
        </is>
      </c>
      <c r="L2412" t="n">
        <v>0</v>
      </c>
      <c r="M2412" t="n">
        <v>0</v>
      </c>
      <c r="O2412" t="inlineStr">
        <is>
          <t>12177</t>
        </is>
      </c>
      <c r="P2412" t="inlineStr">
        <is>
          <t>TRAFFIC CONTROL PRODUCTS OF LOUISIANA CO. INC.</t>
        </is>
      </c>
      <c r="Q2412" s="114" t="n">
        <v>0</v>
      </c>
      <c r="R2412" s="114" t="n">
        <v>2364.45</v>
      </c>
      <c r="S2412" s="114" t="n">
        <v>0</v>
      </c>
      <c r="T2412" t="n">
        <v>0</v>
      </c>
    </row>
    <row r="2413">
      <c r="A2413" t="inlineStr">
        <is>
          <t>ttJTrans</t>
        </is>
      </c>
      <c r="B2413" s="38" t="inlineStr">
        <is>
          <t>0-4008</t>
        </is>
      </c>
      <c r="C2413" t="inlineStr">
        <is>
          <t>OC</t>
        </is>
      </c>
      <c r="E2413" t="inlineStr">
        <is>
          <t>OC</t>
        </is>
      </c>
      <c r="G2413" s="128" t="inlineStr"/>
      <c r="H2413" s="127" t="n">
        <v>46112</v>
      </c>
      <c r="J2413" s="38" t="inlineStr">
        <is>
          <t>0-4008</t>
        </is>
      </c>
      <c r="K2413" t="inlineStr">
        <is>
          <t>GLOVES/ FACESHIELD/ BRACKET/COVERALLS/ AIRHORN/ SIGNS/ EARPLUGS/ TRAFFIC CONE</t>
        </is>
      </c>
      <c r="L2413" t="n">
        <v>0</v>
      </c>
      <c r="M2413" t="n">
        <v>0</v>
      </c>
      <c r="O2413" t="inlineStr">
        <is>
          <t>12561</t>
        </is>
      </c>
      <c r="P2413" t="inlineStr">
        <is>
          <t>CROSS COUNTRY INFRASTRUCTURE SERVICES INC.</t>
        </is>
      </c>
      <c r="Q2413" s="114" t="n">
        <v>0</v>
      </c>
      <c r="R2413" s="114" t="n">
        <v>2013.64</v>
      </c>
      <c r="S2413" s="114" t="n">
        <v>0</v>
      </c>
      <c r="T2413" t="n">
        <v>0</v>
      </c>
    </row>
    <row r="2414">
      <c r="A2414" t="inlineStr">
        <is>
          <t>ttJTrans</t>
        </is>
      </c>
      <c r="B2414" s="38" t="inlineStr">
        <is>
          <t>0-4008</t>
        </is>
      </c>
      <c r="C2414" t="inlineStr">
        <is>
          <t>OC</t>
        </is>
      </c>
      <c r="E2414" t="inlineStr">
        <is>
          <t>OC</t>
        </is>
      </c>
      <c r="G2414" s="128" t="inlineStr"/>
      <c r="H2414" s="127" t="n">
        <v>46113</v>
      </c>
      <c r="J2414" s="38" t="inlineStr">
        <is>
          <t>0-4008</t>
        </is>
      </c>
      <c r="K2414" t="inlineStr">
        <is>
          <t>NICK SALINAS EXPENSE REPORT</t>
        </is>
      </c>
      <c r="L2414" t="n">
        <v>0</v>
      </c>
      <c r="M2414" t="n">
        <v>0</v>
      </c>
      <c r="O2414" t="inlineStr">
        <is>
          <t>13193</t>
        </is>
      </c>
      <c r="P2414" t="inlineStr">
        <is>
          <t>SALINAS, NICHOLAS A</t>
        </is>
      </c>
      <c r="Q2414" s="114" t="n">
        <v>0</v>
      </c>
      <c r="R2414" s="114" t="n">
        <v>187.48</v>
      </c>
      <c r="S2414" s="114" t="n">
        <v>0</v>
      </c>
      <c r="T2414" t="n">
        <v>0</v>
      </c>
    </row>
    <row r="2415">
      <c r="A2415" t="inlineStr">
        <is>
          <t>ttJTrans</t>
        </is>
      </c>
      <c r="B2415" s="38" t="inlineStr">
        <is>
          <t>0-4008</t>
        </is>
      </c>
      <c r="C2415" t="inlineStr">
        <is>
          <t>OC</t>
        </is>
      </c>
      <c r="E2415" t="inlineStr">
        <is>
          <t>OC</t>
        </is>
      </c>
      <c r="G2415" s="128" t="inlineStr"/>
      <c r="H2415" s="127" t="n">
        <v>46113</v>
      </c>
      <c r="J2415" s="38" t="inlineStr">
        <is>
          <t>0-4008</t>
        </is>
      </c>
      <c r="K2415" t="inlineStr">
        <is>
          <t>18 8X4X18 LEASE 18 DIGGING MATS FOR 14 DAYS</t>
        </is>
      </c>
      <c r="L2415" t="n">
        <v>0</v>
      </c>
      <c r="M2415" t="n">
        <v>0</v>
      </c>
      <c r="O2415" t="inlineStr">
        <is>
          <t>20401</t>
        </is>
      </c>
      <c r="P2415" t="inlineStr">
        <is>
          <t>RDC HOLDINGS LLC</t>
        </is>
      </c>
      <c r="Q2415" s="114" t="n">
        <v>0</v>
      </c>
      <c r="R2415" s="114" t="n">
        <v>2711.45</v>
      </c>
      <c r="S2415" s="114" t="n">
        <v>0</v>
      </c>
      <c r="T2415" t="n">
        <v>0</v>
      </c>
    </row>
    <row r="2416">
      <c r="A2416" t="inlineStr">
        <is>
          <t>ttJTrans</t>
        </is>
      </c>
      <c r="B2416" s="38" t="inlineStr">
        <is>
          <t>0-4008</t>
        </is>
      </c>
      <c r="C2416" t="inlineStr">
        <is>
          <t>OC</t>
        </is>
      </c>
      <c r="E2416" t="inlineStr">
        <is>
          <t>OC</t>
        </is>
      </c>
      <c r="G2416" s="128" t="inlineStr"/>
      <c r="H2416" s="127" t="n">
        <v>46113</v>
      </c>
      <c r="J2416" s="38" t="inlineStr">
        <is>
          <t>0-4008</t>
        </is>
      </c>
      <c r="K2416" t="inlineStr">
        <is>
          <t>Fencing Supplies T-post Wire Fencing Approved by Eugene</t>
        </is>
      </c>
      <c r="L2416" t="n">
        <v>0</v>
      </c>
      <c r="M2416" t="n">
        <v>0</v>
      </c>
      <c r="O2416" t="inlineStr">
        <is>
          <t>21265</t>
        </is>
      </c>
      <c r="P2416" t="inlineStr">
        <is>
          <t>WHARTON FEED &amp; SUPPLY LLC</t>
        </is>
      </c>
      <c r="Q2416" s="114" t="n">
        <v>0</v>
      </c>
      <c r="R2416" s="114" t="n">
        <v>82.23</v>
      </c>
      <c r="S2416" s="114" t="n">
        <v>0</v>
      </c>
      <c r="T2416" t="n">
        <v>0</v>
      </c>
    </row>
    <row r="2417">
      <c r="A2417" t="inlineStr">
        <is>
          <t>ttJTrans</t>
        </is>
      </c>
      <c r="B2417" s="38" t="inlineStr">
        <is>
          <t>0-4008</t>
        </is>
      </c>
      <c r="C2417" t="inlineStr">
        <is>
          <t>OC</t>
        </is>
      </c>
      <c r="E2417" t="inlineStr">
        <is>
          <t>OC</t>
        </is>
      </c>
      <c r="G2417" s="128" t="inlineStr"/>
      <c r="H2417" s="127" t="n">
        <v>46113</v>
      </c>
      <c r="J2417" s="38" t="inlineStr">
        <is>
          <t>0-4008</t>
        </is>
      </c>
      <c r="K2417" t="inlineStr">
        <is>
          <t>Fencing Supplies T-post Wire Fencing Approved by Eugene</t>
        </is>
      </c>
      <c r="L2417" t="n">
        <v>0</v>
      </c>
      <c r="M2417" t="n">
        <v>0</v>
      </c>
      <c r="O2417" t="inlineStr">
        <is>
          <t>21265</t>
        </is>
      </c>
      <c r="P2417" t="inlineStr">
        <is>
          <t>WHARTON FEED &amp; SUPPLY LLC</t>
        </is>
      </c>
      <c r="Q2417" s="114" t="n">
        <v>0</v>
      </c>
      <c r="R2417" s="114" t="n">
        <v>46.99</v>
      </c>
      <c r="S2417" s="114" t="n">
        <v>0</v>
      </c>
      <c r="T2417" t="n">
        <v>0</v>
      </c>
    </row>
    <row r="2418">
      <c r="A2418" t="inlineStr">
        <is>
          <t>ttJTrans</t>
        </is>
      </c>
      <c r="B2418" s="38" t="inlineStr">
        <is>
          <t>0-4008</t>
        </is>
      </c>
      <c r="C2418" t="inlineStr">
        <is>
          <t>OC</t>
        </is>
      </c>
      <c r="E2418" t="inlineStr">
        <is>
          <t>OC</t>
        </is>
      </c>
      <c r="G2418" s="128" t="inlineStr"/>
      <c r="H2418" s="127" t="n">
        <v>46139</v>
      </c>
      <c r="J2418" s="38" t="inlineStr">
        <is>
          <t>0-4008</t>
        </is>
      </c>
      <c r="K2418" t="inlineStr">
        <is>
          <t>BOTTLED WATER S626048</t>
        </is>
      </c>
      <c r="L2418" t="n">
        <v>0</v>
      </c>
      <c r="M2418" t="n">
        <v>0</v>
      </c>
      <c r="O2418" t="inlineStr">
        <is>
          <t>12561</t>
        </is>
      </c>
      <c r="P2418" t="inlineStr">
        <is>
          <t>CROSS COUNTRY INFRASTRUCTURE SERVICES INC.</t>
        </is>
      </c>
      <c r="Q2418" s="114" t="n">
        <v>0</v>
      </c>
      <c r="R2418" s="114" t="n">
        <v>422.13</v>
      </c>
      <c r="S2418" s="114" t="n">
        <v>0</v>
      </c>
      <c r="T2418" t="n">
        <v>0</v>
      </c>
    </row>
    <row r="2419">
      <c r="A2419" t="inlineStr">
        <is>
          <t>ttJTrans</t>
        </is>
      </c>
      <c r="B2419" s="38" t="inlineStr">
        <is>
          <t>0-4008</t>
        </is>
      </c>
      <c r="C2419" t="inlineStr">
        <is>
          <t>OC</t>
        </is>
      </c>
      <c r="E2419" t="inlineStr">
        <is>
          <t>OC</t>
        </is>
      </c>
      <c r="G2419" s="128" t="inlineStr"/>
      <c r="H2419" s="127" t="n">
        <v>46139</v>
      </c>
      <c r="J2419" s="38" t="inlineStr">
        <is>
          <t>0-4008</t>
        </is>
      </c>
      <c r="K2419" t="inlineStr">
        <is>
          <t>GOGGLES CHEMICAL CLEAR/ RESPIRATORS/ FILTERS/ EARMUFFSS626147</t>
        </is>
      </c>
      <c r="L2419" t="n">
        <v>0</v>
      </c>
      <c r="M2419" t="n">
        <v>0</v>
      </c>
      <c r="O2419" t="inlineStr">
        <is>
          <t>12561</t>
        </is>
      </c>
      <c r="P2419" t="inlineStr">
        <is>
          <t>CROSS COUNTRY INFRASTRUCTURE SERVICES INC.</t>
        </is>
      </c>
      <c r="Q2419" s="114" t="n">
        <v>0</v>
      </c>
      <c r="R2419" s="114" t="n">
        <v>1084.2</v>
      </c>
      <c r="S2419" s="114" t="n">
        <v>0</v>
      </c>
      <c r="T2419" t="n">
        <v>0</v>
      </c>
    </row>
    <row r="2420">
      <c r="A2420" t="inlineStr">
        <is>
          <t>ttJTrans</t>
        </is>
      </c>
      <c r="B2420" s="38" t="inlineStr">
        <is>
          <t>0-4008</t>
        </is>
      </c>
      <c r="C2420" t="inlineStr">
        <is>
          <t>OC</t>
        </is>
      </c>
      <c r="E2420" t="inlineStr">
        <is>
          <t>OC</t>
        </is>
      </c>
      <c r="G2420" s="128" t="inlineStr"/>
      <c r="H2420" s="127" t="n">
        <v>46120</v>
      </c>
      <c r="J2420" s="38" t="inlineStr">
        <is>
          <t>0-4008</t>
        </is>
      </c>
      <c r="K2420" t="inlineStr">
        <is>
          <t>MARK BROUSSARD EXPENSE REPORTS</t>
        </is>
      </c>
      <c r="L2420" t="n">
        <v>0</v>
      </c>
      <c r="M2420" t="n">
        <v>0</v>
      </c>
      <c r="O2420" t="inlineStr">
        <is>
          <t>12450</t>
        </is>
      </c>
      <c r="P2420" t="inlineStr">
        <is>
          <t>BROUSSARD, MARK A</t>
        </is>
      </c>
      <c r="Q2420" s="114" t="n">
        <v>0</v>
      </c>
      <c r="R2420" s="114" t="n">
        <v>5069.66</v>
      </c>
      <c r="S2420" s="114" t="n">
        <v>0</v>
      </c>
      <c r="T2420" t="n">
        <v>0</v>
      </c>
    </row>
    <row r="2421">
      <c r="A2421" t="inlineStr">
        <is>
          <t>ttJTrans</t>
        </is>
      </c>
      <c r="B2421" s="38" t="inlineStr">
        <is>
          <t>0-4008</t>
        </is>
      </c>
      <c r="C2421" t="inlineStr">
        <is>
          <t>OC</t>
        </is>
      </c>
      <c r="E2421" t="inlineStr">
        <is>
          <t>OC</t>
        </is>
      </c>
      <c r="G2421" s="128" t="inlineStr"/>
      <c r="H2421" s="127" t="n">
        <v>46133</v>
      </c>
      <c r="J2421" s="38" t="inlineStr">
        <is>
          <t>0-4008</t>
        </is>
      </c>
      <c r="K2421" t="inlineStr">
        <is>
          <t>COMDATA 4/06/26 (EU) AUTOZONE #1358 3/29/26</t>
        </is>
      </c>
      <c r="L2421" t="n">
        <v>0</v>
      </c>
      <c r="M2421" t="n">
        <v>0</v>
      </c>
      <c r="O2421" t="inlineStr">
        <is>
          <t>2285</t>
        </is>
      </c>
      <c r="Q2421" s="114" t="n">
        <v>0</v>
      </c>
      <c r="R2421" s="114" t="n">
        <v>172.83</v>
      </c>
      <c r="S2421" s="114" t="n">
        <v>0</v>
      </c>
      <c r="T2421" t="n">
        <v>0</v>
      </c>
    </row>
    <row r="2422">
      <c r="A2422" t="inlineStr">
        <is>
          <t>ttJTrans</t>
        </is>
      </c>
      <c r="B2422" s="38" t="inlineStr">
        <is>
          <t>0-4008</t>
        </is>
      </c>
      <c r="C2422" t="inlineStr">
        <is>
          <t>OC</t>
        </is>
      </c>
      <c r="E2422" t="inlineStr">
        <is>
          <t>OC</t>
        </is>
      </c>
      <c r="G2422" s="128" t="inlineStr"/>
      <c r="H2422" s="127" t="n">
        <v>46133</v>
      </c>
      <c r="J2422" s="38" t="inlineStr">
        <is>
          <t>0-4008</t>
        </is>
      </c>
      <c r="K2422" t="inlineStr">
        <is>
          <t>COMDATA 4/06/26 (EU) TRACTOR SUPPLY #2291 3/30/26</t>
        </is>
      </c>
      <c r="L2422" t="n">
        <v>0</v>
      </c>
      <c r="M2422" t="n">
        <v>0</v>
      </c>
      <c r="O2422" t="inlineStr">
        <is>
          <t>2285</t>
        </is>
      </c>
      <c r="Q2422" s="114" t="n">
        <v>0</v>
      </c>
      <c r="R2422" s="114" t="n">
        <v>61.65</v>
      </c>
      <c r="S2422" s="114" t="n">
        <v>0</v>
      </c>
      <c r="T2422" t="n">
        <v>0</v>
      </c>
    </row>
    <row r="2423">
      <c r="A2423" t="inlineStr">
        <is>
          <t>ttJTrans</t>
        </is>
      </c>
      <c r="B2423" s="38" t="inlineStr">
        <is>
          <t>0-4008</t>
        </is>
      </c>
      <c r="C2423" t="inlineStr">
        <is>
          <t>OC</t>
        </is>
      </c>
      <c r="E2423" t="inlineStr">
        <is>
          <t>OC</t>
        </is>
      </c>
      <c r="G2423" s="128" t="inlineStr"/>
      <c r="H2423" s="127" t="n">
        <v>46133</v>
      </c>
      <c r="J2423" s="38" t="inlineStr">
        <is>
          <t>0-4008</t>
        </is>
      </c>
      <c r="K2423" t="inlineStr">
        <is>
          <t>COMDATA 4/06/26 (SW) NTE 5677 4/02/26</t>
        </is>
      </c>
      <c r="L2423" t="n">
        <v>0</v>
      </c>
      <c r="M2423" t="n">
        <v>0</v>
      </c>
      <c r="O2423" t="inlineStr">
        <is>
          <t>2285</t>
        </is>
      </c>
      <c r="Q2423" s="114" t="n">
        <v>0</v>
      </c>
      <c r="R2423" s="114" t="n">
        <v>76.81</v>
      </c>
      <c r="S2423" s="114" t="n">
        <v>0</v>
      </c>
      <c r="T2423" t="n">
        <v>0</v>
      </c>
    </row>
    <row r="2424">
      <c r="A2424" t="inlineStr">
        <is>
          <t>ttJTrans</t>
        </is>
      </c>
      <c r="B2424" s="38" t="inlineStr">
        <is>
          <t>0-4008</t>
        </is>
      </c>
      <c r="C2424" t="inlineStr">
        <is>
          <t>OC</t>
        </is>
      </c>
      <c r="E2424" t="inlineStr">
        <is>
          <t>OC</t>
        </is>
      </c>
      <c r="G2424" s="128" t="inlineStr"/>
      <c r="H2424" s="127" t="n">
        <v>46133</v>
      </c>
      <c r="J2424" s="38" t="inlineStr">
        <is>
          <t>0-4008</t>
        </is>
      </c>
      <c r="K2424" t="inlineStr">
        <is>
          <t>COMDATA 4/06/26 (EU) AUTOZONE #1358 3/29/26</t>
        </is>
      </c>
      <c r="L2424" t="n">
        <v>0</v>
      </c>
      <c r="M2424" t="n">
        <v>0</v>
      </c>
      <c r="O2424" t="inlineStr">
        <is>
          <t>2285</t>
        </is>
      </c>
      <c r="Q2424" s="114" t="n">
        <v>0</v>
      </c>
      <c r="R2424" s="114" t="n">
        <v>-82.98999999999999</v>
      </c>
      <c r="S2424" s="114" t="n">
        <v>0</v>
      </c>
      <c r="T2424" t="n">
        <v>0</v>
      </c>
    </row>
    <row r="2425">
      <c r="A2425" t="inlineStr">
        <is>
          <t>ttJTrans</t>
        </is>
      </c>
      <c r="B2425" s="38" t="inlineStr">
        <is>
          <t>0-4008</t>
        </is>
      </c>
      <c r="C2425" t="inlineStr">
        <is>
          <t>OC</t>
        </is>
      </c>
      <c r="E2425" t="inlineStr">
        <is>
          <t>OC</t>
        </is>
      </c>
      <c r="G2425" s="128" t="inlineStr"/>
      <c r="H2425" s="127" t="n">
        <v>46126</v>
      </c>
      <c r="J2425" s="38" t="inlineStr">
        <is>
          <t>0-4008</t>
        </is>
      </c>
      <c r="K2425" t="inlineStr">
        <is>
          <t>COMDATA 3/23/26 (AS) TRACTOR SUPPLY #2291 3/20/26</t>
        </is>
      </c>
      <c r="L2425" t="n">
        <v>0</v>
      </c>
      <c r="M2425" t="n">
        <v>0</v>
      </c>
      <c r="O2425" t="inlineStr">
        <is>
          <t>2282</t>
        </is>
      </c>
      <c r="Q2425" s="114" t="n">
        <v>0</v>
      </c>
      <c r="R2425" s="114" t="n">
        <v>21.64</v>
      </c>
      <c r="S2425" s="114" t="n">
        <v>0</v>
      </c>
      <c r="T2425" t="n">
        <v>0</v>
      </c>
    </row>
    <row r="2426">
      <c r="A2426" t="inlineStr">
        <is>
          <t>ttJTrans</t>
        </is>
      </c>
      <c r="B2426" s="38" t="inlineStr">
        <is>
          <t>0-4008</t>
        </is>
      </c>
      <c r="C2426" t="inlineStr">
        <is>
          <t>OC</t>
        </is>
      </c>
      <c r="E2426" t="inlineStr">
        <is>
          <t>OC</t>
        </is>
      </c>
      <c r="G2426" s="128" t="inlineStr"/>
      <c r="H2426" s="127" t="n">
        <v>46126</v>
      </c>
      <c r="J2426" s="38" t="inlineStr">
        <is>
          <t>0-4008</t>
        </is>
      </c>
      <c r="K2426" t="inlineStr">
        <is>
          <t>COMDATA 3/23/26 (AS) TRACTOR SUPPLY #2291 3/18/26</t>
        </is>
      </c>
      <c r="L2426" t="n">
        <v>0</v>
      </c>
      <c r="M2426" t="n">
        <v>0</v>
      </c>
      <c r="O2426" t="inlineStr">
        <is>
          <t>2282</t>
        </is>
      </c>
      <c r="Q2426" s="114" t="n">
        <v>0</v>
      </c>
      <c r="R2426" s="114" t="n">
        <v>81.12</v>
      </c>
      <c r="S2426" s="114" t="n">
        <v>0</v>
      </c>
      <c r="T2426" t="n">
        <v>0</v>
      </c>
    </row>
    <row r="2427">
      <c r="A2427" t="inlineStr">
        <is>
          <t>ttJTrans</t>
        </is>
      </c>
      <c r="B2427" s="38" t="inlineStr">
        <is>
          <t>0-4008</t>
        </is>
      </c>
      <c r="C2427" t="inlineStr">
        <is>
          <t>OC</t>
        </is>
      </c>
      <c r="E2427" t="inlineStr">
        <is>
          <t>OC</t>
        </is>
      </c>
      <c r="G2427" s="128" t="inlineStr"/>
      <c r="H2427" s="127" t="n">
        <v>46127</v>
      </c>
      <c r="J2427" s="38" t="inlineStr">
        <is>
          <t>0-4008</t>
        </is>
      </c>
      <c r="K2427" t="inlineStr">
        <is>
          <t>COUPLER PLUG SET / AIR PLUG / BUSHING HEX GALV / BUSHING HEX / RED COUPLING</t>
        </is>
      </c>
      <c r="L2427" t="n">
        <v>0</v>
      </c>
      <c r="M2427" t="n">
        <v>0</v>
      </c>
      <c r="O2427" t="inlineStr">
        <is>
          <t>21265</t>
        </is>
      </c>
      <c r="P2427" t="inlineStr">
        <is>
          <t>WHARTON FEED &amp; SUPPLY LLC</t>
        </is>
      </c>
      <c r="Q2427" s="114" t="n">
        <v>0</v>
      </c>
      <c r="R2427" s="114" t="n">
        <v>52.52</v>
      </c>
      <c r="S2427" s="114" t="n">
        <v>0</v>
      </c>
      <c r="T2427" t="n">
        <v>0</v>
      </c>
    </row>
    <row r="2428">
      <c r="A2428" t="inlineStr">
        <is>
          <t>ttJTrans</t>
        </is>
      </c>
      <c r="B2428" s="38" t="inlineStr">
        <is>
          <t>0-4008</t>
        </is>
      </c>
      <c r="C2428" t="inlineStr">
        <is>
          <t>OC</t>
        </is>
      </c>
      <c r="E2428" t="inlineStr">
        <is>
          <t>OC</t>
        </is>
      </c>
      <c r="G2428" s="128" t="inlineStr"/>
      <c r="H2428" s="127" t="n">
        <v>46127</v>
      </c>
      <c r="J2428" s="38" t="inlineStr">
        <is>
          <t>0-4008</t>
        </is>
      </c>
      <c r="K2428" t="inlineStr">
        <is>
          <t>ROOF TOP STOBE BEACON LIGHT BAR</t>
        </is>
      </c>
      <c r="L2428" t="n">
        <v>0</v>
      </c>
      <c r="M2428" t="n">
        <v>0</v>
      </c>
      <c r="O2428" t="inlineStr">
        <is>
          <t>20395</t>
        </is>
      </c>
      <c r="P2428" t="inlineStr">
        <is>
          <t>AMAZON.COM SERVICES LLC</t>
        </is>
      </c>
      <c r="Q2428" s="114" t="n">
        <v>0</v>
      </c>
      <c r="R2428" s="114" t="n">
        <v>584.1</v>
      </c>
      <c r="S2428" s="114" t="n">
        <v>0</v>
      </c>
      <c r="T2428" t="n">
        <v>0</v>
      </c>
    </row>
    <row r="2429">
      <c r="A2429" t="inlineStr">
        <is>
          <t>ttJTrans</t>
        </is>
      </c>
      <c r="B2429" s="38" t="inlineStr">
        <is>
          <t>0-4008</t>
        </is>
      </c>
      <c r="C2429" t="inlineStr">
        <is>
          <t>OC</t>
        </is>
      </c>
      <c r="E2429" t="inlineStr">
        <is>
          <t>OC</t>
        </is>
      </c>
      <c r="G2429" s="128" t="inlineStr"/>
      <c r="H2429" s="127" t="n">
        <v>46129</v>
      </c>
      <c r="J2429" s="38" t="inlineStr">
        <is>
          <t>0-4008</t>
        </is>
      </c>
      <c r="K2429" t="inlineStr">
        <is>
          <t>25-4005 MARCH USE TAX ADJ</t>
        </is>
      </c>
      <c r="L2429" t="n">
        <v>0</v>
      </c>
      <c r="M2429" t="n">
        <v>0</v>
      </c>
      <c r="Q2429" s="114" t="n">
        <v>0</v>
      </c>
      <c r="R2429" s="114" t="n">
        <v>18.87</v>
      </c>
      <c r="S2429" s="114" t="n">
        <v>0</v>
      </c>
      <c r="T2429" t="n">
        <v>0</v>
      </c>
    </row>
    <row r="2430">
      <c r="A2430" t="inlineStr">
        <is>
          <t>ttJTrans</t>
        </is>
      </c>
      <c r="B2430" s="38" t="inlineStr">
        <is>
          <t>0-4008</t>
        </is>
      </c>
      <c r="C2430" t="inlineStr">
        <is>
          <t>OC</t>
        </is>
      </c>
      <c r="E2430" t="inlineStr">
        <is>
          <t>OC</t>
        </is>
      </c>
      <c r="G2430" s="128" t="inlineStr"/>
      <c r="H2430" s="127" t="n">
        <v>46135</v>
      </c>
      <c r="J2430" s="38" t="inlineStr">
        <is>
          <t>0-4008</t>
        </is>
      </c>
      <c r="K2430" t="inlineStr">
        <is>
          <t>SHADE HARDHAT W REFL TAPE</t>
        </is>
      </c>
      <c r="L2430" t="n">
        <v>0</v>
      </c>
      <c r="M2430" t="n">
        <v>0</v>
      </c>
      <c r="O2430" t="inlineStr">
        <is>
          <t>12561</t>
        </is>
      </c>
      <c r="P2430" t="inlineStr">
        <is>
          <t>CROSS COUNTRY INFRASTRUCTURE SERVICES INC.</t>
        </is>
      </c>
      <c r="Q2430" s="114" t="n">
        <v>0</v>
      </c>
      <c r="R2430" s="114" t="n">
        <v>797.4</v>
      </c>
      <c r="S2430" s="114" t="n">
        <v>0</v>
      </c>
      <c r="T2430" t="n">
        <v>0</v>
      </c>
    </row>
    <row r="2431">
      <c r="A2431" t="inlineStr">
        <is>
          <t>ttJTrans</t>
        </is>
      </c>
      <c r="B2431" s="38" t="inlineStr">
        <is>
          <t>0-4008</t>
        </is>
      </c>
      <c r="C2431" t="inlineStr">
        <is>
          <t>OC</t>
        </is>
      </c>
      <c r="E2431" t="inlineStr">
        <is>
          <t>OC</t>
        </is>
      </c>
      <c r="G2431" s="128" t="inlineStr"/>
      <c r="H2431" s="127" t="n">
        <v>46135</v>
      </c>
      <c r="J2431" s="38" t="inlineStr">
        <is>
          <t>0-4008</t>
        </is>
      </c>
      <c r="K2431" t="inlineStr">
        <is>
          <t>REPAIR KIT</t>
        </is>
      </c>
      <c r="L2431" t="n">
        <v>0</v>
      </c>
      <c r="M2431" t="n">
        <v>0</v>
      </c>
      <c r="O2431" t="inlineStr">
        <is>
          <t>12747</t>
        </is>
      </c>
      <c r="P2431" t="inlineStr">
        <is>
          <t>GRAINGER, INC.</t>
        </is>
      </c>
      <c r="Q2431" s="114" t="n">
        <v>0</v>
      </c>
      <c r="R2431" s="114" t="n">
        <v>242.53</v>
      </c>
      <c r="S2431" s="114" t="n">
        <v>0</v>
      </c>
      <c r="T2431" t="n">
        <v>0</v>
      </c>
    </row>
    <row r="2432">
      <c r="A2432" t="inlineStr">
        <is>
          <t>ttJTrans</t>
        </is>
      </c>
      <c r="B2432" s="38" t="inlineStr">
        <is>
          <t>0-4008</t>
        </is>
      </c>
      <c r="C2432" t="inlineStr">
        <is>
          <t>OC</t>
        </is>
      </c>
      <c r="E2432" t="inlineStr">
        <is>
          <t>OC</t>
        </is>
      </c>
      <c r="G2432" s="128" t="inlineStr"/>
      <c r="H2432" s="127" t="n">
        <v>46134</v>
      </c>
      <c r="J2432" s="38" t="inlineStr">
        <is>
          <t>0-4008</t>
        </is>
      </c>
      <c r="K2432" t="inlineStr">
        <is>
          <t>CHANCELLOR FRANKSON EXPENSE REPORT</t>
        </is>
      </c>
      <c r="L2432" t="n">
        <v>0</v>
      </c>
      <c r="M2432" t="n">
        <v>0</v>
      </c>
      <c r="O2432" t="inlineStr">
        <is>
          <t>21212</t>
        </is>
      </c>
      <c r="P2432" t="inlineStr">
        <is>
          <t>FRANKSON, CHANCELLOR R.</t>
        </is>
      </c>
      <c r="Q2432" s="114" t="n">
        <v>0</v>
      </c>
      <c r="R2432" s="114" t="n">
        <v>129.89</v>
      </c>
      <c r="S2432" s="114" t="n">
        <v>0</v>
      </c>
      <c r="T2432" t="n">
        <v>0</v>
      </c>
    </row>
    <row r="2433">
      <c r="A2433" t="inlineStr">
        <is>
          <t>ttJTrans</t>
        </is>
      </c>
      <c r="B2433" s="38" t="inlineStr">
        <is>
          <t>0-4008</t>
        </is>
      </c>
      <c r="C2433" t="inlineStr">
        <is>
          <t>OC</t>
        </is>
      </c>
      <c r="E2433" t="inlineStr">
        <is>
          <t>OC</t>
        </is>
      </c>
      <c r="G2433" s="128" t="inlineStr"/>
      <c r="H2433" s="127" t="n">
        <v>46140</v>
      </c>
      <c r="J2433" s="38" t="inlineStr">
        <is>
          <t>0-4008</t>
        </is>
      </c>
      <c r="K2433" t="inlineStr">
        <is>
          <t>POPLAR LATH STAKE/ TAPE/ BAG/ RED PAINT/ PINK PAINT/ REBAR STAKE</t>
        </is>
      </c>
      <c r="L2433" t="n">
        <v>0</v>
      </c>
      <c r="M2433" t="n">
        <v>0</v>
      </c>
      <c r="O2433" t="inlineStr">
        <is>
          <t>20746</t>
        </is>
      </c>
      <c r="P2433" t="inlineStr">
        <is>
          <t>ALLTERRA CENTRAL, INC</t>
        </is>
      </c>
      <c r="Q2433" s="114" t="n">
        <v>0</v>
      </c>
      <c r="R2433" s="114" t="n">
        <v>3089.3</v>
      </c>
      <c r="S2433" s="114" t="n">
        <v>0</v>
      </c>
      <c r="T2433" t="n">
        <v>0</v>
      </c>
    </row>
    <row r="2434">
      <c r="A2434" t="inlineStr">
        <is>
          <t>ttJTrans</t>
        </is>
      </c>
      <c r="B2434" s="38" t="inlineStr">
        <is>
          <t>0-4008</t>
        </is>
      </c>
      <c r="C2434" t="inlineStr">
        <is>
          <t>OC</t>
        </is>
      </c>
      <c r="E2434" t="inlineStr">
        <is>
          <t>OC</t>
        </is>
      </c>
      <c r="G2434" s="128" t="inlineStr"/>
      <c r="H2434" s="127" t="n">
        <v>46141</v>
      </c>
      <c r="J2434" s="38" t="inlineStr">
        <is>
          <t>0-4008</t>
        </is>
      </c>
      <c r="K2434" t="inlineStr">
        <is>
          <t>ELECT TAPE/ BALL MARKER LOCATOR/ TENT CANOPY/ FOLDING TABLE/ SAW HORSES/ FRTS625873</t>
        </is>
      </c>
      <c r="L2434" t="n">
        <v>0</v>
      </c>
      <c r="M2434" t="n">
        <v>0</v>
      </c>
      <c r="O2434" t="inlineStr">
        <is>
          <t>12561</t>
        </is>
      </c>
      <c r="P2434" t="inlineStr">
        <is>
          <t>CROSS COUNTRY INFRASTRUCTURE SERVICES INC.</t>
        </is>
      </c>
      <c r="Q2434" s="114" t="n">
        <v>0</v>
      </c>
      <c r="R2434" s="114" t="n">
        <v>4479.6</v>
      </c>
      <c r="S2434" s="114" t="n">
        <v>0</v>
      </c>
      <c r="T2434" t="n">
        <v>0</v>
      </c>
    </row>
    <row r="2435">
      <c r="A2435" t="inlineStr">
        <is>
          <t>ttJTrans</t>
        </is>
      </c>
      <c r="B2435" s="38" t="inlineStr">
        <is>
          <t>0-4008</t>
        </is>
      </c>
      <c r="C2435" t="inlineStr">
        <is>
          <t>OC</t>
        </is>
      </c>
      <c r="E2435" t="inlineStr">
        <is>
          <t>OC</t>
        </is>
      </c>
      <c r="G2435" s="128" t="inlineStr"/>
      <c r="H2435" s="127" t="n">
        <v>46141</v>
      </c>
      <c r="J2435" s="38" t="inlineStr">
        <is>
          <t>0-4008</t>
        </is>
      </c>
      <c r="K2435" t="inlineStr">
        <is>
          <t>STINGER NAIL GUN/ 1IN NAIL PAC W/CAPS / FRT</t>
        </is>
      </c>
      <c r="L2435" t="n">
        <v>0</v>
      </c>
      <c r="M2435" t="n">
        <v>0</v>
      </c>
      <c r="O2435" t="inlineStr">
        <is>
          <t>12561</t>
        </is>
      </c>
      <c r="P2435" t="inlineStr">
        <is>
          <t>CROSS COUNTRY INFRASTRUCTURE SERVICES INC.</t>
        </is>
      </c>
      <c r="Q2435" s="114" t="n">
        <v>0</v>
      </c>
      <c r="R2435" s="114" t="n">
        <v>11301.32</v>
      </c>
      <c r="S2435" s="114" t="n">
        <v>0</v>
      </c>
      <c r="T2435" t="n">
        <v>0</v>
      </c>
    </row>
    <row r="2436">
      <c r="A2436" t="inlineStr">
        <is>
          <t>ttJTrans</t>
        </is>
      </c>
      <c r="B2436" s="38" t="inlineStr">
        <is>
          <t>0-4008</t>
        </is>
      </c>
      <c r="C2436" t="inlineStr">
        <is>
          <t>OC</t>
        </is>
      </c>
      <c r="E2436" t="inlineStr">
        <is>
          <t>OC</t>
        </is>
      </c>
      <c r="G2436" s="128" t="inlineStr"/>
      <c r="H2436" s="127" t="n">
        <v>46141</v>
      </c>
      <c r="J2436" s="38" t="inlineStr">
        <is>
          <t>0-4008</t>
        </is>
      </c>
      <c r="K2436" t="inlineStr">
        <is>
          <t>ABSORBENT PAD OIL ONLY/ STEEL DRUM 55GAL S626349</t>
        </is>
      </c>
      <c r="L2436" t="n">
        <v>0</v>
      </c>
      <c r="M2436" t="n">
        <v>0</v>
      </c>
      <c r="O2436" t="inlineStr">
        <is>
          <t>12561</t>
        </is>
      </c>
      <c r="P2436" t="inlineStr">
        <is>
          <t>CROSS COUNTRY INFRASTRUCTURE SERVICES INC.</t>
        </is>
      </c>
      <c r="Q2436" s="114" t="n">
        <v>0</v>
      </c>
      <c r="R2436" s="114" t="n">
        <v>635.74</v>
      </c>
      <c r="S2436" s="114" t="n">
        <v>0</v>
      </c>
      <c r="T2436" t="n">
        <v>0</v>
      </c>
    </row>
    <row r="2437">
      <c r="A2437" t="inlineStr">
        <is>
          <t>ttJTrans</t>
        </is>
      </c>
      <c r="B2437" s="38" t="inlineStr">
        <is>
          <t>0-4008</t>
        </is>
      </c>
      <c r="C2437" t="inlineStr">
        <is>
          <t>OC</t>
        </is>
      </c>
      <c r="E2437" t="inlineStr">
        <is>
          <t>OC</t>
        </is>
      </c>
      <c r="G2437" s="128" t="inlineStr"/>
      <c r="H2437" s="127" t="n">
        <v>46141</v>
      </c>
      <c r="J2437" s="38" t="inlineStr">
        <is>
          <t>0-4008</t>
        </is>
      </c>
      <c r="K2437" t="inlineStr">
        <is>
          <t>SPEED LIMIT SIGN/ FRT.  S626453</t>
        </is>
      </c>
      <c r="L2437" t="n">
        <v>0</v>
      </c>
      <c r="M2437" t="n">
        <v>0</v>
      </c>
      <c r="O2437" t="inlineStr">
        <is>
          <t>12561</t>
        </is>
      </c>
      <c r="P2437" t="inlineStr">
        <is>
          <t>CROSS COUNTRY INFRASTRUCTURE SERVICES INC.</t>
        </is>
      </c>
      <c r="Q2437" s="114" t="n">
        <v>0</v>
      </c>
      <c r="R2437" s="114" t="n">
        <v>793.91</v>
      </c>
      <c r="S2437" s="114" t="n">
        <v>0</v>
      </c>
      <c r="T2437" t="n">
        <v>0</v>
      </c>
    </row>
    <row r="2438">
      <c r="A2438" t="inlineStr">
        <is>
          <t>ttJTrans</t>
        </is>
      </c>
      <c r="B2438" s="38" t="inlineStr">
        <is>
          <t>0-4008</t>
        </is>
      </c>
      <c r="C2438" t="inlineStr">
        <is>
          <t>OC</t>
        </is>
      </c>
      <c r="E2438" t="inlineStr">
        <is>
          <t>OC</t>
        </is>
      </c>
      <c r="G2438" s="128" t="inlineStr"/>
      <c r="H2438" s="127" t="n">
        <v>46141</v>
      </c>
      <c r="J2438" s="38" t="inlineStr">
        <is>
          <t>0-4008</t>
        </is>
      </c>
      <c r="K2438" t="inlineStr">
        <is>
          <t>PAINT/ 2X20 PVC SCH80 / WATTLE STRAW/ DEF/ RAGS/ GLASS CLNR/ VISQUEEN</t>
        </is>
      </c>
      <c r="L2438" t="n">
        <v>0</v>
      </c>
      <c r="M2438" t="n">
        <v>0</v>
      </c>
      <c r="O2438" t="inlineStr">
        <is>
          <t>12561</t>
        </is>
      </c>
      <c r="P2438" t="inlineStr">
        <is>
          <t>CROSS COUNTRY INFRASTRUCTURE SERVICES INC.</t>
        </is>
      </c>
      <c r="Q2438" s="114" t="n">
        <v>0</v>
      </c>
      <c r="R2438" s="114" t="n">
        <v>7811.34</v>
      </c>
      <c r="S2438" s="114" t="n">
        <v>0</v>
      </c>
      <c r="T2438" t="n">
        <v>0</v>
      </c>
    </row>
    <row r="2439">
      <c r="A2439" t="inlineStr">
        <is>
          <t>ttJTrans</t>
        </is>
      </c>
      <c r="B2439" s="38" t="inlineStr">
        <is>
          <t>0-4008</t>
        </is>
      </c>
      <c r="C2439" t="inlineStr">
        <is>
          <t>OC</t>
        </is>
      </c>
      <c r="E2439" t="inlineStr">
        <is>
          <t>OC</t>
        </is>
      </c>
      <c r="G2439" s="128" t="inlineStr"/>
      <c r="H2439" s="127" t="n">
        <v>46141</v>
      </c>
      <c r="J2439" s="38" t="inlineStr">
        <is>
          <t>0-4008</t>
        </is>
      </c>
      <c r="K2439" t="inlineStr">
        <is>
          <t>Delineator Post with Base 45" Lime</t>
        </is>
      </c>
      <c r="L2439" t="n">
        <v>0</v>
      </c>
      <c r="M2439" t="n">
        <v>0</v>
      </c>
      <c r="O2439" t="inlineStr">
        <is>
          <t>13343</t>
        </is>
      </c>
      <c r="P2439" t="inlineStr">
        <is>
          <t>ULINE INC</t>
        </is>
      </c>
      <c r="Q2439" s="114" t="n">
        <v>0</v>
      </c>
      <c r="R2439" s="114" t="n">
        <v>1285.99</v>
      </c>
      <c r="S2439" s="114" t="n">
        <v>0</v>
      </c>
      <c r="T2439" t="n">
        <v>0</v>
      </c>
    </row>
    <row r="2440">
      <c r="A2440" t="inlineStr">
        <is>
          <t>ttJTrans</t>
        </is>
      </c>
      <c r="B2440" s="38" t="inlineStr">
        <is>
          <t>0-4008</t>
        </is>
      </c>
      <c r="C2440" t="inlineStr">
        <is>
          <t>OC</t>
        </is>
      </c>
      <c r="E2440" t="inlineStr">
        <is>
          <t>OC</t>
        </is>
      </c>
      <c r="G2440" s="128" t="inlineStr"/>
      <c r="H2440" s="127" t="n">
        <v>46142</v>
      </c>
      <c r="J2440" s="38" t="inlineStr">
        <is>
          <t>0-4008</t>
        </is>
      </c>
      <c r="K2440" t="inlineStr">
        <is>
          <t>STOCK CASE FOR IPAD / APPLE IPAD</t>
        </is>
      </c>
      <c r="L2440" t="n">
        <v>0</v>
      </c>
      <c r="M2440" t="n">
        <v>0</v>
      </c>
      <c r="O2440" t="inlineStr">
        <is>
          <t>20395</t>
        </is>
      </c>
      <c r="P2440" t="inlineStr">
        <is>
          <t>AMAZON.COM SERVICES LLC</t>
        </is>
      </c>
      <c r="Q2440" s="114" t="n">
        <v>0</v>
      </c>
      <c r="R2440" s="114" t="n">
        <v>3131.82</v>
      </c>
      <c r="S2440" s="114" t="n">
        <v>0</v>
      </c>
      <c r="T2440" t="n">
        <v>0</v>
      </c>
    </row>
    <row r="2441">
      <c r="A2441" t="inlineStr">
        <is>
          <t>ttJTrans</t>
        </is>
      </c>
      <c r="B2441" s="38" t="inlineStr">
        <is>
          <t>0-4008</t>
        </is>
      </c>
      <c r="C2441" t="inlineStr">
        <is>
          <t>OC</t>
        </is>
      </c>
      <c r="E2441" t="inlineStr">
        <is>
          <t>OC</t>
        </is>
      </c>
      <c r="G2441" s="128" t="inlineStr"/>
      <c r="H2441" s="127" t="n">
        <v>46142</v>
      </c>
      <c r="J2441" s="38" t="inlineStr">
        <is>
          <t>0-4008</t>
        </is>
      </c>
      <c r="K2441" t="inlineStr">
        <is>
          <t>3 RING BINDER / INK</t>
        </is>
      </c>
      <c r="L2441" t="n">
        <v>0</v>
      </c>
      <c r="M2441" t="n">
        <v>0</v>
      </c>
      <c r="O2441" t="inlineStr">
        <is>
          <t>20395</t>
        </is>
      </c>
      <c r="P2441" t="inlineStr">
        <is>
          <t>AMAZON.COM SERVICES LLC</t>
        </is>
      </c>
      <c r="Q2441" s="114" t="n">
        <v>0</v>
      </c>
      <c r="R2441" s="114" t="n">
        <v>252.82</v>
      </c>
      <c r="S2441" s="114" t="n">
        <v>0</v>
      </c>
      <c r="T2441" t="n">
        <v>0</v>
      </c>
    </row>
    <row r="2442">
      <c r="A2442" t="inlineStr">
        <is>
          <t>ttJTrans</t>
        </is>
      </c>
      <c r="B2442" s="38" t="inlineStr">
        <is>
          <t>0-4008</t>
        </is>
      </c>
      <c r="C2442" t="inlineStr">
        <is>
          <t>OC</t>
        </is>
      </c>
      <c r="E2442" t="inlineStr">
        <is>
          <t>OC</t>
        </is>
      </c>
      <c r="G2442" s="128" t="inlineStr"/>
      <c r="H2442" s="127" t="n">
        <v>46142</v>
      </c>
      <c r="J2442" s="38" t="inlineStr">
        <is>
          <t>0-4008</t>
        </is>
      </c>
      <c r="K2442" t="inlineStr">
        <is>
          <t>SAFE RETRACTABLE BOX CUTTING KNIFE</t>
        </is>
      </c>
      <c r="L2442" t="n">
        <v>0</v>
      </c>
      <c r="M2442" t="n">
        <v>0</v>
      </c>
      <c r="O2442" t="inlineStr">
        <is>
          <t>20395</t>
        </is>
      </c>
      <c r="P2442" t="inlineStr">
        <is>
          <t>AMAZON.COM SERVICES LLC</t>
        </is>
      </c>
      <c r="Q2442" s="114" t="n">
        <v>0</v>
      </c>
      <c r="R2442" s="114" t="n">
        <v>209.6</v>
      </c>
      <c r="S2442" s="114" t="n">
        <v>0</v>
      </c>
      <c r="T2442" t="n">
        <v>0</v>
      </c>
    </row>
    <row r="2443">
      <c r="A2443" t="inlineStr">
        <is>
          <t>ttJTrans</t>
        </is>
      </c>
      <c r="B2443" s="38" t="inlineStr">
        <is>
          <t>0-4008</t>
        </is>
      </c>
      <c r="C2443" t="inlineStr">
        <is>
          <t>OC</t>
        </is>
      </c>
      <c r="E2443" t="inlineStr">
        <is>
          <t>OC</t>
        </is>
      </c>
      <c r="G2443" s="128" t="inlineStr"/>
      <c r="H2443" s="127" t="n">
        <v>46156</v>
      </c>
      <c r="J2443" s="38" t="inlineStr">
        <is>
          <t>0-4008</t>
        </is>
      </c>
      <c r="K2443" t="inlineStr">
        <is>
          <t>HAULING OF 1 LOAD OF DIGGING MATS FROM MIDLAND YARD TO WHARTON JOBSITE</t>
        </is>
      </c>
      <c r="L2443" t="n">
        <v>0</v>
      </c>
      <c r="M2443" t="n">
        <v>0</v>
      </c>
      <c r="O2443" t="inlineStr">
        <is>
          <t>12843</t>
        </is>
      </c>
      <c r="P2443" t="inlineStr">
        <is>
          <t>JONES TRANSPORT, LLC</t>
        </is>
      </c>
      <c r="Q2443" s="114" t="n">
        <v>0</v>
      </c>
      <c r="R2443" s="114" t="n">
        <v>1800</v>
      </c>
      <c r="S2443" s="114" t="n">
        <v>0</v>
      </c>
      <c r="T2443" t="n">
        <v>0</v>
      </c>
    </row>
    <row r="2444">
      <c r="A2444" t="inlineStr">
        <is>
          <t>ttJTrans</t>
        </is>
      </c>
      <c r="B2444" s="38" t="inlineStr">
        <is>
          <t>0-4008</t>
        </is>
      </c>
      <c r="C2444" t="inlineStr">
        <is>
          <t>OC</t>
        </is>
      </c>
      <c r="E2444" t="inlineStr">
        <is>
          <t>OC</t>
        </is>
      </c>
      <c r="G2444" s="128" t="inlineStr"/>
      <c r="H2444" s="127" t="n">
        <v>46152</v>
      </c>
      <c r="J2444" s="38" t="inlineStr">
        <is>
          <t>0-4008</t>
        </is>
      </c>
      <c r="K2444" t="inlineStr">
        <is>
          <t>FUEL</t>
        </is>
      </c>
      <c r="L2444" t="n">
        <v>0</v>
      </c>
      <c r="M2444" t="n">
        <v>0</v>
      </c>
      <c r="O2444" t="inlineStr">
        <is>
          <t>12806</t>
        </is>
      </c>
      <c r="P2444" t="inlineStr">
        <is>
          <t>HOLT CAT</t>
        </is>
      </c>
      <c r="Q2444" s="114" t="n">
        <v>0</v>
      </c>
      <c r="R2444" s="114" t="n">
        <v>171.51</v>
      </c>
      <c r="S2444" s="114" t="n">
        <v>0</v>
      </c>
      <c r="T2444" t="n">
        <v>0</v>
      </c>
    </row>
    <row r="2445">
      <c r="A2445" t="inlineStr">
        <is>
          <t>ttJTrans</t>
        </is>
      </c>
      <c r="B2445" s="38" t="inlineStr">
        <is>
          <t>0-4008</t>
        </is>
      </c>
      <c r="C2445" t="inlineStr">
        <is>
          <t>OC</t>
        </is>
      </c>
      <c r="E2445" t="inlineStr">
        <is>
          <t>OC</t>
        </is>
      </c>
      <c r="G2445" s="128" t="inlineStr"/>
      <c r="H2445" s="127" t="n">
        <v>46152</v>
      </c>
      <c r="J2445" s="38" t="inlineStr">
        <is>
          <t>0-4008</t>
        </is>
      </c>
      <c r="K2445" t="inlineStr">
        <is>
          <t>55GAL STEEL DRUM/ CAP T-POST SLIP ON</t>
        </is>
      </c>
      <c r="L2445" t="n">
        <v>0</v>
      </c>
      <c r="M2445" t="n">
        <v>0</v>
      </c>
      <c r="O2445" t="inlineStr">
        <is>
          <t>12561</t>
        </is>
      </c>
      <c r="P2445" t="inlineStr">
        <is>
          <t>CROSS COUNTRY INFRASTRUCTURE SERVICES INC.</t>
        </is>
      </c>
      <c r="Q2445" s="114" t="n">
        <v>0</v>
      </c>
      <c r="R2445" s="114" t="n">
        <v>881.04</v>
      </c>
      <c r="S2445" s="114" t="n">
        <v>0</v>
      </c>
      <c r="T2445" t="n">
        <v>0</v>
      </c>
    </row>
    <row r="2446">
      <c r="A2446" t="inlineStr">
        <is>
          <t>ttJTrans</t>
        </is>
      </c>
      <c r="B2446" s="38" t="inlineStr">
        <is>
          <t>0-4008</t>
        </is>
      </c>
      <c r="C2446" t="inlineStr">
        <is>
          <t>OC</t>
        </is>
      </c>
      <c r="E2446" t="inlineStr">
        <is>
          <t>OC</t>
        </is>
      </c>
      <c r="G2446" s="128" t="inlineStr"/>
      <c r="H2446" s="127" t="n">
        <v>46147</v>
      </c>
      <c r="J2446" s="38" t="inlineStr">
        <is>
          <t>0-4008</t>
        </is>
      </c>
      <c r="K2446" t="inlineStr">
        <is>
          <t>SITL FENCE ERIOUSION CONTROL SUPPLIES S624996 LUKE</t>
        </is>
      </c>
      <c r="L2446" t="n">
        <v>0</v>
      </c>
      <c r="M2446" t="n">
        <v>0</v>
      </c>
      <c r="O2446" t="inlineStr">
        <is>
          <t>12561</t>
        </is>
      </c>
      <c r="P2446" t="inlineStr">
        <is>
          <t>CROSS COUNTRY INFRASTRUCTURE SERVICES INC.</t>
        </is>
      </c>
      <c r="Q2446" s="114" t="n">
        <v>0</v>
      </c>
      <c r="R2446" s="114" t="n">
        <v>12484.86</v>
      </c>
      <c r="S2446" s="114" t="n">
        <v>0</v>
      </c>
      <c r="T2446" t="n">
        <v>0</v>
      </c>
    </row>
    <row r="2447">
      <c r="A2447" t="inlineStr">
        <is>
          <t>ttJTrans</t>
        </is>
      </c>
      <c r="B2447" s="38" t="inlineStr">
        <is>
          <t>0-4008</t>
        </is>
      </c>
      <c r="C2447" t="inlineStr">
        <is>
          <t>OC</t>
        </is>
      </c>
      <c r="E2447" t="inlineStr">
        <is>
          <t>OC</t>
        </is>
      </c>
      <c r="G2447" s="128" t="inlineStr"/>
      <c r="H2447" s="127" t="n">
        <v>46147</v>
      </c>
      <c r="J2447" s="38" t="inlineStr">
        <is>
          <t>0-4008</t>
        </is>
      </c>
      <c r="K2447" t="inlineStr">
        <is>
          <t>SNAKE GAITERS</t>
        </is>
      </c>
      <c r="L2447" t="n">
        <v>0</v>
      </c>
      <c r="M2447" t="n">
        <v>0</v>
      </c>
      <c r="O2447" t="inlineStr">
        <is>
          <t>20395</t>
        </is>
      </c>
      <c r="P2447" t="inlineStr">
        <is>
          <t>AMAZON.COM SERVICES LLC</t>
        </is>
      </c>
      <c r="Q2447" s="114" t="n">
        <v>0</v>
      </c>
      <c r="R2447" s="114" t="n">
        <v>519.45</v>
      </c>
      <c r="S2447" s="114" t="n">
        <v>0</v>
      </c>
      <c r="T2447" t="n">
        <v>0</v>
      </c>
    </row>
    <row r="2448">
      <c r="A2448" t="inlineStr">
        <is>
          <t>ttJTrans</t>
        </is>
      </c>
      <c r="B2448" s="38" t="inlineStr">
        <is>
          <t>0-4008</t>
        </is>
      </c>
      <c r="C2448" t="inlineStr">
        <is>
          <t>OC</t>
        </is>
      </c>
      <c r="E2448" t="inlineStr">
        <is>
          <t>OC</t>
        </is>
      </c>
      <c r="G2448" s="128" t="inlineStr"/>
      <c r="H2448" s="127" t="n">
        <v>46147</v>
      </c>
      <c r="J2448" s="38" t="inlineStr">
        <is>
          <t>0-4008</t>
        </is>
      </c>
      <c r="K2448" t="inlineStr">
        <is>
          <t>EXTERNAL HARD DRIVE / MEMORY CARD</t>
        </is>
      </c>
      <c r="L2448" t="n">
        <v>0</v>
      </c>
      <c r="M2448" t="n">
        <v>0</v>
      </c>
      <c r="O2448" t="inlineStr">
        <is>
          <t>20395</t>
        </is>
      </c>
      <c r="P2448" t="inlineStr">
        <is>
          <t>AMAZON.COM SERVICES LLC</t>
        </is>
      </c>
      <c r="Q2448" s="114" t="n">
        <v>0</v>
      </c>
      <c r="R2448" s="114" t="n">
        <v>536.15</v>
      </c>
      <c r="S2448" s="114" t="n">
        <v>0</v>
      </c>
      <c r="T2448" t="n">
        <v>0</v>
      </c>
    </row>
    <row r="2449">
      <c r="A2449" t="inlineStr">
        <is>
          <t>ttJTrans</t>
        </is>
      </c>
      <c r="B2449" s="38" t="inlineStr">
        <is>
          <t>0-4008</t>
        </is>
      </c>
      <c r="C2449" t="inlineStr">
        <is>
          <t>OC</t>
        </is>
      </c>
      <c r="E2449" t="inlineStr">
        <is>
          <t>OC</t>
        </is>
      </c>
      <c r="G2449" s="128" t="inlineStr"/>
      <c r="H2449" s="127" t="n">
        <v>46147</v>
      </c>
      <c r="J2449" s="38" t="inlineStr">
        <is>
          <t>0-4008</t>
        </is>
      </c>
      <c r="K2449" t="inlineStr">
        <is>
          <t>BITTING INSECT REPELENT</t>
        </is>
      </c>
      <c r="L2449" t="n">
        <v>0</v>
      </c>
      <c r="M2449" t="n">
        <v>0</v>
      </c>
      <c r="O2449" t="inlineStr">
        <is>
          <t>21265</t>
        </is>
      </c>
      <c r="P2449" t="inlineStr">
        <is>
          <t>WHARTON FEED &amp; SUPPLY LLC</t>
        </is>
      </c>
      <c r="Q2449" s="114" t="n">
        <v>0</v>
      </c>
      <c r="R2449" s="114" t="n">
        <v>285.52</v>
      </c>
      <c r="S2449" s="114" t="n">
        <v>0</v>
      </c>
      <c r="T2449" t="n">
        <v>0</v>
      </c>
    </row>
    <row r="2450">
      <c r="A2450" t="inlineStr">
        <is>
          <t>ttJTrans</t>
        </is>
      </c>
      <c r="B2450" s="38" t="inlineStr">
        <is>
          <t>0-4008</t>
        </is>
      </c>
      <c r="C2450" t="inlineStr">
        <is>
          <t>OC</t>
        </is>
      </c>
      <c r="E2450" t="inlineStr">
        <is>
          <t>OC</t>
        </is>
      </c>
      <c r="G2450" s="128" t="inlineStr"/>
      <c r="H2450" s="127" t="n">
        <v>46147</v>
      </c>
      <c r="J2450" s="38" t="inlineStr">
        <is>
          <t>0-4008</t>
        </is>
      </c>
      <c r="K2450" t="inlineStr">
        <is>
          <t>WHC HATS</t>
        </is>
      </c>
      <c r="L2450" t="n">
        <v>0</v>
      </c>
      <c r="M2450" t="n">
        <v>0</v>
      </c>
      <c r="O2450" t="inlineStr">
        <is>
          <t>12311</t>
        </is>
      </c>
      <c r="P2450" t="inlineStr">
        <is>
          <t>ACTION SPECIALTIES, LLC</t>
        </is>
      </c>
      <c r="Q2450" s="114" t="n">
        <v>0</v>
      </c>
      <c r="R2450" s="114" t="n">
        <v>5072.58</v>
      </c>
      <c r="S2450" s="114" t="n">
        <v>0</v>
      </c>
      <c r="T2450" t="n">
        <v>0</v>
      </c>
    </row>
    <row r="2451">
      <c r="A2451" t="inlineStr">
        <is>
          <t>ttJTrans</t>
        </is>
      </c>
      <c r="B2451" s="38" t="inlineStr">
        <is>
          <t>0-4008</t>
        </is>
      </c>
      <c r="C2451" t="inlineStr">
        <is>
          <t>OC</t>
        </is>
      </c>
      <c r="E2451" t="inlineStr">
        <is>
          <t>OC</t>
        </is>
      </c>
      <c r="G2451" s="128" t="inlineStr"/>
      <c r="H2451" s="127" t="n">
        <v>46147</v>
      </c>
      <c r="J2451" s="38" t="inlineStr">
        <is>
          <t>0-4008</t>
        </is>
      </c>
      <c r="K2451" t="inlineStr">
        <is>
          <t>WHC HATS</t>
        </is>
      </c>
      <c r="L2451" t="n">
        <v>0</v>
      </c>
      <c r="M2451" t="n">
        <v>0</v>
      </c>
      <c r="O2451" t="inlineStr">
        <is>
          <t>12311</t>
        </is>
      </c>
      <c r="P2451" t="inlineStr">
        <is>
          <t>ACTION SPECIALTIES, LLC</t>
        </is>
      </c>
      <c r="Q2451" s="114" t="n">
        <v>0</v>
      </c>
      <c r="R2451" s="114" t="n">
        <v>247.72</v>
      </c>
      <c r="S2451" s="114" t="n">
        <v>0</v>
      </c>
      <c r="T2451" t="n">
        <v>0</v>
      </c>
    </row>
    <row r="2452">
      <c r="A2452" t="inlineStr">
        <is>
          <t>ttJTrans</t>
        </is>
      </c>
      <c r="B2452" s="38" t="inlineStr">
        <is>
          <t>0-4008</t>
        </is>
      </c>
      <c r="C2452" t="inlineStr">
        <is>
          <t>OC</t>
        </is>
      </c>
      <c r="E2452" t="inlineStr">
        <is>
          <t>OC</t>
        </is>
      </c>
      <c r="G2452" s="128" t="inlineStr"/>
      <c r="H2452" s="127" t="n">
        <v>46147</v>
      </c>
      <c r="J2452" s="38" t="inlineStr">
        <is>
          <t>0-4008</t>
        </is>
      </c>
      <c r="K2452" t="inlineStr">
        <is>
          <t>SCREW PIN ANCHOR SHACKLE/ PORTABLE BAND SAW BLADE/ DUCT TAPE/ ELECT TAPE/ TACKY RED GREASE/ RAGS/ GLASS CLNR/ BROOM/ CALBLE TIES/ PAINT MARKER/ TAPE MEASURE</t>
        </is>
      </c>
      <c r="L2452" t="n">
        <v>0</v>
      </c>
      <c r="M2452" t="n">
        <v>0</v>
      </c>
      <c r="O2452" t="inlineStr">
        <is>
          <t>19480</t>
        </is>
      </c>
      <c r="P2452" t="inlineStr">
        <is>
          <t>TOTAL TOOL SUPPLY LLC</t>
        </is>
      </c>
      <c r="Q2452" s="114" t="n">
        <v>0</v>
      </c>
      <c r="R2452" s="114" t="n">
        <v>1891.14</v>
      </c>
      <c r="S2452" s="114" t="n">
        <v>0</v>
      </c>
      <c r="T2452" t="n">
        <v>0</v>
      </c>
    </row>
    <row r="2453">
      <c r="A2453" t="inlineStr">
        <is>
          <t>ttJTrans</t>
        </is>
      </c>
      <c r="B2453" s="38" t="inlineStr">
        <is>
          <t>0-4008</t>
        </is>
      </c>
      <c r="C2453" t="inlineStr">
        <is>
          <t>OC</t>
        </is>
      </c>
      <c r="E2453" t="inlineStr">
        <is>
          <t>OC</t>
        </is>
      </c>
      <c r="G2453" s="128" t="inlineStr"/>
      <c r="H2453" s="127" t="n">
        <v>46149</v>
      </c>
      <c r="J2453" s="38" t="inlineStr">
        <is>
          <t>0-4008</t>
        </is>
      </c>
      <c r="K2453" t="inlineStr">
        <is>
          <t>25-4005 SIGNS</t>
        </is>
      </c>
      <c r="L2453" t="n">
        <v>0</v>
      </c>
      <c r="M2453" t="n">
        <v>0</v>
      </c>
      <c r="O2453" t="inlineStr">
        <is>
          <t>21346</t>
        </is>
      </c>
      <c r="P2453" t="inlineStr">
        <is>
          <t>LOWRY'S SIGN SHOP</t>
        </is>
      </c>
      <c r="Q2453" s="114" t="n">
        <v>0</v>
      </c>
      <c r="R2453" s="114" t="n">
        <v>2844.9</v>
      </c>
      <c r="S2453" s="114" t="n">
        <v>0</v>
      </c>
      <c r="T2453" t="n">
        <v>0</v>
      </c>
    </row>
    <row r="2454">
      <c r="A2454" t="inlineStr">
        <is>
          <t>ttJTrans</t>
        </is>
      </c>
      <c r="B2454" s="38" t="inlineStr">
        <is>
          <t>0-4008</t>
        </is>
      </c>
      <c r="C2454" t="inlineStr">
        <is>
          <t>OC</t>
        </is>
      </c>
      <c r="E2454" t="inlineStr">
        <is>
          <t>OC</t>
        </is>
      </c>
      <c r="G2454" s="128" t="inlineStr"/>
      <c r="H2454" s="127" t="n">
        <v>46149</v>
      </c>
      <c r="J2454" s="38" t="inlineStr">
        <is>
          <t>0-4008</t>
        </is>
      </c>
      <c r="K2454" t="inlineStr">
        <is>
          <t>25-4005 SIGNS</t>
        </is>
      </c>
      <c r="L2454" t="n">
        <v>0</v>
      </c>
      <c r="M2454" t="n">
        <v>0</v>
      </c>
      <c r="O2454" t="inlineStr">
        <is>
          <t>21346</t>
        </is>
      </c>
      <c r="P2454" t="inlineStr">
        <is>
          <t>LOWRY'S SIGN SHOP</t>
        </is>
      </c>
      <c r="Q2454" s="114" t="n">
        <v>0</v>
      </c>
      <c r="R2454" s="114" t="n">
        <v>65</v>
      </c>
      <c r="S2454" s="114" t="n">
        <v>0</v>
      </c>
      <c r="T2454" t="n">
        <v>0</v>
      </c>
    </row>
    <row r="2455">
      <c r="A2455" t="inlineStr">
        <is>
          <t>ttJTrans</t>
        </is>
      </c>
      <c r="B2455" s="38" t="inlineStr">
        <is>
          <t>0-4008</t>
        </is>
      </c>
      <c r="C2455" t="inlineStr">
        <is>
          <t>OC</t>
        </is>
      </c>
      <c r="E2455" t="inlineStr">
        <is>
          <t>OC</t>
        </is>
      </c>
      <c r="G2455" s="128" t="inlineStr"/>
      <c r="H2455" s="127" t="n">
        <v>46153</v>
      </c>
      <c r="J2455" s="38" t="inlineStr">
        <is>
          <t>0-4008</t>
        </is>
      </c>
      <c r="K2455" t="inlineStr">
        <is>
          <t>LUMEN LED SHOPLIGHT / MAGNET SWING HOOK / CONNECTOR</t>
        </is>
      </c>
      <c r="L2455" t="n">
        <v>0</v>
      </c>
      <c r="M2455" t="n">
        <v>0</v>
      </c>
      <c r="O2455" t="inlineStr">
        <is>
          <t>12808</t>
        </is>
      </c>
      <c r="P2455" t="inlineStr">
        <is>
          <t>HOME DEPOT CREDIT SERVICES</t>
        </is>
      </c>
      <c r="Q2455" s="114" t="n">
        <v>0</v>
      </c>
      <c r="R2455" s="114" t="n">
        <v>461.85</v>
      </c>
      <c r="S2455" s="114" t="n">
        <v>0</v>
      </c>
      <c r="T2455" t="n">
        <v>0</v>
      </c>
    </row>
    <row r="2456">
      <c r="A2456" t="inlineStr">
        <is>
          <t>ttJTrans</t>
        </is>
      </c>
      <c r="B2456" s="38" t="inlineStr">
        <is>
          <t>0-4008</t>
        </is>
      </c>
      <c r="C2456" t="inlineStr">
        <is>
          <t>OC</t>
        </is>
      </c>
      <c r="E2456" t="inlineStr">
        <is>
          <t>OC</t>
        </is>
      </c>
      <c r="G2456" s="128" t="inlineStr"/>
      <c r="H2456" s="127" t="n">
        <v>46153</v>
      </c>
      <c r="J2456" s="38" t="inlineStr">
        <is>
          <t>0-4008</t>
        </is>
      </c>
      <c r="K2456" t="inlineStr">
        <is>
          <t>POWER CABLE</t>
        </is>
      </c>
      <c r="L2456" t="n">
        <v>0</v>
      </c>
      <c r="M2456" t="n">
        <v>0</v>
      </c>
      <c r="O2456" t="inlineStr">
        <is>
          <t>20395</t>
        </is>
      </c>
      <c r="P2456" t="inlineStr">
        <is>
          <t>AMAZON.COM SERVICES LLC</t>
        </is>
      </c>
      <c r="Q2456" s="114" t="n">
        <v>0</v>
      </c>
      <c r="R2456" s="114" t="n">
        <v>32.46</v>
      </c>
      <c r="S2456" s="114" t="n">
        <v>0</v>
      </c>
      <c r="T2456" t="n">
        <v>0</v>
      </c>
    </row>
    <row r="2457">
      <c r="A2457" t="inlineStr">
        <is>
          <t>ttJTrans</t>
        </is>
      </c>
      <c r="B2457" s="38" t="inlineStr">
        <is>
          <t>0-4008</t>
        </is>
      </c>
      <c r="C2457" t="inlineStr">
        <is>
          <t>OC</t>
        </is>
      </c>
      <c r="E2457" t="inlineStr">
        <is>
          <t>OC</t>
        </is>
      </c>
      <c r="G2457" s="128" t="inlineStr"/>
      <c r="H2457" s="127" t="n">
        <v>46156</v>
      </c>
      <c r="J2457" s="38" t="inlineStr">
        <is>
          <t>0-4008</t>
        </is>
      </c>
      <c r="K2457" t="inlineStr">
        <is>
          <t>KELLUM GRIPS</t>
        </is>
      </c>
      <c r="L2457" t="n">
        <v>0</v>
      </c>
      <c r="M2457" t="n">
        <v>0</v>
      </c>
      <c r="O2457" t="inlineStr">
        <is>
          <t>19480</t>
        </is>
      </c>
      <c r="P2457" t="inlineStr">
        <is>
          <t>TOTAL TOOL SUPPLY LLC</t>
        </is>
      </c>
      <c r="Q2457" s="114" t="n">
        <v>0</v>
      </c>
      <c r="R2457" s="114" t="n">
        <v>17097.99</v>
      </c>
      <c r="S2457" s="114" t="n">
        <v>0</v>
      </c>
      <c r="T2457" t="n">
        <v>0</v>
      </c>
    </row>
    <row r="2458">
      <c r="A2458" t="inlineStr">
        <is>
          <t>ttJTrans</t>
        </is>
      </c>
      <c r="B2458" s="38" t="inlineStr">
        <is>
          <t>0-4008</t>
        </is>
      </c>
      <c r="C2458" t="inlineStr">
        <is>
          <t>OC</t>
        </is>
      </c>
      <c r="E2458" t="inlineStr">
        <is>
          <t>OC</t>
        </is>
      </c>
      <c r="G2458" s="128" t="inlineStr"/>
      <c r="H2458" s="127" t="n">
        <v>46152</v>
      </c>
      <c r="J2458" s="38" t="inlineStr">
        <is>
          <t>0-4008</t>
        </is>
      </c>
      <c r="K2458" t="inlineStr">
        <is>
          <t>GAS ALERT MAX XT/ CHARGER/ MONITOR PROBE/ DEMAND FLOW REGULATOR</t>
        </is>
      </c>
      <c r="L2458" t="n">
        <v>0</v>
      </c>
      <c r="M2458" t="n">
        <v>0</v>
      </c>
      <c r="O2458" t="inlineStr">
        <is>
          <t>12287</t>
        </is>
      </c>
      <c r="P2458" t="inlineStr">
        <is>
          <t>24 HOUR SAFETY LLC</t>
        </is>
      </c>
      <c r="Q2458" s="114" t="n">
        <v>0</v>
      </c>
      <c r="R2458" s="114" t="n">
        <v>2834.42</v>
      </c>
      <c r="S2458" s="114" t="n">
        <v>0</v>
      </c>
      <c r="T2458" t="n">
        <v>0</v>
      </c>
    </row>
    <row r="2459">
      <c r="A2459" t="inlineStr">
        <is>
          <t>ttJTrans</t>
        </is>
      </c>
      <c r="B2459" s="38" t="inlineStr">
        <is>
          <t>0-4008</t>
        </is>
      </c>
      <c r="C2459" t="inlineStr">
        <is>
          <t>OC</t>
        </is>
      </c>
      <c r="E2459" t="inlineStr">
        <is>
          <t>OC</t>
        </is>
      </c>
      <c r="G2459" s="128" t="inlineStr"/>
      <c r="H2459" s="127" t="n">
        <v>46152</v>
      </c>
      <c r="J2459" s="38" t="inlineStr">
        <is>
          <t>0-4008</t>
        </is>
      </c>
      <c r="K2459" t="inlineStr">
        <is>
          <t>PARTIAL CREDIT FOR INVOICE 9872717419 FOR A REPAIR KIT</t>
        </is>
      </c>
      <c r="L2459" t="n">
        <v>0</v>
      </c>
      <c r="M2459" t="n">
        <v>0</v>
      </c>
      <c r="O2459" t="inlineStr">
        <is>
          <t>12747</t>
        </is>
      </c>
      <c r="P2459" t="inlineStr">
        <is>
          <t>GRAINGER, INC.</t>
        </is>
      </c>
      <c r="Q2459" s="114" t="n">
        <v>0</v>
      </c>
      <c r="R2459" s="114" t="n">
        <v>-227.7</v>
      </c>
      <c r="S2459" s="114" t="n">
        <v>0</v>
      </c>
      <c r="T2459" t="n">
        <v>0</v>
      </c>
    </row>
    <row r="2460">
      <c r="A2460" t="inlineStr">
        <is>
          <t>ttJTrans</t>
        </is>
      </c>
      <c r="B2460" s="38" t="inlineStr">
        <is>
          <t>0-4008</t>
        </is>
      </c>
      <c r="C2460" t="inlineStr">
        <is>
          <t>OC</t>
        </is>
      </c>
      <c r="E2460" t="inlineStr">
        <is>
          <t>OC</t>
        </is>
      </c>
      <c r="G2460" s="128" t="inlineStr"/>
      <c r="H2460" s="127" t="n">
        <v>46159</v>
      </c>
      <c r="J2460" s="38" t="inlineStr">
        <is>
          <t>0-4008</t>
        </is>
      </c>
      <c r="K2460" t="inlineStr">
        <is>
          <t>KELLUM GRIPS/ 50FT DOUBLE BRAID ROPE</t>
        </is>
      </c>
      <c r="L2460" t="n">
        <v>0</v>
      </c>
      <c r="M2460" t="n">
        <v>0</v>
      </c>
      <c r="O2460" t="inlineStr">
        <is>
          <t>19480</t>
        </is>
      </c>
      <c r="P2460" t="inlineStr">
        <is>
          <t>TOTAL TOOL SUPPLY LLC</t>
        </is>
      </c>
      <c r="Q2460" s="114" t="n">
        <v>0</v>
      </c>
      <c r="R2460" s="114" t="n">
        <v>6357.53</v>
      </c>
      <c r="S2460" s="114" t="n">
        <v>0</v>
      </c>
      <c r="T2460" t="n">
        <v>0</v>
      </c>
    </row>
    <row r="2461">
      <c r="A2461" t="inlineStr">
        <is>
          <t>ttJTrans</t>
        </is>
      </c>
      <c r="B2461" s="38" t="inlineStr">
        <is>
          <t>0-4010</t>
        </is>
      </c>
      <c r="C2461" t="inlineStr">
        <is>
          <t>OC</t>
        </is>
      </c>
      <c r="D2461" t="inlineStr">
        <is>
          <t>MA1010837</t>
        </is>
      </c>
      <c r="E2461" t="inlineStr">
        <is>
          <t>OC</t>
        </is>
      </c>
      <c r="F2461" t="inlineStr">
        <is>
          <t>MA1010837</t>
        </is>
      </c>
      <c r="G2461" s="128" t="n">
        <v>46140</v>
      </c>
      <c r="H2461" s="127" t="n">
        <v>46143</v>
      </c>
      <c r="I2461" t="inlineStr">
        <is>
          <t>11</t>
        </is>
      </c>
      <c r="J2461" s="38" t="inlineStr">
        <is>
          <t>0-4010</t>
        </is>
      </c>
      <c r="K2461" t="inlineStr">
        <is>
          <t>GREASE TUBE HIGH TEMP RED 14OZ</t>
        </is>
      </c>
      <c r="L2461" t="n">
        <v>5</v>
      </c>
      <c r="M2461" t="n">
        <v>342.88</v>
      </c>
      <c r="N2461" t="inlineStr">
        <is>
          <t>PO:COMMIT</t>
        </is>
      </c>
      <c r="O2461" t="inlineStr">
        <is>
          <t>12561</t>
        </is>
      </c>
      <c r="P2461" t="inlineStr">
        <is>
          <t>CROSS COUNTRY INFRASTRUCTURE SERVICES INC.</t>
        </is>
      </c>
      <c r="Q2461" s="114" t="n">
        <v>0</v>
      </c>
      <c r="R2461" s="114" t="n">
        <v>0</v>
      </c>
      <c r="S2461" s="114" t="n">
        <v>342.88</v>
      </c>
      <c r="T2461" t="n">
        <v>0</v>
      </c>
    </row>
    <row r="2462">
      <c r="A2462" t="inlineStr">
        <is>
          <t>ttJTrans</t>
        </is>
      </c>
      <c r="B2462" s="38" t="inlineStr">
        <is>
          <t>0-4010</t>
        </is>
      </c>
      <c r="C2462" t="inlineStr">
        <is>
          <t>OC</t>
        </is>
      </c>
      <c r="D2462" t="inlineStr">
        <is>
          <t>MA1010837</t>
        </is>
      </c>
      <c r="E2462" t="inlineStr">
        <is>
          <t>OC</t>
        </is>
      </c>
      <c r="F2462" t="inlineStr">
        <is>
          <t>MA1010837</t>
        </is>
      </c>
      <c r="G2462" s="128" t="n">
        <v>46140</v>
      </c>
      <c r="H2462" s="127" t="n">
        <v>46143</v>
      </c>
      <c r="I2462" t="inlineStr">
        <is>
          <t>19</t>
        </is>
      </c>
      <c r="J2462" s="38" t="inlineStr">
        <is>
          <t>0-4010</t>
        </is>
      </c>
      <c r="K2462" t="inlineStr">
        <is>
          <t>FUEL PREMIXED 50:1 1 GAL</t>
        </is>
      </c>
      <c r="L2462" t="n">
        <v>5</v>
      </c>
      <c r="M2462" t="n">
        <v>124.88</v>
      </c>
      <c r="N2462" t="inlineStr">
        <is>
          <t>PO:COMMIT</t>
        </is>
      </c>
      <c r="O2462" t="inlineStr">
        <is>
          <t>12561</t>
        </is>
      </c>
      <c r="P2462" t="inlineStr">
        <is>
          <t>CROSS COUNTRY INFRASTRUCTURE SERVICES INC.</t>
        </is>
      </c>
      <c r="Q2462" s="114" t="n">
        <v>0</v>
      </c>
      <c r="R2462" s="114" t="n">
        <v>0</v>
      </c>
      <c r="S2462" s="114" t="n">
        <v>124.88</v>
      </c>
      <c r="T2462" t="n">
        <v>0</v>
      </c>
    </row>
    <row r="2463">
      <c r="A2463" t="inlineStr">
        <is>
          <t>ttJTrans</t>
        </is>
      </c>
      <c r="B2463" s="38" t="inlineStr">
        <is>
          <t>0-4010</t>
        </is>
      </c>
      <c r="C2463" t="inlineStr">
        <is>
          <t>OC</t>
        </is>
      </c>
      <c r="D2463" t="inlineStr">
        <is>
          <t>MA1010837</t>
        </is>
      </c>
      <c r="E2463" t="inlineStr">
        <is>
          <t>OC</t>
        </is>
      </c>
      <c r="F2463" t="inlineStr">
        <is>
          <t>MA1010837</t>
        </is>
      </c>
      <c r="G2463" s="128" t="n">
        <v>46140</v>
      </c>
      <c r="H2463" s="127" t="n">
        <v>46143</v>
      </c>
      <c r="I2463" t="inlineStr">
        <is>
          <t>20</t>
        </is>
      </c>
      <c r="J2463" s="38" t="inlineStr">
        <is>
          <t>0-4010</t>
        </is>
      </c>
      <c r="K2463" t="inlineStr">
        <is>
          <t>BAR OIL</t>
        </is>
      </c>
      <c r="L2463" t="n">
        <v>2</v>
      </c>
      <c r="M2463" t="n">
        <v>44.4</v>
      </c>
      <c r="N2463" t="inlineStr">
        <is>
          <t>PO:COMMIT</t>
        </is>
      </c>
      <c r="O2463" t="inlineStr">
        <is>
          <t>12561</t>
        </is>
      </c>
      <c r="P2463" t="inlineStr">
        <is>
          <t>CROSS COUNTRY INFRASTRUCTURE SERVICES INC.</t>
        </is>
      </c>
      <c r="Q2463" s="114" t="n">
        <v>0</v>
      </c>
      <c r="R2463" s="114" t="n">
        <v>0</v>
      </c>
      <c r="S2463" s="114" t="n">
        <v>44.4</v>
      </c>
      <c r="T2463" t="n">
        <v>0</v>
      </c>
    </row>
    <row r="2464">
      <c r="A2464" t="inlineStr">
        <is>
          <t>ttJTrans</t>
        </is>
      </c>
      <c r="B2464" s="38" t="inlineStr">
        <is>
          <t>0-4010</t>
        </is>
      </c>
      <c r="C2464" t="inlineStr">
        <is>
          <t>OC</t>
        </is>
      </c>
      <c r="D2464" t="inlineStr">
        <is>
          <t>MA1010837</t>
        </is>
      </c>
      <c r="E2464" t="inlineStr">
        <is>
          <t>OC</t>
        </is>
      </c>
      <c r="F2464" t="inlineStr">
        <is>
          <t>MA1010837</t>
        </is>
      </c>
      <c r="G2464" s="128" t="n">
        <v>46140</v>
      </c>
      <c r="H2464" s="127" t="n">
        <v>46143</v>
      </c>
      <c r="I2464" t="inlineStr">
        <is>
          <t>11</t>
        </is>
      </c>
      <c r="J2464" s="38" t="inlineStr">
        <is>
          <t>0-4010</t>
        </is>
      </c>
      <c r="K2464" t="inlineStr">
        <is>
          <t>GREASE TUBE HIGH TEMP RED 14OZ</t>
        </is>
      </c>
      <c r="L2464" t="n">
        <v>5</v>
      </c>
      <c r="M2464" t="n">
        <v>342.88</v>
      </c>
      <c r="N2464" t="inlineStr">
        <is>
          <t>INVOICE:ADJ-COMMIT</t>
        </is>
      </c>
      <c r="O2464" t="inlineStr">
        <is>
          <t>12561</t>
        </is>
      </c>
      <c r="P2464" t="inlineStr">
        <is>
          <t>CROSS COUNTRY INFRASTRUCTURE SERVICES INC.</t>
        </is>
      </c>
      <c r="Q2464" s="114" t="n">
        <v>0</v>
      </c>
      <c r="R2464" s="114" t="n">
        <v>0</v>
      </c>
      <c r="S2464" s="114" t="n">
        <v>-342.88</v>
      </c>
      <c r="T2464" t="n">
        <v>0</v>
      </c>
    </row>
    <row r="2465">
      <c r="A2465" t="inlineStr">
        <is>
          <t>ttJTrans</t>
        </is>
      </c>
      <c r="B2465" s="38" t="inlineStr">
        <is>
          <t>0-4010</t>
        </is>
      </c>
      <c r="C2465" t="inlineStr">
        <is>
          <t>OC</t>
        </is>
      </c>
      <c r="D2465" t="inlineStr">
        <is>
          <t>MA1010837</t>
        </is>
      </c>
      <c r="E2465" t="inlineStr">
        <is>
          <t>OC</t>
        </is>
      </c>
      <c r="F2465" t="inlineStr">
        <is>
          <t>MA1010837</t>
        </is>
      </c>
      <c r="G2465" s="128" t="n">
        <v>46140</v>
      </c>
      <c r="H2465" s="127" t="n">
        <v>46143</v>
      </c>
      <c r="I2465" t="inlineStr">
        <is>
          <t>19</t>
        </is>
      </c>
      <c r="J2465" s="38" t="inlineStr">
        <is>
          <t>0-4010</t>
        </is>
      </c>
      <c r="K2465" t="inlineStr">
        <is>
          <t>FUEL PREMIXED 50:1 1 GAL</t>
        </is>
      </c>
      <c r="L2465" t="n">
        <v>5</v>
      </c>
      <c r="M2465" t="n">
        <v>124.88</v>
      </c>
      <c r="N2465" t="inlineStr">
        <is>
          <t>INVOICE:ADJ-COMMIT</t>
        </is>
      </c>
      <c r="O2465" t="inlineStr">
        <is>
          <t>12561</t>
        </is>
      </c>
      <c r="P2465" t="inlineStr">
        <is>
          <t>CROSS COUNTRY INFRASTRUCTURE SERVICES INC.</t>
        </is>
      </c>
      <c r="Q2465" s="114" t="n">
        <v>0</v>
      </c>
      <c r="R2465" s="114" t="n">
        <v>0</v>
      </c>
      <c r="S2465" s="114" t="n">
        <v>-124.88</v>
      </c>
      <c r="T2465" t="n">
        <v>0</v>
      </c>
    </row>
    <row r="2466">
      <c r="A2466" t="inlineStr">
        <is>
          <t>ttJTrans</t>
        </is>
      </c>
      <c r="B2466" s="38" t="inlineStr">
        <is>
          <t>0-4010</t>
        </is>
      </c>
      <c r="C2466" t="inlineStr">
        <is>
          <t>OC</t>
        </is>
      </c>
      <c r="D2466" t="inlineStr">
        <is>
          <t>MA1010837</t>
        </is>
      </c>
      <c r="E2466" t="inlineStr">
        <is>
          <t>OC</t>
        </is>
      </c>
      <c r="F2466" t="inlineStr">
        <is>
          <t>MA1010837</t>
        </is>
      </c>
      <c r="G2466" s="128" t="n">
        <v>46140</v>
      </c>
      <c r="H2466" s="127" t="n">
        <v>46143</v>
      </c>
      <c r="I2466" t="inlineStr">
        <is>
          <t>20</t>
        </is>
      </c>
      <c r="J2466" s="38" t="inlineStr">
        <is>
          <t>0-4010</t>
        </is>
      </c>
      <c r="K2466" t="inlineStr">
        <is>
          <t>BAR OIL</t>
        </is>
      </c>
      <c r="L2466" t="n">
        <v>2</v>
      </c>
      <c r="M2466" t="n">
        <v>44.4</v>
      </c>
      <c r="N2466" t="inlineStr">
        <is>
          <t>INVOICE:ADJ-COMMIT</t>
        </is>
      </c>
      <c r="O2466" t="inlineStr">
        <is>
          <t>12561</t>
        </is>
      </c>
      <c r="P2466" t="inlineStr">
        <is>
          <t>CROSS COUNTRY INFRASTRUCTURE SERVICES INC.</t>
        </is>
      </c>
      <c r="Q2466" s="114" t="n">
        <v>0</v>
      </c>
      <c r="R2466" s="114" t="n">
        <v>0</v>
      </c>
      <c r="S2466" s="114" t="n">
        <v>-44.4</v>
      </c>
      <c r="T2466" t="n">
        <v>0</v>
      </c>
    </row>
    <row r="2467">
      <c r="A2467" t="inlineStr">
        <is>
          <t>ttJTrans</t>
        </is>
      </c>
      <c r="B2467" s="38" t="inlineStr">
        <is>
          <t>0-4010</t>
        </is>
      </c>
      <c r="C2467" t="inlineStr">
        <is>
          <t>OC</t>
        </is>
      </c>
      <c r="D2467" t="inlineStr">
        <is>
          <t>MA1010837</t>
        </is>
      </c>
      <c r="E2467" t="inlineStr">
        <is>
          <t>OC</t>
        </is>
      </c>
      <c r="F2467" t="inlineStr">
        <is>
          <t>MA1010837</t>
        </is>
      </c>
      <c r="G2467" s="128" t="n">
        <v>46140</v>
      </c>
      <c r="H2467" s="127" t="n">
        <v>46149</v>
      </c>
      <c r="I2467" t="inlineStr">
        <is>
          <t>19</t>
        </is>
      </c>
      <c r="J2467" s="38" t="inlineStr">
        <is>
          <t>0-4010</t>
        </is>
      </c>
      <c r="K2467" t="inlineStr">
        <is>
          <t>FUEL PREMIXED 50:1 1 GAL</t>
        </is>
      </c>
      <c r="L2467" t="n">
        <v>5</v>
      </c>
      <c r="M2467" t="n">
        <v>124.88</v>
      </c>
      <c r="N2467" t="inlineStr">
        <is>
          <t>INVOICE</t>
        </is>
      </c>
      <c r="O2467" t="inlineStr">
        <is>
          <t>12561</t>
        </is>
      </c>
      <c r="P2467" t="inlineStr">
        <is>
          <t>CROSS COUNTRY INFRASTRUCTURE SERVICES INC.</t>
        </is>
      </c>
      <c r="Q2467" s="114" t="n">
        <v>0</v>
      </c>
      <c r="R2467" s="114" t="n">
        <v>0</v>
      </c>
      <c r="S2467" s="114" t="n">
        <v>0</v>
      </c>
      <c r="T2467" t="n">
        <v>0</v>
      </c>
    </row>
    <row r="2468">
      <c r="A2468" t="inlineStr">
        <is>
          <t>ttJTrans</t>
        </is>
      </c>
      <c r="B2468" s="38" t="inlineStr">
        <is>
          <t>0-4010</t>
        </is>
      </c>
      <c r="C2468" t="inlineStr">
        <is>
          <t>OC</t>
        </is>
      </c>
      <c r="D2468" t="inlineStr">
        <is>
          <t>MA1010837</t>
        </is>
      </c>
      <c r="E2468" t="inlineStr">
        <is>
          <t>OC</t>
        </is>
      </c>
      <c r="F2468" t="inlineStr">
        <is>
          <t>MA1010837</t>
        </is>
      </c>
      <c r="G2468" s="128" t="n">
        <v>46140</v>
      </c>
      <c r="H2468" s="127" t="n">
        <v>46149</v>
      </c>
      <c r="I2468" t="inlineStr">
        <is>
          <t>11</t>
        </is>
      </c>
      <c r="J2468" s="38" t="inlineStr">
        <is>
          <t>0-4010</t>
        </is>
      </c>
      <c r="K2468" t="inlineStr">
        <is>
          <t>GREASE TUBE HIGH TEMP RED 14OZ</t>
        </is>
      </c>
      <c r="L2468" t="n">
        <v>5</v>
      </c>
      <c r="M2468" t="n">
        <v>342.88</v>
      </c>
      <c r="N2468" t="inlineStr">
        <is>
          <t>INVOICE</t>
        </is>
      </c>
      <c r="O2468" t="inlineStr">
        <is>
          <t>12561</t>
        </is>
      </c>
      <c r="P2468" t="inlineStr">
        <is>
          <t>CROSS COUNTRY INFRASTRUCTURE SERVICES INC.</t>
        </is>
      </c>
      <c r="Q2468" s="114" t="n">
        <v>0</v>
      </c>
      <c r="R2468" s="114" t="n">
        <v>0</v>
      </c>
      <c r="S2468" s="114" t="n">
        <v>0</v>
      </c>
      <c r="T2468" t="n">
        <v>0</v>
      </c>
    </row>
    <row r="2469">
      <c r="A2469" t="inlineStr">
        <is>
          <t>ttJTrans</t>
        </is>
      </c>
      <c r="B2469" s="38" t="inlineStr">
        <is>
          <t>0-4010</t>
        </is>
      </c>
      <c r="C2469" t="inlineStr">
        <is>
          <t>OC</t>
        </is>
      </c>
      <c r="D2469" t="inlineStr">
        <is>
          <t>MA1010837</t>
        </is>
      </c>
      <c r="E2469" t="inlineStr">
        <is>
          <t>OC</t>
        </is>
      </c>
      <c r="F2469" t="inlineStr">
        <is>
          <t>MA1010837</t>
        </is>
      </c>
      <c r="G2469" s="128" t="n">
        <v>46140</v>
      </c>
      <c r="H2469" s="127" t="n">
        <v>46149</v>
      </c>
      <c r="I2469" t="inlineStr">
        <is>
          <t>20</t>
        </is>
      </c>
      <c r="J2469" s="38" t="inlineStr">
        <is>
          <t>0-4010</t>
        </is>
      </c>
      <c r="K2469" t="inlineStr">
        <is>
          <t>BAR OIL</t>
        </is>
      </c>
      <c r="L2469" t="n">
        <v>2</v>
      </c>
      <c r="M2469" t="n">
        <v>44.4</v>
      </c>
      <c r="N2469" t="inlineStr">
        <is>
          <t>INVOICE</t>
        </is>
      </c>
      <c r="O2469" t="inlineStr">
        <is>
          <t>12561</t>
        </is>
      </c>
      <c r="P2469" t="inlineStr">
        <is>
          <t>CROSS COUNTRY INFRASTRUCTURE SERVICES INC.</t>
        </is>
      </c>
      <c r="Q2469" s="114" t="n">
        <v>0</v>
      </c>
      <c r="R2469" s="114" t="n">
        <v>0</v>
      </c>
      <c r="S2469" s="114" t="n">
        <v>0</v>
      </c>
      <c r="T2469" t="n">
        <v>0</v>
      </c>
    </row>
    <row r="2470">
      <c r="A2470" t="inlineStr">
        <is>
          <t>ttJTrans</t>
        </is>
      </c>
      <c r="B2470" s="38" t="inlineStr">
        <is>
          <t>0-4010</t>
        </is>
      </c>
      <c r="C2470" t="inlineStr">
        <is>
          <t>OC</t>
        </is>
      </c>
      <c r="D2470" t="inlineStr">
        <is>
          <t>MA1011403</t>
        </is>
      </c>
      <c r="E2470" t="inlineStr">
        <is>
          <t>OC</t>
        </is>
      </c>
      <c r="F2470" t="inlineStr">
        <is>
          <t>MA1011403</t>
        </is>
      </c>
      <c r="G2470" s="128" t="n">
        <v>46134</v>
      </c>
      <c r="H2470" s="127" t="n">
        <v>46149</v>
      </c>
      <c r="I2470" t="inlineStr">
        <is>
          <t>15</t>
        </is>
      </c>
      <c r="J2470" s="38" t="inlineStr">
        <is>
          <t>0-4010</t>
        </is>
      </c>
      <c r="K2470" t="inlineStr">
        <is>
          <t>EXTRA TACKY RED GREASE</t>
        </is>
      </c>
      <c r="L2470" t="n">
        <v>4</v>
      </c>
      <c r="M2470" t="n">
        <v>332.16</v>
      </c>
      <c r="N2470" t="inlineStr">
        <is>
          <t>INVOICE</t>
        </is>
      </c>
      <c r="O2470" t="inlineStr">
        <is>
          <t>19480</t>
        </is>
      </c>
      <c r="P2470" t="inlineStr">
        <is>
          <t>TOTAL TOOL SUPPLY LLC</t>
        </is>
      </c>
      <c r="Q2470" s="114" t="n">
        <v>0</v>
      </c>
      <c r="R2470" s="114" t="n">
        <v>0</v>
      </c>
      <c r="S2470" s="114" t="n">
        <v>0</v>
      </c>
      <c r="T2470" t="n">
        <v>0</v>
      </c>
    </row>
    <row r="2471">
      <c r="A2471" t="inlineStr">
        <is>
          <t>ttJTrans</t>
        </is>
      </c>
      <c r="B2471" s="38" t="inlineStr">
        <is>
          <t>0-4010</t>
        </is>
      </c>
      <c r="C2471" t="inlineStr">
        <is>
          <t>OC</t>
        </is>
      </c>
      <c r="D2471" t="inlineStr">
        <is>
          <t>MA1011403</t>
        </is>
      </c>
      <c r="E2471" t="inlineStr">
        <is>
          <t>OC</t>
        </is>
      </c>
      <c r="F2471" t="inlineStr">
        <is>
          <t>MA1011403</t>
        </is>
      </c>
      <c r="G2471" s="128" t="n">
        <v>46134</v>
      </c>
      <c r="H2471" s="127" t="n">
        <v>46136</v>
      </c>
      <c r="I2471" t="inlineStr">
        <is>
          <t>15</t>
        </is>
      </c>
      <c r="J2471" s="38" t="inlineStr">
        <is>
          <t>0-4010</t>
        </is>
      </c>
      <c r="K2471" t="inlineStr">
        <is>
          <t>EXTRA TACKY RED GREASE</t>
        </is>
      </c>
      <c r="L2471" t="n">
        <v>4</v>
      </c>
      <c r="M2471" t="n">
        <v>332.16</v>
      </c>
      <c r="N2471" t="inlineStr">
        <is>
          <t>PO:COMMIT</t>
        </is>
      </c>
      <c r="O2471" t="inlineStr">
        <is>
          <t>19480</t>
        </is>
      </c>
      <c r="P2471" t="inlineStr">
        <is>
          <t>TOTAL TOOL SUPPLY LLC</t>
        </is>
      </c>
      <c r="Q2471" s="114" t="n">
        <v>0</v>
      </c>
      <c r="R2471" s="114" t="n">
        <v>0</v>
      </c>
      <c r="S2471" s="114" t="n">
        <v>332.16</v>
      </c>
      <c r="T2471" t="n">
        <v>0</v>
      </c>
    </row>
    <row r="2472">
      <c r="A2472" t="inlineStr">
        <is>
          <t>ttJTrans</t>
        </is>
      </c>
      <c r="B2472" s="38" t="inlineStr">
        <is>
          <t>0-4010</t>
        </is>
      </c>
      <c r="C2472" t="inlineStr">
        <is>
          <t>OC</t>
        </is>
      </c>
      <c r="D2472" t="inlineStr">
        <is>
          <t>MA1011403</t>
        </is>
      </c>
      <c r="E2472" t="inlineStr">
        <is>
          <t>OC</t>
        </is>
      </c>
      <c r="F2472" t="inlineStr">
        <is>
          <t>MA1011403</t>
        </is>
      </c>
      <c r="G2472" s="128" t="n">
        <v>46134</v>
      </c>
      <c r="H2472" s="127" t="n">
        <v>46136</v>
      </c>
      <c r="I2472" t="inlineStr">
        <is>
          <t>15</t>
        </is>
      </c>
      <c r="J2472" s="38" t="inlineStr">
        <is>
          <t>0-4010</t>
        </is>
      </c>
      <c r="K2472" t="inlineStr">
        <is>
          <t>EXTRA TACKY RED GREASE</t>
        </is>
      </c>
      <c r="L2472" t="n">
        <v>4</v>
      </c>
      <c r="M2472" t="n">
        <v>332.16</v>
      </c>
      <c r="N2472" t="inlineStr">
        <is>
          <t>INVOICE:ADJ-COMMIT</t>
        </is>
      </c>
      <c r="O2472" t="inlineStr">
        <is>
          <t>19480</t>
        </is>
      </c>
      <c r="P2472" t="inlineStr">
        <is>
          <t>TOTAL TOOL SUPPLY LLC</t>
        </is>
      </c>
      <c r="Q2472" s="114" t="n">
        <v>0</v>
      </c>
      <c r="R2472" s="114" t="n">
        <v>0</v>
      </c>
      <c r="S2472" s="114" t="n">
        <v>-332.16</v>
      </c>
      <c r="T2472" t="n">
        <v>0</v>
      </c>
    </row>
    <row r="2473">
      <c r="A2473" t="inlineStr">
        <is>
          <t>ttJTrans</t>
        </is>
      </c>
      <c r="B2473" s="38" t="inlineStr">
        <is>
          <t>0-4010</t>
        </is>
      </c>
      <c r="C2473" t="inlineStr">
        <is>
          <t>OC</t>
        </is>
      </c>
      <c r="D2473" t="inlineStr">
        <is>
          <t>MA1012139</t>
        </is>
      </c>
      <c r="E2473" t="inlineStr">
        <is>
          <t>OC</t>
        </is>
      </c>
      <c r="F2473" t="inlineStr">
        <is>
          <t>MA1012139</t>
        </is>
      </c>
      <c r="G2473" s="128" t="n">
        <v>46168</v>
      </c>
      <c r="H2473" s="127" t="n">
        <v>46170</v>
      </c>
      <c r="I2473" t="inlineStr">
        <is>
          <t>1</t>
        </is>
      </c>
      <c r="J2473" s="38" t="inlineStr">
        <is>
          <t>0-4010</t>
        </is>
      </c>
      <c r="K2473" t="inlineStr">
        <is>
          <t>Bulk Fuel</t>
        </is>
      </c>
      <c r="L2473" t="n">
        <v>1</v>
      </c>
      <c r="M2473" t="n">
        <v>333000</v>
      </c>
      <c r="N2473" t="inlineStr">
        <is>
          <t>INVOICE:ADJ-ACCRUAL</t>
        </is>
      </c>
      <c r="O2473" t="inlineStr">
        <is>
          <t>16625</t>
        </is>
      </c>
      <c r="P2473" t="inlineStr">
        <is>
          <t>BEARD OIL DISTRIBUTING</t>
        </is>
      </c>
      <c r="Q2473" s="114" t="n">
        <v>-19390.56</v>
      </c>
      <c r="R2473" s="114" t="n">
        <v>0</v>
      </c>
      <c r="S2473" s="114" t="n">
        <v>0</v>
      </c>
      <c r="T2473" t="n">
        <v>0</v>
      </c>
    </row>
    <row r="2474">
      <c r="A2474" t="inlineStr">
        <is>
          <t>ttJTrans</t>
        </is>
      </c>
      <c r="B2474" s="38" t="inlineStr">
        <is>
          <t>0-4010</t>
        </is>
      </c>
      <c r="C2474" t="inlineStr">
        <is>
          <t>OC</t>
        </is>
      </c>
      <c r="D2474" t="inlineStr">
        <is>
          <t>MA1012139</t>
        </is>
      </c>
      <c r="E2474" t="inlineStr">
        <is>
          <t>OC</t>
        </is>
      </c>
      <c r="F2474" t="inlineStr">
        <is>
          <t>MA1012139</t>
        </is>
      </c>
      <c r="G2474" s="128" t="n">
        <v>46168</v>
      </c>
      <c r="H2474" s="127" t="n">
        <v>46170</v>
      </c>
      <c r="I2474" t="inlineStr">
        <is>
          <t>1</t>
        </is>
      </c>
      <c r="J2474" s="38" t="inlineStr">
        <is>
          <t>0-4010</t>
        </is>
      </c>
      <c r="K2474" t="inlineStr">
        <is>
          <t>Bulk Fuel</t>
        </is>
      </c>
      <c r="L2474" t="n">
        <v>1</v>
      </c>
      <c r="M2474" t="n">
        <v>333000</v>
      </c>
      <c r="N2474" t="inlineStr">
        <is>
          <t>INVOICE:ADJ-ACCRUAL</t>
        </is>
      </c>
      <c r="O2474" t="inlineStr">
        <is>
          <t>16625</t>
        </is>
      </c>
      <c r="P2474" t="inlineStr">
        <is>
          <t>BEARD OIL DISTRIBUTING</t>
        </is>
      </c>
      <c r="Q2474" s="114" t="n">
        <v>-21199.79</v>
      </c>
      <c r="R2474" s="114" t="n">
        <v>0</v>
      </c>
      <c r="S2474" s="114" t="n">
        <v>0</v>
      </c>
      <c r="T2474" t="n">
        <v>0</v>
      </c>
    </row>
    <row r="2475">
      <c r="A2475" t="inlineStr">
        <is>
          <t>ttJTrans</t>
        </is>
      </c>
      <c r="B2475" s="38" t="inlineStr">
        <is>
          <t>0-4010</t>
        </is>
      </c>
      <c r="C2475" t="inlineStr">
        <is>
          <t>OC</t>
        </is>
      </c>
      <c r="D2475" t="inlineStr">
        <is>
          <t>MA1012139</t>
        </is>
      </c>
      <c r="E2475" t="inlineStr">
        <is>
          <t>OC</t>
        </is>
      </c>
      <c r="F2475" t="inlineStr">
        <is>
          <t>MA1012139</t>
        </is>
      </c>
      <c r="G2475" s="128" t="n">
        <v>46168</v>
      </c>
      <c r="H2475" s="127" t="n">
        <v>46170</v>
      </c>
      <c r="I2475" t="inlineStr">
        <is>
          <t>1</t>
        </is>
      </c>
      <c r="J2475" s="38" t="inlineStr">
        <is>
          <t>0-4010</t>
        </is>
      </c>
      <c r="K2475" t="inlineStr">
        <is>
          <t>Bulk Fuel</t>
        </is>
      </c>
      <c r="L2475" t="n">
        <v>1</v>
      </c>
      <c r="M2475" t="n">
        <v>333000</v>
      </c>
      <c r="N2475" t="inlineStr">
        <is>
          <t>INVOICE:ADJ-ACCRUAL</t>
        </is>
      </c>
      <c r="O2475" t="inlineStr">
        <is>
          <t>16625</t>
        </is>
      </c>
      <c r="P2475" t="inlineStr">
        <is>
          <t>BEARD OIL DISTRIBUTING</t>
        </is>
      </c>
      <c r="Q2475" s="114" t="n">
        <v>-21645.16</v>
      </c>
      <c r="R2475" s="114" t="n">
        <v>0</v>
      </c>
      <c r="S2475" s="114" t="n">
        <v>0</v>
      </c>
      <c r="T2475" t="n">
        <v>0</v>
      </c>
    </row>
    <row r="2476">
      <c r="A2476" t="inlineStr">
        <is>
          <t>ttJTrans</t>
        </is>
      </c>
      <c r="B2476" s="38" t="inlineStr">
        <is>
          <t>0-4010</t>
        </is>
      </c>
      <c r="C2476" t="inlineStr">
        <is>
          <t>OC</t>
        </is>
      </c>
      <c r="D2476" t="inlineStr">
        <is>
          <t>MA1012139</t>
        </is>
      </c>
      <c r="E2476" t="inlineStr">
        <is>
          <t>OC</t>
        </is>
      </c>
      <c r="F2476" t="inlineStr">
        <is>
          <t>MA1012139</t>
        </is>
      </c>
      <c r="G2476" s="128" t="n">
        <v>46168</v>
      </c>
      <c r="H2476" s="127" t="n">
        <v>46170</v>
      </c>
      <c r="I2476" t="inlineStr">
        <is>
          <t>1</t>
        </is>
      </c>
      <c r="J2476" s="38" t="inlineStr">
        <is>
          <t>0-4010</t>
        </is>
      </c>
      <c r="K2476" t="inlineStr">
        <is>
          <t>Bulk Fuel</t>
        </is>
      </c>
      <c r="L2476" t="n">
        <v>1</v>
      </c>
      <c r="M2476" t="n">
        <v>333000</v>
      </c>
      <c r="N2476" t="inlineStr">
        <is>
          <t>INVOICE:ADJ-ACCRUAL</t>
        </is>
      </c>
      <c r="O2476" t="inlineStr">
        <is>
          <t>16625</t>
        </is>
      </c>
      <c r="P2476" t="inlineStr">
        <is>
          <t>BEARD OIL DISTRIBUTING</t>
        </is>
      </c>
      <c r="Q2476" s="114" t="n">
        <v>-1327.11</v>
      </c>
      <c r="R2476" s="114" t="n">
        <v>0</v>
      </c>
      <c r="S2476" s="114" t="n">
        <v>0</v>
      </c>
      <c r="T2476" t="n">
        <v>0</v>
      </c>
    </row>
    <row r="2477">
      <c r="A2477" t="inlineStr">
        <is>
          <t>ttJTrans</t>
        </is>
      </c>
      <c r="B2477" s="38" t="inlineStr">
        <is>
          <t>0-4010</t>
        </is>
      </c>
      <c r="C2477" t="inlineStr">
        <is>
          <t>OC</t>
        </is>
      </c>
      <c r="E2477" t="inlineStr">
        <is>
          <t>OC</t>
        </is>
      </c>
      <c r="G2477" s="128" t="inlineStr"/>
      <c r="H2477" s="127" t="n">
        <v>46000</v>
      </c>
      <c r="J2477" s="38" t="inlineStr">
        <is>
          <t>0-4010</t>
        </is>
      </c>
      <c r="K2477" t="inlineStr">
        <is>
          <t>OCI SUNROPER LLC</t>
        </is>
      </c>
      <c r="L2477" t="n">
        <v>0</v>
      </c>
      <c r="M2477" t="n">
        <v>0</v>
      </c>
      <c r="O2477" t="inlineStr">
        <is>
          <t>2197</t>
        </is>
      </c>
      <c r="Q2477" s="114" t="n">
        <v>0</v>
      </c>
      <c r="R2477" s="114" t="n">
        <v>557.0700000000001</v>
      </c>
      <c r="S2477" s="114" t="n">
        <v>0</v>
      </c>
      <c r="T2477" t="n">
        <v>0</v>
      </c>
    </row>
    <row r="2478">
      <c r="A2478" t="inlineStr">
        <is>
          <t>ttJTrans</t>
        </is>
      </c>
      <c r="B2478" s="38" t="inlineStr">
        <is>
          <t>0-4010</t>
        </is>
      </c>
      <c r="C2478" t="inlineStr">
        <is>
          <t>OC</t>
        </is>
      </c>
      <c r="E2478" t="inlineStr">
        <is>
          <t>OC</t>
        </is>
      </c>
      <c r="G2478" s="128" t="inlineStr"/>
      <c r="H2478" s="127" t="n">
        <v>46032</v>
      </c>
      <c r="J2478" s="38" t="inlineStr">
        <is>
          <t>0-4010</t>
        </is>
      </c>
      <c r="K2478" t="inlineStr">
        <is>
          <t>OCI SUNROPER LLC</t>
        </is>
      </c>
      <c r="L2478" t="n">
        <v>0</v>
      </c>
      <c r="M2478" t="n">
        <v>0</v>
      </c>
      <c r="O2478" t="inlineStr">
        <is>
          <t>2218</t>
        </is>
      </c>
      <c r="Q2478" s="114" t="n">
        <v>0</v>
      </c>
      <c r="R2478" s="114" t="n">
        <v>485.8</v>
      </c>
      <c r="S2478" s="114" t="n">
        <v>0</v>
      </c>
      <c r="T2478" t="n">
        <v>0</v>
      </c>
    </row>
    <row r="2479">
      <c r="A2479" t="inlineStr">
        <is>
          <t>ttJTrans</t>
        </is>
      </c>
      <c r="B2479" s="38" t="inlineStr">
        <is>
          <t>0-4010</t>
        </is>
      </c>
      <c r="C2479" t="inlineStr">
        <is>
          <t>OC</t>
        </is>
      </c>
      <c r="E2479" t="inlineStr">
        <is>
          <t>OC</t>
        </is>
      </c>
      <c r="G2479" s="128" t="inlineStr"/>
      <c r="H2479" s="127" t="n">
        <v>46063</v>
      </c>
      <c r="J2479" s="38" t="inlineStr">
        <is>
          <t>0-4010</t>
        </is>
      </c>
      <c r="K2479" t="inlineStr">
        <is>
          <t>OCI SUNROPER LLC</t>
        </is>
      </c>
      <c r="L2479" t="n">
        <v>0</v>
      </c>
      <c r="M2479" t="n">
        <v>0</v>
      </c>
      <c r="O2479" t="inlineStr">
        <is>
          <t>2233</t>
        </is>
      </c>
      <c r="Q2479" s="114" t="n">
        <v>0</v>
      </c>
      <c r="R2479" s="114" t="n">
        <v>149.84</v>
      </c>
      <c r="S2479" s="114" t="n">
        <v>0</v>
      </c>
      <c r="T2479" t="n">
        <v>0</v>
      </c>
    </row>
    <row r="2480">
      <c r="A2480" t="inlineStr">
        <is>
          <t>ttJTrans</t>
        </is>
      </c>
      <c r="B2480" s="38" t="inlineStr">
        <is>
          <t>0-4010</t>
        </is>
      </c>
      <c r="C2480" t="inlineStr">
        <is>
          <t>OC</t>
        </is>
      </c>
      <c r="E2480" t="inlineStr">
        <is>
          <t>OC</t>
        </is>
      </c>
      <c r="G2480" s="128" t="inlineStr"/>
      <c r="H2480" s="127" t="n">
        <v>46094</v>
      </c>
      <c r="J2480" s="38" t="inlineStr">
        <is>
          <t>0-4010</t>
        </is>
      </c>
      <c r="K2480" t="inlineStr">
        <is>
          <t>OCI SUNROPER LLC</t>
        </is>
      </c>
      <c r="L2480" t="n">
        <v>0</v>
      </c>
      <c r="M2480" t="n">
        <v>0</v>
      </c>
      <c r="O2480" t="inlineStr">
        <is>
          <t>2251</t>
        </is>
      </c>
      <c r="Q2480" s="114" t="n">
        <v>0</v>
      </c>
      <c r="R2480" s="114" t="n">
        <v>1230.72</v>
      </c>
      <c r="S2480" s="114" t="n">
        <v>0</v>
      </c>
      <c r="T2480" t="n">
        <v>0</v>
      </c>
    </row>
    <row r="2481">
      <c r="A2481" t="inlineStr">
        <is>
          <t>ttJTrans</t>
        </is>
      </c>
      <c r="B2481" s="38" t="inlineStr">
        <is>
          <t>0-4010</t>
        </is>
      </c>
      <c r="C2481" t="inlineStr">
        <is>
          <t>OC</t>
        </is>
      </c>
      <c r="E2481" t="inlineStr">
        <is>
          <t>OC</t>
        </is>
      </c>
      <c r="G2481" s="128" t="inlineStr"/>
      <c r="H2481" s="127" t="n">
        <v>46125</v>
      </c>
      <c r="J2481" s="38" t="inlineStr">
        <is>
          <t>0-4010</t>
        </is>
      </c>
      <c r="K2481" t="inlineStr">
        <is>
          <t>OCI SUNROPER LLC</t>
        </is>
      </c>
      <c r="L2481" t="n">
        <v>0</v>
      </c>
      <c r="M2481" t="n">
        <v>0</v>
      </c>
      <c r="O2481" t="inlineStr">
        <is>
          <t>2281</t>
        </is>
      </c>
      <c r="Q2481" s="114" t="n">
        <v>0</v>
      </c>
      <c r="R2481" s="114" t="n">
        <v>10471.97</v>
      </c>
      <c r="S2481" s="114" t="n">
        <v>0</v>
      </c>
      <c r="T2481" t="n">
        <v>0</v>
      </c>
    </row>
    <row r="2482">
      <c r="A2482" t="inlineStr">
        <is>
          <t>ttJTrans</t>
        </is>
      </c>
      <c r="B2482" s="38" t="inlineStr">
        <is>
          <t>0-4010</t>
        </is>
      </c>
      <c r="C2482" t="inlineStr">
        <is>
          <t>OC</t>
        </is>
      </c>
      <c r="E2482" t="inlineStr">
        <is>
          <t>OC</t>
        </is>
      </c>
      <c r="G2482" s="128" t="inlineStr"/>
      <c r="H2482" s="127" t="n">
        <v>46153</v>
      </c>
      <c r="J2482" s="38" t="inlineStr">
        <is>
          <t>0-4010</t>
        </is>
      </c>
      <c r="K2482" t="inlineStr">
        <is>
          <t>OCI SUNROPER LLC</t>
        </is>
      </c>
      <c r="L2482" t="n">
        <v>0</v>
      </c>
      <c r="M2482" t="n">
        <v>0</v>
      </c>
      <c r="O2482" t="inlineStr">
        <is>
          <t>2301</t>
        </is>
      </c>
      <c r="Q2482" s="114" t="n">
        <v>0</v>
      </c>
      <c r="R2482" s="114" t="n">
        <v>29204.33</v>
      </c>
      <c r="S2482" s="114" t="n">
        <v>0</v>
      </c>
      <c r="T2482" t="n">
        <v>0</v>
      </c>
    </row>
    <row r="2483">
      <c r="A2483" t="inlineStr">
        <is>
          <t>ttJTrans</t>
        </is>
      </c>
      <c r="B2483" s="38" t="inlineStr">
        <is>
          <t>0-4010</t>
        </is>
      </c>
      <c r="C2483" t="inlineStr">
        <is>
          <t>OC</t>
        </is>
      </c>
      <c r="E2483" t="inlineStr">
        <is>
          <t>OC</t>
        </is>
      </c>
      <c r="G2483" s="128" t="inlineStr"/>
      <c r="H2483" s="127" t="n">
        <v>46147</v>
      </c>
      <c r="J2483" s="38" t="inlineStr">
        <is>
          <t>0-4010</t>
        </is>
      </c>
      <c r="K2483" t="inlineStr">
        <is>
          <t>SITL FENCE ERIOUSION CONTROL SUPPLIES S624996 LUKE</t>
        </is>
      </c>
      <c r="L2483" t="n">
        <v>0</v>
      </c>
      <c r="M2483" t="n">
        <v>0</v>
      </c>
      <c r="O2483" t="inlineStr">
        <is>
          <t>12561</t>
        </is>
      </c>
      <c r="P2483" t="inlineStr">
        <is>
          <t>CROSS COUNTRY INFRASTRUCTURE SERVICES INC.</t>
        </is>
      </c>
      <c r="Q2483" s="114" t="n">
        <v>0</v>
      </c>
      <c r="R2483" s="114" t="n">
        <v>499.47</v>
      </c>
      <c r="S2483" s="114" t="n">
        <v>0</v>
      </c>
      <c r="T2483" t="n">
        <v>0</v>
      </c>
    </row>
    <row r="2484">
      <c r="A2484" t="inlineStr">
        <is>
          <t>ttJTrans</t>
        </is>
      </c>
      <c r="B2484" s="38" t="inlineStr">
        <is>
          <t>0-4010</t>
        </is>
      </c>
      <c r="C2484" t="inlineStr">
        <is>
          <t>OC</t>
        </is>
      </c>
      <c r="E2484" t="inlineStr">
        <is>
          <t>OC</t>
        </is>
      </c>
      <c r="G2484" s="128" t="inlineStr"/>
      <c r="H2484" s="127" t="n">
        <v>46147</v>
      </c>
      <c r="J2484" s="38" t="inlineStr">
        <is>
          <t>0-4010</t>
        </is>
      </c>
      <c r="K2484" t="inlineStr">
        <is>
          <t>SCREW PIN ANCHOR SHACKLE/ PORTABLE BAND SAW BLADE/ DUCT TAPE/ ELECT TAPE/ TACKY RED GREASE/ RAGS/ GLASS CLNR/ BROOM/ CALBLE TIES/ PAINT MARKER/ TAPE MEASURE</t>
        </is>
      </c>
      <c r="L2484" t="n">
        <v>0</v>
      </c>
      <c r="M2484" t="n">
        <v>0</v>
      </c>
      <c r="O2484" t="inlineStr">
        <is>
          <t>19480</t>
        </is>
      </c>
      <c r="P2484" t="inlineStr">
        <is>
          <t>TOTAL TOOL SUPPLY LLC</t>
        </is>
      </c>
      <c r="Q2484" s="114" t="n">
        <v>0</v>
      </c>
      <c r="R2484" s="114" t="n">
        <v>326.17</v>
      </c>
      <c r="S2484" s="114" t="n">
        <v>0</v>
      </c>
      <c r="T2484" t="n">
        <v>0</v>
      </c>
    </row>
    <row r="2485">
      <c r="A2485" t="inlineStr">
        <is>
          <t>ttJTrans</t>
        </is>
      </c>
      <c r="B2485" s="38" t="inlineStr">
        <is>
          <t>0-4004-01</t>
        </is>
      </c>
      <c r="C2485" t="inlineStr">
        <is>
          <t>OC</t>
        </is>
      </c>
      <c r="E2485" t="inlineStr">
        <is>
          <t>OC</t>
        </is>
      </c>
      <c r="G2485" s="128" t="inlineStr"/>
      <c r="H2485" s="127" t="n">
        <v>46101</v>
      </c>
      <c r="J2485" s="38" t="inlineStr">
        <is>
          <t>0-4004-01</t>
        </is>
      </c>
      <c r="K2485" t="inlineStr">
        <is>
          <t>TEXAS COMPTROLLER OF PUBLIC FEBRUARY 2026</t>
        </is>
      </c>
      <c r="L2485" t="n">
        <v>0</v>
      </c>
      <c r="M2485" t="n">
        <v>0</v>
      </c>
      <c r="O2485" t="inlineStr">
        <is>
          <t>2253</t>
        </is>
      </c>
      <c r="Q2485" s="114" t="n">
        <v>0</v>
      </c>
      <c r="R2485" s="114" t="n">
        <v>1010151.51</v>
      </c>
      <c r="S2485" s="114" t="n">
        <v>0</v>
      </c>
      <c r="T2485" t="n">
        <v>0</v>
      </c>
    </row>
    <row r="2486">
      <c r="A2486" t="inlineStr">
        <is>
          <t>ttJTrans</t>
        </is>
      </c>
      <c r="B2486" s="38" t="inlineStr">
        <is>
          <t>0-4004-01</t>
        </is>
      </c>
      <c r="C2486" t="inlineStr">
        <is>
          <t>OC</t>
        </is>
      </c>
      <c r="E2486" t="inlineStr">
        <is>
          <t>OC</t>
        </is>
      </c>
      <c r="G2486" s="128" t="inlineStr"/>
      <c r="H2486" s="127" t="n">
        <v>46160</v>
      </c>
      <c r="J2486" s="38" t="inlineStr">
        <is>
          <t>0-4004-01</t>
        </is>
      </c>
      <c r="K2486" t="inlineStr">
        <is>
          <t>TEXAS COMPTROLLER USE TAX APRIL 2026</t>
        </is>
      </c>
      <c r="L2486" t="n">
        <v>0</v>
      </c>
      <c r="M2486" t="n">
        <v>0</v>
      </c>
      <c r="O2486" t="inlineStr">
        <is>
          <t>2313</t>
        </is>
      </c>
      <c r="Q2486" s="114" t="n">
        <v>0</v>
      </c>
      <c r="R2486" s="114" t="n">
        <v>25350.91</v>
      </c>
      <c r="S2486" s="114" t="n">
        <v>0</v>
      </c>
      <c r="T2486" t="n">
        <v>0</v>
      </c>
    </row>
    <row r="2487">
      <c r="A2487" t="inlineStr">
        <is>
          <t>ttJTrans</t>
        </is>
      </c>
      <c r="B2487" s="38" t="inlineStr">
        <is>
          <t>0-4013-02</t>
        </is>
      </c>
      <c r="C2487" t="inlineStr">
        <is>
          <t>EQ</t>
        </is>
      </c>
      <c r="E2487" t="inlineStr">
        <is>
          <t>EQ</t>
        </is>
      </c>
      <c r="G2487" s="128" t="inlineStr"/>
      <c r="H2487" s="127" t="n">
        <v>46138</v>
      </c>
      <c r="J2487" s="38" t="inlineStr">
        <is>
          <t>0-4013-02</t>
        </is>
      </c>
      <c r="K2487" t="inlineStr">
        <is>
          <t>RT1344 2023 FORD F250 XL STX 4X4 DIESEL 2023 FORD F250 XL STX 4X4 DIESEL</t>
        </is>
      </c>
      <c r="L2487" t="n">
        <v>0</v>
      </c>
      <c r="M2487" t="n">
        <v>0</v>
      </c>
      <c r="O2487" t="inlineStr">
        <is>
          <t>RT1344</t>
        </is>
      </c>
      <c r="Q2487" s="114" t="n">
        <v>0</v>
      </c>
      <c r="R2487" s="114" t="n">
        <v>79.14</v>
      </c>
      <c r="S2487" s="114" t="n">
        <v>0</v>
      </c>
      <c r="T2487" t="n">
        <v>0</v>
      </c>
    </row>
    <row r="2488">
      <c r="A2488" t="inlineStr">
        <is>
          <t>ttJTrans</t>
        </is>
      </c>
      <c r="B2488" s="38" t="inlineStr">
        <is>
          <t>0-4013-02</t>
        </is>
      </c>
      <c r="C2488" t="inlineStr">
        <is>
          <t>EQ</t>
        </is>
      </c>
      <c r="E2488" t="inlineStr">
        <is>
          <t>EQ</t>
        </is>
      </c>
      <c r="G2488" s="128" t="inlineStr"/>
      <c r="H2488" s="127" t="n">
        <v>46138</v>
      </c>
      <c r="J2488" s="38" t="inlineStr">
        <is>
          <t>0-4013-02</t>
        </is>
      </c>
      <c r="K2488" t="inlineStr">
        <is>
          <t>RT1344 2023 FORD F250 XL STX 4X4 DIESEL 2023 FORD F250 XL STX 4X4 DIESEL</t>
        </is>
      </c>
      <c r="L2488" t="n">
        <v>0</v>
      </c>
      <c r="M2488" t="n">
        <v>0</v>
      </c>
      <c r="O2488" t="inlineStr">
        <is>
          <t>RT1344</t>
        </is>
      </c>
      <c r="Q2488" s="114" t="n">
        <v>0</v>
      </c>
      <c r="R2488" s="114" t="n">
        <v>79.14</v>
      </c>
      <c r="S2488" s="114" t="n">
        <v>0</v>
      </c>
      <c r="T2488" t="n">
        <v>0</v>
      </c>
    </row>
    <row r="2489">
      <c r="A2489" t="inlineStr">
        <is>
          <t>ttJTrans</t>
        </is>
      </c>
      <c r="B2489" s="38" t="inlineStr">
        <is>
          <t>0-4013-02</t>
        </is>
      </c>
      <c r="C2489" t="inlineStr">
        <is>
          <t>EQ</t>
        </is>
      </c>
      <c r="E2489" t="inlineStr">
        <is>
          <t>EQ</t>
        </is>
      </c>
      <c r="G2489" s="128" t="inlineStr"/>
      <c r="H2489" s="127" t="n">
        <v>46138</v>
      </c>
      <c r="J2489" s="38" t="inlineStr">
        <is>
          <t>0-4013-02</t>
        </is>
      </c>
      <c r="K2489" t="inlineStr">
        <is>
          <t>RT1344 2023 FORD F250 XL STX 4X4 DIESEL 2023 FORD F250 XL STX 4X4 DIESEL</t>
        </is>
      </c>
      <c r="L2489" t="n">
        <v>0</v>
      </c>
      <c r="M2489" t="n">
        <v>0</v>
      </c>
      <c r="O2489" t="inlineStr">
        <is>
          <t>RT1344</t>
        </is>
      </c>
      <c r="Q2489" s="114" t="n">
        <v>0</v>
      </c>
      <c r="R2489" s="114" t="n">
        <v>79.14</v>
      </c>
      <c r="S2489" s="114" t="n">
        <v>0</v>
      </c>
      <c r="T2489" t="n">
        <v>0</v>
      </c>
    </row>
    <row r="2490">
      <c r="A2490" t="inlineStr">
        <is>
          <t>ttJTrans</t>
        </is>
      </c>
      <c r="B2490" s="38" t="inlineStr">
        <is>
          <t>0-4013-02</t>
        </is>
      </c>
      <c r="C2490" t="inlineStr">
        <is>
          <t>EQ</t>
        </is>
      </c>
      <c r="E2490" t="inlineStr">
        <is>
          <t>EQ</t>
        </is>
      </c>
      <c r="G2490" s="128" t="inlineStr"/>
      <c r="H2490" s="127" t="n">
        <v>46138</v>
      </c>
      <c r="J2490" s="38" t="inlineStr">
        <is>
          <t>0-4013-02</t>
        </is>
      </c>
      <c r="K2490" t="inlineStr">
        <is>
          <t>FE017 7' ROTARY CUTTER 7' ROTARY CUTTER</t>
        </is>
      </c>
      <c r="L2490" t="n">
        <v>0</v>
      </c>
      <c r="M2490" t="n">
        <v>0</v>
      </c>
      <c r="O2490" t="inlineStr">
        <is>
          <t>FE017</t>
        </is>
      </c>
      <c r="Q2490" s="114" t="n">
        <v>0</v>
      </c>
      <c r="R2490" s="114" t="n">
        <v>0</v>
      </c>
      <c r="S2490" s="114" t="n">
        <v>0</v>
      </c>
      <c r="T2490" t="n">
        <v>0</v>
      </c>
    </row>
    <row r="2491">
      <c r="A2491" t="inlineStr">
        <is>
          <t>ttJTrans</t>
        </is>
      </c>
      <c r="B2491" s="38" t="inlineStr">
        <is>
          <t>0-4013-02</t>
        </is>
      </c>
      <c r="C2491" t="inlineStr">
        <is>
          <t>EQ</t>
        </is>
      </c>
      <c r="E2491" t="inlineStr">
        <is>
          <t>EQ</t>
        </is>
      </c>
      <c r="G2491" s="128" t="inlineStr"/>
      <c r="H2491" s="127" t="n">
        <v>46138</v>
      </c>
      <c r="J2491" s="38" t="inlineStr">
        <is>
          <t>0-4013-02</t>
        </is>
      </c>
      <c r="K2491" t="inlineStr">
        <is>
          <t>FE017 7' ROTARY CUTTER 7' ROTARY CUTTER</t>
        </is>
      </c>
      <c r="L2491" t="n">
        <v>0</v>
      </c>
      <c r="M2491" t="n">
        <v>0</v>
      </c>
      <c r="O2491" t="inlineStr">
        <is>
          <t>FE017</t>
        </is>
      </c>
      <c r="Q2491" s="114" t="n">
        <v>0</v>
      </c>
      <c r="R2491" s="114" t="n">
        <v>0</v>
      </c>
      <c r="S2491" s="114" t="n">
        <v>0</v>
      </c>
      <c r="T2491" t="n">
        <v>0</v>
      </c>
    </row>
    <row r="2492">
      <c r="A2492" t="inlineStr">
        <is>
          <t>ttJTrans</t>
        </is>
      </c>
      <c r="B2492" s="38" t="inlineStr">
        <is>
          <t>0-4013-02</t>
        </is>
      </c>
      <c r="C2492" t="inlineStr">
        <is>
          <t>EQ</t>
        </is>
      </c>
      <c r="E2492" t="inlineStr">
        <is>
          <t>EQ</t>
        </is>
      </c>
      <c r="G2492" s="128" t="inlineStr"/>
      <c r="H2492" s="127" t="n">
        <v>46138</v>
      </c>
      <c r="J2492" s="38" t="inlineStr">
        <is>
          <t>0-4013-02</t>
        </is>
      </c>
      <c r="K2492" t="inlineStr">
        <is>
          <t>FE017 7' ROTARY CUTTER 7' ROTARY CUTTER</t>
        </is>
      </c>
      <c r="L2492" t="n">
        <v>0</v>
      </c>
      <c r="M2492" t="n">
        <v>0</v>
      </c>
      <c r="O2492" t="inlineStr">
        <is>
          <t>FE017</t>
        </is>
      </c>
      <c r="Q2492" s="114" t="n">
        <v>0</v>
      </c>
      <c r="R2492" s="114" t="n">
        <v>0</v>
      </c>
      <c r="S2492" s="114" t="n">
        <v>0</v>
      </c>
      <c r="T2492" t="n">
        <v>0</v>
      </c>
    </row>
    <row r="2493">
      <c r="A2493" t="inlineStr">
        <is>
          <t>ttJTrans</t>
        </is>
      </c>
      <c r="B2493" s="38" t="inlineStr">
        <is>
          <t>0-4013-02</t>
        </is>
      </c>
      <c r="C2493" t="inlineStr">
        <is>
          <t>EQ</t>
        </is>
      </c>
      <c r="E2493" t="inlineStr">
        <is>
          <t>EQ</t>
        </is>
      </c>
      <c r="G2493" s="128" t="inlineStr"/>
      <c r="H2493" s="127" t="n">
        <v>46138</v>
      </c>
      <c r="J2493" s="38" t="inlineStr">
        <is>
          <t>0-4013-02</t>
        </is>
      </c>
      <c r="K2493" t="inlineStr">
        <is>
          <t>FT011 JOHN DEERE 6130M TRACTOR W/ 620R LOADER JOHN DEERE 6130M TRACTOR W/ 620R LOADER</t>
        </is>
      </c>
      <c r="L2493" t="n">
        <v>0</v>
      </c>
      <c r="M2493" t="n">
        <v>0</v>
      </c>
      <c r="O2493" t="inlineStr">
        <is>
          <t>FT011</t>
        </is>
      </c>
      <c r="Q2493" s="114" t="n">
        <v>0</v>
      </c>
      <c r="R2493" s="114" t="n">
        <v>291.67</v>
      </c>
      <c r="S2493" s="114" t="n">
        <v>0</v>
      </c>
      <c r="T2493" t="n">
        <v>0</v>
      </c>
    </row>
    <row r="2494">
      <c r="A2494" t="inlineStr">
        <is>
          <t>ttJTrans</t>
        </is>
      </c>
      <c r="B2494" s="38" t="inlineStr">
        <is>
          <t>0-4013-02</t>
        </is>
      </c>
      <c r="C2494" t="inlineStr">
        <is>
          <t>EQ</t>
        </is>
      </c>
      <c r="E2494" t="inlineStr">
        <is>
          <t>EQ</t>
        </is>
      </c>
      <c r="G2494" s="128" t="inlineStr"/>
      <c r="H2494" s="127" t="n">
        <v>46138</v>
      </c>
      <c r="J2494" s="38" t="inlineStr">
        <is>
          <t>0-4013-02</t>
        </is>
      </c>
      <c r="K2494" t="inlineStr">
        <is>
          <t>FT011 JOHN DEERE 6130M TRACTOR W/ 620R LOADER JOHN DEERE 6130M TRACTOR W/ 620R LOADER</t>
        </is>
      </c>
      <c r="L2494" t="n">
        <v>0</v>
      </c>
      <c r="M2494" t="n">
        <v>0</v>
      </c>
      <c r="O2494" t="inlineStr">
        <is>
          <t>FT011</t>
        </is>
      </c>
      <c r="Q2494" s="114" t="n">
        <v>0</v>
      </c>
      <c r="R2494" s="114" t="n">
        <v>291.67</v>
      </c>
      <c r="S2494" s="114" t="n">
        <v>0</v>
      </c>
      <c r="T2494" t="n">
        <v>0</v>
      </c>
    </row>
    <row r="2495">
      <c r="A2495" t="inlineStr">
        <is>
          <t>ttJTrans</t>
        </is>
      </c>
      <c r="B2495" s="38" t="inlineStr">
        <is>
          <t>0-4013-02</t>
        </is>
      </c>
      <c r="C2495" t="inlineStr">
        <is>
          <t>EQ</t>
        </is>
      </c>
      <c r="E2495" t="inlineStr">
        <is>
          <t>EQ</t>
        </is>
      </c>
      <c r="G2495" s="128" t="inlineStr"/>
      <c r="H2495" s="127" t="n">
        <v>46138</v>
      </c>
      <c r="J2495" s="38" t="inlineStr">
        <is>
          <t>0-4013-02</t>
        </is>
      </c>
      <c r="K2495" t="inlineStr">
        <is>
          <t>FT011 JOHN DEERE 6130M TRACTOR W/ 620R LOADER JOHN DEERE 6130M TRACTOR W/ 620R LOADER</t>
        </is>
      </c>
      <c r="L2495" t="n">
        <v>0</v>
      </c>
      <c r="M2495" t="n">
        <v>0</v>
      </c>
      <c r="O2495" t="inlineStr">
        <is>
          <t>FT011</t>
        </is>
      </c>
      <c r="Q2495" s="114" t="n">
        <v>0</v>
      </c>
      <c r="R2495" s="114" t="n">
        <v>291.67</v>
      </c>
      <c r="S2495" s="114" t="n">
        <v>0</v>
      </c>
      <c r="T2495" t="n">
        <v>0</v>
      </c>
    </row>
    <row r="2496">
      <c r="A2496" t="inlineStr">
        <is>
          <t>ttJTrans</t>
        </is>
      </c>
      <c r="B2496" s="38" t="inlineStr">
        <is>
          <t>0-4013-02</t>
        </is>
      </c>
      <c r="C2496" t="inlineStr">
        <is>
          <t>EQ</t>
        </is>
      </c>
      <c r="E2496" t="inlineStr">
        <is>
          <t>EQ</t>
        </is>
      </c>
      <c r="G2496" s="128" t="inlineStr"/>
      <c r="H2496" s="127" t="n">
        <v>46138</v>
      </c>
      <c r="J2496" s="38" t="inlineStr">
        <is>
          <t>0-4013-02</t>
        </is>
      </c>
      <c r="K2496" t="inlineStr">
        <is>
          <t>WLD146 SILT FENCE PLOW - SKID STEER SILT FENCE PLOW - SKID STEER</t>
        </is>
      </c>
      <c r="L2496" t="n">
        <v>0</v>
      </c>
      <c r="M2496" t="n">
        <v>0</v>
      </c>
      <c r="O2496" t="inlineStr">
        <is>
          <t>WLD146</t>
        </is>
      </c>
      <c r="Q2496" s="114" t="n">
        <v>0</v>
      </c>
      <c r="R2496" s="114" t="n">
        <v>50</v>
      </c>
      <c r="S2496" s="114" t="n">
        <v>0</v>
      </c>
      <c r="T2496" t="n">
        <v>0</v>
      </c>
    </row>
    <row r="2497">
      <c r="A2497" t="inlineStr">
        <is>
          <t>ttJTrans</t>
        </is>
      </c>
      <c r="B2497" s="38" t="inlineStr">
        <is>
          <t>0-4013-02</t>
        </is>
      </c>
      <c r="C2497" t="inlineStr">
        <is>
          <t>EQ</t>
        </is>
      </c>
      <c r="E2497" t="inlineStr">
        <is>
          <t>EQ</t>
        </is>
      </c>
      <c r="G2497" s="128" t="inlineStr"/>
      <c r="H2497" s="127" t="n">
        <v>46138</v>
      </c>
      <c r="J2497" s="38" t="inlineStr">
        <is>
          <t>0-4013-02</t>
        </is>
      </c>
      <c r="K2497" t="inlineStr">
        <is>
          <t>WLD146 SILT FENCE PLOW - SKID STEER SILT FENCE PLOW - SKID STEER</t>
        </is>
      </c>
      <c r="L2497" t="n">
        <v>0</v>
      </c>
      <c r="M2497" t="n">
        <v>0</v>
      </c>
      <c r="O2497" t="inlineStr">
        <is>
          <t>WLD146</t>
        </is>
      </c>
      <c r="Q2497" s="114" t="n">
        <v>0</v>
      </c>
      <c r="R2497" s="114" t="n">
        <v>50</v>
      </c>
      <c r="S2497" s="114" t="n">
        <v>0</v>
      </c>
      <c r="T2497" t="n">
        <v>0</v>
      </c>
    </row>
    <row r="2498">
      <c r="A2498" t="inlineStr">
        <is>
          <t>ttJTrans</t>
        </is>
      </c>
      <c r="B2498" s="38" t="inlineStr">
        <is>
          <t>0-4013-02</t>
        </is>
      </c>
      <c r="C2498" t="inlineStr">
        <is>
          <t>EQ</t>
        </is>
      </c>
      <c r="E2498" t="inlineStr">
        <is>
          <t>EQ</t>
        </is>
      </c>
      <c r="G2498" s="128" t="inlineStr"/>
      <c r="H2498" s="127" t="n">
        <v>46138</v>
      </c>
      <c r="J2498" s="38" t="inlineStr">
        <is>
          <t>0-4013-02</t>
        </is>
      </c>
      <c r="K2498" t="inlineStr">
        <is>
          <t>WLD146 SILT FENCE PLOW - SKID STEER SILT FENCE PLOW - SKID STEER</t>
        </is>
      </c>
      <c r="L2498" t="n">
        <v>0</v>
      </c>
      <c r="M2498" t="n">
        <v>0</v>
      </c>
      <c r="O2498" t="inlineStr">
        <is>
          <t>WLD146</t>
        </is>
      </c>
      <c r="Q2498" s="114" t="n">
        <v>0</v>
      </c>
      <c r="R2498" s="114" t="n">
        <v>50</v>
      </c>
      <c r="S2498" s="114" t="n">
        <v>0</v>
      </c>
      <c r="T2498" t="n">
        <v>0</v>
      </c>
    </row>
    <row r="2499">
      <c r="A2499" t="inlineStr">
        <is>
          <t>ttJTrans</t>
        </is>
      </c>
      <c r="B2499" s="38" t="inlineStr">
        <is>
          <t>0-4013-02</t>
        </is>
      </c>
      <c r="C2499" t="inlineStr">
        <is>
          <t>EQ</t>
        </is>
      </c>
      <c r="E2499" t="inlineStr">
        <is>
          <t>EQ</t>
        </is>
      </c>
      <c r="G2499" s="128" t="inlineStr"/>
      <c r="H2499" s="127" t="n">
        <v>46138</v>
      </c>
      <c r="J2499" s="38" t="inlineStr">
        <is>
          <t>0-4013-02</t>
        </is>
      </c>
      <c r="K2499" t="inlineStr">
        <is>
          <t>RT1447 2024 FORD F250 XL STX CREW CAB DIESEL SWB 2024 FORD F250 XL STX CREW CAB DIESEL SWB</t>
        </is>
      </c>
      <c r="L2499" t="n">
        <v>0</v>
      </c>
      <c r="M2499" t="n">
        <v>0</v>
      </c>
      <c r="O2499" t="inlineStr">
        <is>
          <t>RT1447</t>
        </is>
      </c>
      <c r="Q2499" s="114" t="n">
        <v>0</v>
      </c>
      <c r="R2499" s="114" t="n">
        <v>79.14</v>
      </c>
      <c r="S2499" s="114" t="n">
        <v>0</v>
      </c>
      <c r="T2499" t="n">
        <v>0</v>
      </c>
    </row>
    <row r="2500">
      <c r="A2500" t="inlineStr">
        <is>
          <t>ttJTrans</t>
        </is>
      </c>
      <c r="B2500" s="38" t="inlineStr">
        <is>
          <t>0-4013-02</t>
        </is>
      </c>
      <c r="C2500" t="inlineStr">
        <is>
          <t>EQ</t>
        </is>
      </c>
      <c r="E2500" t="inlineStr">
        <is>
          <t>EQ</t>
        </is>
      </c>
      <c r="G2500" s="128" t="inlineStr"/>
      <c r="H2500" s="127" t="n">
        <v>46138</v>
      </c>
      <c r="J2500" s="38" t="inlineStr">
        <is>
          <t>0-4013-02</t>
        </is>
      </c>
      <c r="K2500" t="inlineStr">
        <is>
          <t>RT1447 2024 FORD F250 XL STX CREW CAB DIESEL SWB 2024 FORD F250 XL STX CREW CAB DIESEL SWB</t>
        </is>
      </c>
      <c r="L2500" t="n">
        <v>0</v>
      </c>
      <c r="M2500" t="n">
        <v>0</v>
      </c>
      <c r="O2500" t="inlineStr">
        <is>
          <t>RT1447</t>
        </is>
      </c>
      <c r="Q2500" s="114" t="n">
        <v>0</v>
      </c>
      <c r="R2500" s="114" t="n">
        <v>79.14</v>
      </c>
      <c r="S2500" s="114" t="n">
        <v>0</v>
      </c>
      <c r="T2500" t="n">
        <v>0</v>
      </c>
    </row>
    <row r="2501">
      <c r="A2501" t="inlineStr">
        <is>
          <t>ttJTrans</t>
        </is>
      </c>
      <c r="B2501" s="38" t="inlineStr">
        <is>
          <t>0-4013-02</t>
        </is>
      </c>
      <c r="C2501" t="inlineStr">
        <is>
          <t>EQ</t>
        </is>
      </c>
      <c r="E2501" t="inlineStr">
        <is>
          <t>EQ</t>
        </is>
      </c>
      <c r="G2501" s="128" t="inlineStr"/>
      <c r="H2501" s="127" t="n">
        <v>46138</v>
      </c>
      <c r="J2501" s="38" t="inlineStr">
        <is>
          <t>0-4013-02</t>
        </is>
      </c>
      <c r="K2501" t="inlineStr">
        <is>
          <t>RT1447 2024 FORD F250 XL STX CREW CAB DIESEL SWB 2024 FORD F250 XL STX CREW CAB DIESEL SWB</t>
        </is>
      </c>
      <c r="L2501" t="n">
        <v>0</v>
      </c>
      <c r="M2501" t="n">
        <v>0</v>
      </c>
      <c r="O2501" t="inlineStr">
        <is>
          <t>RT1447</t>
        </is>
      </c>
      <c r="Q2501" s="114" t="n">
        <v>0</v>
      </c>
      <c r="R2501" s="114" t="n">
        <v>79.14</v>
      </c>
      <c r="S2501" s="114" t="n">
        <v>0</v>
      </c>
      <c r="T2501" t="n">
        <v>0</v>
      </c>
    </row>
    <row r="2502">
      <c r="A2502" t="inlineStr">
        <is>
          <t>ttJTrans</t>
        </is>
      </c>
      <c r="B2502" s="38" t="inlineStr">
        <is>
          <t>0-4013-02</t>
        </is>
      </c>
      <c r="C2502" t="inlineStr">
        <is>
          <t>EQ</t>
        </is>
      </c>
      <c r="E2502" t="inlineStr">
        <is>
          <t>EQ</t>
        </is>
      </c>
      <c r="G2502" s="128" t="inlineStr"/>
      <c r="H2502" s="127" t="n">
        <v>46138</v>
      </c>
      <c r="J2502" s="38" t="inlineStr">
        <is>
          <t>0-4013-02</t>
        </is>
      </c>
      <c r="K2502" t="inlineStr">
        <is>
          <t>RT1385 2024 RAM 2500 TRADESMAN GAS 4X4 CREW CAB 8FT BED W/ DRAGUP TANK &amp; TOOLBOX COMBO 2024 RAM 2500 TRADESMAN GAS 4X4 CREW CAB 8FT BED W/ DRAGUP TANK &amp; TOOLBOX COMBO</t>
        </is>
      </c>
      <c r="L2502" t="n">
        <v>0</v>
      </c>
      <c r="M2502" t="n">
        <v>0</v>
      </c>
      <c r="O2502" t="inlineStr">
        <is>
          <t>RT1385</t>
        </is>
      </c>
      <c r="Q2502" s="114" t="n">
        <v>0</v>
      </c>
      <c r="R2502" s="114" t="n">
        <v>79.14</v>
      </c>
      <c r="S2502" s="114" t="n">
        <v>0</v>
      </c>
      <c r="T2502" t="n">
        <v>0</v>
      </c>
    </row>
    <row r="2503">
      <c r="A2503" t="inlineStr">
        <is>
          <t>ttJTrans</t>
        </is>
      </c>
      <c r="B2503" s="38" t="inlineStr">
        <is>
          <t>0-4013-02</t>
        </is>
      </c>
      <c r="C2503" t="inlineStr">
        <is>
          <t>EQ</t>
        </is>
      </c>
      <c r="E2503" t="inlineStr">
        <is>
          <t>EQ</t>
        </is>
      </c>
      <c r="G2503" s="128" t="inlineStr"/>
      <c r="H2503" s="127" t="n">
        <v>46138</v>
      </c>
      <c r="J2503" s="38" t="inlineStr">
        <is>
          <t>0-4013-02</t>
        </is>
      </c>
      <c r="K2503" t="inlineStr">
        <is>
          <t>RT1385 2024 RAM 2500 TRADESMAN GAS 4X4 CREW CAB 8FT BED W/ DRAGUP TANK &amp; TOOLBOX COMBO 2024 RAM 2500 TRADESMAN GAS 4X4 CREW CAB 8FT BED W/ DRAGUP TANK &amp; TOOLBOX COMBO</t>
        </is>
      </c>
      <c r="L2503" t="n">
        <v>0</v>
      </c>
      <c r="M2503" t="n">
        <v>0</v>
      </c>
      <c r="O2503" t="inlineStr">
        <is>
          <t>RT1385</t>
        </is>
      </c>
      <c r="Q2503" s="114" t="n">
        <v>0</v>
      </c>
      <c r="R2503" s="114" t="n">
        <v>79.14</v>
      </c>
      <c r="S2503" s="114" t="n">
        <v>0</v>
      </c>
      <c r="T2503" t="n">
        <v>0</v>
      </c>
    </row>
    <row r="2504">
      <c r="A2504" t="inlineStr">
        <is>
          <t>ttJTrans</t>
        </is>
      </c>
      <c r="B2504" s="38" t="inlineStr">
        <is>
          <t>0-4013-02</t>
        </is>
      </c>
      <c r="C2504" t="inlineStr">
        <is>
          <t>EQ</t>
        </is>
      </c>
      <c r="E2504" t="inlineStr">
        <is>
          <t>EQ</t>
        </is>
      </c>
      <c r="G2504" s="128" t="inlineStr"/>
      <c r="H2504" s="127" t="n">
        <v>46138</v>
      </c>
      <c r="J2504" s="38" t="inlineStr">
        <is>
          <t>0-4013-02</t>
        </is>
      </c>
      <c r="K2504" t="inlineStr">
        <is>
          <t>RT1385 2024 RAM 2500 TRADESMAN GAS 4X4 CREW CAB 8FT BED W/ DRAGUP TANK &amp; TOOLBOX COMBO 2024 RAM 2500 TRADESMAN GAS 4X4 CREW CAB 8FT BED W/ DRAGUP TANK &amp; TOOLBOX COMBO</t>
        </is>
      </c>
      <c r="L2504" t="n">
        <v>0</v>
      </c>
      <c r="M2504" t="n">
        <v>0</v>
      </c>
      <c r="O2504" t="inlineStr">
        <is>
          <t>RT1385</t>
        </is>
      </c>
      <c r="Q2504" s="114" t="n">
        <v>0</v>
      </c>
      <c r="R2504" s="114" t="n">
        <v>79.14</v>
      </c>
      <c r="S2504" s="114" t="n">
        <v>0</v>
      </c>
      <c r="T2504" t="n">
        <v>0</v>
      </c>
    </row>
    <row r="2505">
      <c r="A2505" t="inlineStr">
        <is>
          <t>ttJTrans</t>
        </is>
      </c>
      <c r="B2505" s="38" t="inlineStr">
        <is>
          <t>0-4013-02</t>
        </is>
      </c>
      <c r="C2505" t="inlineStr">
        <is>
          <t>EQ</t>
        </is>
      </c>
      <c r="E2505" t="inlineStr">
        <is>
          <t>EQ</t>
        </is>
      </c>
      <c r="G2505" s="128" t="inlineStr"/>
      <c r="H2505" s="127" t="n">
        <v>46138</v>
      </c>
      <c r="J2505" s="38" t="inlineStr">
        <is>
          <t>0-4013-02</t>
        </is>
      </c>
      <c r="K2505" t="inlineStr">
        <is>
          <t>SSAUGKIT1 SKIDPRO SP300 PLANETARY AUGER DRIVE KIT W/ CRADLE &amp; MOUNT SKIDPRO SP300 PLANETARY AUGER DRIVE KIT W/ CRADLE &amp; MOUNT</t>
        </is>
      </c>
      <c r="L2505" t="n">
        <v>0</v>
      </c>
      <c r="M2505" t="n">
        <v>0</v>
      </c>
      <c r="O2505" t="inlineStr">
        <is>
          <t>SSAUGKIT1</t>
        </is>
      </c>
      <c r="Q2505" s="114" t="n">
        <v>0</v>
      </c>
      <c r="R2505" s="114" t="n">
        <v>35</v>
      </c>
      <c r="S2505" s="114" t="n">
        <v>0</v>
      </c>
      <c r="T2505" t="n">
        <v>0</v>
      </c>
    </row>
    <row r="2506">
      <c r="A2506" t="inlineStr">
        <is>
          <t>ttJTrans</t>
        </is>
      </c>
      <c r="B2506" s="38" t="inlineStr">
        <is>
          <t>0-4013-02</t>
        </is>
      </c>
      <c r="C2506" t="inlineStr">
        <is>
          <t>EQ</t>
        </is>
      </c>
      <c r="E2506" t="inlineStr">
        <is>
          <t>EQ</t>
        </is>
      </c>
      <c r="G2506" s="128" t="inlineStr"/>
      <c r="H2506" s="127" t="n">
        <v>46138</v>
      </c>
      <c r="J2506" s="38" t="inlineStr">
        <is>
          <t>0-4013-02</t>
        </is>
      </c>
      <c r="K2506" t="inlineStr">
        <is>
          <t>SSAUGKIT1 SKIDPRO SP300 PLANETARY AUGER DRIVE KIT W/ CRADLE &amp; MOUNT SKIDPRO SP300 PLANETARY AUGER DRIVE KIT W/ CRADLE &amp; MOUNT</t>
        </is>
      </c>
      <c r="L2506" t="n">
        <v>0</v>
      </c>
      <c r="M2506" t="n">
        <v>0</v>
      </c>
      <c r="O2506" t="inlineStr">
        <is>
          <t>SSAUGKIT1</t>
        </is>
      </c>
      <c r="Q2506" s="114" t="n">
        <v>0</v>
      </c>
      <c r="R2506" s="114" t="n">
        <v>35</v>
      </c>
      <c r="S2506" s="114" t="n">
        <v>0</v>
      </c>
      <c r="T2506" t="n">
        <v>0</v>
      </c>
    </row>
    <row r="2507">
      <c r="A2507" t="inlineStr">
        <is>
          <t>ttJTrans</t>
        </is>
      </c>
      <c r="B2507" s="38" t="inlineStr">
        <is>
          <t>0-4013-02</t>
        </is>
      </c>
      <c r="C2507" t="inlineStr">
        <is>
          <t>EQ</t>
        </is>
      </c>
      <c r="E2507" t="inlineStr">
        <is>
          <t>EQ</t>
        </is>
      </c>
      <c r="G2507" s="128" t="inlineStr"/>
      <c r="H2507" s="127" t="n">
        <v>46138</v>
      </c>
      <c r="J2507" s="38" t="inlineStr">
        <is>
          <t>0-4013-02</t>
        </is>
      </c>
      <c r="K2507" t="inlineStr">
        <is>
          <t>SSAUGKIT1 SKIDPRO SP300 PLANETARY AUGER DRIVE KIT W/ CRADLE &amp; MOUNT SKIDPRO SP300 PLANETARY AUGER DRIVE KIT W/ CRADLE &amp; MOUNT</t>
        </is>
      </c>
      <c r="L2507" t="n">
        <v>0</v>
      </c>
      <c r="M2507" t="n">
        <v>0</v>
      </c>
      <c r="O2507" t="inlineStr">
        <is>
          <t>SSAUGKIT1</t>
        </is>
      </c>
      <c r="Q2507" s="114" t="n">
        <v>0</v>
      </c>
      <c r="R2507" s="114" t="n">
        <v>35</v>
      </c>
      <c r="S2507" s="114" t="n">
        <v>0</v>
      </c>
      <c r="T2507" t="n">
        <v>0</v>
      </c>
    </row>
    <row r="2508">
      <c r="A2508" t="inlineStr">
        <is>
          <t>ttJTrans</t>
        </is>
      </c>
      <c r="B2508" s="38" t="inlineStr">
        <is>
          <t>0-4013-02</t>
        </is>
      </c>
      <c r="C2508" t="inlineStr">
        <is>
          <t>EQ</t>
        </is>
      </c>
      <c r="E2508" t="inlineStr">
        <is>
          <t>EQ</t>
        </is>
      </c>
      <c r="G2508" s="128" t="inlineStr"/>
      <c r="H2508" s="127" t="n">
        <v>46138</v>
      </c>
      <c r="J2508" s="38" t="inlineStr">
        <is>
          <t>0-4013-02</t>
        </is>
      </c>
      <c r="K2508" t="inlineStr">
        <is>
          <t>TR425 20FT ENCLOSED CARGO TRAILER (CHARGED TO 22-4001) 20FT ENCLOSED CARGO TRAILER (CHARGED TO 22-4001)</t>
        </is>
      </c>
      <c r="L2508" t="n">
        <v>0</v>
      </c>
      <c r="M2508" t="n">
        <v>0</v>
      </c>
      <c r="O2508" t="inlineStr">
        <is>
          <t>TR425</t>
        </is>
      </c>
      <c r="Q2508" s="114" t="n">
        <v>0</v>
      </c>
      <c r="R2508" s="114" t="n">
        <v>65</v>
      </c>
      <c r="S2508" s="114" t="n">
        <v>0</v>
      </c>
      <c r="T2508" t="n">
        <v>0</v>
      </c>
    </row>
    <row r="2509">
      <c r="A2509" t="inlineStr">
        <is>
          <t>ttJTrans</t>
        </is>
      </c>
      <c r="B2509" s="38" t="inlineStr">
        <is>
          <t>0-4013-02</t>
        </is>
      </c>
      <c r="C2509" t="inlineStr">
        <is>
          <t>EQ</t>
        </is>
      </c>
      <c r="E2509" t="inlineStr">
        <is>
          <t>EQ</t>
        </is>
      </c>
      <c r="G2509" s="128" t="inlineStr"/>
      <c r="H2509" s="127" t="n">
        <v>46138</v>
      </c>
      <c r="J2509" s="38" t="inlineStr">
        <is>
          <t>0-4013-02</t>
        </is>
      </c>
      <c r="K2509" t="inlineStr">
        <is>
          <t>TR425 20FT ENCLOSED CARGO TRAILER (CHARGED TO 22-4001) 20FT ENCLOSED CARGO TRAILER (CHARGED TO 22-4001)</t>
        </is>
      </c>
      <c r="L2509" t="n">
        <v>0</v>
      </c>
      <c r="M2509" t="n">
        <v>0</v>
      </c>
      <c r="O2509" t="inlineStr">
        <is>
          <t>TR425</t>
        </is>
      </c>
      <c r="Q2509" s="114" t="n">
        <v>0</v>
      </c>
      <c r="R2509" s="114" t="n">
        <v>65</v>
      </c>
      <c r="S2509" s="114" t="n">
        <v>0</v>
      </c>
      <c r="T2509" t="n">
        <v>0</v>
      </c>
    </row>
    <row r="2510">
      <c r="A2510" t="inlineStr">
        <is>
          <t>ttJTrans</t>
        </is>
      </c>
      <c r="B2510" s="38" t="inlineStr">
        <is>
          <t>0-4013-02</t>
        </is>
      </c>
      <c r="C2510" t="inlineStr">
        <is>
          <t>EQ</t>
        </is>
      </c>
      <c r="E2510" t="inlineStr">
        <is>
          <t>EQ</t>
        </is>
      </c>
      <c r="G2510" s="128" t="inlineStr"/>
      <c r="H2510" s="127" t="n">
        <v>46138</v>
      </c>
      <c r="J2510" s="38" t="inlineStr">
        <is>
          <t>0-4013-02</t>
        </is>
      </c>
      <c r="K2510" t="inlineStr">
        <is>
          <t>TR425 20FT ENCLOSED CARGO TRAILER (CHARGED TO 22-4001) 20FT ENCLOSED CARGO TRAILER (CHARGED TO 22-4001)</t>
        </is>
      </c>
      <c r="L2510" t="n">
        <v>0</v>
      </c>
      <c r="M2510" t="n">
        <v>0</v>
      </c>
      <c r="O2510" t="inlineStr">
        <is>
          <t>TR425</t>
        </is>
      </c>
      <c r="Q2510" s="114" t="n">
        <v>0</v>
      </c>
      <c r="R2510" s="114" t="n">
        <v>65</v>
      </c>
      <c r="S2510" s="114" t="n">
        <v>0</v>
      </c>
      <c r="T2510" t="n">
        <v>0</v>
      </c>
    </row>
    <row r="2511">
      <c r="A2511" t="inlineStr">
        <is>
          <t>ttJTrans</t>
        </is>
      </c>
      <c r="B2511" s="38" t="inlineStr">
        <is>
          <t>0-4013-02</t>
        </is>
      </c>
      <c r="C2511" t="inlineStr">
        <is>
          <t>EQ</t>
        </is>
      </c>
      <c r="E2511" t="inlineStr">
        <is>
          <t>EQ</t>
        </is>
      </c>
      <c r="G2511" s="128" t="inlineStr"/>
      <c r="H2511" s="127" t="n">
        <v>46138</v>
      </c>
      <c r="J2511" s="38" t="inlineStr">
        <is>
          <t>0-4013-02</t>
        </is>
      </c>
      <c r="K2511" t="inlineStr">
        <is>
          <t>TR428 CARRY-ON 5X8 UTILITY TRAILER (CHARGED TO 22-4001) CARRY-ON 5X8 UTILITY TRAILER (CHARGED TO 22-4001)</t>
        </is>
      </c>
      <c r="L2511" t="n">
        <v>0</v>
      </c>
      <c r="M2511" t="n">
        <v>0</v>
      </c>
      <c r="O2511" t="inlineStr">
        <is>
          <t>TR428</t>
        </is>
      </c>
      <c r="Q2511" s="114" t="n">
        <v>0</v>
      </c>
      <c r="R2511" s="114" t="n">
        <v>15</v>
      </c>
      <c r="S2511" s="114" t="n">
        <v>0</v>
      </c>
      <c r="T2511" t="n">
        <v>0</v>
      </c>
    </row>
    <row r="2512">
      <c r="A2512" t="inlineStr">
        <is>
          <t>ttJTrans</t>
        </is>
      </c>
      <c r="B2512" s="38" t="inlineStr">
        <is>
          <t>0-4013-02</t>
        </is>
      </c>
      <c r="C2512" t="inlineStr">
        <is>
          <t>EQ</t>
        </is>
      </c>
      <c r="E2512" t="inlineStr">
        <is>
          <t>EQ</t>
        </is>
      </c>
      <c r="G2512" s="128" t="inlineStr"/>
      <c r="H2512" s="127" t="n">
        <v>46138</v>
      </c>
      <c r="J2512" s="38" t="inlineStr">
        <is>
          <t>0-4013-02</t>
        </is>
      </c>
      <c r="K2512" t="inlineStr">
        <is>
          <t>TR428 CARRY-ON 5X8 UTILITY TRAILER (CHARGED TO 22-4001) CARRY-ON 5X8 UTILITY TRAILER (CHARGED TO 22-4001)</t>
        </is>
      </c>
      <c r="L2512" t="n">
        <v>0</v>
      </c>
      <c r="M2512" t="n">
        <v>0</v>
      </c>
      <c r="O2512" t="inlineStr">
        <is>
          <t>TR428</t>
        </is>
      </c>
      <c r="Q2512" s="114" t="n">
        <v>0</v>
      </c>
      <c r="R2512" s="114" t="n">
        <v>15</v>
      </c>
      <c r="S2512" s="114" t="n">
        <v>0</v>
      </c>
      <c r="T2512" t="n">
        <v>0</v>
      </c>
    </row>
    <row r="2513">
      <c r="A2513" t="inlineStr">
        <is>
          <t>ttJTrans</t>
        </is>
      </c>
      <c r="B2513" s="38" t="inlineStr">
        <is>
          <t>0-4013-02</t>
        </is>
      </c>
      <c r="C2513" t="inlineStr">
        <is>
          <t>EQ</t>
        </is>
      </c>
      <c r="E2513" t="inlineStr">
        <is>
          <t>EQ</t>
        </is>
      </c>
      <c r="G2513" s="128" t="inlineStr"/>
      <c r="H2513" s="127" t="n">
        <v>46138</v>
      </c>
      <c r="J2513" s="38" t="inlineStr">
        <is>
          <t>0-4013-02</t>
        </is>
      </c>
      <c r="K2513" t="inlineStr">
        <is>
          <t>TR428 CARRY-ON 5X8 UTILITY TRAILER (CHARGED TO 22-4001) CARRY-ON 5X8 UTILITY TRAILER (CHARGED TO 22-4001)</t>
        </is>
      </c>
      <c r="L2513" t="n">
        <v>0</v>
      </c>
      <c r="M2513" t="n">
        <v>0</v>
      </c>
      <c r="O2513" t="inlineStr">
        <is>
          <t>TR428</t>
        </is>
      </c>
      <c r="Q2513" s="114" t="n">
        <v>0</v>
      </c>
      <c r="R2513" s="114" t="n">
        <v>15</v>
      </c>
      <c r="S2513" s="114" t="n">
        <v>0</v>
      </c>
      <c r="T2513" t="n">
        <v>0</v>
      </c>
    </row>
    <row r="2514">
      <c r="A2514" t="inlineStr">
        <is>
          <t>ttJTrans</t>
        </is>
      </c>
      <c r="B2514" s="38" t="inlineStr">
        <is>
          <t>0-4013-02</t>
        </is>
      </c>
      <c r="C2514" t="inlineStr">
        <is>
          <t>EQ</t>
        </is>
      </c>
      <c r="E2514" t="inlineStr">
        <is>
          <t>EQ</t>
        </is>
      </c>
      <c r="G2514" s="128" t="inlineStr"/>
      <c r="H2514" s="127" t="n">
        <v>46138</v>
      </c>
      <c r="J2514" s="38" t="inlineStr">
        <is>
          <t>0-4013-02</t>
        </is>
      </c>
      <c r="K2514" t="inlineStr">
        <is>
          <t>TR145 20' CARGO TRAILER 20' CARGO TRAILER</t>
        </is>
      </c>
      <c r="L2514" t="n">
        <v>0</v>
      </c>
      <c r="M2514" t="n">
        <v>0</v>
      </c>
      <c r="O2514" t="inlineStr">
        <is>
          <t>TR145</t>
        </is>
      </c>
      <c r="Q2514" s="114" t="n">
        <v>0</v>
      </c>
      <c r="R2514" s="114" t="n">
        <v>65</v>
      </c>
      <c r="S2514" s="114" t="n">
        <v>0</v>
      </c>
      <c r="T2514" t="n">
        <v>0</v>
      </c>
    </row>
    <row r="2515">
      <c r="A2515" t="inlineStr">
        <is>
          <t>ttJTrans</t>
        </is>
      </c>
      <c r="B2515" s="38" t="inlineStr">
        <is>
          <t>0-4013-02</t>
        </is>
      </c>
      <c r="C2515" t="inlineStr">
        <is>
          <t>EQ</t>
        </is>
      </c>
      <c r="E2515" t="inlineStr">
        <is>
          <t>EQ</t>
        </is>
      </c>
      <c r="G2515" s="128" t="inlineStr"/>
      <c r="H2515" s="127" t="n">
        <v>46138</v>
      </c>
      <c r="J2515" s="38" t="inlineStr">
        <is>
          <t>0-4013-02</t>
        </is>
      </c>
      <c r="K2515" t="inlineStr">
        <is>
          <t>TR145 20' CARGO TRAILER 20' CARGO TRAILER</t>
        </is>
      </c>
      <c r="L2515" t="n">
        <v>0</v>
      </c>
      <c r="M2515" t="n">
        <v>0</v>
      </c>
      <c r="O2515" t="inlineStr">
        <is>
          <t>TR145</t>
        </is>
      </c>
      <c r="Q2515" s="114" t="n">
        <v>0</v>
      </c>
      <c r="R2515" s="114" t="n">
        <v>65</v>
      </c>
      <c r="S2515" s="114" t="n">
        <v>0</v>
      </c>
      <c r="T2515" t="n">
        <v>0</v>
      </c>
    </row>
    <row r="2516">
      <c r="A2516" t="inlineStr">
        <is>
          <t>ttJTrans</t>
        </is>
      </c>
      <c r="B2516" s="38" t="inlineStr">
        <is>
          <t>0-4013-02</t>
        </is>
      </c>
      <c r="C2516" t="inlineStr">
        <is>
          <t>EQ</t>
        </is>
      </c>
      <c r="E2516" t="inlineStr">
        <is>
          <t>EQ</t>
        </is>
      </c>
      <c r="G2516" s="128" t="inlineStr"/>
      <c r="H2516" s="127" t="n">
        <v>46138</v>
      </c>
      <c r="J2516" s="38" t="inlineStr">
        <is>
          <t>0-4013-02</t>
        </is>
      </c>
      <c r="K2516" t="inlineStr">
        <is>
          <t>TR145 20' CARGO TRAILER 20' CARGO TRAILER</t>
        </is>
      </c>
      <c r="L2516" t="n">
        <v>0</v>
      </c>
      <c r="M2516" t="n">
        <v>0</v>
      </c>
      <c r="O2516" t="inlineStr">
        <is>
          <t>TR145</t>
        </is>
      </c>
      <c r="Q2516" s="114" t="n">
        <v>0</v>
      </c>
      <c r="R2516" s="114" t="n">
        <v>65</v>
      </c>
      <c r="S2516" s="114" t="n">
        <v>0</v>
      </c>
      <c r="T2516" t="n">
        <v>0</v>
      </c>
    </row>
    <row r="2517">
      <c r="A2517" t="inlineStr">
        <is>
          <t>ttJTrans</t>
        </is>
      </c>
      <c r="B2517" s="38" t="inlineStr">
        <is>
          <t>0-4013-02</t>
        </is>
      </c>
      <c r="C2517" t="inlineStr">
        <is>
          <t>EQ</t>
        </is>
      </c>
      <c r="E2517" t="inlineStr">
        <is>
          <t>EQ</t>
        </is>
      </c>
      <c r="G2517" s="128" t="inlineStr"/>
      <c r="H2517" s="127" t="n">
        <v>46138</v>
      </c>
      <c r="J2517" s="38" t="inlineStr">
        <is>
          <t>0-4013-02</t>
        </is>
      </c>
      <c r="K2517" t="inlineStr">
        <is>
          <t>TR260 2005 UTILITY BRAND TOOL VAN 2005 UTILITY BRAND TOOL VAN</t>
        </is>
      </c>
      <c r="L2517" t="n">
        <v>0</v>
      </c>
      <c r="M2517" t="n">
        <v>0</v>
      </c>
      <c r="O2517" t="inlineStr">
        <is>
          <t>TR260</t>
        </is>
      </c>
      <c r="Q2517" s="114" t="n">
        <v>0</v>
      </c>
      <c r="R2517" s="114" t="n">
        <v>75</v>
      </c>
      <c r="S2517" s="114" t="n">
        <v>0</v>
      </c>
      <c r="T2517" t="n">
        <v>0</v>
      </c>
    </row>
    <row r="2518">
      <c r="A2518" t="inlineStr">
        <is>
          <t>ttJTrans</t>
        </is>
      </c>
      <c r="B2518" s="38" t="inlineStr">
        <is>
          <t>0-4013-02</t>
        </is>
      </c>
      <c r="C2518" t="inlineStr">
        <is>
          <t>EQ</t>
        </is>
      </c>
      <c r="E2518" t="inlineStr">
        <is>
          <t>EQ</t>
        </is>
      </c>
      <c r="G2518" s="128" t="inlineStr"/>
      <c r="H2518" s="127" t="n">
        <v>46138</v>
      </c>
      <c r="J2518" s="38" t="inlineStr">
        <is>
          <t>0-4013-02</t>
        </is>
      </c>
      <c r="K2518" t="inlineStr">
        <is>
          <t>TR260 2005 UTILITY BRAND TOOL VAN 2005 UTILITY BRAND TOOL VAN</t>
        </is>
      </c>
      <c r="L2518" t="n">
        <v>0</v>
      </c>
      <c r="M2518" t="n">
        <v>0</v>
      </c>
      <c r="O2518" t="inlineStr">
        <is>
          <t>TR260</t>
        </is>
      </c>
      <c r="Q2518" s="114" t="n">
        <v>0</v>
      </c>
      <c r="R2518" s="114" t="n">
        <v>75</v>
      </c>
      <c r="S2518" s="114" t="n">
        <v>0</v>
      </c>
      <c r="T2518" t="n">
        <v>0</v>
      </c>
    </row>
    <row r="2519">
      <c r="A2519" t="inlineStr">
        <is>
          <t>ttJTrans</t>
        </is>
      </c>
      <c r="B2519" s="38" t="inlineStr">
        <is>
          <t>0-4013-02</t>
        </is>
      </c>
      <c r="C2519" t="inlineStr">
        <is>
          <t>EQ</t>
        </is>
      </c>
      <c r="E2519" t="inlineStr">
        <is>
          <t>EQ</t>
        </is>
      </c>
      <c r="G2519" s="128" t="inlineStr"/>
      <c r="H2519" s="127" t="n">
        <v>46138</v>
      </c>
      <c r="J2519" s="38" t="inlineStr">
        <is>
          <t>0-4013-02</t>
        </is>
      </c>
      <c r="K2519" t="inlineStr">
        <is>
          <t>TR260 2005 UTILITY BRAND TOOL VAN 2005 UTILITY BRAND TOOL VAN</t>
        </is>
      </c>
      <c r="L2519" t="n">
        <v>0</v>
      </c>
      <c r="M2519" t="n">
        <v>0</v>
      </c>
      <c r="O2519" t="inlineStr">
        <is>
          <t>TR260</t>
        </is>
      </c>
      <c r="Q2519" s="114" t="n">
        <v>0</v>
      </c>
      <c r="R2519" s="114" t="n">
        <v>75</v>
      </c>
      <c r="S2519" s="114" t="n">
        <v>0</v>
      </c>
      <c r="T2519" t="n">
        <v>0</v>
      </c>
    </row>
    <row r="2520">
      <c r="A2520" t="inlineStr">
        <is>
          <t>ttJTrans</t>
        </is>
      </c>
      <c r="B2520" s="38" t="inlineStr">
        <is>
          <t>0-4013-02</t>
        </is>
      </c>
      <c r="C2520" t="inlineStr">
        <is>
          <t>EQ</t>
        </is>
      </c>
      <c r="E2520" t="inlineStr">
        <is>
          <t>EQ</t>
        </is>
      </c>
      <c r="G2520" s="128" t="inlineStr"/>
      <c r="H2520" s="127" t="n">
        <v>46138</v>
      </c>
      <c r="J2520" s="38" t="inlineStr">
        <is>
          <t>0-4013-02</t>
        </is>
      </c>
      <c r="K2520" t="inlineStr">
        <is>
          <t>RT1479 2025 FORD F150 CREW CAB 4X4 2025 FORD F150 CREW CAB 4X4</t>
        </is>
      </c>
      <c r="L2520" t="n">
        <v>0</v>
      </c>
      <c r="M2520" t="n">
        <v>0</v>
      </c>
      <c r="O2520" t="inlineStr">
        <is>
          <t>RT1479</t>
        </is>
      </c>
      <c r="Q2520" s="114" t="n">
        <v>0</v>
      </c>
      <c r="R2520" s="114" t="n">
        <v>79.14</v>
      </c>
      <c r="S2520" s="114" t="n">
        <v>0</v>
      </c>
      <c r="T2520" t="n">
        <v>0</v>
      </c>
    </row>
    <row r="2521">
      <c r="A2521" t="inlineStr">
        <is>
          <t>ttJTrans</t>
        </is>
      </c>
      <c r="B2521" s="38" t="inlineStr">
        <is>
          <t>0-4013-02</t>
        </is>
      </c>
      <c r="C2521" t="inlineStr">
        <is>
          <t>EQ</t>
        </is>
      </c>
      <c r="E2521" t="inlineStr">
        <is>
          <t>EQ</t>
        </is>
      </c>
      <c r="G2521" s="128" t="inlineStr"/>
      <c r="H2521" s="127" t="n">
        <v>46138</v>
      </c>
      <c r="J2521" s="38" t="inlineStr">
        <is>
          <t>0-4013-02</t>
        </is>
      </c>
      <c r="K2521" t="inlineStr">
        <is>
          <t>RT1479 2025 FORD F150 CREW CAB 4X4 2025 FORD F150 CREW CAB 4X4</t>
        </is>
      </c>
      <c r="L2521" t="n">
        <v>0</v>
      </c>
      <c r="M2521" t="n">
        <v>0</v>
      </c>
      <c r="O2521" t="inlineStr">
        <is>
          <t>RT1479</t>
        </is>
      </c>
      <c r="Q2521" s="114" t="n">
        <v>0</v>
      </c>
      <c r="R2521" s="114" t="n">
        <v>79.14</v>
      </c>
      <c r="S2521" s="114" t="n">
        <v>0</v>
      </c>
      <c r="T2521" t="n">
        <v>0</v>
      </c>
    </row>
    <row r="2522">
      <c r="A2522" t="inlineStr">
        <is>
          <t>ttJTrans</t>
        </is>
      </c>
      <c r="B2522" s="38" t="inlineStr">
        <is>
          <t>0-4013-02</t>
        </is>
      </c>
      <c r="C2522" t="inlineStr">
        <is>
          <t>EQ</t>
        </is>
      </c>
      <c r="E2522" t="inlineStr">
        <is>
          <t>EQ</t>
        </is>
      </c>
      <c r="G2522" s="128" t="inlineStr"/>
      <c r="H2522" s="127" t="n">
        <v>46138</v>
      </c>
      <c r="J2522" s="38" t="inlineStr">
        <is>
          <t>0-4013-02</t>
        </is>
      </c>
      <c r="K2522" t="inlineStr">
        <is>
          <t>RT1479 2025 FORD F150 CREW CAB 4X4 2025 FORD F150 CREW CAB 4X4</t>
        </is>
      </c>
      <c r="L2522" t="n">
        <v>0</v>
      </c>
      <c r="M2522" t="n">
        <v>0</v>
      </c>
      <c r="O2522" t="inlineStr">
        <is>
          <t>RT1479</t>
        </is>
      </c>
      <c r="Q2522" s="114" t="n">
        <v>0</v>
      </c>
      <c r="R2522" s="114" t="n">
        <v>79.14</v>
      </c>
      <c r="S2522" s="114" t="n">
        <v>0</v>
      </c>
      <c r="T2522" t="n">
        <v>0</v>
      </c>
    </row>
    <row r="2523">
      <c r="A2523" t="inlineStr">
        <is>
          <t>ttJTrans</t>
        </is>
      </c>
      <c r="B2523" s="38" t="inlineStr">
        <is>
          <t>0-4013-02</t>
        </is>
      </c>
      <c r="C2523" t="inlineStr">
        <is>
          <t>EQ</t>
        </is>
      </c>
      <c r="E2523" t="inlineStr">
        <is>
          <t>EQ</t>
        </is>
      </c>
      <c r="G2523" s="128" t="inlineStr"/>
      <c r="H2523" s="127" t="n">
        <v>46138</v>
      </c>
      <c r="J2523" s="38" t="inlineStr">
        <is>
          <t>0-4013-02</t>
        </is>
      </c>
      <c r="K2523" t="inlineStr">
        <is>
          <t>TR154 20' PARKER TRAILER #1000277 20' PARKER TRAILER #1000277</t>
        </is>
      </c>
      <c r="L2523" t="n">
        <v>0</v>
      </c>
      <c r="M2523" t="n">
        <v>0</v>
      </c>
      <c r="O2523" t="inlineStr">
        <is>
          <t>TR154</t>
        </is>
      </c>
      <c r="Q2523" s="114" t="n">
        <v>0</v>
      </c>
      <c r="R2523" s="114" t="n">
        <v>15</v>
      </c>
      <c r="S2523" s="114" t="n">
        <v>0</v>
      </c>
      <c r="T2523" t="n">
        <v>0</v>
      </c>
    </row>
    <row r="2524">
      <c r="A2524" t="inlineStr">
        <is>
          <t>ttJTrans</t>
        </is>
      </c>
      <c r="B2524" s="38" t="inlineStr">
        <is>
          <t>0-4013-02</t>
        </is>
      </c>
      <c r="C2524" t="inlineStr">
        <is>
          <t>EQ</t>
        </is>
      </c>
      <c r="E2524" t="inlineStr">
        <is>
          <t>EQ</t>
        </is>
      </c>
      <c r="G2524" s="128" t="inlineStr"/>
      <c r="H2524" s="127" t="n">
        <v>46138</v>
      </c>
      <c r="J2524" s="38" t="inlineStr">
        <is>
          <t>0-4013-02</t>
        </is>
      </c>
      <c r="K2524" t="inlineStr">
        <is>
          <t>TR154 20' PARKER TRAILER #1000277 20' PARKER TRAILER #1000277</t>
        </is>
      </c>
      <c r="L2524" t="n">
        <v>0</v>
      </c>
      <c r="M2524" t="n">
        <v>0</v>
      </c>
      <c r="O2524" t="inlineStr">
        <is>
          <t>TR154</t>
        </is>
      </c>
      <c r="Q2524" s="114" t="n">
        <v>0</v>
      </c>
      <c r="R2524" s="114" t="n">
        <v>15</v>
      </c>
      <c r="S2524" s="114" t="n">
        <v>0</v>
      </c>
      <c r="T2524" t="n">
        <v>0</v>
      </c>
    </row>
    <row r="2525">
      <c r="A2525" t="inlineStr">
        <is>
          <t>ttJTrans</t>
        </is>
      </c>
      <c r="B2525" s="38" t="inlineStr">
        <is>
          <t>0-4013-02</t>
        </is>
      </c>
      <c r="C2525" t="inlineStr">
        <is>
          <t>EQ</t>
        </is>
      </c>
      <c r="E2525" t="inlineStr">
        <is>
          <t>EQ</t>
        </is>
      </c>
      <c r="G2525" s="128" t="inlineStr"/>
      <c r="H2525" s="127" t="n">
        <v>46138</v>
      </c>
      <c r="J2525" s="38" t="inlineStr">
        <is>
          <t>0-4013-02</t>
        </is>
      </c>
      <c r="K2525" t="inlineStr">
        <is>
          <t>TR154 20' PARKER TRAILER #1000277 20' PARKER TRAILER #1000277</t>
        </is>
      </c>
      <c r="L2525" t="n">
        <v>0</v>
      </c>
      <c r="M2525" t="n">
        <v>0</v>
      </c>
      <c r="O2525" t="inlineStr">
        <is>
          <t>TR154</t>
        </is>
      </c>
      <c r="Q2525" s="114" t="n">
        <v>0</v>
      </c>
      <c r="R2525" s="114" t="n">
        <v>15</v>
      </c>
      <c r="S2525" s="114" t="n">
        <v>0</v>
      </c>
      <c r="T2525" t="n">
        <v>0</v>
      </c>
    </row>
    <row r="2526">
      <c r="A2526" t="inlineStr">
        <is>
          <t>ttJTrans</t>
        </is>
      </c>
      <c r="B2526" s="38" t="inlineStr">
        <is>
          <t>0-4013-02</t>
        </is>
      </c>
      <c r="C2526" t="inlineStr">
        <is>
          <t>EQ</t>
        </is>
      </c>
      <c r="E2526" t="inlineStr">
        <is>
          <t>EQ</t>
        </is>
      </c>
      <c r="G2526" s="128" t="inlineStr"/>
      <c r="H2526" s="127" t="n">
        <v>46138</v>
      </c>
      <c r="J2526" s="38" t="inlineStr">
        <is>
          <t>0-4013-02</t>
        </is>
      </c>
      <c r="K2526" t="inlineStr">
        <is>
          <t>TR280 20' BIG TEX PI-20 20' BIG TEX PI-20</t>
        </is>
      </c>
      <c r="L2526" t="n">
        <v>0</v>
      </c>
      <c r="M2526" t="n">
        <v>0</v>
      </c>
      <c r="O2526" t="inlineStr">
        <is>
          <t>TR280</t>
        </is>
      </c>
      <c r="Q2526" s="114" t="n">
        <v>0</v>
      </c>
      <c r="R2526" s="114" t="n">
        <v>15</v>
      </c>
      <c r="S2526" s="114" t="n">
        <v>0</v>
      </c>
      <c r="T2526" t="n">
        <v>0</v>
      </c>
    </row>
    <row r="2527">
      <c r="A2527" t="inlineStr">
        <is>
          <t>ttJTrans</t>
        </is>
      </c>
      <c r="B2527" s="38" t="inlineStr">
        <is>
          <t>0-4013-02</t>
        </is>
      </c>
      <c r="C2527" t="inlineStr">
        <is>
          <t>EQ</t>
        </is>
      </c>
      <c r="E2527" t="inlineStr">
        <is>
          <t>EQ</t>
        </is>
      </c>
      <c r="G2527" s="128" t="inlineStr"/>
      <c r="H2527" s="127" t="n">
        <v>46138</v>
      </c>
      <c r="J2527" s="38" t="inlineStr">
        <is>
          <t>0-4013-02</t>
        </is>
      </c>
      <c r="K2527" t="inlineStr">
        <is>
          <t>TR280 20' BIG TEX PI-20 20' BIG TEX PI-20</t>
        </is>
      </c>
      <c r="L2527" t="n">
        <v>0</v>
      </c>
      <c r="M2527" t="n">
        <v>0</v>
      </c>
      <c r="O2527" t="inlineStr">
        <is>
          <t>TR280</t>
        </is>
      </c>
      <c r="Q2527" s="114" t="n">
        <v>0</v>
      </c>
      <c r="R2527" s="114" t="n">
        <v>15</v>
      </c>
      <c r="S2527" s="114" t="n">
        <v>0</v>
      </c>
      <c r="T2527" t="n">
        <v>0</v>
      </c>
    </row>
    <row r="2528">
      <c r="A2528" t="inlineStr">
        <is>
          <t>ttJTrans</t>
        </is>
      </c>
      <c r="B2528" s="38" t="inlineStr">
        <is>
          <t>0-4013-02</t>
        </is>
      </c>
      <c r="C2528" t="inlineStr">
        <is>
          <t>EQ</t>
        </is>
      </c>
      <c r="E2528" t="inlineStr">
        <is>
          <t>EQ</t>
        </is>
      </c>
      <c r="G2528" s="128" t="inlineStr"/>
      <c r="H2528" s="127" t="n">
        <v>46138</v>
      </c>
      <c r="J2528" s="38" t="inlineStr">
        <is>
          <t>0-4013-02</t>
        </is>
      </c>
      <c r="K2528" t="inlineStr">
        <is>
          <t>TR280 20' BIG TEX PI-20 20' BIG TEX PI-20</t>
        </is>
      </c>
      <c r="L2528" t="n">
        <v>0</v>
      </c>
      <c r="M2528" t="n">
        <v>0</v>
      </c>
      <c r="O2528" t="inlineStr">
        <is>
          <t>TR280</t>
        </is>
      </c>
      <c r="Q2528" s="114" t="n">
        <v>0</v>
      </c>
      <c r="R2528" s="114" t="n">
        <v>15</v>
      </c>
      <c r="S2528" s="114" t="n">
        <v>0</v>
      </c>
      <c r="T2528" t="n">
        <v>0</v>
      </c>
    </row>
    <row r="2529">
      <c r="A2529" t="inlineStr">
        <is>
          <t>ttJTrans</t>
        </is>
      </c>
      <c r="B2529" s="38" t="inlineStr">
        <is>
          <t>0-4013-02</t>
        </is>
      </c>
      <c r="C2529" t="inlineStr">
        <is>
          <t>EQ</t>
        </is>
      </c>
      <c r="E2529" t="inlineStr">
        <is>
          <t>EQ</t>
        </is>
      </c>
      <c r="G2529" s="128" t="inlineStr"/>
      <c r="H2529" s="127" t="n">
        <v>46138</v>
      </c>
      <c r="J2529" s="38" t="inlineStr">
        <is>
          <t>0-4013-02</t>
        </is>
      </c>
      <c r="K2529" t="inlineStr">
        <is>
          <t>WHV001 2025 PETERBILT 589 SLEEPER CAB 2025 PETERBILT 589 SLEEPER CAB</t>
        </is>
      </c>
      <c r="L2529" t="n">
        <v>0</v>
      </c>
      <c r="M2529" t="n">
        <v>0</v>
      </c>
      <c r="O2529" t="inlineStr">
        <is>
          <t>WHV001</t>
        </is>
      </c>
      <c r="Q2529" s="114" t="n">
        <v>0</v>
      </c>
      <c r="R2529" s="114" t="n">
        <v>250</v>
      </c>
      <c r="S2529" s="114" t="n">
        <v>0</v>
      </c>
      <c r="T2529" t="n">
        <v>0</v>
      </c>
    </row>
    <row r="2530">
      <c r="A2530" t="inlineStr">
        <is>
          <t>ttJTrans</t>
        </is>
      </c>
      <c r="B2530" s="38" t="inlineStr">
        <is>
          <t>0-4013-02</t>
        </is>
      </c>
      <c r="C2530" t="inlineStr">
        <is>
          <t>EQ</t>
        </is>
      </c>
      <c r="E2530" t="inlineStr">
        <is>
          <t>EQ</t>
        </is>
      </c>
      <c r="G2530" s="128" t="inlineStr"/>
      <c r="H2530" s="127" t="n">
        <v>46138</v>
      </c>
      <c r="J2530" s="38" t="inlineStr">
        <is>
          <t>0-4013-02</t>
        </is>
      </c>
      <c r="K2530" t="inlineStr">
        <is>
          <t>WHV001 2025 PETERBILT 589 SLEEPER CAB 2025 PETERBILT 589 SLEEPER CAB</t>
        </is>
      </c>
      <c r="L2530" t="n">
        <v>0</v>
      </c>
      <c r="M2530" t="n">
        <v>0</v>
      </c>
      <c r="O2530" t="inlineStr">
        <is>
          <t>WHV001</t>
        </is>
      </c>
      <c r="Q2530" s="114" t="n">
        <v>0</v>
      </c>
      <c r="R2530" s="114" t="n">
        <v>250</v>
      </c>
      <c r="S2530" s="114" t="n">
        <v>0</v>
      </c>
      <c r="T2530" t="n">
        <v>0</v>
      </c>
    </row>
    <row r="2531">
      <c r="A2531" t="inlineStr">
        <is>
          <t>ttJTrans</t>
        </is>
      </c>
      <c r="B2531" s="38" t="inlineStr">
        <is>
          <t>0-4013-02</t>
        </is>
      </c>
      <c r="C2531" t="inlineStr">
        <is>
          <t>EQ</t>
        </is>
      </c>
      <c r="E2531" t="inlineStr">
        <is>
          <t>EQ</t>
        </is>
      </c>
      <c r="G2531" s="128" t="inlineStr"/>
      <c r="H2531" s="127" t="n">
        <v>46138</v>
      </c>
      <c r="J2531" s="38" t="inlineStr">
        <is>
          <t>0-4013-02</t>
        </is>
      </c>
      <c r="K2531" t="inlineStr">
        <is>
          <t>WHV001 2025 PETERBILT 589 SLEEPER CAB 2025 PETERBILT 589 SLEEPER CAB</t>
        </is>
      </c>
      <c r="L2531" t="n">
        <v>0</v>
      </c>
      <c r="M2531" t="n">
        <v>0</v>
      </c>
      <c r="O2531" t="inlineStr">
        <is>
          <t>WHV001</t>
        </is>
      </c>
      <c r="Q2531" s="114" t="n">
        <v>0</v>
      </c>
      <c r="R2531" s="114" t="n">
        <v>250</v>
      </c>
      <c r="S2531" s="114" t="n">
        <v>0</v>
      </c>
      <c r="T2531" t="n">
        <v>0</v>
      </c>
    </row>
    <row r="2532">
      <c r="A2532" t="inlineStr">
        <is>
          <t>ttJTrans</t>
        </is>
      </c>
      <c r="B2532" s="38" t="inlineStr">
        <is>
          <t>0-4013-02</t>
        </is>
      </c>
      <c r="C2532" t="inlineStr">
        <is>
          <t>EQ</t>
        </is>
      </c>
      <c r="E2532" t="inlineStr">
        <is>
          <t>EQ</t>
        </is>
      </c>
      <c r="G2532" s="128" t="inlineStr"/>
      <c r="H2532" s="127" t="n">
        <v>46138</v>
      </c>
      <c r="J2532" s="38" t="inlineStr">
        <is>
          <t>0-4013-02</t>
        </is>
      </c>
      <c r="K2532" t="inlineStr">
        <is>
          <t>TR473 LANDOLL 53FT LOWBOY LANDOLL 53FT LOWBOY</t>
        </is>
      </c>
      <c r="L2532" t="n">
        <v>0</v>
      </c>
      <c r="M2532" t="n">
        <v>0</v>
      </c>
      <c r="O2532" t="inlineStr">
        <is>
          <t>TR473</t>
        </is>
      </c>
      <c r="Q2532" s="114" t="n">
        <v>0</v>
      </c>
      <c r="R2532" s="114" t="n">
        <v>0</v>
      </c>
      <c r="S2532" s="114" t="n">
        <v>0</v>
      </c>
      <c r="T2532" t="n">
        <v>0</v>
      </c>
    </row>
    <row r="2533">
      <c r="A2533" t="inlineStr">
        <is>
          <t>ttJTrans</t>
        </is>
      </c>
      <c r="B2533" s="38" t="inlineStr">
        <is>
          <t>0-4013-02</t>
        </is>
      </c>
      <c r="C2533" t="inlineStr">
        <is>
          <t>EQ</t>
        </is>
      </c>
      <c r="E2533" t="inlineStr">
        <is>
          <t>EQ</t>
        </is>
      </c>
      <c r="G2533" s="128" t="inlineStr"/>
      <c r="H2533" s="127" t="n">
        <v>46138</v>
      </c>
      <c r="J2533" s="38" t="inlineStr">
        <is>
          <t>0-4013-02</t>
        </is>
      </c>
      <c r="K2533" t="inlineStr">
        <is>
          <t>TR473 LANDOLL 53FT LOWBOY LANDOLL 53FT LOWBOY</t>
        </is>
      </c>
      <c r="L2533" t="n">
        <v>0</v>
      </c>
      <c r="M2533" t="n">
        <v>0</v>
      </c>
      <c r="O2533" t="inlineStr">
        <is>
          <t>TR473</t>
        </is>
      </c>
      <c r="Q2533" s="114" t="n">
        <v>0</v>
      </c>
      <c r="R2533" s="114" t="n">
        <v>0</v>
      </c>
      <c r="S2533" s="114" t="n">
        <v>0</v>
      </c>
      <c r="T2533" t="n">
        <v>0</v>
      </c>
    </row>
    <row r="2534">
      <c r="A2534" t="inlineStr">
        <is>
          <t>ttJTrans</t>
        </is>
      </c>
      <c r="B2534" s="38" t="inlineStr">
        <is>
          <t>0-4013-02</t>
        </is>
      </c>
      <c r="C2534" t="inlineStr">
        <is>
          <t>EQ</t>
        </is>
      </c>
      <c r="E2534" t="inlineStr">
        <is>
          <t>EQ</t>
        </is>
      </c>
      <c r="G2534" s="128" t="inlineStr"/>
      <c r="H2534" s="127" t="n">
        <v>46138</v>
      </c>
      <c r="J2534" s="38" t="inlineStr">
        <is>
          <t>0-4013-02</t>
        </is>
      </c>
      <c r="K2534" t="inlineStr">
        <is>
          <t>TR473 LANDOLL 53FT LOWBOY LANDOLL 53FT LOWBOY</t>
        </is>
      </c>
      <c r="L2534" t="n">
        <v>0</v>
      </c>
      <c r="M2534" t="n">
        <v>0</v>
      </c>
      <c r="O2534" t="inlineStr">
        <is>
          <t>TR473</t>
        </is>
      </c>
      <c r="Q2534" s="114" t="n">
        <v>0</v>
      </c>
      <c r="R2534" s="114" t="n">
        <v>0</v>
      </c>
      <c r="S2534" s="114" t="n">
        <v>0</v>
      </c>
      <c r="T2534" t="n">
        <v>0</v>
      </c>
    </row>
    <row r="2535">
      <c r="A2535" t="inlineStr">
        <is>
          <t>ttJTrans</t>
        </is>
      </c>
      <c r="B2535" s="38" t="inlineStr">
        <is>
          <t>0-4013-02</t>
        </is>
      </c>
      <c r="C2535" t="inlineStr">
        <is>
          <t>EQ</t>
        </is>
      </c>
      <c r="E2535" t="inlineStr">
        <is>
          <t>EQ</t>
        </is>
      </c>
      <c r="G2535" s="128" t="inlineStr"/>
      <c r="H2535" s="127" t="n">
        <v>46138</v>
      </c>
      <c r="J2535" s="38" t="inlineStr">
        <is>
          <t>0-4013-02</t>
        </is>
      </c>
      <c r="K2535" t="inlineStr">
        <is>
          <t>TR461 40' HIGH CUBE CONTAINERS 40' HIGH CUBE CONTAINERS</t>
        </is>
      </c>
      <c r="L2535" t="n">
        <v>0</v>
      </c>
      <c r="M2535" t="n">
        <v>0</v>
      </c>
      <c r="O2535" t="inlineStr">
        <is>
          <t>TR461</t>
        </is>
      </c>
      <c r="Q2535" s="114" t="n">
        <v>0</v>
      </c>
      <c r="R2535" s="114" t="n">
        <v>65</v>
      </c>
      <c r="S2535" s="114" t="n">
        <v>0</v>
      </c>
      <c r="T2535" t="n">
        <v>0</v>
      </c>
    </row>
    <row r="2536">
      <c r="A2536" t="inlineStr">
        <is>
          <t>ttJTrans</t>
        </is>
      </c>
      <c r="B2536" s="38" t="inlineStr">
        <is>
          <t>0-4013-02</t>
        </is>
      </c>
      <c r="C2536" t="inlineStr">
        <is>
          <t>EQ</t>
        </is>
      </c>
      <c r="E2536" t="inlineStr">
        <is>
          <t>EQ</t>
        </is>
      </c>
      <c r="G2536" s="128" t="inlineStr"/>
      <c r="H2536" s="127" t="n">
        <v>46138</v>
      </c>
      <c r="J2536" s="38" t="inlineStr">
        <is>
          <t>0-4013-02</t>
        </is>
      </c>
      <c r="K2536" t="inlineStr">
        <is>
          <t>TR461 40' HIGH CUBE CONTAINERS 40' HIGH CUBE CONTAINERS</t>
        </is>
      </c>
      <c r="L2536" t="n">
        <v>0</v>
      </c>
      <c r="M2536" t="n">
        <v>0</v>
      </c>
      <c r="O2536" t="inlineStr">
        <is>
          <t>TR461</t>
        </is>
      </c>
      <c r="Q2536" s="114" t="n">
        <v>0</v>
      </c>
      <c r="R2536" s="114" t="n">
        <v>65</v>
      </c>
      <c r="S2536" s="114" t="n">
        <v>0</v>
      </c>
      <c r="T2536" t="n">
        <v>0</v>
      </c>
    </row>
    <row r="2537">
      <c r="A2537" t="inlineStr">
        <is>
          <t>ttJTrans</t>
        </is>
      </c>
      <c r="B2537" s="38" t="inlineStr">
        <is>
          <t>0-4013-02</t>
        </is>
      </c>
      <c r="C2537" t="inlineStr">
        <is>
          <t>EQ</t>
        </is>
      </c>
      <c r="E2537" t="inlineStr">
        <is>
          <t>EQ</t>
        </is>
      </c>
      <c r="G2537" s="128" t="inlineStr"/>
      <c r="H2537" s="127" t="n">
        <v>46138</v>
      </c>
      <c r="J2537" s="38" t="inlineStr">
        <is>
          <t>0-4013-02</t>
        </is>
      </c>
      <c r="K2537" t="inlineStr">
        <is>
          <t>TR461 40' HIGH CUBE CONTAINERS 40' HIGH CUBE CONTAINERS</t>
        </is>
      </c>
      <c r="L2537" t="n">
        <v>0</v>
      </c>
      <c r="M2537" t="n">
        <v>0</v>
      </c>
      <c r="O2537" t="inlineStr">
        <is>
          <t>TR461</t>
        </is>
      </c>
      <c r="Q2537" s="114" t="n">
        <v>0</v>
      </c>
      <c r="R2537" s="114" t="n">
        <v>65</v>
      </c>
      <c r="S2537" s="114" t="n">
        <v>0</v>
      </c>
      <c r="T2537" t="n">
        <v>0</v>
      </c>
    </row>
    <row r="2538">
      <c r="A2538" t="inlineStr">
        <is>
          <t>ttJTrans</t>
        </is>
      </c>
      <c r="B2538" s="38" t="inlineStr">
        <is>
          <t>0-4013-02</t>
        </is>
      </c>
      <c r="C2538" t="inlineStr">
        <is>
          <t>EQ</t>
        </is>
      </c>
      <c r="E2538" t="inlineStr">
        <is>
          <t>EQ</t>
        </is>
      </c>
      <c r="G2538" s="128" t="inlineStr"/>
      <c r="H2538" s="127" t="n">
        <v>46138</v>
      </c>
      <c r="J2538" s="38" t="inlineStr">
        <is>
          <t>0-4013-02</t>
        </is>
      </c>
      <c r="K2538" t="inlineStr">
        <is>
          <t>TR462 40' HIGH CUBE CONTAINERS 40' HIGH CUBE CONTAINERS</t>
        </is>
      </c>
      <c r="L2538" t="n">
        <v>0</v>
      </c>
      <c r="M2538" t="n">
        <v>0</v>
      </c>
      <c r="O2538" t="inlineStr">
        <is>
          <t>TR462</t>
        </is>
      </c>
      <c r="Q2538" s="114" t="n">
        <v>0</v>
      </c>
      <c r="R2538" s="114" t="n">
        <v>65</v>
      </c>
      <c r="S2538" s="114" t="n">
        <v>0</v>
      </c>
      <c r="T2538" t="n">
        <v>0</v>
      </c>
    </row>
    <row r="2539">
      <c r="A2539" t="inlineStr">
        <is>
          <t>ttJTrans</t>
        </is>
      </c>
      <c r="B2539" s="38" t="inlineStr">
        <is>
          <t>0-4013-02</t>
        </is>
      </c>
      <c r="C2539" t="inlineStr">
        <is>
          <t>EQ</t>
        </is>
      </c>
      <c r="E2539" t="inlineStr">
        <is>
          <t>EQ</t>
        </is>
      </c>
      <c r="G2539" s="128" t="inlineStr"/>
      <c r="H2539" s="127" t="n">
        <v>46138</v>
      </c>
      <c r="J2539" s="38" t="inlineStr">
        <is>
          <t>0-4013-02</t>
        </is>
      </c>
      <c r="K2539" t="inlineStr">
        <is>
          <t>TR462 40' HIGH CUBE CONTAINERS 40' HIGH CUBE CONTAINERS</t>
        </is>
      </c>
      <c r="L2539" t="n">
        <v>0</v>
      </c>
      <c r="M2539" t="n">
        <v>0</v>
      </c>
      <c r="O2539" t="inlineStr">
        <is>
          <t>TR462</t>
        </is>
      </c>
      <c r="Q2539" s="114" t="n">
        <v>0</v>
      </c>
      <c r="R2539" s="114" t="n">
        <v>65</v>
      </c>
      <c r="S2539" s="114" t="n">
        <v>0</v>
      </c>
      <c r="T2539" t="n">
        <v>0</v>
      </c>
    </row>
    <row r="2540">
      <c r="A2540" t="inlineStr">
        <is>
          <t>ttJTrans</t>
        </is>
      </c>
      <c r="B2540" s="38" t="inlineStr">
        <is>
          <t>0-4013-02</t>
        </is>
      </c>
      <c r="C2540" t="inlineStr">
        <is>
          <t>EQ</t>
        </is>
      </c>
      <c r="E2540" t="inlineStr">
        <is>
          <t>EQ</t>
        </is>
      </c>
      <c r="G2540" s="128" t="inlineStr"/>
      <c r="H2540" s="127" t="n">
        <v>46138</v>
      </c>
      <c r="J2540" s="38" t="inlineStr">
        <is>
          <t>0-4013-02</t>
        </is>
      </c>
      <c r="K2540" t="inlineStr">
        <is>
          <t>TR462 40' HIGH CUBE CONTAINERS 40' HIGH CUBE CONTAINERS</t>
        </is>
      </c>
      <c r="L2540" t="n">
        <v>0</v>
      </c>
      <c r="M2540" t="n">
        <v>0</v>
      </c>
      <c r="O2540" t="inlineStr">
        <is>
          <t>TR462</t>
        </is>
      </c>
      <c r="Q2540" s="114" t="n">
        <v>0</v>
      </c>
      <c r="R2540" s="114" t="n">
        <v>65</v>
      </c>
      <c r="S2540" s="114" t="n">
        <v>0</v>
      </c>
      <c r="T2540" t="n">
        <v>0</v>
      </c>
    </row>
    <row r="2541">
      <c r="A2541" t="inlineStr">
        <is>
          <t>ttJTrans</t>
        </is>
      </c>
      <c r="B2541" s="38" t="inlineStr">
        <is>
          <t>0-4013-02</t>
        </is>
      </c>
      <c r="C2541" t="inlineStr">
        <is>
          <t>EQ</t>
        </is>
      </c>
      <c r="E2541" t="inlineStr">
        <is>
          <t>EQ</t>
        </is>
      </c>
      <c r="G2541" s="128" t="inlineStr"/>
      <c r="H2541" s="127" t="n">
        <v>46138</v>
      </c>
      <c r="J2541" s="38" t="inlineStr">
        <is>
          <t>0-4013-02</t>
        </is>
      </c>
      <c r="K2541" t="inlineStr">
        <is>
          <t>TR463 40' HIGH CUBE CONTAINERS 40' HIGH CUBE CONTAINERS</t>
        </is>
      </c>
      <c r="L2541" t="n">
        <v>0</v>
      </c>
      <c r="M2541" t="n">
        <v>0</v>
      </c>
      <c r="O2541" t="inlineStr">
        <is>
          <t>TR463</t>
        </is>
      </c>
      <c r="Q2541" s="114" t="n">
        <v>0</v>
      </c>
      <c r="R2541" s="114" t="n">
        <v>65</v>
      </c>
      <c r="S2541" s="114" t="n">
        <v>0</v>
      </c>
      <c r="T2541" t="n">
        <v>0</v>
      </c>
    </row>
    <row r="2542">
      <c r="A2542" t="inlineStr">
        <is>
          <t>ttJTrans</t>
        </is>
      </c>
      <c r="B2542" s="38" t="inlineStr">
        <is>
          <t>0-4013-02</t>
        </is>
      </c>
      <c r="C2542" t="inlineStr">
        <is>
          <t>EQ</t>
        </is>
      </c>
      <c r="E2542" t="inlineStr">
        <is>
          <t>EQ</t>
        </is>
      </c>
      <c r="G2542" s="128" t="inlineStr"/>
      <c r="H2542" s="127" t="n">
        <v>46138</v>
      </c>
      <c r="J2542" s="38" t="inlineStr">
        <is>
          <t>0-4013-02</t>
        </is>
      </c>
      <c r="K2542" t="inlineStr">
        <is>
          <t>TR463 40' HIGH CUBE CONTAINERS 40' HIGH CUBE CONTAINERS</t>
        </is>
      </c>
      <c r="L2542" t="n">
        <v>0</v>
      </c>
      <c r="M2542" t="n">
        <v>0</v>
      </c>
      <c r="O2542" t="inlineStr">
        <is>
          <t>TR463</t>
        </is>
      </c>
      <c r="Q2542" s="114" t="n">
        <v>0</v>
      </c>
      <c r="R2542" s="114" t="n">
        <v>65</v>
      </c>
      <c r="S2542" s="114" t="n">
        <v>0</v>
      </c>
      <c r="T2542" t="n">
        <v>0</v>
      </c>
    </row>
    <row r="2543">
      <c r="A2543" t="inlineStr">
        <is>
          <t>ttJTrans</t>
        </is>
      </c>
      <c r="B2543" s="38" t="inlineStr">
        <is>
          <t>0-4013-02</t>
        </is>
      </c>
      <c r="C2543" t="inlineStr">
        <is>
          <t>EQ</t>
        </is>
      </c>
      <c r="E2543" t="inlineStr">
        <is>
          <t>EQ</t>
        </is>
      </c>
      <c r="G2543" s="128" t="inlineStr"/>
      <c r="H2543" s="127" t="n">
        <v>46138</v>
      </c>
      <c r="J2543" s="38" t="inlineStr">
        <is>
          <t>0-4013-02</t>
        </is>
      </c>
      <c r="K2543" t="inlineStr">
        <is>
          <t>TR463 40' HIGH CUBE CONTAINERS 40' HIGH CUBE CONTAINERS</t>
        </is>
      </c>
      <c r="L2543" t="n">
        <v>0</v>
      </c>
      <c r="M2543" t="n">
        <v>0</v>
      </c>
      <c r="O2543" t="inlineStr">
        <is>
          <t>TR463</t>
        </is>
      </c>
      <c r="Q2543" s="114" t="n">
        <v>0</v>
      </c>
      <c r="R2543" s="114" t="n">
        <v>65</v>
      </c>
      <c r="S2543" s="114" t="n">
        <v>0</v>
      </c>
      <c r="T2543" t="n">
        <v>0</v>
      </c>
    </row>
    <row r="2544">
      <c r="A2544" t="inlineStr">
        <is>
          <t>ttJTrans</t>
        </is>
      </c>
      <c r="B2544" s="38" t="inlineStr">
        <is>
          <t>0-4013-02</t>
        </is>
      </c>
      <c r="C2544" t="inlineStr">
        <is>
          <t>EQ</t>
        </is>
      </c>
      <c r="E2544" t="inlineStr">
        <is>
          <t>EQ</t>
        </is>
      </c>
      <c r="G2544" s="128" t="inlineStr"/>
      <c r="H2544" s="127" t="n">
        <v>46138</v>
      </c>
      <c r="J2544" s="38" t="inlineStr">
        <is>
          <t>0-4013-02</t>
        </is>
      </c>
      <c r="K2544" t="inlineStr">
        <is>
          <t>TR464 40' HIGH CUBE CONTAINERS 40' HIGH CUBE CONTAINERS</t>
        </is>
      </c>
      <c r="L2544" t="n">
        <v>0</v>
      </c>
      <c r="M2544" t="n">
        <v>0</v>
      </c>
      <c r="O2544" t="inlineStr">
        <is>
          <t>TR464</t>
        </is>
      </c>
      <c r="Q2544" s="114" t="n">
        <v>0</v>
      </c>
      <c r="R2544" s="114" t="n">
        <v>65</v>
      </c>
      <c r="S2544" s="114" t="n">
        <v>0</v>
      </c>
      <c r="T2544" t="n">
        <v>0</v>
      </c>
    </row>
    <row r="2545">
      <c r="A2545" t="inlineStr">
        <is>
          <t>ttJTrans</t>
        </is>
      </c>
      <c r="B2545" s="38" t="inlineStr">
        <is>
          <t>0-4013-02</t>
        </is>
      </c>
      <c r="C2545" t="inlineStr">
        <is>
          <t>EQ</t>
        </is>
      </c>
      <c r="E2545" t="inlineStr">
        <is>
          <t>EQ</t>
        </is>
      </c>
      <c r="G2545" s="128" t="inlineStr"/>
      <c r="H2545" s="127" t="n">
        <v>46138</v>
      </c>
      <c r="J2545" s="38" t="inlineStr">
        <is>
          <t>0-4013-02</t>
        </is>
      </c>
      <c r="K2545" t="inlineStr">
        <is>
          <t>TR464 40' HIGH CUBE CONTAINERS 40' HIGH CUBE CONTAINERS</t>
        </is>
      </c>
      <c r="L2545" t="n">
        <v>0</v>
      </c>
      <c r="M2545" t="n">
        <v>0</v>
      </c>
      <c r="O2545" t="inlineStr">
        <is>
          <t>TR464</t>
        </is>
      </c>
      <c r="Q2545" s="114" t="n">
        <v>0</v>
      </c>
      <c r="R2545" s="114" t="n">
        <v>65</v>
      </c>
      <c r="S2545" s="114" t="n">
        <v>0</v>
      </c>
      <c r="T2545" t="n">
        <v>0</v>
      </c>
    </row>
    <row r="2546">
      <c r="A2546" t="inlineStr">
        <is>
          <t>ttJTrans</t>
        </is>
      </c>
      <c r="B2546" s="38" t="inlineStr">
        <is>
          <t>0-4013-02</t>
        </is>
      </c>
      <c r="C2546" t="inlineStr">
        <is>
          <t>EQ</t>
        </is>
      </c>
      <c r="E2546" t="inlineStr">
        <is>
          <t>EQ</t>
        </is>
      </c>
      <c r="G2546" s="128" t="inlineStr"/>
      <c r="H2546" s="127" t="n">
        <v>46138</v>
      </c>
      <c r="J2546" s="38" t="inlineStr">
        <is>
          <t>0-4013-02</t>
        </is>
      </c>
      <c r="K2546" t="inlineStr">
        <is>
          <t>TR464 40' HIGH CUBE CONTAINERS 40' HIGH CUBE CONTAINERS</t>
        </is>
      </c>
      <c r="L2546" t="n">
        <v>0</v>
      </c>
      <c r="M2546" t="n">
        <v>0</v>
      </c>
      <c r="O2546" t="inlineStr">
        <is>
          <t>TR464</t>
        </is>
      </c>
      <c r="Q2546" s="114" t="n">
        <v>0</v>
      </c>
      <c r="R2546" s="114" t="n">
        <v>65</v>
      </c>
      <c r="S2546" s="114" t="n">
        <v>0</v>
      </c>
      <c r="T2546" t="n">
        <v>0</v>
      </c>
    </row>
    <row r="2547">
      <c r="A2547" t="inlineStr">
        <is>
          <t>ttJTrans</t>
        </is>
      </c>
      <c r="B2547" s="38" t="inlineStr">
        <is>
          <t>0-4013-02</t>
        </is>
      </c>
      <c r="C2547" t="inlineStr">
        <is>
          <t>EQ</t>
        </is>
      </c>
      <c r="E2547" t="inlineStr">
        <is>
          <t>EQ</t>
        </is>
      </c>
      <c r="G2547" s="128" t="inlineStr"/>
      <c r="H2547" s="127" t="n">
        <v>46138</v>
      </c>
      <c r="J2547" s="38" t="inlineStr">
        <is>
          <t>0-4013-02</t>
        </is>
      </c>
      <c r="K2547" t="inlineStr">
        <is>
          <t>TR456 40' DOUBLE DOOR CONTAINER 40' DOUBLE DOOR CONTAINER</t>
        </is>
      </c>
      <c r="L2547" t="n">
        <v>0</v>
      </c>
      <c r="M2547" t="n">
        <v>0</v>
      </c>
      <c r="O2547" t="inlineStr">
        <is>
          <t>TR456</t>
        </is>
      </c>
      <c r="Q2547" s="114" t="n">
        <v>0</v>
      </c>
      <c r="R2547" s="114" t="n">
        <v>65</v>
      </c>
      <c r="S2547" s="114" t="n">
        <v>0</v>
      </c>
      <c r="T2547" t="n">
        <v>0</v>
      </c>
    </row>
    <row r="2548">
      <c r="A2548" t="inlineStr">
        <is>
          <t>ttJTrans</t>
        </is>
      </c>
      <c r="B2548" s="38" t="inlineStr">
        <is>
          <t>0-4013-02</t>
        </is>
      </c>
      <c r="C2548" t="inlineStr">
        <is>
          <t>EQ</t>
        </is>
      </c>
      <c r="E2548" t="inlineStr">
        <is>
          <t>EQ</t>
        </is>
      </c>
      <c r="G2548" s="128" t="inlineStr"/>
      <c r="H2548" s="127" t="n">
        <v>46138</v>
      </c>
      <c r="J2548" s="38" t="inlineStr">
        <is>
          <t>0-4013-02</t>
        </is>
      </c>
      <c r="K2548" t="inlineStr">
        <is>
          <t>TR456 40' DOUBLE DOOR CONTAINER 40' DOUBLE DOOR CONTAINER</t>
        </is>
      </c>
      <c r="L2548" t="n">
        <v>0</v>
      </c>
      <c r="M2548" t="n">
        <v>0</v>
      </c>
      <c r="O2548" t="inlineStr">
        <is>
          <t>TR456</t>
        </is>
      </c>
      <c r="Q2548" s="114" t="n">
        <v>0</v>
      </c>
      <c r="R2548" s="114" t="n">
        <v>65</v>
      </c>
      <c r="S2548" s="114" t="n">
        <v>0</v>
      </c>
      <c r="T2548" t="n">
        <v>0</v>
      </c>
    </row>
    <row r="2549">
      <c r="A2549" t="inlineStr">
        <is>
          <t>ttJTrans</t>
        </is>
      </c>
      <c r="B2549" s="38" t="inlineStr">
        <is>
          <t>0-4013-02</t>
        </is>
      </c>
      <c r="C2549" t="inlineStr">
        <is>
          <t>EQ</t>
        </is>
      </c>
      <c r="E2549" t="inlineStr">
        <is>
          <t>EQ</t>
        </is>
      </c>
      <c r="G2549" s="128" t="inlineStr"/>
      <c r="H2549" s="127" t="n">
        <v>46138</v>
      </c>
      <c r="J2549" s="38" t="inlineStr">
        <is>
          <t>0-4013-02</t>
        </is>
      </c>
      <c r="K2549" t="inlineStr">
        <is>
          <t>TR456 40' DOUBLE DOOR CONTAINER 40' DOUBLE DOOR CONTAINER</t>
        </is>
      </c>
      <c r="L2549" t="n">
        <v>0</v>
      </c>
      <c r="M2549" t="n">
        <v>0</v>
      </c>
      <c r="O2549" t="inlineStr">
        <is>
          <t>TR456</t>
        </is>
      </c>
      <c r="Q2549" s="114" t="n">
        <v>0</v>
      </c>
      <c r="R2549" s="114" t="n">
        <v>65</v>
      </c>
      <c r="S2549" s="114" t="n">
        <v>0</v>
      </c>
      <c r="T2549" t="n">
        <v>0</v>
      </c>
    </row>
    <row r="2550">
      <c r="A2550" t="inlineStr">
        <is>
          <t>ttJTrans</t>
        </is>
      </c>
      <c r="B2550" s="38" t="inlineStr">
        <is>
          <t>0-4013-02</t>
        </is>
      </c>
      <c r="C2550" t="inlineStr">
        <is>
          <t>EQ</t>
        </is>
      </c>
      <c r="E2550" t="inlineStr">
        <is>
          <t>EQ</t>
        </is>
      </c>
      <c r="G2550" s="128" t="inlineStr"/>
      <c r="H2550" s="127" t="n">
        <v>46138</v>
      </c>
      <c r="J2550" s="38" t="inlineStr">
        <is>
          <t>0-4013-02</t>
        </is>
      </c>
      <c r="K2550" t="inlineStr">
        <is>
          <t>WTL002 2025 55 TON GOOSENECK EAGER BEAVER LOWBOY 2025 55 TON GOOSENECK EAGER BEAVER LOWBOY</t>
        </is>
      </c>
      <c r="L2550" t="n">
        <v>0</v>
      </c>
      <c r="M2550" t="n">
        <v>0</v>
      </c>
      <c r="O2550" t="inlineStr">
        <is>
          <t>WTL002</t>
        </is>
      </c>
      <c r="Q2550" s="114" t="n">
        <v>0</v>
      </c>
      <c r="R2550" s="114" t="n">
        <v>55</v>
      </c>
      <c r="S2550" s="114" t="n">
        <v>0</v>
      </c>
      <c r="T2550" t="n">
        <v>0</v>
      </c>
    </row>
    <row r="2551">
      <c r="A2551" t="inlineStr">
        <is>
          <t>ttJTrans</t>
        </is>
      </c>
      <c r="B2551" s="38" t="inlineStr">
        <is>
          <t>0-4013-02</t>
        </is>
      </c>
      <c r="C2551" t="inlineStr">
        <is>
          <t>EQ</t>
        </is>
      </c>
      <c r="E2551" t="inlineStr">
        <is>
          <t>EQ</t>
        </is>
      </c>
      <c r="G2551" s="128" t="inlineStr"/>
      <c r="H2551" s="127" t="n">
        <v>46138</v>
      </c>
      <c r="J2551" s="38" t="inlineStr">
        <is>
          <t>0-4013-02</t>
        </is>
      </c>
      <c r="K2551" t="inlineStr">
        <is>
          <t>WTL002 2025 55 TON GOOSENECK EAGER BEAVER LOWBOY 2025 55 TON GOOSENECK EAGER BEAVER LOWBOY</t>
        </is>
      </c>
      <c r="L2551" t="n">
        <v>0</v>
      </c>
      <c r="M2551" t="n">
        <v>0</v>
      </c>
      <c r="O2551" t="inlineStr">
        <is>
          <t>WTL002</t>
        </is>
      </c>
      <c r="Q2551" s="114" t="n">
        <v>0</v>
      </c>
      <c r="R2551" s="114" t="n">
        <v>55</v>
      </c>
      <c r="S2551" s="114" t="n">
        <v>0</v>
      </c>
      <c r="T2551" t="n">
        <v>0</v>
      </c>
    </row>
    <row r="2552">
      <c r="A2552" t="inlineStr">
        <is>
          <t>ttJTrans</t>
        </is>
      </c>
      <c r="B2552" s="38" t="inlineStr">
        <is>
          <t>0-4013-02</t>
        </is>
      </c>
      <c r="C2552" t="inlineStr">
        <is>
          <t>EQ</t>
        </is>
      </c>
      <c r="E2552" t="inlineStr">
        <is>
          <t>EQ</t>
        </is>
      </c>
      <c r="G2552" s="128" t="inlineStr"/>
      <c r="H2552" s="127" t="n">
        <v>46138</v>
      </c>
      <c r="J2552" s="38" t="inlineStr">
        <is>
          <t>0-4013-02</t>
        </is>
      </c>
      <c r="K2552" t="inlineStr">
        <is>
          <t>WTL002 2025 55 TON GOOSENECK EAGER BEAVER LOWBOY 2025 55 TON GOOSENECK EAGER BEAVER LOWBOY</t>
        </is>
      </c>
      <c r="L2552" t="n">
        <v>0</v>
      </c>
      <c r="M2552" t="n">
        <v>0</v>
      </c>
      <c r="O2552" t="inlineStr">
        <is>
          <t>WTL002</t>
        </is>
      </c>
      <c r="Q2552" s="114" t="n">
        <v>0</v>
      </c>
      <c r="R2552" s="114" t="n">
        <v>55</v>
      </c>
      <c r="S2552" s="114" t="n">
        <v>0</v>
      </c>
      <c r="T2552" t="n">
        <v>0</v>
      </c>
    </row>
    <row r="2553">
      <c r="A2553" t="inlineStr">
        <is>
          <t>ttJTrans</t>
        </is>
      </c>
      <c r="B2553" s="38" t="inlineStr">
        <is>
          <t>0-4013-02</t>
        </is>
      </c>
      <c r="C2553" t="inlineStr">
        <is>
          <t>EQ</t>
        </is>
      </c>
      <c r="E2553" t="inlineStr">
        <is>
          <t>EQ</t>
        </is>
      </c>
      <c r="G2553" s="128" t="inlineStr"/>
      <c r="H2553" s="127" t="n">
        <v>46166</v>
      </c>
      <c r="J2553" s="38" t="inlineStr">
        <is>
          <t>0-4013-02</t>
        </is>
      </c>
      <c r="K2553" t="inlineStr">
        <is>
          <t>BH235 2023 KOMATSU PC88MR-11 EXCAVATOR 2023 KOMATSU PC88MR-11 EXCAVATOR</t>
        </is>
      </c>
      <c r="L2553" t="n">
        <v>0</v>
      </c>
      <c r="M2553" t="n">
        <v>0</v>
      </c>
      <c r="O2553" t="inlineStr">
        <is>
          <t>BH235</t>
        </is>
      </c>
      <c r="Q2553" s="114" t="n">
        <v>0</v>
      </c>
      <c r="R2553" s="114" t="n">
        <v>125</v>
      </c>
      <c r="S2553" s="114" t="n">
        <v>0</v>
      </c>
      <c r="T2553" t="n">
        <v>0</v>
      </c>
    </row>
    <row r="2554">
      <c r="A2554" t="inlineStr">
        <is>
          <t>ttJTrans</t>
        </is>
      </c>
      <c r="B2554" s="38" t="inlineStr">
        <is>
          <t>0-4013-02</t>
        </is>
      </c>
      <c r="C2554" t="inlineStr">
        <is>
          <t>EQ</t>
        </is>
      </c>
      <c r="E2554" t="inlineStr">
        <is>
          <t>EQ</t>
        </is>
      </c>
      <c r="G2554" s="128" t="inlineStr"/>
      <c r="H2554" s="127" t="n">
        <v>46166</v>
      </c>
      <c r="J2554" s="38" t="inlineStr">
        <is>
          <t>0-4013-02</t>
        </is>
      </c>
      <c r="K2554" t="inlineStr">
        <is>
          <t>FE017 7' ROTARY CUTTER 7' ROTARY CUTTER</t>
        </is>
      </c>
      <c r="L2554" t="n">
        <v>0</v>
      </c>
      <c r="M2554" t="n">
        <v>0</v>
      </c>
      <c r="O2554" t="inlineStr">
        <is>
          <t>FE017</t>
        </is>
      </c>
      <c r="Q2554" s="114" t="n">
        <v>0</v>
      </c>
      <c r="R2554" s="114" t="n">
        <v>0</v>
      </c>
      <c r="S2554" s="114" t="n">
        <v>0</v>
      </c>
      <c r="T2554" t="n">
        <v>0</v>
      </c>
    </row>
    <row r="2555">
      <c r="A2555" t="inlineStr">
        <is>
          <t>ttJTrans</t>
        </is>
      </c>
      <c r="B2555" s="38" t="inlineStr">
        <is>
          <t>0-4013-02</t>
        </is>
      </c>
      <c r="C2555" t="inlineStr">
        <is>
          <t>EQ</t>
        </is>
      </c>
      <c r="E2555" t="inlineStr">
        <is>
          <t>EQ</t>
        </is>
      </c>
      <c r="G2555" s="128" t="inlineStr"/>
      <c r="H2555" s="127" t="n">
        <v>46166</v>
      </c>
      <c r="J2555" s="38" t="inlineStr">
        <is>
          <t>0-4013-02</t>
        </is>
      </c>
      <c r="K2555" t="inlineStr">
        <is>
          <t>FE017 7' ROTARY CUTTER 7' ROTARY CUTTER</t>
        </is>
      </c>
      <c r="L2555" t="n">
        <v>0</v>
      </c>
      <c r="M2555" t="n">
        <v>0</v>
      </c>
      <c r="O2555" t="inlineStr">
        <is>
          <t>FE017</t>
        </is>
      </c>
      <c r="Q2555" s="114" t="n">
        <v>0</v>
      </c>
      <c r="R2555" s="114" t="n">
        <v>0</v>
      </c>
      <c r="S2555" s="114" t="n">
        <v>0</v>
      </c>
      <c r="T2555" t="n">
        <v>0</v>
      </c>
    </row>
    <row r="2556">
      <c r="A2556" t="inlineStr">
        <is>
          <t>ttJTrans</t>
        </is>
      </c>
      <c r="B2556" s="38" t="inlineStr">
        <is>
          <t>0-4013-02</t>
        </is>
      </c>
      <c r="C2556" t="inlineStr">
        <is>
          <t>EQ</t>
        </is>
      </c>
      <c r="E2556" t="inlineStr">
        <is>
          <t>EQ</t>
        </is>
      </c>
      <c r="G2556" s="128" t="inlineStr"/>
      <c r="H2556" s="127" t="n">
        <v>46166</v>
      </c>
      <c r="J2556" s="38" t="inlineStr">
        <is>
          <t>0-4013-02</t>
        </is>
      </c>
      <c r="K2556" t="inlineStr">
        <is>
          <t>FE017 7' ROTARY CUTTER 7' ROTARY CUTTER</t>
        </is>
      </c>
      <c r="L2556" t="n">
        <v>0</v>
      </c>
      <c r="M2556" t="n">
        <v>0</v>
      </c>
      <c r="O2556" t="inlineStr">
        <is>
          <t>FE017</t>
        </is>
      </c>
      <c r="Q2556" s="114" t="n">
        <v>0</v>
      </c>
      <c r="R2556" s="114" t="n">
        <v>0</v>
      </c>
      <c r="S2556" s="114" t="n">
        <v>0</v>
      </c>
      <c r="T2556" t="n">
        <v>0</v>
      </c>
    </row>
    <row r="2557">
      <c r="A2557" t="inlineStr">
        <is>
          <t>ttJTrans</t>
        </is>
      </c>
      <c r="B2557" s="38" t="inlineStr">
        <is>
          <t>0-4013-02</t>
        </is>
      </c>
      <c r="C2557" t="inlineStr">
        <is>
          <t>EQ</t>
        </is>
      </c>
      <c r="E2557" t="inlineStr">
        <is>
          <t>EQ</t>
        </is>
      </c>
      <c r="G2557" s="128" t="inlineStr"/>
      <c r="H2557" s="127" t="n">
        <v>46166</v>
      </c>
      <c r="J2557" s="38" t="inlineStr">
        <is>
          <t>0-4013-02</t>
        </is>
      </c>
      <c r="K2557" t="inlineStr">
        <is>
          <t>FT011 JOHN DEERE 6130M TRACTOR W/ 620R LOADER JOHN DEERE 6130M TRACTOR W/ 620R LOADER</t>
        </is>
      </c>
      <c r="L2557" t="n">
        <v>0</v>
      </c>
      <c r="M2557" t="n">
        <v>0</v>
      </c>
      <c r="O2557" t="inlineStr">
        <is>
          <t>FT011</t>
        </is>
      </c>
      <c r="Q2557" s="114" t="n">
        <v>0</v>
      </c>
      <c r="R2557" s="114" t="n">
        <v>291.67</v>
      </c>
      <c r="S2557" s="114" t="n">
        <v>0</v>
      </c>
      <c r="T2557" t="n">
        <v>0</v>
      </c>
    </row>
    <row r="2558">
      <c r="A2558" t="inlineStr">
        <is>
          <t>ttJTrans</t>
        </is>
      </c>
      <c r="B2558" s="38" t="inlineStr">
        <is>
          <t>0-4013-02</t>
        </is>
      </c>
      <c r="C2558" t="inlineStr">
        <is>
          <t>EQ</t>
        </is>
      </c>
      <c r="E2558" t="inlineStr">
        <is>
          <t>EQ</t>
        </is>
      </c>
      <c r="G2558" s="128" t="inlineStr"/>
      <c r="H2558" s="127" t="n">
        <v>46166</v>
      </c>
      <c r="J2558" s="38" t="inlineStr">
        <is>
          <t>0-4013-02</t>
        </is>
      </c>
      <c r="K2558" t="inlineStr">
        <is>
          <t>FT011 JOHN DEERE 6130M TRACTOR W/ 620R LOADER JOHN DEERE 6130M TRACTOR W/ 620R LOADER</t>
        </is>
      </c>
      <c r="L2558" t="n">
        <v>0</v>
      </c>
      <c r="M2558" t="n">
        <v>0</v>
      </c>
      <c r="O2558" t="inlineStr">
        <is>
          <t>FT011</t>
        </is>
      </c>
      <c r="Q2558" s="114" t="n">
        <v>0</v>
      </c>
      <c r="R2558" s="114" t="n">
        <v>291.67</v>
      </c>
      <c r="S2558" s="114" t="n">
        <v>0</v>
      </c>
      <c r="T2558" t="n">
        <v>0</v>
      </c>
    </row>
    <row r="2559">
      <c r="A2559" t="inlineStr">
        <is>
          <t>ttJTrans</t>
        </is>
      </c>
      <c r="B2559" s="38" t="inlineStr">
        <is>
          <t>0-4013-02</t>
        </is>
      </c>
      <c r="C2559" t="inlineStr">
        <is>
          <t>EQ</t>
        </is>
      </c>
      <c r="E2559" t="inlineStr">
        <is>
          <t>EQ</t>
        </is>
      </c>
      <c r="G2559" s="128" t="inlineStr"/>
      <c r="H2559" s="127" t="n">
        <v>46166</v>
      </c>
      <c r="J2559" s="38" t="inlineStr">
        <is>
          <t>0-4013-02</t>
        </is>
      </c>
      <c r="K2559" t="inlineStr">
        <is>
          <t>FT011 JOHN DEERE 6130M TRACTOR W/ 620R LOADER JOHN DEERE 6130M TRACTOR W/ 620R LOADER</t>
        </is>
      </c>
      <c r="L2559" t="n">
        <v>0</v>
      </c>
      <c r="M2559" t="n">
        <v>0</v>
      </c>
      <c r="O2559" t="inlineStr">
        <is>
          <t>FT011</t>
        </is>
      </c>
      <c r="Q2559" s="114" t="n">
        <v>0</v>
      </c>
      <c r="R2559" s="114" t="n">
        <v>291.67</v>
      </c>
      <c r="S2559" s="114" t="n">
        <v>0</v>
      </c>
      <c r="T2559" t="n">
        <v>0</v>
      </c>
    </row>
    <row r="2560">
      <c r="A2560" t="inlineStr">
        <is>
          <t>ttJTrans</t>
        </is>
      </c>
      <c r="B2560" s="38" t="inlineStr">
        <is>
          <t>0-4013-02</t>
        </is>
      </c>
      <c r="C2560" t="inlineStr">
        <is>
          <t>EQ</t>
        </is>
      </c>
      <c r="E2560" t="inlineStr">
        <is>
          <t>EQ</t>
        </is>
      </c>
      <c r="G2560" s="128" t="inlineStr"/>
      <c r="H2560" s="127" t="n">
        <v>46166</v>
      </c>
      <c r="J2560" s="38" t="inlineStr">
        <is>
          <t>0-4013-02</t>
        </is>
      </c>
      <c r="K2560" t="inlineStr">
        <is>
          <t>WLD146 SILT FENCE PLOW - SKID STEER SILT FENCE PLOW - SKID STEER</t>
        </is>
      </c>
      <c r="L2560" t="n">
        <v>0</v>
      </c>
      <c r="M2560" t="n">
        <v>0</v>
      </c>
      <c r="O2560" t="inlineStr">
        <is>
          <t>WLD146</t>
        </is>
      </c>
      <c r="Q2560" s="114" t="n">
        <v>0</v>
      </c>
      <c r="R2560" s="114" t="n">
        <v>50</v>
      </c>
      <c r="S2560" s="114" t="n">
        <v>0</v>
      </c>
      <c r="T2560" t="n">
        <v>0</v>
      </c>
    </row>
    <row r="2561">
      <c r="A2561" t="inlineStr">
        <is>
          <t>ttJTrans</t>
        </is>
      </c>
      <c r="B2561" s="38" t="inlineStr">
        <is>
          <t>0-4013-02</t>
        </is>
      </c>
      <c r="C2561" t="inlineStr">
        <is>
          <t>EQ</t>
        </is>
      </c>
      <c r="E2561" t="inlineStr">
        <is>
          <t>EQ</t>
        </is>
      </c>
      <c r="G2561" s="128" t="inlineStr"/>
      <c r="H2561" s="127" t="n">
        <v>46166</v>
      </c>
      <c r="J2561" s="38" t="inlineStr">
        <is>
          <t>0-4013-02</t>
        </is>
      </c>
      <c r="K2561" t="inlineStr">
        <is>
          <t>WLD146 SILT FENCE PLOW - SKID STEER SILT FENCE PLOW - SKID STEER</t>
        </is>
      </c>
      <c r="L2561" t="n">
        <v>0</v>
      </c>
      <c r="M2561" t="n">
        <v>0</v>
      </c>
      <c r="O2561" t="inlineStr">
        <is>
          <t>WLD146</t>
        </is>
      </c>
      <c r="Q2561" s="114" t="n">
        <v>0</v>
      </c>
      <c r="R2561" s="114" t="n">
        <v>50</v>
      </c>
      <c r="S2561" s="114" t="n">
        <v>0</v>
      </c>
      <c r="T2561" t="n">
        <v>0</v>
      </c>
    </row>
    <row r="2562">
      <c r="A2562" t="inlineStr">
        <is>
          <t>ttJTrans</t>
        </is>
      </c>
      <c r="B2562" s="38" t="inlineStr">
        <is>
          <t>0-4013-02</t>
        </is>
      </c>
      <c r="C2562" t="inlineStr">
        <is>
          <t>EQ</t>
        </is>
      </c>
      <c r="E2562" t="inlineStr">
        <is>
          <t>EQ</t>
        </is>
      </c>
      <c r="G2562" s="128" t="inlineStr"/>
      <c r="H2562" s="127" t="n">
        <v>46166</v>
      </c>
      <c r="J2562" s="38" t="inlineStr">
        <is>
          <t>0-4013-02</t>
        </is>
      </c>
      <c r="K2562" t="inlineStr">
        <is>
          <t>WLD146 SILT FENCE PLOW - SKID STEER SILT FENCE PLOW - SKID STEER</t>
        </is>
      </c>
      <c r="L2562" t="n">
        <v>0</v>
      </c>
      <c r="M2562" t="n">
        <v>0</v>
      </c>
      <c r="O2562" t="inlineStr">
        <is>
          <t>WLD146</t>
        </is>
      </c>
      <c r="Q2562" s="114" t="n">
        <v>0</v>
      </c>
      <c r="R2562" s="114" t="n">
        <v>50</v>
      </c>
      <c r="S2562" s="114" t="n">
        <v>0</v>
      </c>
      <c r="T2562" t="n">
        <v>0</v>
      </c>
    </row>
    <row r="2563">
      <c r="A2563" t="inlineStr">
        <is>
          <t>ttJTrans</t>
        </is>
      </c>
      <c r="B2563" s="38" t="inlineStr">
        <is>
          <t>0-4013-02</t>
        </is>
      </c>
      <c r="C2563" t="inlineStr">
        <is>
          <t>EQ</t>
        </is>
      </c>
      <c r="E2563" t="inlineStr">
        <is>
          <t>EQ</t>
        </is>
      </c>
      <c r="G2563" s="128" t="inlineStr"/>
      <c r="H2563" s="127" t="n">
        <v>46166</v>
      </c>
      <c r="J2563" s="38" t="inlineStr">
        <is>
          <t>0-4013-02</t>
        </is>
      </c>
      <c r="K2563" t="inlineStr">
        <is>
          <t>RT1447 2024 FORD F250 XL STX CREW CAB DIESEL SWB 2024 FORD F250 XL STX CREW CAB DIESEL SWB</t>
        </is>
      </c>
      <c r="L2563" t="n">
        <v>0</v>
      </c>
      <c r="M2563" t="n">
        <v>0</v>
      </c>
      <c r="O2563" t="inlineStr">
        <is>
          <t>RT1447</t>
        </is>
      </c>
      <c r="Q2563" s="114" t="n">
        <v>0</v>
      </c>
      <c r="R2563" s="114" t="n">
        <v>79.14</v>
      </c>
      <c r="S2563" s="114" t="n">
        <v>0</v>
      </c>
      <c r="T2563" t="n">
        <v>0</v>
      </c>
    </row>
    <row r="2564">
      <c r="A2564" t="inlineStr">
        <is>
          <t>ttJTrans</t>
        </is>
      </c>
      <c r="B2564" s="38" t="inlineStr">
        <is>
          <t>0-4013-02</t>
        </is>
      </c>
      <c r="C2564" t="inlineStr">
        <is>
          <t>EQ</t>
        </is>
      </c>
      <c r="E2564" t="inlineStr">
        <is>
          <t>EQ</t>
        </is>
      </c>
      <c r="G2564" s="128" t="inlineStr"/>
      <c r="H2564" s="127" t="n">
        <v>46166</v>
      </c>
      <c r="J2564" s="38" t="inlineStr">
        <is>
          <t>0-4013-02</t>
        </is>
      </c>
      <c r="K2564" t="inlineStr">
        <is>
          <t>RT1447 2024 FORD F250 XL STX CREW CAB DIESEL SWB 2024 FORD F250 XL STX CREW CAB DIESEL SWB</t>
        </is>
      </c>
      <c r="L2564" t="n">
        <v>0</v>
      </c>
      <c r="M2564" t="n">
        <v>0</v>
      </c>
      <c r="O2564" t="inlineStr">
        <is>
          <t>RT1447</t>
        </is>
      </c>
      <c r="Q2564" s="114" t="n">
        <v>0</v>
      </c>
      <c r="R2564" s="114" t="n">
        <v>79.14</v>
      </c>
      <c r="S2564" s="114" t="n">
        <v>0</v>
      </c>
      <c r="T2564" t="n">
        <v>0</v>
      </c>
    </row>
    <row r="2565">
      <c r="A2565" t="inlineStr">
        <is>
          <t>ttJTrans</t>
        </is>
      </c>
      <c r="B2565" s="38" t="inlineStr">
        <is>
          <t>0-4013-02</t>
        </is>
      </c>
      <c r="C2565" t="inlineStr">
        <is>
          <t>EQ</t>
        </is>
      </c>
      <c r="E2565" t="inlineStr">
        <is>
          <t>EQ</t>
        </is>
      </c>
      <c r="G2565" s="128" t="inlineStr"/>
      <c r="H2565" s="127" t="n">
        <v>46166</v>
      </c>
      <c r="J2565" s="38" t="inlineStr">
        <is>
          <t>0-4013-02</t>
        </is>
      </c>
      <c r="K2565" t="inlineStr">
        <is>
          <t>RT1447 2024 FORD F250 XL STX CREW CAB DIESEL SWB 2024 FORD F250 XL STX CREW CAB DIESEL SWB</t>
        </is>
      </c>
      <c r="L2565" t="n">
        <v>0</v>
      </c>
      <c r="M2565" t="n">
        <v>0</v>
      </c>
      <c r="O2565" t="inlineStr">
        <is>
          <t>RT1447</t>
        </is>
      </c>
      <c r="Q2565" s="114" t="n">
        <v>0</v>
      </c>
      <c r="R2565" s="114" t="n">
        <v>79.14</v>
      </c>
      <c r="S2565" s="114" t="n">
        <v>0</v>
      </c>
      <c r="T2565" t="n">
        <v>0</v>
      </c>
    </row>
    <row r="2566">
      <c r="A2566" t="inlineStr">
        <is>
          <t>ttJTrans</t>
        </is>
      </c>
      <c r="B2566" s="38" t="inlineStr">
        <is>
          <t>0-4013-02</t>
        </is>
      </c>
      <c r="C2566" t="inlineStr">
        <is>
          <t>EQ</t>
        </is>
      </c>
      <c r="E2566" t="inlineStr">
        <is>
          <t>EQ</t>
        </is>
      </c>
      <c r="G2566" s="128" t="inlineStr"/>
      <c r="H2566" s="127" t="n">
        <v>46166</v>
      </c>
      <c r="J2566" s="38" t="inlineStr">
        <is>
          <t>0-4013-02</t>
        </is>
      </c>
      <c r="K2566" t="inlineStr">
        <is>
          <t>RT1447 2024 FORD F250 XL STX CREW CAB DIESEL SWB 2024 FORD F250 XL STX CREW CAB DIESEL SWB</t>
        </is>
      </c>
      <c r="L2566" t="n">
        <v>0</v>
      </c>
      <c r="M2566" t="n">
        <v>0</v>
      </c>
      <c r="O2566" t="inlineStr">
        <is>
          <t>RT1447</t>
        </is>
      </c>
      <c r="Q2566" s="114" t="n">
        <v>0</v>
      </c>
      <c r="R2566" s="114" t="n">
        <v>79.14</v>
      </c>
      <c r="S2566" s="114" t="n">
        <v>0</v>
      </c>
      <c r="T2566" t="n">
        <v>0</v>
      </c>
    </row>
    <row r="2567">
      <c r="A2567" t="inlineStr">
        <is>
          <t>ttJTrans</t>
        </is>
      </c>
      <c r="B2567" s="38" t="inlineStr">
        <is>
          <t>0-4013-02</t>
        </is>
      </c>
      <c r="C2567" t="inlineStr">
        <is>
          <t>EQ</t>
        </is>
      </c>
      <c r="E2567" t="inlineStr">
        <is>
          <t>EQ</t>
        </is>
      </c>
      <c r="G2567" s="128" t="inlineStr"/>
      <c r="H2567" s="127" t="n">
        <v>46166</v>
      </c>
      <c r="J2567" s="38" t="inlineStr">
        <is>
          <t>0-4013-02</t>
        </is>
      </c>
      <c r="K2567" t="inlineStr">
        <is>
          <t>RT1385 2024 RAM 2500 TRADESMAN GAS 4X4 CREW CAB 8FT BED W/ DRAGUP TANK &amp; TOOLBOX COMBO 2024 RAM 2500 TRADESMAN GAS 4X4 CREW CAB 8FT BED W/ DRAGUP TANK &amp; TOOLBOX COMBO</t>
        </is>
      </c>
      <c r="L2567" t="n">
        <v>0</v>
      </c>
      <c r="M2567" t="n">
        <v>0</v>
      </c>
      <c r="O2567" t="inlineStr">
        <is>
          <t>RT1385</t>
        </is>
      </c>
      <c r="Q2567" s="114" t="n">
        <v>0</v>
      </c>
      <c r="R2567" s="114" t="n">
        <v>79.14</v>
      </c>
      <c r="S2567" s="114" t="n">
        <v>0</v>
      </c>
      <c r="T2567" t="n">
        <v>0</v>
      </c>
    </row>
    <row r="2568">
      <c r="A2568" t="inlineStr">
        <is>
          <t>ttJTrans</t>
        </is>
      </c>
      <c r="B2568" s="38" t="inlineStr">
        <is>
          <t>0-4013-02</t>
        </is>
      </c>
      <c r="C2568" t="inlineStr">
        <is>
          <t>EQ</t>
        </is>
      </c>
      <c r="E2568" t="inlineStr">
        <is>
          <t>EQ</t>
        </is>
      </c>
      <c r="G2568" s="128" t="inlineStr"/>
      <c r="H2568" s="127" t="n">
        <v>46166</v>
      </c>
      <c r="J2568" s="38" t="inlineStr">
        <is>
          <t>0-4013-02</t>
        </is>
      </c>
      <c r="K2568" t="inlineStr">
        <is>
          <t>RT1385 2024 RAM 2500 TRADESMAN GAS 4X4 CREW CAB 8FT BED W/ DRAGUP TANK &amp; TOOLBOX COMBO 2024 RAM 2500 TRADESMAN GAS 4X4 CREW CAB 8FT BED W/ DRAGUP TANK &amp; TOOLBOX COMBO</t>
        </is>
      </c>
      <c r="L2568" t="n">
        <v>0</v>
      </c>
      <c r="M2568" t="n">
        <v>0</v>
      </c>
      <c r="O2568" t="inlineStr">
        <is>
          <t>RT1385</t>
        </is>
      </c>
      <c r="Q2568" s="114" t="n">
        <v>0</v>
      </c>
      <c r="R2568" s="114" t="n">
        <v>79.14</v>
      </c>
      <c r="S2568" s="114" t="n">
        <v>0</v>
      </c>
      <c r="T2568" t="n">
        <v>0</v>
      </c>
    </row>
    <row r="2569">
      <c r="A2569" t="inlineStr">
        <is>
          <t>ttJTrans</t>
        </is>
      </c>
      <c r="B2569" s="38" t="inlineStr">
        <is>
          <t>0-4013-02</t>
        </is>
      </c>
      <c r="C2569" t="inlineStr">
        <is>
          <t>EQ</t>
        </is>
      </c>
      <c r="E2569" t="inlineStr">
        <is>
          <t>EQ</t>
        </is>
      </c>
      <c r="G2569" s="128" t="inlineStr"/>
      <c r="H2569" s="127" t="n">
        <v>46166</v>
      </c>
      <c r="J2569" s="38" t="inlineStr">
        <is>
          <t>0-4013-02</t>
        </is>
      </c>
      <c r="K2569" t="inlineStr">
        <is>
          <t>RT1385 2024 RAM 2500 TRADESMAN GAS 4X4 CREW CAB 8FT BED W/ DRAGUP TANK &amp; TOOLBOX COMBO 2024 RAM 2500 TRADESMAN GAS 4X4 CREW CAB 8FT BED W/ DRAGUP TANK &amp; TOOLBOX COMBO</t>
        </is>
      </c>
      <c r="L2569" t="n">
        <v>0</v>
      </c>
      <c r="M2569" t="n">
        <v>0</v>
      </c>
      <c r="O2569" t="inlineStr">
        <is>
          <t>RT1385</t>
        </is>
      </c>
      <c r="Q2569" s="114" t="n">
        <v>0</v>
      </c>
      <c r="R2569" s="114" t="n">
        <v>79.14</v>
      </c>
      <c r="S2569" s="114" t="n">
        <v>0</v>
      </c>
      <c r="T2569" t="n">
        <v>0</v>
      </c>
    </row>
    <row r="2570">
      <c r="A2570" t="inlineStr">
        <is>
          <t>ttJTrans</t>
        </is>
      </c>
      <c r="B2570" s="38" t="inlineStr">
        <is>
          <t>0-4013-02</t>
        </is>
      </c>
      <c r="C2570" t="inlineStr">
        <is>
          <t>EQ</t>
        </is>
      </c>
      <c r="E2570" t="inlineStr">
        <is>
          <t>EQ</t>
        </is>
      </c>
      <c r="G2570" s="128" t="inlineStr"/>
      <c r="H2570" s="127" t="n">
        <v>46166</v>
      </c>
      <c r="J2570" s="38" t="inlineStr">
        <is>
          <t>0-4013-02</t>
        </is>
      </c>
      <c r="K2570" t="inlineStr">
        <is>
          <t>SSAUGKIT1 SKIDPRO SP300 PLANETARY AUGER DRIVE KIT W/ CRADLE &amp; MOUNT SKIDPRO SP300 PLANETARY AUGER DRIVE KIT W/ CRADLE &amp; MOUNT</t>
        </is>
      </c>
      <c r="L2570" t="n">
        <v>0</v>
      </c>
      <c r="M2570" t="n">
        <v>0</v>
      </c>
      <c r="O2570" t="inlineStr">
        <is>
          <t>SSAUGKIT1</t>
        </is>
      </c>
      <c r="Q2570" s="114" t="n">
        <v>0</v>
      </c>
      <c r="R2570" s="114" t="n">
        <v>35</v>
      </c>
      <c r="S2570" s="114" t="n">
        <v>0</v>
      </c>
      <c r="T2570" t="n">
        <v>0</v>
      </c>
    </row>
    <row r="2571">
      <c r="A2571" t="inlineStr">
        <is>
          <t>ttJTrans</t>
        </is>
      </c>
      <c r="B2571" s="38" t="inlineStr">
        <is>
          <t>0-4013-02</t>
        </is>
      </c>
      <c r="C2571" t="inlineStr">
        <is>
          <t>EQ</t>
        </is>
      </c>
      <c r="E2571" t="inlineStr">
        <is>
          <t>EQ</t>
        </is>
      </c>
      <c r="G2571" s="128" t="inlineStr"/>
      <c r="H2571" s="127" t="n">
        <v>46166</v>
      </c>
      <c r="J2571" s="38" t="inlineStr">
        <is>
          <t>0-4013-02</t>
        </is>
      </c>
      <c r="K2571" t="inlineStr">
        <is>
          <t>SSAUGKIT1 SKIDPRO SP300 PLANETARY AUGER DRIVE KIT W/ CRADLE &amp; MOUNT SKIDPRO SP300 PLANETARY AUGER DRIVE KIT W/ CRADLE &amp; MOUNT</t>
        </is>
      </c>
      <c r="L2571" t="n">
        <v>0</v>
      </c>
      <c r="M2571" t="n">
        <v>0</v>
      </c>
      <c r="O2571" t="inlineStr">
        <is>
          <t>SSAUGKIT1</t>
        </is>
      </c>
      <c r="Q2571" s="114" t="n">
        <v>0</v>
      </c>
      <c r="R2571" s="114" t="n">
        <v>35</v>
      </c>
      <c r="S2571" s="114" t="n">
        <v>0</v>
      </c>
      <c r="T2571" t="n">
        <v>0</v>
      </c>
    </row>
    <row r="2572">
      <c r="A2572" t="inlineStr">
        <is>
          <t>ttJTrans</t>
        </is>
      </c>
      <c r="B2572" s="38" t="inlineStr">
        <is>
          <t>0-4013-02</t>
        </is>
      </c>
      <c r="C2572" t="inlineStr">
        <is>
          <t>EQ</t>
        </is>
      </c>
      <c r="E2572" t="inlineStr">
        <is>
          <t>EQ</t>
        </is>
      </c>
      <c r="G2572" s="128" t="inlineStr"/>
      <c r="H2572" s="127" t="n">
        <v>46166</v>
      </c>
      <c r="J2572" s="38" t="inlineStr">
        <is>
          <t>0-4013-02</t>
        </is>
      </c>
      <c r="K2572" t="inlineStr">
        <is>
          <t>SSAUGKIT1 SKIDPRO SP300 PLANETARY AUGER DRIVE KIT W/ CRADLE &amp; MOUNT SKIDPRO SP300 PLANETARY AUGER DRIVE KIT W/ CRADLE &amp; MOUNT</t>
        </is>
      </c>
      <c r="L2572" t="n">
        <v>0</v>
      </c>
      <c r="M2572" t="n">
        <v>0</v>
      </c>
      <c r="O2572" t="inlineStr">
        <is>
          <t>SSAUGKIT1</t>
        </is>
      </c>
      <c r="Q2572" s="114" t="n">
        <v>0</v>
      </c>
      <c r="R2572" s="114" t="n">
        <v>35</v>
      </c>
      <c r="S2572" s="114" t="n">
        <v>0</v>
      </c>
      <c r="T2572" t="n">
        <v>0</v>
      </c>
    </row>
    <row r="2573">
      <c r="A2573" t="inlineStr">
        <is>
          <t>ttJTrans</t>
        </is>
      </c>
      <c r="B2573" s="38" t="inlineStr">
        <is>
          <t>0-4013-02</t>
        </is>
      </c>
      <c r="C2573" t="inlineStr">
        <is>
          <t>EQ</t>
        </is>
      </c>
      <c r="E2573" t="inlineStr">
        <is>
          <t>EQ</t>
        </is>
      </c>
      <c r="G2573" s="128" t="inlineStr"/>
      <c r="H2573" s="127" t="n">
        <v>46166</v>
      </c>
      <c r="J2573" s="38" t="inlineStr">
        <is>
          <t>0-4013-02</t>
        </is>
      </c>
      <c r="K2573" t="inlineStr">
        <is>
          <t>TR425 20FT ENCLOSED CARGO TRAILER (CHARGED TO 22-4001) 20FT ENCLOSED CARGO TRAILER (CHARGED TO 22-4001)</t>
        </is>
      </c>
      <c r="L2573" t="n">
        <v>0</v>
      </c>
      <c r="M2573" t="n">
        <v>0</v>
      </c>
      <c r="O2573" t="inlineStr">
        <is>
          <t>TR425</t>
        </is>
      </c>
      <c r="Q2573" s="114" t="n">
        <v>0</v>
      </c>
      <c r="R2573" s="114" t="n">
        <v>65</v>
      </c>
      <c r="S2573" s="114" t="n">
        <v>0</v>
      </c>
      <c r="T2573" t="n">
        <v>0</v>
      </c>
    </row>
    <row r="2574">
      <c r="A2574" t="inlineStr">
        <is>
          <t>ttJTrans</t>
        </is>
      </c>
      <c r="B2574" s="38" t="inlineStr">
        <is>
          <t>0-4013-02</t>
        </is>
      </c>
      <c r="C2574" t="inlineStr">
        <is>
          <t>EQ</t>
        </is>
      </c>
      <c r="E2574" t="inlineStr">
        <is>
          <t>EQ</t>
        </is>
      </c>
      <c r="G2574" s="128" t="inlineStr"/>
      <c r="H2574" s="127" t="n">
        <v>46166</v>
      </c>
      <c r="J2574" s="38" t="inlineStr">
        <is>
          <t>0-4013-02</t>
        </is>
      </c>
      <c r="K2574" t="inlineStr">
        <is>
          <t>TR425 20FT ENCLOSED CARGO TRAILER (CHARGED TO 22-4001) 20FT ENCLOSED CARGO TRAILER (CHARGED TO 22-4001)</t>
        </is>
      </c>
      <c r="L2574" t="n">
        <v>0</v>
      </c>
      <c r="M2574" t="n">
        <v>0</v>
      </c>
      <c r="O2574" t="inlineStr">
        <is>
          <t>TR425</t>
        </is>
      </c>
      <c r="Q2574" s="114" t="n">
        <v>0</v>
      </c>
      <c r="R2574" s="114" t="n">
        <v>65</v>
      </c>
      <c r="S2574" s="114" t="n">
        <v>0</v>
      </c>
      <c r="T2574" t="n">
        <v>0</v>
      </c>
    </row>
    <row r="2575">
      <c r="A2575" t="inlineStr">
        <is>
          <t>ttJTrans</t>
        </is>
      </c>
      <c r="B2575" s="38" t="inlineStr">
        <is>
          <t>0-4013-02</t>
        </is>
      </c>
      <c r="C2575" t="inlineStr">
        <is>
          <t>EQ</t>
        </is>
      </c>
      <c r="E2575" t="inlineStr">
        <is>
          <t>EQ</t>
        </is>
      </c>
      <c r="G2575" s="128" t="inlineStr"/>
      <c r="H2575" s="127" t="n">
        <v>46166</v>
      </c>
      <c r="J2575" s="38" t="inlineStr">
        <is>
          <t>0-4013-02</t>
        </is>
      </c>
      <c r="K2575" t="inlineStr">
        <is>
          <t>TR425 20FT ENCLOSED CARGO TRAILER (CHARGED TO 22-4001) 20FT ENCLOSED CARGO TRAILER (CHARGED TO 22-4001)</t>
        </is>
      </c>
      <c r="L2575" t="n">
        <v>0</v>
      </c>
      <c r="M2575" t="n">
        <v>0</v>
      </c>
      <c r="O2575" t="inlineStr">
        <is>
          <t>TR425</t>
        </is>
      </c>
      <c r="Q2575" s="114" t="n">
        <v>0</v>
      </c>
      <c r="R2575" s="114" t="n">
        <v>65</v>
      </c>
      <c r="S2575" s="114" t="n">
        <v>0</v>
      </c>
      <c r="T2575" t="n">
        <v>0</v>
      </c>
    </row>
    <row r="2576">
      <c r="A2576" t="inlineStr">
        <is>
          <t>ttJTrans</t>
        </is>
      </c>
      <c r="B2576" s="38" t="inlineStr">
        <is>
          <t>0-4013-02</t>
        </is>
      </c>
      <c r="C2576" t="inlineStr">
        <is>
          <t>EQ</t>
        </is>
      </c>
      <c r="E2576" t="inlineStr">
        <is>
          <t>EQ</t>
        </is>
      </c>
      <c r="G2576" s="128" t="inlineStr"/>
      <c r="H2576" s="127" t="n">
        <v>46166</v>
      </c>
      <c r="J2576" s="38" t="inlineStr">
        <is>
          <t>0-4013-02</t>
        </is>
      </c>
      <c r="K2576" t="inlineStr">
        <is>
          <t>TR428 CARRY-ON 5X8 UTILITY TRAILER (CHARGED TO 22-4001) CARRY-ON 5X8 UTILITY TRAILER (CHARGED TO 22-4001)</t>
        </is>
      </c>
      <c r="L2576" t="n">
        <v>0</v>
      </c>
      <c r="M2576" t="n">
        <v>0</v>
      </c>
      <c r="O2576" t="inlineStr">
        <is>
          <t>TR428</t>
        </is>
      </c>
      <c r="Q2576" s="114" t="n">
        <v>0</v>
      </c>
      <c r="R2576" s="114" t="n">
        <v>15</v>
      </c>
      <c r="S2576" s="114" t="n">
        <v>0</v>
      </c>
      <c r="T2576" t="n">
        <v>0</v>
      </c>
    </row>
    <row r="2577">
      <c r="A2577" t="inlineStr">
        <is>
          <t>ttJTrans</t>
        </is>
      </c>
      <c r="B2577" s="38" t="inlineStr">
        <is>
          <t>0-4013-02</t>
        </is>
      </c>
      <c r="C2577" t="inlineStr">
        <is>
          <t>EQ</t>
        </is>
      </c>
      <c r="E2577" t="inlineStr">
        <is>
          <t>EQ</t>
        </is>
      </c>
      <c r="G2577" s="128" t="inlineStr"/>
      <c r="H2577" s="127" t="n">
        <v>46166</v>
      </c>
      <c r="J2577" s="38" t="inlineStr">
        <is>
          <t>0-4013-02</t>
        </is>
      </c>
      <c r="K2577" t="inlineStr">
        <is>
          <t>TR428 CARRY-ON 5X8 UTILITY TRAILER (CHARGED TO 22-4001) CARRY-ON 5X8 UTILITY TRAILER (CHARGED TO 22-4001)</t>
        </is>
      </c>
      <c r="L2577" t="n">
        <v>0</v>
      </c>
      <c r="M2577" t="n">
        <v>0</v>
      </c>
      <c r="O2577" t="inlineStr">
        <is>
          <t>TR428</t>
        </is>
      </c>
      <c r="Q2577" s="114" t="n">
        <v>0</v>
      </c>
      <c r="R2577" s="114" t="n">
        <v>15</v>
      </c>
      <c r="S2577" s="114" t="n">
        <v>0</v>
      </c>
      <c r="T2577" t="n">
        <v>0</v>
      </c>
    </row>
    <row r="2578">
      <c r="A2578" t="inlineStr">
        <is>
          <t>ttJTrans</t>
        </is>
      </c>
      <c r="B2578" s="38" t="inlineStr">
        <is>
          <t>0-4013-02</t>
        </is>
      </c>
      <c r="C2578" t="inlineStr">
        <is>
          <t>EQ</t>
        </is>
      </c>
      <c r="E2578" t="inlineStr">
        <is>
          <t>EQ</t>
        </is>
      </c>
      <c r="G2578" s="128" t="inlineStr"/>
      <c r="H2578" s="127" t="n">
        <v>46166</v>
      </c>
      <c r="J2578" s="38" t="inlineStr">
        <is>
          <t>0-4013-02</t>
        </is>
      </c>
      <c r="K2578" t="inlineStr">
        <is>
          <t>TR428 CARRY-ON 5X8 UTILITY TRAILER (CHARGED TO 22-4001) CARRY-ON 5X8 UTILITY TRAILER (CHARGED TO 22-4001)</t>
        </is>
      </c>
      <c r="L2578" t="n">
        <v>0</v>
      </c>
      <c r="M2578" t="n">
        <v>0</v>
      </c>
      <c r="O2578" t="inlineStr">
        <is>
          <t>TR428</t>
        </is>
      </c>
      <c r="Q2578" s="114" t="n">
        <v>0</v>
      </c>
      <c r="R2578" s="114" t="n">
        <v>15</v>
      </c>
      <c r="S2578" s="114" t="n">
        <v>0</v>
      </c>
      <c r="T2578" t="n">
        <v>0</v>
      </c>
    </row>
    <row r="2579">
      <c r="A2579" t="inlineStr">
        <is>
          <t>ttJTrans</t>
        </is>
      </c>
      <c r="B2579" s="38" t="inlineStr">
        <is>
          <t>0-4013-02</t>
        </is>
      </c>
      <c r="C2579" t="inlineStr">
        <is>
          <t>EQ</t>
        </is>
      </c>
      <c r="E2579" t="inlineStr">
        <is>
          <t>EQ</t>
        </is>
      </c>
      <c r="G2579" s="128" t="inlineStr"/>
      <c r="H2579" s="127" t="n">
        <v>46166</v>
      </c>
      <c r="J2579" s="38" t="inlineStr">
        <is>
          <t>0-4013-02</t>
        </is>
      </c>
      <c r="K2579" t="inlineStr">
        <is>
          <t>TR145 20' CARGO TRAILER 20' CARGO TRAILER</t>
        </is>
      </c>
      <c r="L2579" t="n">
        <v>0</v>
      </c>
      <c r="M2579" t="n">
        <v>0</v>
      </c>
      <c r="O2579" t="inlineStr">
        <is>
          <t>TR145</t>
        </is>
      </c>
      <c r="Q2579" s="114" t="n">
        <v>0</v>
      </c>
      <c r="R2579" s="114" t="n">
        <v>65</v>
      </c>
      <c r="S2579" s="114" t="n">
        <v>0</v>
      </c>
      <c r="T2579" t="n">
        <v>0</v>
      </c>
    </row>
    <row r="2580">
      <c r="A2580" t="inlineStr">
        <is>
          <t>ttJTrans</t>
        </is>
      </c>
      <c r="B2580" s="38" t="inlineStr">
        <is>
          <t>0-4013-02</t>
        </is>
      </c>
      <c r="C2580" t="inlineStr">
        <is>
          <t>EQ</t>
        </is>
      </c>
      <c r="E2580" t="inlineStr">
        <is>
          <t>EQ</t>
        </is>
      </c>
      <c r="G2580" s="128" t="inlineStr"/>
      <c r="H2580" s="127" t="n">
        <v>46166</v>
      </c>
      <c r="J2580" s="38" t="inlineStr">
        <is>
          <t>0-4013-02</t>
        </is>
      </c>
      <c r="K2580" t="inlineStr">
        <is>
          <t>TR145 20' CARGO TRAILER 20' CARGO TRAILER</t>
        </is>
      </c>
      <c r="L2580" t="n">
        <v>0</v>
      </c>
      <c r="M2580" t="n">
        <v>0</v>
      </c>
      <c r="O2580" t="inlineStr">
        <is>
          <t>TR145</t>
        </is>
      </c>
      <c r="Q2580" s="114" t="n">
        <v>0</v>
      </c>
      <c r="R2580" s="114" t="n">
        <v>65</v>
      </c>
      <c r="S2580" s="114" t="n">
        <v>0</v>
      </c>
      <c r="T2580" t="n">
        <v>0</v>
      </c>
    </row>
    <row r="2581">
      <c r="A2581" t="inlineStr">
        <is>
          <t>ttJTrans</t>
        </is>
      </c>
      <c r="B2581" s="38" t="inlineStr">
        <is>
          <t>0-4013-02</t>
        </is>
      </c>
      <c r="C2581" t="inlineStr">
        <is>
          <t>EQ</t>
        </is>
      </c>
      <c r="E2581" t="inlineStr">
        <is>
          <t>EQ</t>
        </is>
      </c>
      <c r="G2581" s="128" t="inlineStr"/>
      <c r="H2581" s="127" t="n">
        <v>46166</v>
      </c>
      <c r="J2581" s="38" t="inlineStr">
        <is>
          <t>0-4013-02</t>
        </is>
      </c>
      <c r="K2581" t="inlineStr">
        <is>
          <t>TR145 20' CARGO TRAILER 20' CARGO TRAILER</t>
        </is>
      </c>
      <c r="L2581" t="n">
        <v>0</v>
      </c>
      <c r="M2581" t="n">
        <v>0</v>
      </c>
      <c r="O2581" t="inlineStr">
        <is>
          <t>TR145</t>
        </is>
      </c>
      <c r="Q2581" s="114" t="n">
        <v>0</v>
      </c>
      <c r="R2581" s="114" t="n">
        <v>65</v>
      </c>
      <c r="S2581" s="114" t="n">
        <v>0</v>
      </c>
      <c r="T2581" t="n">
        <v>0</v>
      </c>
    </row>
    <row r="2582">
      <c r="A2582" t="inlineStr">
        <is>
          <t>ttJTrans</t>
        </is>
      </c>
      <c r="B2582" s="38" t="inlineStr">
        <is>
          <t>0-4013-02</t>
        </is>
      </c>
      <c r="C2582" t="inlineStr">
        <is>
          <t>EQ</t>
        </is>
      </c>
      <c r="E2582" t="inlineStr">
        <is>
          <t>EQ</t>
        </is>
      </c>
      <c r="G2582" s="128" t="inlineStr"/>
      <c r="H2582" s="127" t="n">
        <v>46166</v>
      </c>
      <c r="J2582" s="38" t="inlineStr">
        <is>
          <t>0-4013-02</t>
        </is>
      </c>
      <c r="K2582" t="inlineStr">
        <is>
          <t>TR154 20' PARKER TRAILER #1000277 20' PARKER TRAILER #1000277</t>
        </is>
      </c>
      <c r="L2582" t="n">
        <v>0</v>
      </c>
      <c r="M2582" t="n">
        <v>0</v>
      </c>
      <c r="O2582" t="inlineStr">
        <is>
          <t>TR154</t>
        </is>
      </c>
      <c r="Q2582" s="114" t="n">
        <v>0</v>
      </c>
      <c r="R2582" s="114" t="n">
        <v>15</v>
      </c>
      <c r="S2582" s="114" t="n">
        <v>0</v>
      </c>
      <c r="T2582" t="n">
        <v>0</v>
      </c>
    </row>
    <row r="2583">
      <c r="A2583" t="inlineStr">
        <is>
          <t>ttJTrans</t>
        </is>
      </c>
      <c r="B2583" s="38" t="inlineStr">
        <is>
          <t>0-4013-02</t>
        </is>
      </c>
      <c r="C2583" t="inlineStr">
        <is>
          <t>EQ</t>
        </is>
      </c>
      <c r="E2583" t="inlineStr">
        <is>
          <t>EQ</t>
        </is>
      </c>
      <c r="G2583" s="128" t="inlineStr"/>
      <c r="H2583" s="127" t="n">
        <v>46166</v>
      </c>
      <c r="J2583" s="38" t="inlineStr">
        <is>
          <t>0-4013-02</t>
        </is>
      </c>
      <c r="K2583" t="inlineStr">
        <is>
          <t>TR154 20' PARKER TRAILER #1000277 20' PARKER TRAILER #1000277</t>
        </is>
      </c>
      <c r="L2583" t="n">
        <v>0</v>
      </c>
      <c r="M2583" t="n">
        <v>0</v>
      </c>
      <c r="O2583" t="inlineStr">
        <is>
          <t>TR154</t>
        </is>
      </c>
      <c r="Q2583" s="114" t="n">
        <v>0</v>
      </c>
      <c r="R2583" s="114" t="n">
        <v>15</v>
      </c>
      <c r="S2583" s="114" t="n">
        <v>0</v>
      </c>
      <c r="T2583" t="n">
        <v>0</v>
      </c>
    </row>
    <row r="2584">
      <c r="A2584" t="inlineStr">
        <is>
          <t>ttJTrans</t>
        </is>
      </c>
      <c r="B2584" s="38" t="inlineStr">
        <is>
          <t>0-4013-02</t>
        </is>
      </c>
      <c r="C2584" t="inlineStr">
        <is>
          <t>EQ</t>
        </is>
      </c>
      <c r="E2584" t="inlineStr">
        <is>
          <t>EQ</t>
        </is>
      </c>
      <c r="G2584" s="128" t="inlineStr"/>
      <c r="H2584" s="127" t="n">
        <v>46166</v>
      </c>
      <c r="J2584" s="38" t="inlineStr">
        <is>
          <t>0-4013-02</t>
        </is>
      </c>
      <c r="K2584" t="inlineStr">
        <is>
          <t>TR154 20' PARKER TRAILER #1000277 20' PARKER TRAILER #1000277</t>
        </is>
      </c>
      <c r="L2584" t="n">
        <v>0</v>
      </c>
      <c r="M2584" t="n">
        <v>0</v>
      </c>
      <c r="O2584" t="inlineStr">
        <is>
          <t>TR154</t>
        </is>
      </c>
      <c r="Q2584" s="114" t="n">
        <v>0</v>
      </c>
      <c r="R2584" s="114" t="n">
        <v>15</v>
      </c>
      <c r="S2584" s="114" t="n">
        <v>0</v>
      </c>
      <c r="T2584" t="n">
        <v>0</v>
      </c>
    </row>
    <row r="2585">
      <c r="A2585" t="inlineStr">
        <is>
          <t>ttJTrans</t>
        </is>
      </c>
      <c r="B2585" s="38" t="inlineStr">
        <is>
          <t>0-4013-02</t>
        </is>
      </c>
      <c r="C2585" t="inlineStr">
        <is>
          <t>EQ</t>
        </is>
      </c>
      <c r="E2585" t="inlineStr">
        <is>
          <t>EQ</t>
        </is>
      </c>
      <c r="G2585" s="128" t="inlineStr"/>
      <c r="H2585" s="127" t="n">
        <v>46166</v>
      </c>
      <c r="J2585" s="38" t="inlineStr">
        <is>
          <t>0-4013-02</t>
        </is>
      </c>
      <c r="K2585" t="inlineStr">
        <is>
          <t>BH235 2023 KOMATSU PC88MR-11 EXCAVATOR 2023 KOMATSU PC88MR-11 EXCAVATOR</t>
        </is>
      </c>
      <c r="L2585" t="n">
        <v>0</v>
      </c>
      <c r="M2585" t="n">
        <v>0</v>
      </c>
      <c r="O2585" t="inlineStr">
        <is>
          <t>BH235</t>
        </is>
      </c>
      <c r="Q2585" s="114" t="n">
        <v>0</v>
      </c>
      <c r="R2585" s="114" t="n">
        <v>125</v>
      </c>
      <c r="S2585" s="114" t="n">
        <v>0</v>
      </c>
      <c r="T2585" t="n">
        <v>0</v>
      </c>
    </row>
    <row r="2586">
      <c r="A2586" t="inlineStr">
        <is>
          <t>ttJTrans</t>
        </is>
      </c>
      <c r="B2586" s="38" t="inlineStr">
        <is>
          <t>0-4013-02</t>
        </is>
      </c>
      <c r="C2586" t="inlineStr">
        <is>
          <t>EQ</t>
        </is>
      </c>
      <c r="E2586" t="inlineStr">
        <is>
          <t>EQ</t>
        </is>
      </c>
      <c r="G2586" s="128" t="inlineStr"/>
      <c r="H2586" s="127" t="n">
        <v>46166</v>
      </c>
      <c r="J2586" s="38" t="inlineStr">
        <is>
          <t>0-4013-02</t>
        </is>
      </c>
      <c r="K2586" t="inlineStr">
        <is>
          <t>BH235 2023 KOMATSU PC88MR-11 EXCAVATOR 2023 KOMATSU PC88MR-11 EXCAVATOR</t>
        </is>
      </c>
      <c r="L2586" t="n">
        <v>0</v>
      </c>
      <c r="M2586" t="n">
        <v>0</v>
      </c>
      <c r="O2586" t="inlineStr">
        <is>
          <t>BH235</t>
        </is>
      </c>
      <c r="Q2586" s="114" t="n">
        <v>0</v>
      </c>
      <c r="R2586" s="114" t="n">
        <v>125</v>
      </c>
      <c r="S2586" s="114" t="n">
        <v>0</v>
      </c>
      <c r="T2586" t="n">
        <v>0</v>
      </c>
    </row>
    <row r="2587">
      <c r="A2587" t="inlineStr">
        <is>
          <t>ttJTrans</t>
        </is>
      </c>
      <c r="B2587" s="38" t="inlineStr">
        <is>
          <t>0-4013-02</t>
        </is>
      </c>
      <c r="C2587" t="inlineStr">
        <is>
          <t>EQ</t>
        </is>
      </c>
      <c r="E2587" t="inlineStr">
        <is>
          <t>EQ</t>
        </is>
      </c>
      <c r="G2587" s="128" t="inlineStr"/>
      <c r="H2587" s="127" t="n">
        <v>46166</v>
      </c>
      <c r="J2587" s="38" t="inlineStr">
        <is>
          <t>0-4013-02</t>
        </is>
      </c>
      <c r="K2587" t="inlineStr">
        <is>
          <t>SSRAKE03 TITAN SSL-84 GRAPPLE RAKE TITAN SSL-84 GRAPPLE RAKE</t>
        </is>
      </c>
      <c r="L2587" t="n">
        <v>0</v>
      </c>
      <c r="M2587" t="n">
        <v>0</v>
      </c>
      <c r="O2587" t="inlineStr">
        <is>
          <t>SSRAKE03</t>
        </is>
      </c>
      <c r="Q2587" s="114" t="n">
        <v>0</v>
      </c>
      <c r="R2587" s="114" t="n">
        <v>0</v>
      </c>
      <c r="S2587" s="114" t="n">
        <v>0</v>
      </c>
      <c r="T2587" t="n">
        <v>0</v>
      </c>
    </row>
    <row r="2588">
      <c r="A2588" t="inlineStr">
        <is>
          <t>ttJTrans</t>
        </is>
      </c>
      <c r="B2588" s="38" t="inlineStr">
        <is>
          <t>0-4013-02</t>
        </is>
      </c>
      <c r="C2588" t="inlineStr">
        <is>
          <t>EQ</t>
        </is>
      </c>
      <c r="E2588" t="inlineStr">
        <is>
          <t>EQ</t>
        </is>
      </c>
      <c r="G2588" s="128" t="inlineStr"/>
      <c r="H2588" s="127" t="n">
        <v>46166</v>
      </c>
      <c r="J2588" s="38" t="inlineStr">
        <is>
          <t>0-4013-02</t>
        </is>
      </c>
      <c r="K2588" t="inlineStr">
        <is>
          <t>SSRAKE03 TITAN SSL-84 GRAPPLE RAKE TITAN SSL-84 GRAPPLE RAKE</t>
        </is>
      </c>
      <c r="L2588" t="n">
        <v>0</v>
      </c>
      <c r="M2588" t="n">
        <v>0</v>
      </c>
      <c r="O2588" t="inlineStr">
        <is>
          <t>SSRAKE03</t>
        </is>
      </c>
      <c r="Q2588" s="114" t="n">
        <v>0</v>
      </c>
      <c r="R2588" s="114" t="n">
        <v>0</v>
      </c>
      <c r="S2588" s="114" t="n">
        <v>0</v>
      </c>
      <c r="T2588" t="n">
        <v>0</v>
      </c>
    </row>
    <row r="2589">
      <c r="A2589" t="inlineStr">
        <is>
          <t>ttJTrans</t>
        </is>
      </c>
      <c r="B2589" s="38" t="inlineStr">
        <is>
          <t>0-4013-02</t>
        </is>
      </c>
      <c r="C2589" t="inlineStr">
        <is>
          <t>EQ</t>
        </is>
      </c>
      <c r="E2589" t="inlineStr">
        <is>
          <t>EQ</t>
        </is>
      </c>
      <c r="G2589" s="128" t="inlineStr"/>
      <c r="H2589" s="127" t="n">
        <v>46166</v>
      </c>
      <c r="J2589" s="38" t="inlineStr">
        <is>
          <t>0-4013-02</t>
        </is>
      </c>
      <c r="K2589" t="inlineStr">
        <is>
          <t>SSRAKE03 TITAN SSL-84 GRAPPLE RAKE TITAN SSL-84 GRAPPLE RAKE</t>
        </is>
      </c>
      <c r="L2589" t="n">
        <v>0</v>
      </c>
      <c r="M2589" t="n">
        <v>0</v>
      </c>
      <c r="O2589" t="inlineStr">
        <is>
          <t>SSRAKE03</t>
        </is>
      </c>
      <c r="Q2589" s="114" t="n">
        <v>0</v>
      </c>
      <c r="R2589" s="114" t="n">
        <v>0</v>
      </c>
      <c r="S2589" s="114" t="n">
        <v>0</v>
      </c>
      <c r="T2589" t="n">
        <v>0</v>
      </c>
    </row>
    <row r="2590">
      <c r="A2590" t="inlineStr">
        <is>
          <t>ttJTrans</t>
        </is>
      </c>
      <c r="B2590" s="38" t="inlineStr">
        <is>
          <t>0-4013-02</t>
        </is>
      </c>
      <c r="C2590" t="inlineStr">
        <is>
          <t>ER</t>
        </is>
      </c>
      <c r="E2590" t="inlineStr">
        <is>
          <t>ER</t>
        </is>
      </c>
      <c r="G2590" s="128" t="inlineStr"/>
      <c r="H2590" s="127" t="n">
        <v>46138</v>
      </c>
      <c r="J2590" s="38" t="inlineStr">
        <is>
          <t>0-4013-02</t>
        </is>
      </c>
      <c r="K2590" t="inlineStr">
        <is>
          <t>RDZ318 CAT D5 LGPVPR DOZER 170 HP CAT D5 LGPVPR DOZER 170 HP</t>
        </is>
      </c>
      <c r="L2590" t="n">
        <v>0</v>
      </c>
      <c r="M2590" t="n">
        <v>0</v>
      </c>
      <c r="O2590" t="inlineStr">
        <is>
          <t>RDZ318</t>
        </is>
      </c>
      <c r="Q2590" s="114" t="n">
        <v>0</v>
      </c>
      <c r="R2590" s="114" t="n">
        <v>778.74</v>
      </c>
      <c r="S2590" s="114" t="n">
        <v>0</v>
      </c>
      <c r="T2590" t="n">
        <v>0</v>
      </c>
    </row>
    <row r="2591">
      <c r="A2591" t="inlineStr">
        <is>
          <t>ttJTrans</t>
        </is>
      </c>
      <c r="B2591" s="38" t="inlineStr">
        <is>
          <t>0-4013-02</t>
        </is>
      </c>
      <c r="C2591" t="inlineStr">
        <is>
          <t>ER</t>
        </is>
      </c>
      <c r="E2591" t="inlineStr">
        <is>
          <t>ER</t>
        </is>
      </c>
      <c r="G2591" s="128" t="inlineStr"/>
      <c r="H2591" s="127" t="n">
        <v>46138</v>
      </c>
      <c r="J2591" s="38" t="inlineStr">
        <is>
          <t>0-4013-02</t>
        </is>
      </c>
      <c r="K2591" t="inlineStr">
        <is>
          <t>RDZ318 CAT D5 LGPVPR DOZER 170 HP CAT D5 LGPVPR DOZER 170 HP</t>
        </is>
      </c>
      <c r="L2591" t="n">
        <v>0</v>
      </c>
      <c r="M2591" t="n">
        <v>0</v>
      </c>
      <c r="O2591" t="inlineStr">
        <is>
          <t>RDZ318</t>
        </is>
      </c>
      <c r="Q2591" s="114" t="n">
        <v>0</v>
      </c>
      <c r="R2591" s="114" t="n">
        <v>778.74</v>
      </c>
      <c r="S2591" s="114" t="n">
        <v>0</v>
      </c>
      <c r="T2591" t="n">
        <v>0</v>
      </c>
    </row>
    <row r="2592">
      <c r="A2592" t="inlineStr">
        <is>
          <t>ttJTrans</t>
        </is>
      </c>
      <c r="B2592" s="38" t="inlineStr">
        <is>
          <t>0-4013-02</t>
        </is>
      </c>
      <c r="C2592" t="inlineStr">
        <is>
          <t>ER</t>
        </is>
      </c>
      <c r="E2592" t="inlineStr">
        <is>
          <t>ER</t>
        </is>
      </c>
      <c r="G2592" s="128" t="inlineStr"/>
      <c r="H2592" s="127" t="n">
        <v>46138</v>
      </c>
      <c r="J2592" s="38" t="inlineStr">
        <is>
          <t>0-4013-02</t>
        </is>
      </c>
      <c r="K2592" t="inlineStr">
        <is>
          <t>RDZ318 CAT D5 LGPVPR DOZER 170 HP CAT D5 LGPVPR DOZER 170 HP</t>
        </is>
      </c>
      <c r="L2592" t="n">
        <v>0</v>
      </c>
      <c r="M2592" t="n">
        <v>0</v>
      </c>
      <c r="O2592" t="inlineStr">
        <is>
          <t>RDZ318</t>
        </is>
      </c>
      <c r="Q2592" s="114" t="n">
        <v>0</v>
      </c>
      <c r="R2592" s="114" t="n">
        <v>778.74</v>
      </c>
      <c r="S2592" s="114" t="n">
        <v>0</v>
      </c>
      <c r="T2592" t="n">
        <v>0</v>
      </c>
    </row>
    <row r="2593">
      <c r="A2593" t="inlineStr">
        <is>
          <t>ttJTrans</t>
        </is>
      </c>
      <c r="B2593" s="38" t="inlineStr">
        <is>
          <t>0-4013-02</t>
        </is>
      </c>
      <c r="C2593" t="inlineStr">
        <is>
          <t>ER</t>
        </is>
      </c>
      <c r="E2593" t="inlineStr">
        <is>
          <t>ER</t>
        </is>
      </c>
      <c r="G2593" s="128" t="inlineStr"/>
      <c r="H2593" s="127" t="n">
        <v>46138</v>
      </c>
      <c r="J2593" s="38" t="inlineStr">
        <is>
          <t>0-4013-02</t>
        </is>
      </c>
      <c r="K2593" t="inlineStr">
        <is>
          <t>RLD291 CATERPILLAR 299D3 TRACK SKID STEER LOADER W FORKS CATERPILLAR 299D3 TRACK SKID STEER LOADER W FORKS</t>
        </is>
      </c>
      <c r="L2593" t="n">
        <v>0</v>
      </c>
      <c r="M2593" t="n">
        <v>0</v>
      </c>
      <c r="O2593" t="inlineStr">
        <is>
          <t>RLD291</t>
        </is>
      </c>
      <c r="Q2593" s="114" t="n">
        <v>0</v>
      </c>
      <c r="R2593" s="114" t="n">
        <v>186.27</v>
      </c>
      <c r="S2593" s="114" t="n">
        <v>0</v>
      </c>
      <c r="T2593" t="n">
        <v>0</v>
      </c>
    </row>
    <row r="2594">
      <c r="A2594" t="inlineStr">
        <is>
          <t>ttJTrans</t>
        </is>
      </c>
      <c r="B2594" s="38" t="inlineStr">
        <is>
          <t>0-4013-02</t>
        </is>
      </c>
      <c r="C2594" t="inlineStr">
        <is>
          <t>ER</t>
        </is>
      </c>
      <c r="E2594" t="inlineStr">
        <is>
          <t>ER</t>
        </is>
      </c>
      <c r="G2594" s="128" t="inlineStr"/>
      <c r="H2594" s="127" t="n">
        <v>46138</v>
      </c>
      <c r="J2594" s="38" t="inlineStr">
        <is>
          <t>0-4013-02</t>
        </is>
      </c>
      <c r="K2594" t="inlineStr">
        <is>
          <t>RLD291 CATERPILLAR 299D3 TRACK SKID STEER LOADER W FORKS CATERPILLAR 299D3 TRACK SKID STEER LOADER W FORKS</t>
        </is>
      </c>
      <c r="L2594" t="n">
        <v>0</v>
      </c>
      <c r="M2594" t="n">
        <v>0</v>
      </c>
      <c r="O2594" t="inlineStr">
        <is>
          <t>RLD291</t>
        </is>
      </c>
      <c r="Q2594" s="114" t="n">
        <v>0</v>
      </c>
      <c r="R2594" s="114" t="n">
        <v>186.27</v>
      </c>
      <c r="S2594" s="114" t="n">
        <v>0</v>
      </c>
      <c r="T2594" t="n">
        <v>0</v>
      </c>
    </row>
    <row r="2595">
      <c r="A2595" t="inlineStr">
        <is>
          <t>ttJTrans</t>
        </is>
      </c>
      <c r="B2595" s="38" t="inlineStr">
        <is>
          <t>0-4013-02</t>
        </is>
      </c>
      <c r="C2595" t="inlineStr">
        <is>
          <t>ER</t>
        </is>
      </c>
      <c r="E2595" t="inlineStr">
        <is>
          <t>ER</t>
        </is>
      </c>
      <c r="G2595" s="128" t="inlineStr"/>
      <c r="H2595" s="127" t="n">
        <v>46138</v>
      </c>
      <c r="J2595" s="38" t="inlineStr">
        <is>
          <t>0-4013-02</t>
        </is>
      </c>
      <c r="K2595" t="inlineStr">
        <is>
          <t>RLD291 CATERPILLAR 299D3 TRACK SKID STEER LOADER W FORKS CATERPILLAR 299D3 TRACK SKID STEER LOADER W FORKS</t>
        </is>
      </c>
      <c r="L2595" t="n">
        <v>0</v>
      </c>
      <c r="M2595" t="n">
        <v>0</v>
      </c>
      <c r="O2595" t="inlineStr">
        <is>
          <t>RLD291</t>
        </is>
      </c>
      <c r="Q2595" s="114" t="n">
        <v>0</v>
      </c>
      <c r="R2595" s="114" t="n">
        <v>186.27</v>
      </c>
      <c r="S2595" s="114" t="n">
        <v>0</v>
      </c>
      <c r="T2595" t="n">
        <v>0</v>
      </c>
    </row>
    <row r="2596">
      <c r="A2596" t="inlineStr">
        <is>
          <t>ttJTrans</t>
        </is>
      </c>
      <c r="B2596" s="38" t="inlineStr">
        <is>
          <t>0-4013-02</t>
        </is>
      </c>
      <c r="C2596" t="inlineStr">
        <is>
          <t>ER</t>
        </is>
      </c>
      <c r="E2596" t="inlineStr">
        <is>
          <t>ER</t>
        </is>
      </c>
      <c r="G2596" s="128" t="inlineStr"/>
      <c r="H2596" s="127" t="n">
        <v>46138</v>
      </c>
      <c r="J2596" s="38" t="inlineStr">
        <is>
          <t>0-4013-02</t>
        </is>
      </c>
      <c r="K2596" t="inlineStr">
        <is>
          <t>RLD292 CATERPILLAR 299D3 TRACK SKID STEER LOADER CATERPILLAR 299D3 TRACK SKID STEER LOADER</t>
        </is>
      </c>
      <c r="L2596" t="n">
        <v>0</v>
      </c>
      <c r="M2596" t="n">
        <v>0</v>
      </c>
      <c r="O2596" t="inlineStr">
        <is>
          <t>RLD292</t>
        </is>
      </c>
      <c r="Q2596" s="114" t="n">
        <v>0</v>
      </c>
      <c r="R2596" s="114" t="n">
        <v>186.27</v>
      </c>
      <c r="S2596" s="114" t="n">
        <v>0</v>
      </c>
      <c r="T2596" t="n">
        <v>0</v>
      </c>
    </row>
    <row r="2597">
      <c r="A2597" t="inlineStr">
        <is>
          <t>ttJTrans</t>
        </is>
      </c>
      <c r="B2597" s="38" t="inlineStr">
        <is>
          <t>0-4013-02</t>
        </is>
      </c>
      <c r="C2597" t="inlineStr">
        <is>
          <t>ER</t>
        </is>
      </c>
      <c r="E2597" t="inlineStr">
        <is>
          <t>ER</t>
        </is>
      </c>
      <c r="G2597" s="128" t="inlineStr"/>
      <c r="H2597" s="127" t="n">
        <v>46138</v>
      </c>
      <c r="J2597" s="38" t="inlineStr">
        <is>
          <t>0-4013-02</t>
        </is>
      </c>
      <c r="K2597" t="inlineStr">
        <is>
          <t>RLD292 CATERPILLAR 299D3 TRACK SKID STEER LOADER CATERPILLAR 299D3 TRACK SKID STEER LOADER</t>
        </is>
      </c>
      <c r="L2597" t="n">
        <v>0</v>
      </c>
      <c r="M2597" t="n">
        <v>0</v>
      </c>
      <c r="O2597" t="inlineStr">
        <is>
          <t>RLD292</t>
        </is>
      </c>
      <c r="Q2597" s="114" t="n">
        <v>0</v>
      </c>
      <c r="R2597" s="114" t="n">
        <v>186.27</v>
      </c>
      <c r="S2597" s="114" t="n">
        <v>0</v>
      </c>
      <c r="T2597" t="n">
        <v>0</v>
      </c>
    </row>
    <row r="2598">
      <c r="A2598" t="inlineStr">
        <is>
          <t>ttJTrans</t>
        </is>
      </c>
      <c r="B2598" s="38" t="inlineStr">
        <is>
          <t>0-4013-02</t>
        </is>
      </c>
      <c r="C2598" t="inlineStr">
        <is>
          <t>ER</t>
        </is>
      </c>
      <c r="E2598" t="inlineStr">
        <is>
          <t>ER</t>
        </is>
      </c>
      <c r="G2598" s="128" t="inlineStr"/>
      <c r="H2598" s="127" t="n">
        <v>46138</v>
      </c>
      <c r="J2598" s="38" t="inlineStr">
        <is>
          <t>0-4013-02</t>
        </is>
      </c>
      <c r="K2598" t="inlineStr">
        <is>
          <t>RLD292 CATERPILLAR 299D3 TRACK SKID STEER LOADER CATERPILLAR 299D3 TRACK SKID STEER LOADER</t>
        </is>
      </c>
      <c r="L2598" t="n">
        <v>0</v>
      </c>
      <c r="M2598" t="n">
        <v>0</v>
      </c>
      <c r="O2598" t="inlineStr">
        <is>
          <t>RLD292</t>
        </is>
      </c>
      <c r="Q2598" s="114" t="n">
        <v>0</v>
      </c>
      <c r="R2598" s="114" t="n">
        <v>186.27</v>
      </c>
      <c r="S2598" s="114" t="n">
        <v>0</v>
      </c>
      <c r="T2598" t="n">
        <v>0</v>
      </c>
    </row>
    <row r="2599">
      <c r="A2599" t="inlineStr">
        <is>
          <t>ttJTrans</t>
        </is>
      </c>
      <c r="B2599" s="38" t="inlineStr">
        <is>
          <t>0-4013-02</t>
        </is>
      </c>
      <c r="C2599" t="inlineStr">
        <is>
          <t>ER</t>
        </is>
      </c>
      <c r="E2599" t="inlineStr">
        <is>
          <t>ER</t>
        </is>
      </c>
      <c r="G2599" s="128" t="inlineStr"/>
      <c r="H2599" s="127" t="n">
        <v>46138</v>
      </c>
      <c r="J2599" s="38" t="inlineStr">
        <is>
          <t>0-4013-02</t>
        </is>
      </c>
      <c r="K2599" t="inlineStr">
        <is>
          <t>RAT439 CAN AM HD11XT CREW CAB UTV CAN AM HD11XT CREW CAB UTV</t>
        </is>
      </c>
      <c r="L2599" t="n">
        <v>0</v>
      </c>
      <c r="M2599" t="n">
        <v>0</v>
      </c>
      <c r="O2599" t="inlineStr">
        <is>
          <t>RAT439</t>
        </is>
      </c>
      <c r="Q2599" s="114" t="n">
        <v>0</v>
      </c>
      <c r="R2599" s="114" t="n">
        <v>62.5</v>
      </c>
      <c r="S2599" s="114" t="n">
        <v>0</v>
      </c>
      <c r="T2599" t="n">
        <v>0</v>
      </c>
    </row>
    <row r="2600">
      <c r="A2600" t="inlineStr">
        <is>
          <t>ttJTrans</t>
        </is>
      </c>
      <c r="B2600" s="38" t="inlineStr">
        <is>
          <t>0-4013-02</t>
        </is>
      </c>
      <c r="C2600" t="inlineStr">
        <is>
          <t>ER</t>
        </is>
      </c>
      <c r="E2600" t="inlineStr">
        <is>
          <t>ER</t>
        </is>
      </c>
      <c r="G2600" s="128" t="inlineStr"/>
      <c r="H2600" s="127" t="n">
        <v>46138</v>
      </c>
      <c r="J2600" s="38" t="inlineStr">
        <is>
          <t>0-4013-02</t>
        </is>
      </c>
      <c r="K2600" t="inlineStr">
        <is>
          <t>RAT439 CAN AM HD11XT CREW CAB UTV CAN AM HD11XT CREW CAB UTV</t>
        </is>
      </c>
      <c r="L2600" t="n">
        <v>0</v>
      </c>
      <c r="M2600" t="n">
        <v>0</v>
      </c>
      <c r="O2600" t="inlineStr">
        <is>
          <t>RAT439</t>
        </is>
      </c>
      <c r="Q2600" s="114" t="n">
        <v>0</v>
      </c>
      <c r="R2600" s="114" t="n">
        <v>62.5</v>
      </c>
      <c r="S2600" s="114" t="n">
        <v>0</v>
      </c>
      <c r="T2600" t="n">
        <v>0</v>
      </c>
    </row>
    <row r="2601">
      <c r="A2601" t="inlineStr">
        <is>
          <t>ttJTrans</t>
        </is>
      </c>
      <c r="B2601" s="38" t="inlineStr">
        <is>
          <t>0-4013-02</t>
        </is>
      </c>
      <c r="C2601" t="inlineStr">
        <is>
          <t>ER</t>
        </is>
      </c>
      <c r="E2601" t="inlineStr">
        <is>
          <t>ER</t>
        </is>
      </c>
      <c r="G2601" s="128" t="inlineStr"/>
      <c r="H2601" s="127" t="n">
        <v>46138</v>
      </c>
      <c r="J2601" s="38" t="inlineStr">
        <is>
          <t>0-4013-02</t>
        </is>
      </c>
      <c r="K2601" t="inlineStr">
        <is>
          <t>RAT439 CAN AM HD11XT CREW CAB UTV CAN AM HD11XT CREW CAB UTV</t>
        </is>
      </c>
      <c r="L2601" t="n">
        <v>0</v>
      </c>
      <c r="M2601" t="n">
        <v>0</v>
      </c>
      <c r="O2601" t="inlineStr">
        <is>
          <t>RAT439</t>
        </is>
      </c>
      <c r="Q2601" s="114" t="n">
        <v>0</v>
      </c>
      <c r="R2601" s="114" t="n">
        <v>62.5</v>
      </c>
      <c r="S2601" s="114" t="n">
        <v>0</v>
      </c>
      <c r="T2601" t="n">
        <v>0</v>
      </c>
    </row>
    <row r="2602">
      <c r="A2602" t="inlineStr">
        <is>
          <t>ttJTrans</t>
        </is>
      </c>
      <c r="B2602" s="38" t="inlineStr">
        <is>
          <t>0-4013-02</t>
        </is>
      </c>
      <c r="C2602" t="inlineStr">
        <is>
          <t>ER</t>
        </is>
      </c>
      <c r="E2602" t="inlineStr">
        <is>
          <t>ER</t>
        </is>
      </c>
      <c r="G2602" s="128" t="inlineStr"/>
      <c r="H2602" s="127" t="n">
        <v>46138</v>
      </c>
      <c r="J2602" s="38" t="inlineStr">
        <is>
          <t>0-4013-02</t>
        </is>
      </c>
      <c r="K2602" t="inlineStr">
        <is>
          <t>RAT440 POLARIS RANGER 1000 CREW CAB UTV POLARIS RANGER 1000 CREW CAB UTV</t>
        </is>
      </c>
      <c r="L2602" t="n">
        <v>0</v>
      </c>
      <c r="M2602" t="n">
        <v>0</v>
      </c>
      <c r="O2602" t="inlineStr">
        <is>
          <t>RAT440</t>
        </is>
      </c>
      <c r="Q2602" s="114" t="n">
        <v>0</v>
      </c>
      <c r="R2602" s="114" t="n">
        <v>62.5</v>
      </c>
      <c r="S2602" s="114" t="n">
        <v>0</v>
      </c>
      <c r="T2602" t="n">
        <v>0</v>
      </c>
    </row>
    <row r="2603">
      <c r="A2603" t="inlineStr">
        <is>
          <t>ttJTrans</t>
        </is>
      </c>
      <c r="B2603" s="38" t="inlineStr">
        <is>
          <t>0-4013-02</t>
        </is>
      </c>
      <c r="C2603" t="inlineStr">
        <is>
          <t>ER</t>
        </is>
      </c>
      <c r="E2603" t="inlineStr">
        <is>
          <t>ER</t>
        </is>
      </c>
      <c r="G2603" s="128" t="inlineStr"/>
      <c r="H2603" s="127" t="n">
        <v>46138</v>
      </c>
      <c r="J2603" s="38" t="inlineStr">
        <is>
          <t>0-4013-02</t>
        </is>
      </c>
      <c r="K2603" t="inlineStr">
        <is>
          <t>RAT440 POLARIS RANGER 1000 CREW CAB UTV POLARIS RANGER 1000 CREW CAB UTV</t>
        </is>
      </c>
      <c r="L2603" t="n">
        <v>0</v>
      </c>
      <c r="M2603" t="n">
        <v>0</v>
      </c>
      <c r="O2603" t="inlineStr">
        <is>
          <t>RAT440</t>
        </is>
      </c>
      <c r="Q2603" s="114" t="n">
        <v>0</v>
      </c>
      <c r="R2603" s="114" t="n">
        <v>62.5</v>
      </c>
      <c r="S2603" s="114" t="n">
        <v>0</v>
      </c>
      <c r="T2603" t="n">
        <v>0</v>
      </c>
    </row>
    <row r="2604">
      <c r="A2604" t="inlineStr">
        <is>
          <t>ttJTrans</t>
        </is>
      </c>
      <c r="B2604" s="38" t="inlineStr">
        <is>
          <t>0-4013-02</t>
        </is>
      </c>
      <c r="C2604" t="inlineStr">
        <is>
          <t>ER</t>
        </is>
      </c>
      <c r="E2604" t="inlineStr">
        <is>
          <t>ER</t>
        </is>
      </c>
      <c r="G2604" s="128" t="inlineStr"/>
      <c r="H2604" s="127" t="n">
        <v>46138</v>
      </c>
      <c r="J2604" s="38" t="inlineStr">
        <is>
          <t>0-4013-02</t>
        </is>
      </c>
      <c r="K2604" t="inlineStr">
        <is>
          <t>RAT440 POLARIS RANGER 1000 CREW CAB UTV POLARIS RANGER 1000 CREW CAB UTV</t>
        </is>
      </c>
      <c r="L2604" t="n">
        <v>0</v>
      </c>
      <c r="M2604" t="n">
        <v>0</v>
      </c>
      <c r="O2604" t="inlineStr">
        <is>
          <t>RAT440</t>
        </is>
      </c>
      <c r="Q2604" s="114" t="n">
        <v>0</v>
      </c>
      <c r="R2604" s="114" t="n">
        <v>62.5</v>
      </c>
      <c r="S2604" s="114" t="n">
        <v>0</v>
      </c>
      <c r="T2604" t="n">
        <v>0</v>
      </c>
    </row>
    <row r="2605">
      <c r="A2605" t="inlineStr">
        <is>
          <t>ttJTrans</t>
        </is>
      </c>
      <c r="B2605" s="38" t="inlineStr">
        <is>
          <t>0-4013-02</t>
        </is>
      </c>
      <c r="C2605" t="inlineStr">
        <is>
          <t>ER</t>
        </is>
      </c>
      <c r="E2605" t="inlineStr">
        <is>
          <t>ER</t>
        </is>
      </c>
      <c r="G2605" s="128" t="inlineStr"/>
      <c r="H2605" s="127" t="n">
        <v>46138</v>
      </c>
      <c r="J2605" s="38" t="inlineStr">
        <is>
          <t>0-4013-02</t>
        </is>
      </c>
      <c r="K2605" t="inlineStr">
        <is>
          <t>RGR114 CATERPILLAR 150 AWD MOTOR GRADER CATERPILLAR 150 AWD MOTOR GRADER</t>
        </is>
      </c>
      <c r="L2605" t="n">
        <v>0</v>
      </c>
      <c r="M2605" t="n">
        <v>0</v>
      </c>
      <c r="O2605" t="inlineStr">
        <is>
          <t>RGR114</t>
        </is>
      </c>
      <c r="Q2605" s="114" t="n">
        <v>0</v>
      </c>
      <c r="R2605" s="114" t="n">
        <v>604.17</v>
      </c>
      <c r="S2605" s="114" t="n">
        <v>0</v>
      </c>
      <c r="T2605" t="n">
        <v>0</v>
      </c>
    </row>
    <row r="2606">
      <c r="A2606" t="inlineStr">
        <is>
          <t>ttJTrans</t>
        </is>
      </c>
      <c r="B2606" s="38" t="inlineStr">
        <is>
          <t>0-4013-02</t>
        </is>
      </c>
      <c r="C2606" t="inlineStr">
        <is>
          <t>ER</t>
        </is>
      </c>
      <c r="E2606" t="inlineStr">
        <is>
          <t>ER</t>
        </is>
      </c>
      <c r="G2606" s="128" t="inlineStr"/>
      <c r="H2606" s="127" t="n">
        <v>46138</v>
      </c>
      <c r="J2606" s="38" t="inlineStr">
        <is>
          <t>0-4013-02</t>
        </is>
      </c>
      <c r="K2606" t="inlineStr">
        <is>
          <t>RGR114 CATERPILLAR 150 AWD MOTOR GRADER CATERPILLAR 150 AWD MOTOR GRADER</t>
        </is>
      </c>
      <c r="L2606" t="n">
        <v>0</v>
      </c>
      <c r="M2606" t="n">
        <v>0</v>
      </c>
      <c r="O2606" t="inlineStr">
        <is>
          <t>RGR114</t>
        </is>
      </c>
      <c r="Q2606" s="114" t="n">
        <v>0</v>
      </c>
      <c r="R2606" s="114" t="n">
        <v>604.17</v>
      </c>
      <c r="S2606" s="114" t="n">
        <v>0</v>
      </c>
      <c r="T2606" t="n">
        <v>0</v>
      </c>
    </row>
    <row r="2607">
      <c r="A2607" t="inlineStr">
        <is>
          <t>ttJTrans</t>
        </is>
      </c>
      <c r="B2607" s="38" t="inlineStr">
        <is>
          <t>0-4013-02</t>
        </is>
      </c>
      <c r="C2607" t="inlineStr">
        <is>
          <t>ER</t>
        </is>
      </c>
      <c r="E2607" t="inlineStr">
        <is>
          <t>ER</t>
        </is>
      </c>
      <c r="G2607" s="128" t="inlineStr"/>
      <c r="H2607" s="127" t="n">
        <v>46138</v>
      </c>
      <c r="J2607" s="38" t="inlineStr">
        <is>
          <t>0-4013-02</t>
        </is>
      </c>
      <c r="K2607" t="inlineStr">
        <is>
          <t>RGR114 CATERPILLAR 150 AWD MOTOR GRADER CATERPILLAR 150 AWD MOTOR GRADER</t>
        </is>
      </c>
      <c r="L2607" t="n">
        <v>0</v>
      </c>
      <c r="M2607" t="n">
        <v>0</v>
      </c>
      <c r="O2607" t="inlineStr">
        <is>
          <t>RGR114</t>
        </is>
      </c>
      <c r="Q2607" s="114" t="n">
        <v>0</v>
      </c>
      <c r="R2607" s="114" t="n">
        <v>604.17</v>
      </c>
      <c r="S2607" s="114" t="n">
        <v>0</v>
      </c>
      <c r="T2607" t="n">
        <v>0</v>
      </c>
    </row>
    <row r="2608">
      <c r="A2608" t="inlineStr">
        <is>
          <t>ttJTrans</t>
        </is>
      </c>
      <c r="B2608" s="38" t="inlineStr">
        <is>
          <t>0-4013-02</t>
        </is>
      </c>
      <c r="C2608" t="inlineStr">
        <is>
          <t>ER</t>
        </is>
      </c>
      <c r="E2608" t="inlineStr">
        <is>
          <t>ER</t>
        </is>
      </c>
      <c r="G2608" s="128" t="inlineStr"/>
      <c r="H2608" s="127" t="n">
        <v>46138</v>
      </c>
      <c r="J2608" s="38" t="inlineStr">
        <is>
          <t>0-4013-02</t>
        </is>
      </c>
      <c r="K2608" t="inlineStr">
        <is>
          <t>RFT890 CASE MAGNUN 220 FARM TRACTOR CASE MAGNUN 220 FARM TRACTOR</t>
        </is>
      </c>
      <c r="L2608" t="n">
        <v>0</v>
      </c>
      <c r="M2608" t="n">
        <v>0</v>
      </c>
      <c r="O2608" t="inlineStr">
        <is>
          <t>RFT890</t>
        </is>
      </c>
      <c r="Q2608" s="114" t="n">
        <v>0</v>
      </c>
      <c r="R2608" s="114" t="n">
        <v>500</v>
      </c>
      <c r="S2608" s="114" t="n">
        <v>0</v>
      </c>
      <c r="T2608" t="n">
        <v>0</v>
      </c>
    </row>
    <row r="2609">
      <c r="A2609" t="inlineStr">
        <is>
          <t>ttJTrans</t>
        </is>
      </c>
      <c r="B2609" s="38" t="inlineStr">
        <is>
          <t>0-4013-02</t>
        </is>
      </c>
      <c r="C2609" t="inlineStr">
        <is>
          <t>ER</t>
        </is>
      </c>
      <c r="E2609" t="inlineStr">
        <is>
          <t>ER</t>
        </is>
      </c>
      <c r="G2609" s="128" t="inlineStr"/>
      <c r="H2609" s="127" t="n">
        <v>46138</v>
      </c>
      <c r="J2609" s="38" t="inlineStr">
        <is>
          <t>0-4013-02</t>
        </is>
      </c>
      <c r="K2609" t="inlineStr">
        <is>
          <t>RFT890 CASE MAGNUN 220 FARM TRACTOR CASE MAGNUN 220 FARM TRACTOR</t>
        </is>
      </c>
      <c r="L2609" t="n">
        <v>0</v>
      </c>
      <c r="M2609" t="n">
        <v>0</v>
      </c>
      <c r="O2609" t="inlineStr">
        <is>
          <t>RFT890</t>
        </is>
      </c>
      <c r="Q2609" s="114" t="n">
        <v>0</v>
      </c>
      <c r="R2609" s="114" t="n">
        <v>500</v>
      </c>
      <c r="S2609" s="114" t="n">
        <v>0</v>
      </c>
      <c r="T2609" t="n">
        <v>0</v>
      </c>
    </row>
    <row r="2610">
      <c r="A2610" t="inlineStr">
        <is>
          <t>ttJTrans</t>
        </is>
      </c>
      <c r="B2610" s="38" t="inlineStr">
        <is>
          <t>0-4013-02</t>
        </is>
      </c>
      <c r="C2610" t="inlineStr">
        <is>
          <t>ER</t>
        </is>
      </c>
      <c r="E2610" t="inlineStr">
        <is>
          <t>ER</t>
        </is>
      </c>
      <c r="G2610" s="128" t="inlineStr"/>
      <c r="H2610" s="127" t="n">
        <v>46138</v>
      </c>
      <c r="J2610" s="38" t="inlineStr">
        <is>
          <t>0-4013-02</t>
        </is>
      </c>
      <c r="K2610" t="inlineStr">
        <is>
          <t>RFT890 CASE MAGNUN 220 FARM TRACTOR CASE MAGNUN 220 FARM TRACTOR</t>
        </is>
      </c>
      <c r="L2610" t="n">
        <v>0</v>
      </c>
      <c r="M2610" t="n">
        <v>0</v>
      </c>
      <c r="O2610" t="inlineStr">
        <is>
          <t>RFT890</t>
        </is>
      </c>
      <c r="Q2610" s="114" t="n">
        <v>0</v>
      </c>
      <c r="R2610" s="114" t="n">
        <v>500</v>
      </c>
      <c r="S2610" s="114" t="n">
        <v>0</v>
      </c>
      <c r="T2610" t="n">
        <v>0</v>
      </c>
    </row>
    <row r="2611">
      <c r="A2611" t="inlineStr">
        <is>
          <t>ttJTrans</t>
        </is>
      </c>
      <c r="B2611" s="38" t="inlineStr">
        <is>
          <t>0-4013-02</t>
        </is>
      </c>
      <c r="C2611" t="inlineStr">
        <is>
          <t>ER</t>
        </is>
      </c>
      <c r="E2611" t="inlineStr">
        <is>
          <t>ER</t>
        </is>
      </c>
      <c r="G2611" s="128" t="inlineStr"/>
      <c r="H2611" s="127" t="n">
        <v>46138</v>
      </c>
      <c r="J2611" s="38" t="inlineStr">
        <is>
          <t>0-4013-02</t>
        </is>
      </c>
      <c r="K2611" t="inlineStr">
        <is>
          <t>RFT892 CASE PUMA 200 FARM TRACTOR W FRONT LOADER CASE PUMA 200 FARM TRACTOR W FRONT LOADER</t>
        </is>
      </c>
      <c r="L2611" t="n">
        <v>0</v>
      </c>
      <c r="M2611" t="n">
        <v>0</v>
      </c>
      <c r="O2611" t="inlineStr">
        <is>
          <t>RFT892</t>
        </is>
      </c>
      <c r="Q2611" s="114" t="n">
        <v>0</v>
      </c>
      <c r="R2611" s="114" t="n">
        <v>508.33</v>
      </c>
      <c r="S2611" s="114" t="n">
        <v>0</v>
      </c>
      <c r="T2611" t="n">
        <v>0</v>
      </c>
    </row>
    <row r="2612">
      <c r="A2612" t="inlineStr">
        <is>
          <t>ttJTrans</t>
        </is>
      </c>
      <c r="B2612" s="38" t="inlineStr">
        <is>
          <t>0-4013-02</t>
        </is>
      </c>
      <c r="C2612" t="inlineStr">
        <is>
          <t>ER</t>
        </is>
      </c>
      <c r="E2612" t="inlineStr">
        <is>
          <t>ER</t>
        </is>
      </c>
      <c r="G2612" s="128" t="inlineStr"/>
      <c r="H2612" s="127" t="n">
        <v>46138</v>
      </c>
      <c r="J2612" s="38" t="inlineStr">
        <is>
          <t>0-4013-02</t>
        </is>
      </c>
      <c r="K2612" t="inlineStr">
        <is>
          <t>RFT892 CASE PUMA 200 FARM TRACTOR W FRONT LOADER CASE PUMA 200 FARM TRACTOR W FRONT LOADER</t>
        </is>
      </c>
      <c r="L2612" t="n">
        <v>0</v>
      </c>
      <c r="M2612" t="n">
        <v>0</v>
      </c>
      <c r="O2612" t="inlineStr">
        <is>
          <t>RFT892</t>
        </is>
      </c>
      <c r="Q2612" s="114" t="n">
        <v>0</v>
      </c>
      <c r="R2612" s="114" t="n">
        <v>508.33</v>
      </c>
      <c r="S2612" s="114" t="n">
        <v>0</v>
      </c>
      <c r="T2612" t="n">
        <v>0</v>
      </c>
    </row>
    <row r="2613">
      <c r="A2613" t="inlineStr">
        <is>
          <t>ttJTrans</t>
        </is>
      </c>
      <c r="B2613" s="38" t="inlineStr">
        <is>
          <t>0-4013-02</t>
        </is>
      </c>
      <c r="C2613" t="inlineStr">
        <is>
          <t>ER</t>
        </is>
      </c>
      <c r="E2613" t="inlineStr">
        <is>
          <t>ER</t>
        </is>
      </c>
      <c r="G2613" s="128" t="inlineStr"/>
      <c r="H2613" s="127" t="n">
        <v>46138</v>
      </c>
      <c r="J2613" s="38" t="inlineStr">
        <is>
          <t>0-4013-02</t>
        </is>
      </c>
      <c r="K2613" t="inlineStr">
        <is>
          <t>RFT892 CASE PUMA 200 FARM TRACTOR W FRONT LOADER CASE PUMA 200 FARM TRACTOR W FRONT LOADER</t>
        </is>
      </c>
      <c r="L2613" t="n">
        <v>0</v>
      </c>
      <c r="M2613" t="n">
        <v>0</v>
      </c>
      <c r="O2613" t="inlineStr">
        <is>
          <t>RFT892</t>
        </is>
      </c>
      <c r="Q2613" s="114" t="n">
        <v>0</v>
      </c>
      <c r="R2613" s="114" t="n">
        <v>508.33</v>
      </c>
      <c r="S2613" s="114" t="n">
        <v>0</v>
      </c>
      <c r="T2613" t="n">
        <v>0</v>
      </c>
    </row>
    <row r="2614">
      <c r="A2614" t="inlineStr">
        <is>
          <t>ttJTrans</t>
        </is>
      </c>
      <c r="B2614" s="38" t="inlineStr">
        <is>
          <t>0-4013-02</t>
        </is>
      </c>
      <c r="C2614" t="inlineStr">
        <is>
          <t>ER</t>
        </is>
      </c>
      <c r="E2614" t="inlineStr">
        <is>
          <t>ER</t>
        </is>
      </c>
      <c r="G2614" s="128" t="inlineStr"/>
      <c r="H2614" s="127" t="n">
        <v>46138</v>
      </c>
      <c r="J2614" s="38" t="inlineStr">
        <is>
          <t>0-4013-02</t>
        </is>
      </c>
      <c r="K2614" t="inlineStr">
        <is>
          <t>RFT891 CASE MAGNUM 220 FARM TRACTOR CASE MAGNUM 220 FARM TRACTOR</t>
        </is>
      </c>
      <c r="L2614" t="n">
        <v>0</v>
      </c>
      <c r="M2614" t="n">
        <v>0</v>
      </c>
      <c r="O2614" t="inlineStr">
        <is>
          <t>RFT891</t>
        </is>
      </c>
      <c r="Q2614" s="114" t="n">
        <v>0</v>
      </c>
      <c r="R2614" s="114" t="n">
        <v>500</v>
      </c>
      <c r="S2614" s="114" t="n">
        <v>0</v>
      </c>
      <c r="T2614" t="n">
        <v>0</v>
      </c>
    </row>
    <row r="2615">
      <c r="A2615" t="inlineStr">
        <is>
          <t>ttJTrans</t>
        </is>
      </c>
      <c r="B2615" s="38" t="inlineStr">
        <is>
          <t>0-4013-02</t>
        </is>
      </c>
      <c r="C2615" t="inlineStr">
        <is>
          <t>ER</t>
        </is>
      </c>
      <c r="E2615" t="inlineStr">
        <is>
          <t>ER</t>
        </is>
      </c>
      <c r="G2615" s="128" t="inlineStr"/>
      <c r="H2615" s="127" t="n">
        <v>46138</v>
      </c>
      <c r="J2615" s="38" t="inlineStr">
        <is>
          <t>0-4013-02</t>
        </is>
      </c>
      <c r="K2615" t="inlineStr">
        <is>
          <t>RFT891 CASE MAGNUM 220 FARM TRACTOR CASE MAGNUM 220 FARM TRACTOR</t>
        </is>
      </c>
      <c r="L2615" t="n">
        <v>0</v>
      </c>
      <c r="M2615" t="n">
        <v>0</v>
      </c>
      <c r="O2615" t="inlineStr">
        <is>
          <t>RFT891</t>
        </is>
      </c>
      <c r="Q2615" s="114" t="n">
        <v>0</v>
      </c>
      <c r="R2615" s="114" t="n">
        <v>500</v>
      </c>
      <c r="S2615" s="114" t="n">
        <v>0</v>
      </c>
      <c r="T2615" t="n">
        <v>0</v>
      </c>
    </row>
    <row r="2616">
      <c r="A2616" t="inlineStr">
        <is>
          <t>ttJTrans</t>
        </is>
      </c>
      <c r="B2616" s="38" t="inlineStr">
        <is>
          <t>0-4013-02</t>
        </is>
      </c>
      <c r="C2616" t="inlineStr">
        <is>
          <t>ER</t>
        </is>
      </c>
      <c r="E2616" t="inlineStr">
        <is>
          <t>ER</t>
        </is>
      </c>
      <c r="G2616" s="128" t="inlineStr"/>
      <c r="H2616" s="127" t="n">
        <v>46138</v>
      </c>
      <c r="J2616" s="38" t="inlineStr">
        <is>
          <t>0-4013-02</t>
        </is>
      </c>
      <c r="K2616" t="inlineStr">
        <is>
          <t>RFT891 CASE MAGNUM 220 FARM TRACTOR CASE MAGNUM 220 FARM TRACTOR</t>
        </is>
      </c>
      <c r="L2616" t="n">
        <v>0</v>
      </c>
      <c r="M2616" t="n">
        <v>0</v>
      </c>
      <c r="O2616" t="inlineStr">
        <is>
          <t>RFT891</t>
        </is>
      </c>
      <c r="Q2616" s="114" t="n">
        <v>0</v>
      </c>
      <c r="R2616" s="114" t="n">
        <v>500</v>
      </c>
      <c r="S2616" s="114" t="n">
        <v>0</v>
      </c>
      <c r="T2616" t="n">
        <v>0</v>
      </c>
    </row>
    <row r="2617">
      <c r="A2617" t="inlineStr">
        <is>
          <t>ttJTrans</t>
        </is>
      </c>
      <c r="B2617" s="38" t="inlineStr">
        <is>
          <t>0-4013-02</t>
        </is>
      </c>
      <c r="C2617" t="inlineStr">
        <is>
          <t>ER</t>
        </is>
      </c>
      <c r="E2617" t="inlineStr">
        <is>
          <t>ER</t>
        </is>
      </c>
      <c r="G2617" s="128" t="inlineStr"/>
      <c r="H2617" s="127" t="n">
        <v>46138</v>
      </c>
      <c r="J2617" s="38" t="inlineStr">
        <is>
          <t>0-4013-02</t>
        </is>
      </c>
      <c r="K2617" t="inlineStr">
        <is>
          <t>RMS2319 25' SMOOTH ROLLER FOR FARM TRACTOR 25' SMOOTH ROLLER FOR FARM TRACTOR</t>
        </is>
      </c>
      <c r="L2617" t="n">
        <v>0</v>
      </c>
      <c r="M2617" t="n">
        <v>0</v>
      </c>
      <c r="O2617" t="inlineStr">
        <is>
          <t>RMS2319</t>
        </is>
      </c>
      <c r="Q2617" s="114" t="n">
        <v>0</v>
      </c>
      <c r="R2617" s="114" t="n">
        <v>179.6</v>
      </c>
      <c r="S2617" s="114" t="n">
        <v>0</v>
      </c>
      <c r="T2617" t="n">
        <v>0</v>
      </c>
    </row>
    <row r="2618">
      <c r="A2618" t="inlineStr">
        <is>
          <t>ttJTrans</t>
        </is>
      </c>
      <c r="B2618" s="38" t="inlineStr">
        <is>
          <t>0-4013-02</t>
        </is>
      </c>
      <c r="C2618" t="inlineStr">
        <is>
          <t>ER</t>
        </is>
      </c>
      <c r="E2618" t="inlineStr">
        <is>
          <t>ER</t>
        </is>
      </c>
      <c r="G2618" s="128" t="inlineStr"/>
      <c r="H2618" s="127" t="n">
        <v>46138</v>
      </c>
      <c r="J2618" s="38" t="inlineStr">
        <is>
          <t>0-4013-02</t>
        </is>
      </c>
      <c r="K2618" t="inlineStr">
        <is>
          <t>RMS2319 25' SMOOTH ROLLER FOR FARM TRACTOR 25' SMOOTH ROLLER FOR FARM TRACTOR</t>
        </is>
      </c>
      <c r="L2618" t="n">
        <v>0</v>
      </c>
      <c r="M2618" t="n">
        <v>0</v>
      </c>
      <c r="O2618" t="inlineStr">
        <is>
          <t>RMS2319</t>
        </is>
      </c>
      <c r="Q2618" s="114" t="n">
        <v>0</v>
      </c>
      <c r="R2618" s="114" t="n">
        <v>179.6</v>
      </c>
      <c r="S2618" s="114" t="n">
        <v>0</v>
      </c>
      <c r="T2618" t="n">
        <v>0</v>
      </c>
    </row>
    <row r="2619">
      <c r="A2619" t="inlineStr">
        <is>
          <t>ttJTrans</t>
        </is>
      </c>
      <c r="B2619" s="38" t="inlineStr">
        <is>
          <t>0-4013-02</t>
        </is>
      </c>
      <c r="C2619" t="inlineStr">
        <is>
          <t>ER</t>
        </is>
      </c>
      <c r="E2619" t="inlineStr">
        <is>
          <t>ER</t>
        </is>
      </c>
      <c r="G2619" s="128" t="inlineStr"/>
      <c r="H2619" s="127" t="n">
        <v>46138</v>
      </c>
      <c r="J2619" s="38" t="inlineStr">
        <is>
          <t>0-4013-02</t>
        </is>
      </c>
      <c r="K2619" t="inlineStr">
        <is>
          <t>RMS2319 25' SMOOTH ROLLER FOR FARM TRACTOR 25' SMOOTH ROLLER FOR FARM TRACTOR</t>
        </is>
      </c>
      <c r="L2619" t="n">
        <v>0</v>
      </c>
      <c r="M2619" t="n">
        <v>0</v>
      </c>
      <c r="O2619" t="inlineStr">
        <is>
          <t>RMS2319</t>
        </is>
      </c>
      <c r="Q2619" s="114" t="n">
        <v>0</v>
      </c>
      <c r="R2619" s="114" t="n">
        <v>179.6</v>
      </c>
      <c r="S2619" s="114" t="n">
        <v>0</v>
      </c>
      <c r="T2619" t="n">
        <v>0</v>
      </c>
    </row>
    <row r="2620">
      <c r="A2620" t="inlineStr">
        <is>
          <t>ttJTrans</t>
        </is>
      </c>
      <c r="B2620" s="38" t="inlineStr">
        <is>
          <t>0-4013-02</t>
        </is>
      </c>
      <c r="C2620" t="inlineStr">
        <is>
          <t>ER</t>
        </is>
      </c>
      <c r="E2620" t="inlineStr">
        <is>
          <t>ER</t>
        </is>
      </c>
      <c r="G2620" s="128" t="inlineStr"/>
      <c r="H2620" s="127" t="n">
        <v>46138</v>
      </c>
      <c r="J2620" s="38" t="inlineStr">
        <is>
          <t>0-4013-02</t>
        </is>
      </c>
      <c r="K2620" t="inlineStr">
        <is>
          <t>RMS2321 SEED DRILL FOR FARM TRACTOR SEED DRILL FOR FARM TRACTOR</t>
        </is>
      </c>
      <c r="L2620" t="n">
        <v>0</v>
      </c>
      <c r="M2620" t="n">
        <v>0</v>
      </c>
      <c r="O2620" t="inlineStr">
        <is>
          <t>RMS2321</t>
        </is>
      </c>
      <c r="Q2620" s="114" t="n">
        <v>0</v>
      </c>
      <c r="R2620" s="114" t="n">
        <v>1077.59</v>
      </c>
      <c r="S2620" s="114" t="n">
        <v>0</v>
      </c>
      <c r="T2620" t="n">
        <v>0</v>
      </c>
    </row>
    <row r="2621">
      <c r="A2621" t="inlineStr">
        <is>
          <t>ttJTrans</t>
        </is>
      </c>
      <c r="B2621" s="38" t="inlineStr">
        <is>
          <t>0-4013-02</t>
        </is>
      </c>
      <c r="C2621" t="inlineStr">
        <is>
          <t>ER</t>
        </is>
      </c>
      <c r="E2621" t="inlineStr">
        <is>
          <t>ER</t>
        </is>
      </c>
      <c r="G2621" s="128" t="inlineStr"/>
      <c r="H2621" s="127" t="n">
        <v>46138</v>
      </c>
      <c r="J2621" s="38" t="inlineStr">
        <is>
          <t>0-4013-02</t>
        </is>
      </c>
      <c r="K2621" t="inlineStr">
        <is>
          <t>RMS2321 SEED DRILL FOR FARM TRACTOR SEED DRILL FOR FARM TRACTOR</t>
        </is>
      </c>
      <c r="L2621" t="n">
        <v>0</v>
      </c>
      <c r="M2621" t="n">
        <v>0</v>
      </c>
      <c r="O2621" t="inlineStr">
        <is>
          <t>RMS2321</t>
        </is>
      </c>
      <c r="Q2621" s="114" t="n">
        <v>0</v>
      </c>
      <c r="R2621" s="114" t="n">
        <v>1077.59</v>
      </c>
      <c r="S2621" s="114" t="n">
        <v>0</v>
      </c>
      <c r="T2621" t="n">
        <v>0</v>
      </c>
    </row>
    <row r="2622">
      <c r="A2622" t="inlineStr">
        <is>
          <t>ttJTrans</t>
        </is>
      </c>
      <c r="B2622" s="38" t="inlineStr">
        <is>
          <t>0-4013-02</t>
        </is>
      </c>
      <c r="C2622" t="inlineStr">
        <is>
          <t>ER</t>
        </is>
      </c>
      <c r="E2622" t="inlineStr">
        <is>
          <t>ER</t>
        </is>
      </c>
      <c r="G2622" s="128" t="inlineStr"/>
      <c r="H2622" s="127" t="n">
        <v>46138</v>
      </c>
      <c r="J2622" s="38" t="inlineStr">
        <is>
          <t>0-4013-02</t>
        </is>
      </c>
      <c r="K2622" t="inlineStr">
        <is>
          <t>RMS2321 SEED DRILL FOR FARM TRACTOR SEED DRILL FOR FARM TRACTOR</t>
        </is>
      </c>
      <c r="L2622" t="n">
        <v>0</v>
      </c>
      <c r="M2622" t="n">
        <v>0</v>
      </c>
      <c r="O2622" t="inlineStr">
        <is>
          <t>RMS2321</t>
        </is>
      </c>
      <c r="Q2622" s="114" t="n">
        <v>0</v>
      </c>
      <c r="R2622" s="114" t="n">
        <v>1077.59</v>
      </c>
      <c r="S2622" s="114" t="n">
        <v>0</v>
      </c>
      <c r="T2622" t="n">
        <v>0</v>
      </c>
    </row>
    <row r="2623">
      <c r="A2623" t="inlineStr">
        <is>
          <t>ttJTrans</t>
        </is>
      </c>
      <c r="B2623" s="38" t="inlineStr">
        <is>
          <t>0-4013-02</t>
        </is>
      </c>
      <c r="C2623" t="inlineStr">
        <is>
          <t>ER</t>
        </is>
      </c>
      <c r="E2623" t="inlineStr">
        <is>
          <t>ER</t>
        </is>
      </c>
      <c r="G2623" s="128" t="inlineStr"/>
      <c r="H2623" s="127" t="n">
        <v>46138</v>
      </c>
      <c r="J2623" s="38" t="inlineStr">
        <is>
          <t>0-4013-02</t>
        </is>
      </c>
      <c r="K2623" t="inlineStr">
        <is>
          <t>RLD293 TAKEUCHI TL10VS TRACK SKID STEER LOADER W TREE SAW ATTACHMENT TAKEUCHI TL10VS TRACK SKID STEER LOADER W TREE SAW ATTACHMENT</t>
        </is>
      </c>
      <c r="L2623" t="n">
        <v>0</v>
      </c>
      <c r="M2623" t="n">
        <v>0</v>
      </c>
      <c r="O2623" t="inlineStr">
        <is>
          <t>RLD293</t>
        </is>
      </c>
      <c r="Q2623" s="114" t="n">
        <v>0</v>
      </c>
      <c r="R2623" s="114" t="n">
        <v>282.06</v>
      </c>
      <c r="S2623" s="114" t="n">
        <v>0</v>
      </c>
      <c r="T2623" t="n">
        <v>0</v>
      </c>
    </row>
    <row r="2624">
      <c r="A2624" t="inlineStr">
        <is>
          <t>ttJTrans</t>
        </is>
      </c>
      <c r="B2624" s="38" t="inlineStr">
        <is>
          <t>0-4013-02</t>
        </is>
      </c>
      <c r="C2624" t="inlineStr">
        <is>
          <t>ER</t>
        </is>
      </c>
      <c r="E2624" t="inlineStr">
        <is>
          <t>ER</t>
        </is>
      </c>
      <c r="G2624" s="128" t="inlineStr"/>
      <c r="H2624" s="127" t="n">
        <v>46138</v>
      </c>
      <c r="J2624" s="38" t="inlineStr">
        <is>
          <t>0-4013-02</t>
        </is>
      </c>
      <c r="K2624" t="inlineStr">
        <is>
          <t>RLD293 TAKEUCHI TL10VS TRACK SKID STEER LOADER W TREE SAW ATTACHMENT TAKEUCHI TL10VS TRACK SKID STEER LOADER W TREE SAW ATTACHMENT</t>
        </is>
      </c>
      <c r="L2624" t="n">
        <v>0</v>
      </c>
      <c r="M2624" t="n">
        <v>0</v>
      </c>
      <c r="O2624" t="inlineStr">
        <is>
          <t>RLD293</t>
        </is>
      </c>
      <c r="Q2624" s="114" t="n">
        <v>0</v>
      </c>
      <c r="R2624" s="114" t="n">
        <v>282.06</v>
      </c>
      <c r="S2624" s="114" t="n">
        <v>0</v>
      </c>
      <c r="T2624" t="n">
        <v>0</v>
      </c>
    </row>
    <row r="2625">
      <c r="A2625" t="inlineStr">
        <is>
          <t>ttJTrans</t>
        </is>
      </c>
      <c r="B2625" s="38" t="inlineStr">
        <is>
          <t>0-4013-02</t>
        </is>
      </c>
      <c r="C2625" t="inlineStr">
        <is>
          <t>ER</t>
        </is>
      </c>
      <c r="E2625" t="inlineStr">
        <is>
          <t>ER</t>
        </is>
      </c>
      <c r="G2625" s="128" t="inlineStr"/>
      <c r="H2625" s="127" t="n">
        <v>46138</v>
      </c>
      <c r="J2625" s="38" t="inlineStr">
        <is>
          <t>0-4013-02</t>
        </is>
      </c>
      <c r="K2625" t="inlineStr">
        <is>
          <t>RLD293 TAKEUCHI TL10VS TRACK SKID STEER LOADER W TREE SAW ATTACHMENT TAKEUCHI TL10VS TRACK SKID STEER LOADER W TREE SAW ATTACHMENT</t>
        </is>
      </c>
      <c r="L2625" t="n">
        <v>0</v>
      </c>
      <c r="M2625" t="n">
        <v>0</v>
      </c>
      <c r="O2625" t="inlineStr">
        <is>
          <t>RLD293</t>
        </is>
      </c>
      <c r="Q2625" s="114" t="n">
        <v>0</v>
      </c>
      <c r="R2625" s="114" t="n">
        <v>282.06</v>
      </c>
      <c r="S2625" s="114" t="n">
        <v>0</v>
      </c>
      <c r="T2625" t="n">
        <v>0</v>
      </c>
    </row>
    <row r="2626">
      <c r="A2626" t="inlineStr">
        <is>
          <t>ttJTrans</t>
        </is>
      </c>
      <c r="B2626" s="38" t="inlineStr">
        <is>
          <t>0-4013-02</t>
        </is>
      </c>
      <c r="C2626" t="inlineStr">
        <is>
          <t>ER</t>
        </is>
      </c>
      <c r="E2626" t="inlineStr">
        <is>
          <t>ER</t>
        </is>
      </c>
      <c r="G2626" s="128" t="inlineStr"/>
      <c r="H2626" s="127" t="n">
        <v>46138</v>
      </c>
      <c r="J2626" s="38" t="inlineStr">
        <is>
          <t>0-4013-02</t>
        </is>
      </c>
      <c r="K2626" t="inlineStr">
        <is>
          <t>RHV96 PETERBILT 4,000 GALLON WATER TRUCK PETERBILT 4,000 GALLON WATER TRUCK</t>
        </is>
      </c>
      <c r="L2626" t="n">
        <v>0</v>
      </c>
      <c r="M2626" t="n">
        <v>0</v>
      </c>
      <c r="O2626" t="inlineStr">
        <is>
          <t>RHV96</t>
        </is>
      </c>
      <c r="Q2626" s="114" t="n">
        <v>0</v>
      </c>
      <c r="R2626" s="114" t="n">
        <v>200</v>
      </c>
      <c r="S2626" s="114" t="n">
        <v>0</v>
      </c>
      <c r="T2626" t="n">
        <v>0</v>
      </c>
    </row>
    <row r="2627">
      <c r="A2627" t="inlineStr">
        <is>
          <t>ttJTrans</t>
        </is>
      </c>
      <c r="B2627" s="38" t="inlineStr">
        <is>
          <t>0-4013-02</t>
        </is>
      </c>
      <c r="C2627" t="inlineStr">
        <is>
          <t>ER</t>
        </is>
      </c>
      <c r="E2627" t="inlineStr">
        <is>
          <t>ER</t>
        </is>
      </c>
      <c r="G2627" s="128" t="inlineStr"/>
      <c r="H2627" s="127" t="n">
        <v>46138</v>
      </c>
      <c r="J2627" s="38" t="inlineStr">
        <is>
          <t>0-4013-02</t>
        </is>
      </c>
      <c r="K2627" t="inlineStr">
        <is>
          <t>RHV96 PETERBILT 4,000 GALLON WATER TRUCK PETERBILT 4,000 GALLON WATER TRUCK</t>
        </is>
      </c>
      <c r="L2627" t="n">
        <v>0</v>
      </c>
      <c r="M2627" t="n">
        <v>0</v>
      </c>
      <c r="O2627" t="inlineStr">
        <is>
          <t>RHV96</t>
        </is>
      </c>
      <c r="Q2627" s="114" t="n">
        <v>0</v>
      </c>
      <c r="R2627" s="114" t="n">
        <v>200</v>
      </c>
      <c r="S2627" s="114" t="n">
        <v>0</v>
      </c>
      <c r="T2627" t="n">
        <v>0</v>
      </c>
    </row>
    <row r="2628">
      <c r="A2628" t="inlineStr">
        <is>
          <t>ttJTrans</t>
        </is>
      </c>
      <c r="B2628" s="38" t="inlineStr">
        <is>
          <t>0-4013-02</t>
        </is>
      </c>
      <c r="C2628" t="inlineStr">
        <is>
          <t>ER</t>
        </is>
      </c>
      <c r="E2628" t="inlineStr">
        <is>
          <t>ER</t>
        </is>
      </c>
      <c r="G2628" s="128" t="inlineStr"/>
      <c r="H2628" s="127" t="n">
        <v>46138</v>
      </c>
      <c r="J2628" s="38" t="inlineStr">
        <is>
          <t>0-4013-02</t>
        </is>
      </c>
      <c r="K2628" t="inlineStr">
        <is>
          <t>RHV96 PETERBILT 4,000 GALLON WATER TRUCK PETERBILT 4,000 GALLON WATER TRUCK</t>
        </is>
      </c>
      <c r="L2628" t="n">
        <v>0</v>
      </c>
      <c r="M2628" t="n">
        <v>0</v>
      </c>
      <c r="O2628" t="inlineStr">
        <is>
          <t>RHV96</t>
        </is>
      </c>
      <c r="Q2628" s="114" t="n">
        <v>0</v>
      </c>
      <c r="R2628" s="114" t="n">
        <v>200</v>
      </c>
      <c r="S2628" s="114" t="n">
        <v>0</v>
      </c>
      <c r="T2628" t="n">
        <v>0</v>
      </c>
    </row>
    <row r="2629">
      <c r="A2629" t="inlineStr">
        <is>
          <t>ttJTrans</t>
        </is>
      </c>
      <c r="B2629" s="38" t="inlineStr">
        <is>
          <t>0-4013-02</t>
        </is>
      </c>
      <c r="C2629" t="inlineStr">
        <is>
          <t>ER</t>
        </is>
      </c>
      <c r="E2629" t="inlineStr">
        <is>
          <t>ER</t>
        </is>
      </c>
      <c r="G2629" s="128" t="inlineStr"/>
      <c r="H2629" s="127" t="n">
        <v>46138</v>
      </c>
      <c r="J2629" s="38" t="inlineStr">
        <is>
          <t>0-4013-02</t>
        </is>
      </c>
      <c r="K2629" t="inlineStr">
        <is>
          <t>RMS2320 SEED DRILL FOR FARM TRACTOR SEED DRILL FOR FARM TRACTOR</t>
        </is>
      </c>
      <c r="L2629" t="n">
        <v>0</v>
      </c>
      <c r="M2629" t="n">
        <v>0</v>
      </c>
      <c r="O2629" t="inlineStr">
        <is>
          <t>RMS2320</t>
        </is>
      </c>
      <c r="Q2629" s="114" t="n">
        <v>0</v>
      </c>
      <c r="R2629" s="114" t="n">
        <v>1077.59</v>
      </c>
      <c r="S2629" s="114" t="n">
        <v>0</v>
      </c>
      <c r="T2629" t="n">
        <v>0</v>
      </c>
    </row>
    <row r="2630">
      <c r="A2630" t="inlineStr">
        <is>
          <t>ttJTrans</t>
        </is>
      </c>
      <c r="B2630" s="38" t="inlineStr">
        <is>
          <t>0-4013-02</t>
        </is>
      </c>
      <c r="C2630" t="inlineStr">
        <is>
          <t>ER</t>
        </is>
      </c>
      <c r="E2630" t="inlineStr">
        <is>
          <t>ER</t>
        </is>
      </c>
      <c r="G2630" s="128" t="inlineStr"/>
      <c r="H2630" s="127" t="n">
        <v>46138</v>
      </c>
      <c r="J2630" s="38" t="inlineStr">
        <is>
          <t>0-4013-02</t>
        </is>
      </c>
      <c r="K2630" t="inlineStr">
        <is>
          <t>RMS2320 SEED DRILL FOR FARM TRACTOR SEED DRILL FOR FARM TRACTOR</t>
        </is>
      </c>
      <c r="L2630" t="n">
        <v>0</v>
      </c>
      <c r="M2630" t="n">
        <v>0</v>
      </c>
      <c r="O2630" t="inlineStr">
        <is>
          <t>RMS2320</t>
        </is>
      </c>
      <c r="Q2630" s="114" t="n">
        <v>0</v>
      </c>
      <c r="R2630" s="114" t="n">
        <v>1077.59</v>
      </c>
      <c r="S2630" s="114" t="n">
        <v>0</v>
      </c>
      <c r="T2630" t="n">
        <v>0</v>
      </c>
    </row>
    <row r="2631">
      <c r="A2631" t="inlineStr">
        <is>
          <t>ttJTrans</t>
        </is>
      </c>
      <c r="B2631" s="38" t="inlineStr">
        <is>
          <t>0-4013-02</t>
        </is>
      </c>
      <c r="C2631" t="inlineStr">
        <is>
          <t>ER</t>
        </is>
      </c>
      <c r="E2631" t="inlineStr">
        <is>
          <t>ER</t>
        </is>
      </c>
      <c r="G2631" s="128" t="inlineStr"/>
      <c r="H2631" s="127" t="n">
        <v>46138</v>
      </c>
      <c r="J2631" s="38" t="inlineStr">
        <is>
          <t>0-4013-02</t>
        </is>
      </c>
      <c r="K2631" t="inlineStr">
        <is>
          <t>RMS2320 SEED DRILL FOR FARM TRACTOR SEED DRILL FOR FARM TRACTOR</t>
        </is>
      </c>
      <c r="L2631" t="n">
        <v>0</v>
      </c>
      <c r="M2631" t="n">
        <v>0</v>
      </c>
      <c r="O2631" t="inlineStr">
        <is>
          <t>RMS2320</t>
        </is>
      </c>
      <c r="Q2631" s="114" t="n">
        <v>0</v>
      </c>
      <c r="R2631" s="114" t="n">
        <v>1077.59</v>
      </c>
      <c r="S2631" s="114" t="n">
        <v>0</v>
      </c>
      <c r="T2631" t="n">
        <v>0</v>
      </c>
    </row>
    <row r="2632">
      <c r="A2632" t="inlineStr">
        <is>
          <t>ttJTrans</t>
        </is>
      </c>
      <c r="B2632" s="38" t="inlineStr">
        <is>
          <t>0-4013-02</t>
        </is>
      </c>
      <c r="C2632" t="inlineStr">
        <is>
          <t>ER</t>
        </is>
      </c>
      <c r="E2632" t="inlineStr">
        <is>
          <t>ER</t>
        </is>
      </c>
      <c r="G2632" s="128" t="inlineStr"/>
      <c r="H2632" s="127" t="n">
        <v>46138</v>
      </c>
      <c r="J2632" s="38" t="inlineStr">
        <is>
          <t>0-4013-02</t>
        </is>
      </c>
      <c r="K2632" t="inlineStr">
        <is>
          <t>REX665 330 CATERPILLAR EXCAVATOR 330 CATERPILLAR EXCAVATOR</t>
        </is>
      </c>
      <c r="L2632" t="n">
        <v>0</v>
      </c>
      <c r="M2632" t="n">
        <v>0</v>
      </c>
      <c r="O2632" t="inlineStr">
        <is>
          <t>REX665</t>
        </is>
      </c>
      <c r="Q2632" s="114" t="n">
        <v>0</v>
      </c>
      <c r="R2632" s="114" t="n">
        <v>458.33</v>
      </c>
      <c r="S2632" s="114" t="n">
        <v>0</v>
      </c>
      <c r="T2632" t="n">
        <v>0</v>
      </c>
    </row>
    <row r="2633">
      <c r="A2633" t="inlineStr">
        <is>
          <t>ttJTrans</t>
        </is>
      </c>
      <c r="B2633" s="38" t="inlineStr">
        <is>
          <t>0-4013-02</t>
        </is>
      </c>
      <c r="C2633" t="inlineStr">
        <is>
          <t>ER</t>
        </is>
      </c>
      <c r="E2633" t="inlineStr">
        <is>
          <t>ER</t>
        </is>
      </c>
      <c r="G2633" s="128" t="inlineStr"/>
      <c r="H2633" s="127" t="n">
        <v>46138</v>
      </c>
      <c r="J2633" s="38" t="inlineStr">
        <is>
          <t>0-4013-02</t>
        </is>
      </c>
      <c r="K2633" t="inlineStr">
        <is>
          <t>REX665 330 CATERPILLAR EXCAVATOR 330 CATERPILLAR EXCAVATOR</t>
        </is>
      </c>
      <c r="L2633" t="n">
        <v>0</v>
      </c>
      <c r="M2633" t="n">
        <v>0</v>
      </c>
      <c r="O2633" t="inlineStr">
        <is>
          <t>REX665</t>
        </is>
      </c>
      <c r="Q2633" s="114" t="n">
        <v>0</v>
      </c>
      <c r="R2633" s="114" t="n">
        <v>458.33</v>
      </c>
      <c r="S2633" s="114" t="n">
        <v>0</v>
      </c>
      <c r="T2633" t="n">
        <v>0</v>
      </c>
    </row>
    <row r="2634">
      <c r="A2634" t="inlineStr">
        <is>
          <t>ttJTrans</t>
        </is>
      </c>
      <c r="B2634" s="38" t="inlineStr">
        <is>
          <t>0-4013-02</t>
        </is>
      </c>
      <c r="C2634" t="inlineStr">
        <is>
          <t>ER</t>
        </is>
      </c>
      <c r="E2634" t="inlineStr">
        <is>
          <t>ER</t>
        </is>
      </c>
      <c r="G2634" s="128" t="inlineStr"/>
      <c r="H2634" s="127" t="n">
        <v>46138</v>
      </c>
      <c r="J2634" s="38" t="inlineStr">
        <is>
          <t>0-4013-02</t>
        </is>
      </c>
      <c r="K2634" t="inlineStr">
        <is>
          <t>REX665 330 CATERPILLAR EXCAVATOR 330 CATERPILLAR EXCAVATOR</t>
        </is>
      </c>
      <c r="L2634" t="n">
        <v>0</v>
      </c>
      <c r="M2634" t="n">
        <v>0</v>
      </c>
      <c r="O2634" t="inlineStr">
        <is>
          <t>REX665</t>
        </is>
      </c>
      <c r="Q2634" s="114" t="n">
        <v>0</v>
      </c>
      <c r="R2634" s="114" t="n">
        <v>458.33</v>
      </c>
      <c r="S2634" s="114" t="n">
        <v>0</v>
      </c>
      <c r="T2634" t="n">
        <v>0</v>
      </c>
    </row>
    <row r="2635">
      <c r="A2635" t="inlineStr">
        <is>
          <t>ttJTrans</t>
        </is>
      </c>
      <c r="B2635" s="38" t="inlineStr">
        <is>
          <t>0-4013-02</t>
        </is>
      </c>
      <c r="C2635" t="inlineStr">
        <is>
          <t>ER</t>
        </is>
      </c>
      <c r="E2635" t="inlineStr">
        <is>
          <t>ER</t>
        </is>
      </c>
      <c r="G2635" s="128" t="inlineStr"/>
      <c r="H2635" s="127" t="n">
        <v>46138</v>
      </c>
      <c r="J2635" s="38" t="inlineStr">
        <is>
          <t>0-4013-02</t>
        </is>
      </c>
      <c r="K2635" t="inlineStr">
        <is>
          <t>RPK482 HAMM 84' SINGLE DRUM ROLLER HAMM 84' SINGLE DRUM ROLLER</t>
        </is>
      </c>
      <c r="L2635" t="n">
        <v>0</v>
      </c>
      <c r="M2635" t="n">
        <v>0</v>
      </c>
      <c r="O2635" t="inlineStr">
        <is>
          <t>RPK482</t>
        </is>
      </c>
      <c r="Q2635" s="114" t="n">
        <v>0</v>
      </c>
      <c r="R2635" s="114" t="n">
        <v>300</v>
      </c>
      <c r="S2635" s="114" t="n">
        <v>0</v>
      </c>
      <c r="T2635" t="n">
        <v>0</v>
      </c>
    </row>
    <row r="2636">
      <c r="A2636" t="inlineStr">
        <is>
          <t>ttJTrans</t>
        </is>
      </c>
      <c r="B2636" s="38" t="inlineStr">
        <is>
          <t>0-4013-02</t>
        </is>
      </c>
      <c r="C2636" t="inlineStr">
        <is>
          <t>ER</t>
        </is>
      </c>
      <c r="E2636" t="inlineStr">
        <is>
          <t>ER</t>
        </is>
      </c>
      <c r="G2636" s="128" t="inlineStr"/>
      <c r="H2636" s="127" t="n">
        <v>46138</v>
      </c>
      <c r="J2636" s="38" t="inlineStr">
        <is>
          <t>0-4013-02</t>
        </is>
      </c>
      <c r="K2636" t="inlineStr">
        <is>
          <t>RPK482 HAMM 84' SINGLE DRUM ROLLER HAMM 84' SINGLE DRUM ROLLER</t>
        </is>
      </c>
      <c r="L2636" t="n">
        <v>0</v>
      </c>
      <c r="M2636" t="n">
        <v>0</v>
      </c>
      <c r="O2636" t="inlineStr">
        <is>
          <t>RPK482</t>
        </is>
      </c>
      <c r="Q2636" s="114" t="n">
        <v>0</v>
      </c>
      <c r="R2636" s="114" t="n">
        <v>300</v>
      </c>
      <c r="S2636" s="114" t="n">
        <v>0</v>
      </c>
      <c r="T2636" t="n">
        <v>0</v>
      </c>
    </row>
    <row r="2637">
      <c r="A2637" t="inlineStr">
        <is>
          <t>ttJTrans</t>
        </is>
      </c>
      <c r="B2637" s="38" t="inlineStr">
        <is>
          <t>0-4013-02</t>
        </is>
      </c>
      <c r="C2637" t="inlineStr">
        <is>
          <t>ER</t>
        </is>
      </c>
      <c r="E2637" t="inlineStr">
        <is>
          <t>ER</t>
        </is>
      </c>
      <c r="G2637" s="128" t="inlineStr"/>
      <c r="H2637" s="127" t="n">
        <v>46138</v>
      </c>
      <c r="J2637" s="38" t="inlineStr">
        <is>
          <t>0-4013-02</t>
        </is>
      </c>
      <c r="K2637" t="inlineStr">
        <is>
          <t>RPK482 HAMM 84' SINGLE DRUM ROLLER HAMM 84' SINGLE DRUM ROLLER</t>
        </is>
      </c>
      <c r="L2637" t="n">
        <v>0</v>
      </c>
      <c r="M2637" t="n">
        <v>0</v>
      </c>
      <c r="O2637" t="inlineStr">
        <is>
          <t>RPK482</t>
        </is>
      </c>
      <c r="Q2637" s="114" t="n">
        <v>0</v>
      </c>
      <c r="R2637" s="114" t="n">
        <v>300</v>
      </c>
      <c r="S2637" s="114" t="n">
        <v>0</v>
      </c>
      <c r="T2637" t="n">
        <v>0</v>
      </c>
    </row>
    <row r="2638">
      <c r="A2638" t="inlineStr">
        <is>
          <t>ttJTrans</t>
        </is>
      </c>
      <c r="B2638" s="38" t="inlineStr">
        <is>
          <t>0-4013-02</t>
        </is>
      </c>
      <c r="C2638" t="inlineStr">
        <is>
          <t>ER</t>
        </is>
      </c>
      <c r="E2638" t="inlineStr">
        <is>
          <t>ER</t>
        </is>
      </c>
      <c r="G2638" s="128" t="inlineStr"/>
      <c r="H2638" s="127" t="n">
        <v>46138</v>
      </c>
      <c r="J2638" s="38" t="inlineStr">
        <is>
          <t>0-4013-02</t>
        </is>
      </c>
      <c r="K2638" t="inlineStr">
        <is>
          <t>RMS2318 BROCE RCT350 WHEEL SWEEPER BROCE RCT350 WHEEL SWEEPER</t>
        </is>
      </c>
      <c r="L2638" t="n">
        <v>0</v>
      </c>
      <c r="M2638" t="n">
        <v>0</v>
      </c>
      <c r="O2638" t="inlineStr">
        <is>
          <t>RMS2318</t>
        </is>
      </c>
      <c r="Q2638" s="114" t="n">
        <v>0</v>
      </c>
      <c r="R2638" s="114" t="n">
        <v>200</v>
      </c>
      <c r="S2638" s="114" t="n">
        <v>0</v>
      </c>
      <c r="T2638" t="n">
        <v>0</v>
      </c>
    </row>
    <row r="2639">
      <c r="A2639" t="inlineStr">
        <is>
          <t>ttJTrans</t>
        </is>
      </c>
      <c r="B2639" s="38" t="inlineStr">
        <is>
          <t>0-4013-02</t>
        </is>
      </c>
      <c r="C2639" t="inlineStr">
        <is>
          <t>ER</t>
        </is>
      </c>
      <c r="E2639" t="inlineStr">
        <is>
          <t>ER</t>
        </is>
      </c>
      <c r="G2639" s="128" t="inlineStr"/>
      <c r="H2639" s="127" t="n">
        <v>46138</v>
      </c>
      <c r="J2639" s="38" t="inlineStr">
        <is>
          <t>0-4013-02</t>
        </is>
      </c>
      <c r="K2639" t="inlineStr">
        <is>
          <t>RMS2318 BROCE RCT350 WHEEL SWEEPER BROCE RCT350 WHEEL SWEEPER</t>
        </is>
      </c>
      <c r="L2639" t="n">
        <v>0</v>
      </c>
      <c r="M2639" t="n">
        <v>0</v>
      </c>
      <c r="O2639" t="inlineStr">
        <is>
          <t>RMS2318</t>
        </is>
      </c>
      <c r="Q2639" s="114" t="n">
        <v>0</v>
      </c>
      <c r="R2639" s="114" t="n">
        <v>200</v>
      </c>
      <c r="S2639" s="114" t="n">
        <v>0</v>
      </c>
      <c r="T2639" t="n">
        <v>0</v>
      </c>
    </row>
    <row r="2640">
      <c r="A2640" t="inlineStr">
        <is>
          <t>ttJTrans</t>
        </is>
      </c>
      <c r="B2640" s="38" t="inlineStr">
        <is>
          <t>0-4013-02</t>
        </is>
      </c>
      <c r="C2640" t="inlineStr">
        <is>
          <t>ER</t>
        </is>
      </c>
      <c r="E2640" t="inlineStr">
        <is>
          <t>ER</t>
        </is>
      </c>
      <c r="G2640" s="128" t="inlineStr"/>
      <c r="H2640" s="127" t="n">
        <v>46138</v>
      </c>
      <c r="J2640" s="38" t="inlineStr">
        <is>
          <t>0-4013-02</t>
        </is>
      </c>
      <c r="K2640" t="inlineStr">
        <is>
          <t>RMS2318 BROCE RCT350 WHEEL SWEEPER BROCE RCT350 WHEEL SWEEPER</t>
        </is>
      </c>
      <c r="L2640" t="n">
        <v>0</v>
      </c>
      <c r="M2640" t="n">
        <v>0</v>
      </c>
      <c r="O2640" t="inlineStr">
        <is>
          <t>RMS2318</t>
        </is>
      </c>
      <c r="Q2640" s="114" t="n">
        <v>0</v>
      </c>
      <c r="R2640" s="114" t="n">
        <v>200</v>
      </c>
      <c r="S2640" s="114" t="n">
        <v>0</v>
      </c>
      <c r="T2640" t="n">
        <v>0</v>
      </c>
    </row>
    <row r="2641">
      <c r="A2641" t="inlineStr">
        <is>
          <t>ttJTrans</t>
        </is>
      </c>
      <c r="B2641" s="38" t="inlineStr">
        <is>
          <t>0-4013-02</t>
        </is>
      </c>
      <c r="C2641" t="inlineStr">
        <is>
          <t>ER</t>
        </is>
      </c>
      <c r="E2641" t="inlineStr">
        <is>
          <t>ER</t>
        </is>
      </c>
      <c r="G2641" s="128" t="inlineStr"/>
      <c r="H2641" s="127" t="n">
        <v>46138</v>
      </c>
      <c r="J2641" s="38" t="inlineStr">
        <is>
          <t>0-4013-02</t>
        </is>
      </c>
      <c r="K2641" t="inlineStr">
        <is>
          <t>RMS2317 TRIMBLE TD540 TOTAL STATING TRIMBLE TD540 TOTAL STATING</t>
        </is>
      </c>
      <c r="L2641" t="n">
        <v>0</v>
      </c>
      <c r="M2641" t="n">
        <v>0</v>
      </c>
      <c r="O2641" t="inlineStr">
        <is>
          <t>RMS2317</t>
        </is>
      </c>
      <c r="Q2641" s="114" t="n">
        <v>0</v>
      </c>
      <c r="R2641" s="114" t="n">
        <v>287.36</v>
      </c>
      <c r="S2641" s="114" t="n">
        <v>0</v>
      </c>
      <c r="T2641" t="n">
        <v>0</v>
      </c>
    </row>
    <row r="2642">
      <c r="A2642" t="inlineStr">
        <is>
          <t>ttJTrans</t>
        </is>
      </c>
      <c r="B2642" s="38" t="inlineStr">
        <is>
          <t>0-4013-02</t>
        </is>
      </c>
      <c r="C2642" t="inlineStr">
        <is>
          <t>ER</t>
        </is>
      </c>
      <c r="E2642" t="inlineStr">
        <is>
          <t>ER</t>
        </is>
      </c>
      <c r="G2642" s="128" t="inlineStr"/>
      <c r="H2642" s="127" t="n">
        <v>46138</v>
      </c>
      <c r="J2642" s="38" t="inlineStr">
        <is>
          <t>0-4013-02</t>
        </is>
      </c>
      <c r="K2642" t="inlineStr">
        <is>
          <t>RMS2317 TRIMBLE TD540 TOTAL STATING TRIMBLE TD540 TOTAL STATING</t>
        </is>
      </c>
      <c r="L2642" t="n">
        <v>0</v>
      </c>
      <c r="M2642" t="n">
        <v>0</v>
      </c>
      <c r="O2642" t="inlineStr">
        <is>
          <t>RMS2317</t>
        </is>
      </c>
      <c r="Q2642" s="114" t="n">
        <v>0</v>
      </c>
      <c r="R2642" s="114" t="n">
        <v>287.36</v>
      </c>
      <c r="S2642" s="114" t="n">
        <v>0</v>
      </c>
      <c r="T2642" t="n">
        <v>0</v>
      </c>
    </row>
    <row r="2643">
      <c r="A2643" t="inlineStr">
        <is>
          <t>ttJTrans</t>
        </is>
      </c>
      <c r="B2643" s="38" t="inlineStr">
        <is>
          <t>0-4013-02</t>
        </is>
      </c>
      <c r="C2643" t="inlineStr">
        <is>
          <t>ER</t>
        </is>
      </c>
      <c r="E2643" t="inlineStr">
        <is>
          <t>ER</t>
        </is>
      </c>
      <c r="G2643" s="128" t="inlineStr"/>
      <c r="H2643" s="127" t="n">
        <v>46138</v>
      </c>
      <c r="J2643" s="38" t="inlineStr">
        <is>
          <t>0-4013-02</t>
        </is>
      </c>
      <c r="K2643" t="inlineStr">
        <is>
          <t>RMS2317 TRIMBLE TD540 TOTAL STATING TRIMBLE TD540 TOTAL STATING</t>
        </is>
      </c>
      <c r="L2643" t="n">
        <v>0</v>
      </c>
      <c r="M2643" t="n">
        <v>0</v>
      </c>
      <c r="O2643" t="inlineStr">
        <is>
          <t>RMS2317</t>
        </is>
      </c>
      <c r="Q2643" s="114" t="n">
        <v>0</v>
      </c>
      <c r="R2643" s="114" t="n">
        <v>287.36</v>
      </c>
      <c r="S2643" s="114" t="n">
        <v>0</v>
      </c>
      <c r="T2643" t="n">
        <v>0</v>
      </c>
    </row>
    <row r="2644">
      <c r="A2644" t="inlineStr">
        <is>
          <t>ttJTrans</t>
        </is>
      </c>
      <c r="B2644" s="38" t="inlineStr">
        <is>
          <t>0-4013-02</t>
        </is>
      </c>
      <c r="C2644" t="inlineStr">
        <is>
          <t>ER</t>
        </is>
      </c>
      <c r="E2644" t="inlineStr">
        <is>
          <t>ER</t>
        </is>
      </c>
      <c r="G2644" s="128" t="inlineStr"/>
      <c r="H2644" s="127" t="n">
        <v>46145</v>
      </c>
      <c r="J2644" s="38" t="inlineStr">
        <is>
          <t>0-4013-02</t>
        </is>
      </c>
      <c r="K2644" t="inlineStr">
        <is>
          <t>RDZ318 CAT D5 LGPVPR DOZER 170 HP CAT D5 LGPVPR DOZER 170 HP</t>
        </is>
      </c>
      <c r="L2644" t="n">
        <v>0</v>
      </c>
      <c r="M2644" t="n">
        <v>0</v>
      </c>
      <c r="O2644" t="inlineStr">
        <is>
          <t>RDZ318</t>
        </is>
      </c>
      <c r="Q2644" s="114" t="n">
        <v>0</v>
      </c>
      <c r="R2644" s="114" t="n">
        <v>778.74</v>
      </c>
      <c r="S2644" s="114" t="n">
        <v>0</v>
      </c>
      <c r="T2644" t="n">
        <v>0</v>
      </c>
    </row>
    <row r="2645">
      <c r="A2645" t="inlineStr">
        <is>
          <t>ttJTrans</t>
        </is>
      </c>
      <c r="B2645" s="38" t="inlineStr">
        <is>
          <t>0-4013-02</t>
        </is>
      </c>
      <c r="C2645" t="inlineStr">
        <is>
          <t>ER</t>
        </is>
      </c>
      <c r="E2645" t="inlineStr">
        <is>
          <t>ER</t>
        </is>
      </c>
      <c r="G2645" s="128" t="inlineStr"/>
      <c r="H2645" s="127" t="n">
        <v>46145</v>
      </c>
      <c r="J2645" s="38" t="inlineStr">
        <is>
          <t>0-4013-02</t>
        </is>
      </c>
      <c r="K2645" t="inlineStr">
        <is>
          <t>RDZ318 CAT D5 LGPVPR DOZER 170 HP CAT D5 LGPVPR DOZER 170 HP</t>
        </is>
      </c>
      <c r="L2645" t="n">
        <v>0</v>
      </c>
      <c r="M2645" t="n">
        <v>0</v>
      </c>
      <c r="O2645" t="inlineStr">
        <is>
          <t>RDZ318</t>
        </is>
      </c>
      <c r="Q2645" s="114" t="n">
        <v>0</v>
      </c>
      <c r="R2645" s="114" t="n">
        <v>778.74</v>
      </c>
      <c r="S2645" s="114" t="n">
        <v>0</v>
      </c>
      <c r="T2645" t="n">
        <v>0</v>
      </c>
    </row>
    <row r="2646">
      <c r="A2646" t="inlineStr">
        <is>
          <t>ttJTrans</t>
        </is>
      </c>
      <c r="B2646" s="38" t="inlineStr">
        <is>
          <t>0-4013-02</t>
        </is>
      </c>
      <c r="C2646" t="inlineStr">
        <is>
          <t>ER</t>
        </is>
      </c>
      <c r="E2646" t="inlineStr">
        <is>
          <t>ER</t>
        </is>
      </c>
      <c r="G2646" s="128" t="inlineStr"/>
      <c r="H2646" s="127" t="n">
        <v>46145</v>
      </c>
      <c r="J2646" s="38" t="inlineStr">
        <is>
          <t>0-4013-02</t>
        </is>
      </c>
      <c r="K2646" t="inlineStr">
        <is>
          <t>RLD291 CATERPILLAR 299D3 TRACK SKID STEER LOADER W FORKS CATERPILLAR 299D3 TRACK SKID STEER LOADER W FORKS</t>
        </is>
      </c>
      <c r="L2646" t="n">
        <v>0</v>
      </c>
      <c r="M2646" t="n">
        <v>0</v>
      </c>
      <c r="O2646" t="inlineStr">
        <is>
          <t>RLD291</t>
        </is>
      </c>
      <c r="Q2646" s="114" t="n">
        <v>0</v>
      </c>
      <c r="R2646" s="114" t="n">
        <v>186.27</v>
      </c>
      <c r="S2646" s="114" t="n">
        <v>0</v>
      </c>
      <c r="T2646" t="n">
        <v>0</v>
      </c>
    </row>
    <row r="2647">
      <c r="A2647" t="inlineStr">
        <is>
          <t>ttJTrans</t>
        </is>
      </c>
      <c r="B2647" s="38" t="inlineStr">
        <is>
          <t>0-4013-02</t>
        </is>
      </c>
      <c r="C2647" t="inlineStr">
        <is>
          <t>ER</t>
        </is>
      </c>
      <c r="E2647" t="inlineStr">
        <is>
          <t>ER</t>
        </is>
      </c>
      <c r="G2647" s="128" t="inlineStr"/>
      <c r="H2647" s="127" t="n">
        <v>46145</v>
      </c>
      <c r="J2647" s="38" t="inlineStr">
        <is>
          <t>0-4013-02</t>
        </is>
      </c>
      <c r="K2647" t="inlineStr">
        <is>
          <t>RLD291 CATERPILLAR 299D3 TRACK SKID STEER LOADER W FORKS CATERPILLAR 299D3 TRACK SKID STEER LOADER W FORKS</t>
        </is>
      </c>
      <c r="L2647" t="n">
        <v>0</v>
      </c>
      <c r="M2647" t="n">
        <v>0</v>
      </c>
      <c r="O2647" t="inlineStr">
        <is>
          <t>RLD291</t>
        </is>
      </c>
      <c r="Q2647" s="114" t="n">
        <v>0</v>
      </c>
      <c r="R2647" s="114" t="n">
        <v>186.27</v>
      </c>
      <c r="S2647" s="114" t="n">
        <v>0</v>
      </c>
      <c r="T2647" t="n">
        <v>0</v>
      </c>
    </row>
    <row r="2648">
      <c r="A2648" t="inlineStr">
        <is>
          <t>ttJTrans</t>
        </is>
      </c>
      <c r="B2648" s="38" t="inlineStr">
        <is>
          <t>0-4013-02</t>
        </is>
      </c>
      <c r="C2648" t="inlineStr">
        <is>
          <t>ER</t>
        </is>
      </c>
      <c r="E2648" t="inlineStr">
        <is>
          <t>ER</t>
        </is>
      </c>
      <c r="G2648" s="128" t="inlineStr"/>
      <c r="H2648" s="127" t="n">
        <v>46145</v>
      </c>
      <c r="J2648" s="38" t="inlineStr">
        <is>
          <t>0-4013-02</t>
        </is>
      </c>
      <c r="K2648" t="inlineStr">
        <is>
          <t>RLD292 CATERPILLAR 299D3 TRACK SKID STEER LOADER CATERPILLAR 299D3 TRACK SKID STEER LOADER</t>
        </is>
      </c>
      <c r="L2648" t="n">
        <v>0</v>
      </c>
      <c r="M2648" t="n">
        <v>0</v>
      </c>
      <c r="O2648" t="inlineStr">
        <is>
          <t>RLD292</t>
        </is>
      </c>
      <c r="Q2648" s="114" t="n">
        <v>0</v>
      </c>
      <c r="R2648" s="114" t="n">
        <v>186.27</v>
      </c>
      <c r="S2648" s="114" t="n">
        <v>0</v>
      </c>
      <c r="T2648" t="n">
        <v>0</v>
      </c>
    </row>
    <row r="2649">
      <c r="A2649" t="inlineStr">
        <is>
          <t>ttJTrans</t>
        </is>
      </c>
      <c r="B2649" s="38" t="inlineStr">
        <is>
          <t>0-4013-02</t>
        </is>
      </c>
      <c r="C2649" t="inlineStr">
        <is>
          <t>ER</t>
        </is>
      </c>
      <c r="E2649" t="inlineStr">
        <is>
          <t>ER</t>
        </is>
      </c>
      <c r="G2649" s="128" t="inlineStr"/>
      <c r="H2649" s="127" t="n">
        <v>46145</v>
      </c>
      <c r="J2649" s="38" t="inlineStr">
        <is>
          <t>0-4013-02</t>
        </is>
      </c>
      <c r="K2649" t="inlineStr">
        <is>
          <t>RLD292 CATERPILLAR 299D3 TRACK SKID STEER LOADER CATERPILLAR 299D3 TRACK SKID STEER LOADER</t>
        </is>
      </c>
      <c r="L2649" t="n">
        <v>0</v>
      </c>
      <c r="M2649" t="n">
        <v>0</v>
      </c>
      <c r="O2649" t="inlineStr">
        <is>
          <t>RLD292</t>
        </is>
      </c>
      <c r="Q2649" s="114" t="n">
        <v>0</v>
      </c>
      <c r="R2649" s="114" t="n">
        <v>186.27</v>
      </c>
      <c r="S2649" s="114" t="n">
        <v>0</v>
      </c>
      <c r="T2649" t="n">
        <v>0</v>
      </c>
    </row>
    <row r="2650">
      <c r="A2650" t="inlineStr">
        <is>
          <t>ttJTrans</t>
        </is>
      </c>
      <c r="B2650" s="38" t="inlineStr">
        <is>
          <t>0-4013-02</t>
        </is>
      </c>
      <c r="C2650" t="inlineStr">
        <is>
          <t>ER</t>
        </is>
      </c>
      <c r="E2650" t="inlineStr">
        <is>
          <t>ER</t>
        </is>
      </c>
      <c r="G2650" s="128" t="inlineStr"/>
      <c r="H2650" s="127" t="n">
        <v>46145</v>
      </c>
      <c r="J2650" s="38" t="inlineStr">
        <is>
          <t>0-4013-02</t>
        </is>
      </c>
      <c r="K2650" t="inlineStr">
        <is>
          <t>RAT439 CAN AM HD11XT CREW CAB UTV CAN AM HD11XT CREW CAB UTV</t>
        </is>
      </c>
      <c r="L2650" t="n">
        <v>0</v>
      </c>
      <c r="M2650" t="n">
        <v>0</v>
      </c>
      <c r="O2650" t="inlineStr">
        <is>
          <t>RAT439</t>
        </is>
      </c>
      <c r="Q2650" s="114" t="n">
        <v>0</v>
      </c>
      <c r="R2650" s="114" t="n">
        <v>62.5</v>
      </c>
      <c r="S2650" s="114" t="n">
        <v>0</v>
      </c>
      <c r="T2650" t="n">
        <v>0</v>
      </c>
    </row>
    <row r="2651">
      <c r="A2651" t="inlineStr">
        <is>
          <t>ttJTrans</t>
        </is>
      </c>
      <c r="B2651" s="38" t="inlineStr">
        <is>
          <t>0-4013-02</t>
        </is>
      </c>
      <c r="C2651" t="inlineStr">
        <is>
          <t>ER</t>
        </is>
      </c>
      <c r="E2651" t="inlineStr">
        <is>
          <t>ER</t>
        </is>
      </c>
      <c r="G2651" s="128" t="inlineStr"/>
      <c r="H2651" s="127" t="n">
        <v>46145</v>
      </c>
      <c r="J2651" s="38" t="inlineStr">
        <is>
          <t>0-4013-02</t>
        </is>
      </c>
      <c r="K2651" t="inlineStr">
        <is>
          <t>RAT439 CAN AM HD11XT CREW CAB UTV CAN AM HD11XT CREW CAB UTV</t>
        </is>
      </c>
      <c r="L2651" t="n">
        <v>0</v>
      </c>
      <c r="M2651" t="n">
        <v>0</v>
      </c>
      <c r="O2651" t="inlineStr">
        <is>
          <t>RAT439</t>
        </is>
      </c>
      <c r="Q2651" s="114" t="n">
        <v>0</v>
      </c>
      <c r="R2651" s="114" t="n">
        <v>62.5</v>
      </c>
      <c r="S2651" s="114" t="n">
        <v>0</v>
      </c>
      <c r="T2651" t="n">
        <v>0</v>
      </c>
    </row>
    <row r="2652">
      <c r="A2652" t="inlineStr">
        <is>
          <t>ttJTrans</t>
        </is>
      </c>
      <c r="B2652" s="38" t="inlineStr">
        <is>
          <t>0-4013-02</t>
        </is>
      </c>
      <c r="C2652" t="inlineStr">
        <is>
          <t>ER</t>
        </is>
      </c>
      <c r="E2652" t="inlineStr">
        <is>
          <t>ER</t>
        </is>
      </c>
      <c r="G2652" s="128" t="inlineStr"/>
      <c r="H2652" s="127" t="n">
        <v>46145</v>
      </c>
      <c r="J2652" s="38" t="inlineStr">
        <is>
          <t>0-4013-02</t>
        </is>
      </c>
      <c r="K2652" t="inlineStr">
        <is>
          <t>RAT440 POLARIS RANGER 1000 CREW CAB UTV POLARIS RANGER 1000 CREW CAB UTV</t>
        </is>
      </c>
      <c r="L2652" t="n">
        <v>0</v>
      </c>
      <c r="M2652" t="n">
        <v>0</v>
      </c>
      <c r="O2652" t="inlineStr">
        <is>
          <t>RAT440</t>
        </is>
      </c>
      <c r="Q2652" s="114" t="n">
        <v>0</v>
      </c>
      <c r="R2652" s="114" t="n">
        <v>62.5</v>
      </c>
      <c r="S2652" s="114" t="n">
        <v>0</v>
      </c>
      <c r="T2652" t="n">
        <v>0</v>
      </c>
    </row>
    <row r="2653">
      <c r="A2653" t="inlineStr">
        <is>
          <t>ttJTrans</t>
        </is>
      </c>
      <c r="B2653" s="38" t="inlineStr">
        <is>
          <t>0-4013-02</t>
        </is>
      </c>
      <c r="C2653" t="inlineStr">
        <is>
          <t>ER</t>
        </is>
      </c>
      <c r="E2653" t="inlineStr">
        <is>
          <t>ER</t>
        </is>
      </c>
      <c r="G2653" s="128" t="inlineStr"/>
      <c r="H2653" s="127" t="n">
        <v>46145</v>
      </c>
      <c r="J2653" s="38" t="inlineStr">
        <is>
          <t>0-4013-02</t>
        </is>
      </c>
      <c r="K2653" t="inlineStr">
        <is>
          <t>RAT440 POLARIS RANGER 1000 CREW CAB UTV POLARIS RANGER 1000 CREW CAB UTV</t>
        </is>
      </c>
      <c r="L2653" t="n">
        <v>0</v>
      </c>
      <c r="M2653" t="n">
        <v>0</v>
      </c>
      <c r="O2653" t="inlineStr">
        <is>
          <t>RAT440</t>
        </is>
      </c>
      <c r="Q2653" s="114" t="n">
        <v>0</v>
      </c>
      <c r="R2653" s="114" t="n">
        <v>62.5</v>
      </c>
      <c r="S2653" s="114" t="n">
        <v>0</v>
      </c>
      <c r="T2653" t="n">
        <v>0</v>
      </c>
    </row>
    <row r="2654">
      <c r="A2654" t="inlineStr">
        <is>
          <t>ttJTrans</t>
        </is>
      </c>
      <c r="B2654" s="38" t="inlineStr">
        <is>
          <t>0-4013-02</t>
        </is>
      </c>
      <c r="C2654" t="inlineStr">
        <is>
          <t>ER</t>
        </is>
      </c>
      <c r="E2654" t="inlineStr">
        <is>
          <t>ER</t>
        </is>
      </c>
      <c r="G2654" s="128" t="inlineStr"/>
      <c r="H2654" s="127" t="n">
        <v>46145</v>
      </c>
      <c r="J2654" s="38" t="inlineStr">
        <is>
          <t>0-4013-02</t>
        </is>
      </c>
      <c r="K2654" t="inlineStr">
        <is>
          <t>RGR114 CATERPILLAR 150 AWD MOTOR GRADER CATERPILLAR 150 AWD MOTOR GRADER</t>
        </is>
      </c>
      <c r="L2654" t="n">
        <v>0</v>
      </c>
      <c r="M2654" t="n">
        <v>0</v>
      </c>
      <c r="O2654" t="inlineStr">
        <is>
          <t>RGR114</t>
        </is>
      </c>
      <c r="Q2654" s="114" t="n">
        <v>0</v>
      </c>
      <c r="R2654" s="114" t="n">
        <v>604.17</v>
      </c>
      <c r="S2654" s="114" t="n">
        <v>0</v>
      </c>
      <c r="T2654" t="n">
        <v>0</v>
      </c>
    </row>
    <row r="2655">
      <c r="A2655" t="inlineStr">
        <is>
          <t>ttJTrans</t>
        </is>
      </c>
      <c r="B2655" s="38" t="inlineStr">
        <is>
          <t>0-4013-02</t>
        </is>
      </c>
      <c r="C2655" t="inlineStr">
        <is>
          <t>ER</t>
        </is>
      </c>
      <c r="E2655" t="inlineStr">
        <is>
          <t>ER</t>
        </is>
      </c>
      <c r="G2655" s="128" t="inlineStr"/>
      <c r="H2655" s="127" t="n">
        <v>46145</v>
      </c>
      <c r="J2655" s="38" t="inlineStr">
        <is>
          <t>0-4013-02</t>
        </is>
      </c>
      <c r="K2655" t="inlineStr">
        <is>
          <t>RGR114 CATERPILLAR 150 AWD MOTOR GRADER CATERPILLAR 150 AWD MOTOR GRADER</t>
        </is>
      </c>
      <c r="L2655" t="n">
        <v>0</v>
      </c>
      <c r="M2655" t="n">
        <v>0</v>
      </c>
      <c r="O2655" t="inlineStr">
        <is>
          <t>RGR114</t>
        </is>
      </c>
      <c r="Q2655" s="114" t="n">
        <v>0</v>
      </c>
      <c r="R2655" s="114" t="n">
        <v>604.17</v>
      </c>
      <c r="S2655" s="114" t="n">
        <v>0</v>
      </c>
      <c r="T2655" t="n">
        <v>0</v>
      </c>
    </row>
    <row r="2656">
      <c r="A2656" t="inlineStr">
        <is>
          <t>ttJTrans</t>
        </is>
      </c>
      <c r="B2656" s="38" t="inlineStr">
        <is>
          <t>0-4013-02</t>
        </is>
      </c>
      <c r="C2656" t="inlineStr">
        <is>
          <t>ER</t>
        </is>
      </c>
      <c r="E2656" t="inlineStr">
        <is>
          <t>ER</t>
        </is>
      </c>
      <c r="G2656" s="128" t="inlineStr"/>
      <c r="H2656" s="127" t="n">
        <v>46145</v>
      </c>
      <c r="J2656" s="38" t="inlineStr">
        <is>
          <t>0-4013-02</t>
        </is>
      </c>
      <c r="K2656" t="inlineStr">
        <is>
          <t>RFT890 CASE MAGNUN 220 FARM TRACTOR CASE MAGNUN 220 FARM TRACTOR</t>
        </is>
      </c>
      <c r="L2656" t="n">
        <v>0</v>
      </c>
      <c r="M2656" t="n">
        <v>0</v>
      </c>
      <c r="O2656" t="inlineStr">
        <is>
          <t>RFT890</t>
        </is>
      </c>
      <c r="Q2656" s="114" t="n">
        <v>0</v>
      </c>
      <c r="R2656" s="114" t="n">
        <v>500</v>
      </c>
      <c r="S2656" s="114" t="n">
        <v>0</v>
      </c>
      <c r="T2656" t="n">
        <v>0</v>
      </c>
    </row>
    <row r="2657">
      <c r="A2657" t="inlineStr">
        <is>
          <t>ttJTrans</t>
        </is>
      </c>
      <c r="B2657" s="38" t="inlineStr">
        <is>
          <t>0-4013-02</t>
        </is>
      </c>
      <c r="C2657" t="inlineStr">
        <is>
          <t>ER</t>
        </is>
      </c>
      <c r="E2657" t="inlineStr">
        <is>
          <t>ER</t>
        </is>
      </c>
      <c r="G2657" s="128" t="inlineStr"/>
      <c r="H2657" s="127" t="n">
        <v>46145</v>
      </c>
      <c r="J2657" s="38" t="inlineStr">
        <is>
          <t>0-4013-02</t>
        </is>
      </c>
      <c r="K2657" t="inlineStr">
        <is>
          <t>RFT890 CASE MAGNUN 220 FARM TRACTOR CASE MAGNUN 220 FARM TRACTOR</t>
        </is>
      </c>
      <c r="L2657" t="n">
        <v>0</v>
      </c>
      <c r="M2657" t="n">
        <v>0</v>
      </c>
      <c r="O2657" t="inlineStr">
        <is>
          <t>RFT890</t>
        </is>
      </c>
      <c r="Q2657" s="114" t="n">
        <v>0</v>
      </c>
      <c r="R2657" s="114" t="n">
        <v>500</v>
      </c>
      <c r="S2657" s="114" t="n">
        <v>0</v>
      </c>
      <c r="T2657" t="n">
        <v>0</v>
      </c>
    </row>
    <row r="2658">
      <c r="A2658" t="inlineStr">
        <is>
          <t>ttJTrans</t>
        </is>
      </c>
      <c r="B2658" s="38" t="inlineStr">
        <is>
          <t>0-4013-02</t>
        </is>
      </c>
      <c r="C2658" t="inlineStr">
        <is>
          <t>ER</t>
        </is>
      </c>
      <c r="E2658" t="inlineStr">
        <is>
          <t>ER</t>
        </is>
      </c>
      <c r="G2658" s="128" t="inlineStr"/>
      <c r="H2658" s="127" t="n">
        <v>46145</v>
      </c>
      <c r="J2658" s="38" t="inlineStr">
        <is>
          <t>0-4013-02</t>
        </is>
      </c>
      <c r="K2658" t="inlineStr">
        <is>
          <t>RFT892 CASE PUMA 200 FARM TRACTOR W FRONT LOADER CASE PUMA 200 FARM TRACTOR W FRONT LOADER</t>
        </is>
      </c>
      <c r="L2658" t="n">
        <v>0</v>
      </c>
      <c r="M2658" t="n">
        <v>0</v>
      </c>
      <c r="O2658" t="inlineStr">
        <is>
          <t>RFT892</t>
        </is>
      </c>
      <c r="Q2658" s="114" t="n">
        <v>0</v>
      </c>
      <c r="R2658" s="114" t="n">
        <v>508.33</v>
      </c>
      <c r="S2658" s="114" t="n">
        <v>0</v>
      </c>
      <c r="T2658" t="n">
        <v>0</v>
      </c>
    </row>
    <row r="2659">
      <c r="A2659" t="inlineStr">
        <is>
          <t>ttJTrans</t>
        </is>
      </c>
      <c r="B2659" s="38" t="inlineStr">
        <is>
          <t>0-4013-02</t>
        </is>
      </c>
      <c r="C2659" t="inlineStr">
        <is>
          <t>ER</t>
        </is>
      </c>
      <c r="E2659" t="inlineStr">
        <is>
          <t>ER</t>
        </is>
      </c>
      <c r="G2659" s="128" t="inlineStr"/>
      <c r="H2659" s="127" t="n">
        <v>46145</v>
      </c>
      <c r="J2659" s="38" t="inlineStr">
        <is>
          <t>0-4013-02</t>
        </is>
      </c>
      <c r="K2659" t="inlineStr">
        <is>
          <t>RFT892 CASE PUMA 200 FARM TRACTOR W FRONT LOADER CASE PUMA 200 FARM TRACTOR W FRONT LOADER</t>
        </is>
      </c>
      <c r="L2659" t="n">
        <v>0</v>
      </c>
      <c r="M2659" t="n">
        <v>0</v>
      </c>
      <c r="O2659" t="inlineStr">
        <is>
          <t>RFT892</t>
        </is>
      </c>
      <c r="Q2659" s="114" t="n">
        <v>0</v>
      </c>
      <c r="R2659" s="114" t="n">
        <v>508.33</v>
      </c>
      <c r="S2659" s="114" t="n">
        <v>0</v>
      </c>
      <c r="T2659" t="n">
        <v>0</v>
      </c>
    </row>
    <row r="2660">
      <c r="A2660" t="inlineStr">
        <is>
          <t>ttJTrans</t>
        </is>
      </c>
      <c r="B2660" s="38" t="inlineStr">
        <is>
          <t>0-4013-02</t>
        </is>
      </c>
      <c r="C2660" t="inlineStr">
        <is>
          <t>ER</t>
        </is>
      </c>
      <c r="E2660" t="inlineStr">
        <is>
          <t>ER</t>
        </is>
      </c>
      <c r="G2660" s="128" t="inlineStr"/>
      <c r="H2660" s="127" t="n">
        <v>46145</v>
      </c>
      <c r="J2660" s="38" t="inlineStr">
        <is>
          <t>0-4013-02</t>
        </is>
      </c>
      <c r="K2660" t="inlineStr">
        <is>
          <t>RFT891 CASE MAGNUM 220 FARM TRACTOR CASE MAGNUM 220 FARM TRACTOR</t>
        </is>
      </c>
      <c r="L2660" t="n">
        <v>0</v>
      </c>
      <c r="M2660" t="n">
        <v>0</v>
      </c>
      <c r="O2660" t="inlineStr">
        <is>
          <t>RFT891</t>
        </is>
      </c>
      <c r="Q2660" s="114" t="n">
        <v>0</v>
      </c>
      <c r="R2660" s="114" t="n">
        <v>500</v>
      </c>
      <c r="S2660" s="114" t="n">
        <v>0</v>
      </c>
      <c r="T2660" t="n">
        <v>0</v>
      </c>
    </row>
    <row r="2661">
      <c r="A2661" t="inlineStr">
        <is>
          <t>ttJTrans</t>
        </is>
      </c>
      <c r="B2661" s="38" t="inlineStr">
        <is>
          <t>0-4013-02</t>
        </is>
      </c>
      <c r="C2661" t="inlineStr">
        <is>
          <t>ER</t>
        </is>
      </c>
      <c r="E2661" t="inlineStr">
        <is>
          <t>ER</t>
        </is>
      </c>
      <c r="G2661" s="128" t="inlineStr"/>
      <c r="H2661" s="127" t="n">
        <v>46145</v>
      </c>
      <c r="J2661" s="38" t="inlineStr">
        <is>
          <t>0-4013-02</t>
        </is>
      </c>
      <c r="K2661" t="inlineStr">
        <is>
          <t>RFT891 CASE MAGNUM 220 FARM TRACTOR CASE MAGNUM 220 FARM TRACTOR</t>
        </is>
      </c>
      <c r="L2661" t="n">
        <v>0</v>
      </c>
      <c r="M2661" t="n">
        <v>0</v>
      </c>
      <c r="O2661" t="inlineStr">
        <is>
          <t>RFT891</t>
        </is>
      </c>
      <c r="Q2661" s="114" t="n">
        <v>0</v>
      </c>
      <c r="R2661" s="114" t="n">
        <v>500</v>
      </c>
      <c r="S2661" s="114" t="n">
        <v>0</v>
      </c>
      <c r="T2661" t="n">
        <v>0</v>
      </c>
    </row>
    <row r="2662">
      <c r="A2662" t="inlineStr">
        <is>
          <t>ttJTrans</t>
        </is>
      </c>
      <c r="B2662" s="38" t="inlineStr">
        <is>
          <t>0-4013-02</t>
        </is>
      </c>
      <c r="C2662" t="inlineStr">
        <is>
          <t>ER</t>
        </is>
      </c>
      <c r="E2662" t="inlineStr">
        <is>
          <t>ER</t>
        </is>
      </c>
      <c r="G2662" s="128" t="inlineStr"/>
      <c r="H2662" s="127" t="n">
        <v>46145</v>
      </c>
      <c r="J2662" s="38" t="inlineStr">
        <is>
          <t>0-4013-02</t>
        </is>
      </c>
      <c r="K2662" t="inlineStr">
        <is>
          <t>RMS2319 25' SMOOTH ROLLER FOR FARM TRACTOR 25' SMOOTH ROLLER FOR FARM TRACTOR</t>
        </is>
      </c>
      <c r="L2662" t="n">
        <v>0</v>
      </c>
      <c r="M2662" t="n">
        <v>0</v>
      </c>
      <c r="O2662" t="inlineStr">
        <is>
          <t>RMS2319</t>
        </is>
      </c>
      <c r="Q2662" s="114" t="n">
        <v>0</v>
      </c>
      <c r="R2662" s="114" t="n">
        <v>179.6</v>
      </c>
      <c r="S2662" s="114" t="n">
        <v>0</v>
      </c>
      <c r="T2662" t="n">
        <v>0</v>
      </c>
    </row>
    <row r="2663">
      <c r="A2663" t="inlineStr">
        <is>
          <t>ttJTrans</t>
        </is>
      </c>
      <c r="B2663" s="38" t="inlineStr">
        <is>
          <t>0-4013-02</t>
        </is>
      </c>
      <c r="C2663" t="inlineStr">
        <is>
          <t>ER</t>
        </is>
      </c>
      <c r="E2663" t="inlineStr">
        <is>
          <t>ER</t>
        </is>
      </c>
      <c r="G2663" s="128" t="inlineStr"/>
      <c r="H2663" s="127" t="n">
        <v>46145</v>
      </c>
      <c r="J2663" s="38" t="inlineStr">
        <is>
          <t>0-4013-02</t>
        </is>
      </c>
      <c r="K2663" t="inlineStr">
        <is>
          <t>RMS2319 25' SMOOTH ROLLER FOR FARM TRACTOR 25' SMOOTH ROLLER FOR FARM TRACTOR</t>
        </is>
      </c>
      <c r="L2663" t="n">
        <v>0</v>
      </c>
      <c r="M2663" t="n">
        <v>0</v>
      </c>
      <c r="O2663" t="inlineStr">
        <is>
          <t>RMS2319</t>
        </is>
      </c>
      <c r="Q2663" s="114" t="n">
        <v>0</v>
      </c>
      <c r="R2663" s="114" t="n">
        <v>179.6</v>
      </c>
      <c r="S2663" s="114" t="n">
        <v>0</v>
      </c>
      <c r="T2663" t="n">
        <v>0</v>
      </c>
    </row>
    <row r="2664">
      <c r="A2664" t="inlineStr">
        <is>
          <t>ttJTrans</t>
        </is>
      </c>
      <c r="B2664" s="38" t="inlineStr">
        <is>
          <t>0-4013-02</t>
        </is>
      </c>
      <c r="C2664" t="inlineStr">
        <is>
          <t>ER</t>
        </is>
      </c>
      <c r="E2664" t="inlineStr">
        <is>
          <t>ER</t>
        </is>
      </c>
      <c r="G2664" s="128" t="inlineStr"/>
      <c r="H2664" s="127" t="n">
        <v>46145</v>
      </c>
      <c r="J2664" s="38" t="inlineStr">
        <is>
          <t>0-4013-02</t>
        </is>
      </c>
      <c r="K2664" t="inlineStr">
        <is>
          <t>RMS2321 SEED DRILL FOR FARM TRACTOR SEED DRILL FOR FARM TRACTOR</t>
        </is>
      </c>
      <c r="L2664" t="n">
        <v>0</v>
      </c>
      <c r="M2664" t="n">
        <v>0</v>
      </c>
      <c r="O2664" t="inlineStr">
        <is>
          <t>RMS2321</t>
        </is>
      </c>
      <c r="Q2664" s="114" t="n">
        <v>0</v>
      </c>
      <c r="R2664" s="114" t="n">
        <v>1077.59</v>
      </c>
      <c r="S2664" s="114" t="n">
        <v>0</v>
      </c>
      <c r="T2664" t="n">
        <v>0</v>
      </c>
    </row>
    <row r="2665">
      <c r="A2665" t="inlineStr">
        <is>
          <t>ttJTrans</t>
        </is>
      </c>
      <c r="B2665" s="38" t="inlineStr">
        <is>
          <t>0-4013-02</t>
        </is>
      </c>
      <c r="C2665" t="inlineStr">
        <is>
          <t>ER</t>
        </is>
      </c>
      <c r="E2665" t="inlineStr">
        <is>
          <t>ER</t>
        </is>
      </c>
      <c r="G2665" s="128" t="inlineStr"/>
      <c r="H2665" s="127" t="n">
        <v>46145</v>
      </c>
      <c r="J2665" s="38" t="inlineStr">
        <is>
          <t>0-4013-02</t>
        </is>
      </c>
      <c r="K2665" t="inlineStr">
        <is>
          <t>RMS2321 SEED DRILL FOR FARM TRACTOR SEED DRILL FOR FARM TRACTOR</t>
        </is>
      </c>
      <c r="L2665" t="n">
        <v>0</v>
      </c>
      <c r="M2665" t="n">
        <v>0</v>
      </c>
      <c r="O2665" t="inlineStr">
        <is>
          <t>RMS2321</t>
        </is>
      </c>
      <c r="Q2665" s="114" t="n">
        <v>0</v>
      </c>
      <c r="R2665" s="114" t="n">
        <v>1077.59</v>
      </c>
      <c r="S2665" s="114" t="n">
        <v>0</v>
      </c>
      <c r="T2665" t="n">
        <v>0</v>
      </c>
    </row>
    <row r="2666">
      <c r="A2666" t="inlineStr">
        <is>
          <t>ttJTrans</t>
        </is>
      </c>
      <c r="B2666" s="38" t="inlineStr">
        <is>
          <t>0-4013-02</t>
        </is>
      </c>
      <c r="C2666" t="inlineStr">
        <is>
          <t>ER</t>
        </is>
      </c>
      <c r="E2666" t="inlineStr">
        <is>
          <t>ER</t>
        </is>
      </c>
      <c r="G2666" s="128" t="inlineStr"/>
      <c r="H2666" s="127" t="n">
        <v>46145</v>
      </c>
      <c r="J2666" s="38" t="inlineStr">
        <is>
          <t>0-4013-02</t>
        </is>
      </c>
      <c r="K2666" t="inlineStr">
        <is>
          <t>RLD293 TAKEUCHI TL10VS TRACK SKID STEER LOADER W TREE SAW ATTACHMENT TAKEUCHI TL10VS TRACK SKID STEER LOADER W TREE SAW ATTACHMENT</t>
        </is>
      </c>
      <c r="L2666" t="n">
        <v>0</v>
      </c>
      <c r="M2666" t="n">
        <v>0</v>
      </c>
      <c r="O2666" t="inlineStr">
        <is>
          <t>RLD293</t>
        </is>
      </c>
      <c r="Q2666" s="114" t="n">
        <v>0</v>
      </c>
      <c r="R2666" s="114" t="n">
        <v>282.06</v>
      </c>
      <c r="S2666" s="114" t="n">
        <v>0</v>
      </c>
      <c r="T2666" t="n">
        <v>0</v>
      </c>
    </row>
    <row r="2667">
      <c r="A2667" t="inlineStr">
        <is>
          <t>ttJTrans</t>
        </is>
      </c>
      <c r="B2667" s="38" t="inlineStr">
        <is>
          <t>0-4013-02</t>
        </is>
      </c>
      <c r="C2667" t="inlineStr">
        <is>
          <t>ER</t>
        </is>
      </c>
      <c r="E2667" t="inlineStr">
        <is>
          <t>ER</t>
        </is>
      </c>
      <c r="G2667" s="128" t="inlineStr"/>
      <c r="H2667" s="127" t="n">
        <v>46145</v>
      </c>
      <c r="J2667" s="38" t="inlineStr">
        <is>
          <t>0-4013-02</t>
        </is>
      </c>
      <c r="K2667" t="inlineStr">
        <is>
          <t>RLD293 TAKEUCHI TL10VS TRACK SKID STEER LOADER W TREE SAW ATTACHMENT TAKEUCHI TL10VS TRACK SKID STEER LOADER W TREE SAW ATTACHMENT</t>
        </is>
      </c>
      <c r="L2667" t="n">
        <v>0</v>
      </c>
      <c r="M2667" t="n">
        <v>0</v>
      </c>
      <c r="O2667" t="inlineStr">
        <is>
          <t>RLD293</t>
        </is>
      </c>
      <c r="Q2667" s="114" t="n">
        <v>0</v>
      </c>
      <c r="R2667" s="114" t="n">
        <v>282.06</v>
      </c>
      <c r="S2667" s="114" t="n">
        <v>0</v>
      </c>
      <c r="T2667" t="n">
        <v>0</v>
      </c>
    </row>
    <row r="2668">
      <c r="A2668" t="inlineStr">
        <is>
          <t>ttJTrans</t>
        </is>
      </c>
      <c r="B2668" s="38" t="inlineStr">
        <is>
          <t>0-4013-02</t>
        </is>
      </c>
      <c r="C2668" t="inlineStr">
        <is>
          <t>ER</t>
        </is>
      </c>
      <c r="E2668" t="inlineStr">
        <is>
          <t>ER</t>
        </is>
      </c>
      <c r="G2668" s="128" t="inlineStr"/>
      <c r="H2668" s="127" t="n">
        <v>46145</v>
      </c>
      <c r="J2668" s="38" t="inlineStr">
        <is>
          <t>0-4013-02</t>
        </is>
      </c>
      <c r="K2668" t="inlineStr">
        <is>
          <t>RHV96 PETERBILT 4,000 GALLON WATER TRUCK PETERBILT 4,000 GALLON WATER TRUCK</t>
        </is>
      </c>
      <c r="L2668" t="n">
        <v>0</v>
      </c>
      <c r="M2668" t="n">
        <v>0</v>
      </c>
      <c r="O2668" t="inlineStr">
        <is>
          <t>RHV96</t>
        </is>
      </c>
      <c r="Q2668" s="114" t="n">
        <v>0</v>
      </c>
      <c r="R2668" s="114" t="n">
        <v>200</v>
      </c>
      <c r="S2668" s="114" t="n">
        <v>0</v>
      </c>
      <c r="T2668" t="n">
        <v>0</v>
      </c>
    </row>
    <row r="2669">
      <c r="A2669" t="inlineStr">
        <is>
          <t>ttJTrans</t>
        </is>
      </c>
      <c r="B2669" s="38" t="inlineStr">
        <is>
          <t>0-4013-02</t>
        </is>
      </c>
      <c r="C2669" t="inlineStr">
        <is>
          <t>ER</t>
        </is>
      </c>
      <c r="E2669" t="inlineStr">
        <is>
          <t>ER</t>
        </is>
      </c>
      <c r="G2669" s="128" t="inlineStr"/>
      <c r="H2669" s="127" t="n">
        <v>46145</v>
      </c>
      <c r="J2669" s="38" t="inlineStr">
        <is>
          <t>0-4013-02</t>
        </is>
      </c>
      <c r="K2669" t="inlineStr">
        <is>
          <t>RHV96 PETERBILT 4,000 GALLON WATER TRUCK PETERBILT 4,000 GALLON WATER TRUCK</t>
        </is>
      </c>
      <c r="L2669" t="n">
        <v>0</v>
      </c>
      <c r="M2669" t="n">
        <v>0</v>
      </c>
      <c r="O2669" t="inlineStr">
        <is>
          <t>RHV96</t>
        </is>
      </c>
      <c r="Q2669" s="114" t="n">
        <v>0</v>
      </c>
      <c r="R2669" s="114" t="n">
        <v>200</v>
      </c>
      <c r="S2669" s="114" t="n">
        <v>0</v>
      </c>
      <c r="T2669" t="n">
        <v>0</v>
      </c>
    </row>
    <row r="2670">
      <c r="A2670" t="inlineStr">
        <is>
          <t>ttJTrans</t>
        </is>
      </c>
      <c r="B2670" s="38" t="inlineStr">
        <is>
          <t>0-4013-02</t>
        </is>
      </c>
      <c r="C2670" t="inlineStr">
        <is>
          <t>ER</t>
        </is>
      </c>
      <c r="E2670" t="inlineStr">
        <is>
          <t>ER</t>
        </is>
      </c>
      <c r="G2670" s="128" t="inlineStr"/>
      <c r="H2670" s="127" t="n">
        <v>46145</v>
      </c>
      <c r="J2670" s="38" t="inlineStr">
        <is>
          <t>0-4013-02</t>
        </is>
      </c>
      <c r="K2670" t="inlineStr">
        <is>
          <t>RMS2320 SEED DRILL FOR FARM TRACTOR SEED DRILL FOR FARM TRACTOR</t>
        </is>
      </c>
      <c r="L2670" t="n">
        <v>0</v>
      </c>
      <c r="M2670" t="n">
        <v>0</v>
      </c>
      <c r="O2670" t="inlineStr">
        <is>
          <t>RMS2320</t>
        </is>
      </c>
      <c r="Q2670" s="114" t="n">
        <v>0</v>
      </c>
      <c r="R2670" s="114" t="n">
        <v>1077.59</v>
      </c>
      <c r="S2670" s="114" t="n">
        <v>0</v>
      </c>
      <c r="T2670" t="n">
        <v>0</v>
      </c>
    </row>
    <row r="2671">
      <c r="A2671" t="inlineStr">
        <is>
          <t>ttJTrans</t>
        </is>
      </c>
      <c r="B2671" s="38" t="inlineStr">
        <is>
          <t>0-4013-02</t>
        </is>
      </c>
      <c r="C2671" t="inlineStr">
        <is>
          <t>ER</t>
        </is>
      </c>
      <c r="E2671" t="inlineStr">
        <is>
          <t>ER</t>
        </is>
      </c>
      <c r="G2671" s="128" t="inlineStr"/>
      <c r="H2671" s="127" t="n">
        <v>46145</v>
      </c>
      <c r="J2671" s="38" t="inlineStr">
        <is>
          <t>0-4013-02</t>
        </is>
      </c>
      <c r="K2671" t="inlineStr">
        <is>
          <t>RMS2320 SEED DRILL FOR FARM TRACTOR SEED DRILL FOR FARM TRACTOR</t>
        </is>
      </c>
      <c r="L2671" t="n">
        <v>0</v>
      </c>
      <c r="M2671" t="n">
        <v>0</v>
      </c>
      <c r="O2671" t="inlineStr">
        <is>
          <t>RMS2320</t>
        </is>
      </c>
      <c r="Q2671" s="114" t="n">
        <v>0</v>
      </c>
      <c r="R2671" s="114" t="n">
        <v>1077.59</v>
      </c>
      <c r="S2671" s="114" t="n">
        <v>0</v>
      </c>
      <c r="T2671" t="n">
        <v>0</v>
      </c>
    </row>
    <row r="2672">
      <c r="A2672" t="inlineStr">
        <is>
          <t>ttJTrans</t>
        </is>
      </c>
      <c r="B2672" s="38" t="inlineStr">
        <is>
          <t>0-4013-02</t>
        </is>
      </c>
      <c r="C2672" t="inlineStr">
        <is>
          <t>ER</t>
        </is>
      </c>
      <c r="E2672" t="inlineStr">
        <is>
          <t>ER</t>
        </is>
      </c>
      <c r="G2672" s="128" t="inlineStr"/>
      <c r="H2672" s="127" t="n">
        <v>46145</v>
      </c>
      <c r="J2672" s="38" t="inlineStr">
        <is>
          <t>0-4013-02</t>
        </is>
      </c>
      <c r="K2672" t="inlineStr">
        <is>
          <t>REX665 330 CATERPILLAR EXCAVATOR 330 CATERPILLAR EXCAVATOR</t>
        </is>
      </c>
      <c r="L2672" t="n">
        <v>0</v>
      </c>
      <c r="M2672" t="n">
        <v>0</v>
      </c>
      <c r="O2672" t="inlineStr">
        <is>
          <t>REX665</t>
        </is>
      </c>
      <c r="Q2672" s="114" t="n">
        <v>0</v>
      </c>
      <c r="R2672" s="114" t="n">
        <v>458.33</v>
      </c>
      <c r="S2672" s="114" t="n">
        <v>0</v>
      </c>
      <c r="T2672" t="n">
        <v>0</v>
      </c>
    </row>
    <row r="2673">
      <c r="A2673" t="inlineStr">
        <is>
          <t>ttJTrans</t>
        </is>
      </c>
      <c r="B2673" s="38" t="inlineStr">
        <is>
          <t>0-4013-02</t>
        </is>
      </c>
      <c r="C2673" t="inlineStr">
        <is>
          <t>ER</t>
        </is>
      </c>
      <c r="E2673" t="inlineStr">
        <is>
          <t>ER</t>
        </is>
      </c>
      <c r="G2673" s="128" t="inlineStr"/>
      <c r="H2673" s="127" t="n">
        <v>46145</v>
      </c>
      <c r="J2673" s="38" t="inlineStr">
        <is>
          <t>0-4013-02</t>
        </is>
      </c>
      <c r="K2673" t="inlineStr">
        <is>
          <t>REX665 330 CATERPILLAR EXCAVATOR 330 CATERPILLAR EXCAVATOR</t>
        </is>
      </c>
      <c r="L2673" t="n">
        <v>0</v>
      </c>
      <c r="M2673" t="n">
        <v>0</v>
      </c>
      <c r="O2673" t="inlineStr">
        <is>
          <t>REX665</t>
        </is>
      </c>
      <c r="Q2673" s="114" t="n">
        <v>0</v>
      </c>
      <c r="R2673" s="114" t="n">
        <v>458.33</v>
      </c>
      <c r="S2673" s="114" t="n">
        <v>0</v>
      </c>
      <c r="T2673" t="n">
        <v>0</v>
      </c>
    </row>
    <row r="2674">
      <c r="A2674" t="inlineStr">
        <is>
          <t>ttJTrans</t>
        </is>
      </c>
      <c r="B2674" s="38" t="inlineStr">
        <is>
          <t>0-4013-02</t>
        </is>
      </c>
      <c r="C2674" t="inlineStr">
        <is>
          <t>ER</t>
        </is>
      </c>
      <c r="E2674" t="inlineStr">
        <is>
          <t>ER</t>
        </is>
      </c>
      <c r="G2674" s="128" t="inlineStr"/>
      <c r="H2674" s="127" t="n">
        <v>46145</v>
      </c>
      <c r="J2674" s="38" t="inlineStr">
        <is>
          <t>0-4013-02</t>
        </is>
      </c>
      <c r="K2674" t="inlineStr">
        <is>
          <t>RPK482 HAMM 84' SINGLE DRUM ROLLER HAMM 84' SINGLE DRUM ROLLER</t>
        </is>
      </c>
      <c r="L2674" t="n">
        <v>0</v>
      </c>
      <c r="M2674" t="n">
        <v>0</v>
      </c>
      <c r="O2674" t="inlineStr">
        <is>
          <t>RPK482</t>
        </is>
      </c>
      <c r="Q2674" s="114" t="n">
        <v>0</v>
      </c>
      <c r="R2674" s="114" t="n">
        <v>300</v>
      </c>
      <c r="S2674" s="114" t="n">
        <v>0</v>
      </c>
      <c r="T2674" t="n">
        <v>0</v>
      </c>
    </row>
    <row r="2675">
      <c r="A2675" t="inlineStr">
        <is>
          <t>ttJTrans</t>
        </is>
      </c>
      <c r="B2675" s="38" t="inlineStr">
        <is>
          <t>0-4013-02</t>
        </is>
      </c>
      <c r="C2675" t="inlineStr">
        <is>
          <t>ER</t>
        </is>
      </c>
      <c r="E2675" t="inlineStr">
        <is>
          <t>ER</t>
        </is>
      </c>
      <c r="G2675" s="128" t="inlineStr"/>
      <c r="H2675" s="127" t="n">
        <v>46145</v>
      </c>
      <c r="J2675" s="38" t="inlineStr">
        <is>
          <t>0-4013-02</t>
        </is>
      </c>
      <c r="K2675" t="inlineStr">
        <is>
          <t>RPK482 HAMM 84' SINGLE DRUM ROLLER HAMM 84' SINGLE DRUM ROLLER</t>
        </is>
      </c>
      <c r="L2675" t="n">
        <v>0</v>
      </c>
      <c r="M2675" t="n">
        <v>0</v>
      </c>
      <c r="O2675" t="inlineStr">
        <is>
          <t>RPK482</t>
        </is>
      </c>
      <c r="Q2675" s="114" t="n">
        <v>0</v>
      </c>
      <c r="R2675" s="114" t="n">
        <v>300</v>
      </c>
      <c r="S2675" s="114" t="n">
        <v>0</v>
      </c>
      <c r="T2675" t="n">
        <v>0</v>
      </c>
    </row>
    <row r="2676">
      <c r="A2676" t="inlineStr">
        <is>
          <t>ttJTrans</t>
        </is>
      </c>
      <c r="B2676" s="38" t="inlineStr">
        <is>
          <t>0-4013-02</t>
        </is>
      </c>
      <c r="C2676" t="inlineStr">
        <is>
          <t>ER</t>
        </is>
      </c>
      <c r="E2676" t="inlineStr">
        <is>
          <t>ER</t>
        </is>
      </c>
      <c r="G2676" s="128" t="inlineStr"/>
      <c r="H2676" s="127" t="n">
        <v>46145</v>
      </c>
      <c r="J2676" s="38" t="inlineStr">
        <is>
          <t>0-4013-02</t>
        </is>
      </c>
      <c r="K2676" t="inlineStr">
        <is>
          <t>RMS2318 BROCE RCT350 WHEEL SWEEPER BROCE RCT350 WHEEL SWEEPER</t>
        </is>
      </c>
      <c r="L2676" t="n">
        <v>0</v>
      </c>
      <c r="M2676" t="n">
        <v>0</v>
      </c>
      <c r="O2676" t="inlineStr">
        <is>
          <t>RMS2318</t>
        </is>
      </c>
      <c r="Q2676" s="114" t="n">
        <v>0</v>
      </c>
      <c r="R2676" s="114" t="n">
        <v>200</v>
      </c>
      <c r="S2676" s="114" t="n">
        <v>0</v>
      </c>
      <c r="T2676" t="n">
        <v>0</v>
      </c>
    </row>
    <row r="2677">
      <c r="A2677" t="inlineStr">
        <is>
          <t>ttJTrans</t>
        </is>
      </c>
      <c r="B2677" s="38" t="inlineStr">
        <is>
          <t>0-4013-02</t>
        </is>
      </c>
      <c r="C2677" t="inlineStr">
        <is>
          <t>ER</t>
        </is>
      </c>
      <c r="E2677" t="inlineStr">
        <is>
          <t>ER</t>
        </is>
      </c>
      <c r="G2677" s="128" t="inlineStr"/>
      <c r="H2677" s="127" t="n">
        <v>46145</v>
      </c>
      <c r="J2677" s="38" t="inlineStr">
        <is>
          <t>0-4013-02</t>
        </is>
      </c>
      <c r="K2677" t="inlineStr">
        <is>
          <t>RMS2318 BROCE RCT350 WHEEL SWEEPER BROCE RCT350 WHEEL SWEEPER</t>
        </is>
      </c>
      <c r="L2677" t="n">
        <v>0</v>
      </c>
      <c r="M2677" t="n">
        <v>0</v>
      </c>
      <c r="O2677" t="inlineStr">
        <is>
          <t>RMS2318</t>
        </is>
      </c>
      <c r="Q2677" s="114" t="n">
        <v>0</v>
      </c>
      <c r="R2677" s="114" t="n">
        <v>200</v>
      </c>
      <c r="S2677" s="114" t="n">
        <v>0</v>
      </c>
      <c r="T2677" t="n">
        <v>0</v>
      </c>
    </row>
    <row r="2678">
      <c r="A2678" t="inlineStr">
        <is>
          <t>ttJTrans</t>
        </is>
      </c>
      <c r="B2678" s="38" t="inlineStr">
        <is>
          <t>0-4013-02</t>
        </is>
      </c>
      <c r="C2678" t="inlineStr">
        <is>
          <t>ER</t>
        </is>
      </c>
      <c r="E2678" t="inlineStr">
        <is>
          <t>ER</t>
        </is>
      </c>
      <c r="G2678" s="128" t="inlineStr"/>
      <c r="H2678" s="127" t="n">
        <v>46145</v>
      </c>
      <c r="J2678" s="38" t="inlineStr">
        <is>
          <t>0-4013-02</t>
        </is>
      </c>
      <c r="K2678" t="inlineStr">
        <is>
          <t>RMS2317 TRIMBLE TD540 TOTAL STATING TRIMBLE TD540 TOTAL STATING</t>
        </is>
      </c>
      <c r="L2678" t="n">
        <v>0</v>
      </c>
      <c r="M2678" t="n">
        <v>0</v>
      </c>
      <c r="O2678" t="inlineStr">
        <is>
          <t>RMS2317</t>
        </is>
      </c>
      <c r="Q2678" s="114" t="n">
        <v>0</v>
      </c>
      <c r="R2678" s="114" t="n">
        <v>287.36</v>
      </c>
      <c r="S2678" s="114" t="n">
        <v>0</v>
      </c>
      <c r="T2678" t="n">
        <v>0</v>
      </c>
    </row>
    <row r="2679">
      <c r="A2679" t="inlineStr">
        <is>
          <t>ttJTrans</t>
        </is>
      </c>
      <c r="B2679" s="38" t="inlineStr">
        <is>
          <t>0-4013-02</t>
        </is>
      </c>
      <c r="C2679" t="inlineStr">
        <is>
          <t>ER</t>
        </is>
      </c>
      <c r="E2679" t="inlineStr">
        <is>
          <t>ER</t>
        </is>
      </c>
      <c r="G2679" s="128" t="inlineStr"/>
      <c r="H2679" s="127" t="n">
        <v>46145</v>
      </c>
      <c r="J2679" s="38" t="inlineStr">
        <is>
          <t>0-4013-02</t>
        </is>
      </c>
      <c r="K2679" t="inlineStr">
        <is>
          <t>RMS2317 TRIMBLE TD540 TOTAL STATING TRIMBLE TD540 TOTAL STATING</t>
        </is>
      </c>
      <c r="L2679" t="n">
        <v>0</v>
      </c>
      <c r="M2679" t="n">
        <v>0</v>
      </c>
      <c r="O2679" t="inlineStr">
        <is>
          <t>RMS2317</t>
        </is>
      </c>
      <c r="Q2679" s="114" t="n">
        <v>0</v>
      </c>
      <c r="R2679" s="114" t="n">
        <v>287.36</v>
      </c>
      <c r="S2679" s="114" t="n">
        <v>0</v>
      </c>
      <c r="T2679" t="n">
        <v>0</v>
      </c>
    </row>
    <row r="2680">
      <c r="A2680" t="inlineStr">
        <is>
          <t>ttJTrans</t>
        </is>
      </c>
      <c r="B2680" s="38" t="inlineStr">
        <is>
          <t>0-4013-02</t>
        </is>
      </c>
      <c r="C2680" t="inlineStr">
        <is>
          <t>ER</t>
        </is>
      </c>
      <c r="E2680" t="inlineStr">
        <is>
          <t>ER</t>
        </is>
      </c>
      <c r="G2680" s="128" t="inlineStr"/>
      <c r="H2680" s="127" t="n">
        <v>46145</v>
      </c>
      <c r="J2680" s="38" t="inlineStr">
        <is>
          <t>0-4013-02</t>
        </is>
      </c>
      <c r="K2680" t="inlineStr">
        <is>
          <t>RMS2388 BUSH-HACKER 15' BRUSH CUTTER BUSH-HACKER 15' BRUSH CUTTER</t>
        </is>
      </c>
      <c r="L2680" t="n">
        <v>0</v>
      </c>
      <c r="M2680" t="n">
        <v>0</v>
      </c>
      <c r="O2680" t="inlineStr">
        <is>
          <t>RMS2388</t>
        </is>
      </c>
      <c r="Q2680" s="114" t="n">
        <v>0</v>
      </c>
      <c r="R2680" s="114" t="n">
        <v>125</v>
      </c>
      <c r="S2680" s="114" t="n">
        <v>0</v>
      </c>
      <c r="T2680" t="n">
        <v>0</v>
      </c>
    </row>
    <row r="2681">
      <c r="A2681" t="inlineStr">
        <is>
          <t>ttJTrans</t>
        </is>
      </c>
      <c r="B2681" s="38" t="inlineStr">
        <is>
          <t>0-4013-02</t>
        </is>
      </c>
      <c r="C2681" t="inlineStr">
        <is>
          <t>ER</t>
        </is>
      </c>
      <c r="E2681" t="inlineStr">
        <is>
          <t>ER</t>
        </is>
      </c>
      <c r="G2681" s="128" t="inlineStr"/>
      <c r="H2681" s="127" t="n">
        <v>46145</v>
      </c>
      <c r="J2681" s="38" t="inlineStr">
        <is>
          <t>0-4013-02</t>
        </is>
      </c>
      <c r="K2681" t="inlineStr">
        <is>
          <t>RMS2388 BUSH-HACKER 15' BRUSH CUTTER BUSH-HACKER 15' BRUSH CUTTER</t>
        </is>
      </c>
      <c r="L2681" t="n">
        <v>0</v>
      </c>
      <c r="M2681" t="n">
        <v>0</v>
      </c>
      <c r="O2681" t="inlineStr">
        <is>
          <t>RMS2388</t>
        </is>
      </c>
      <c r="Q2681" s="114" t="n">
        <v>0</v>
      </c>
      <c r="R2681" s="114" t="n">
        <v>125</v>
      </c>
      <c r="S2681" s="114" t="n">
        <v>0</v>
      </c>
      <c r="T2681" t="n">
        <v>0</v>
      </c>
    </row>
    <row r="2682">
      <c r="A2682" t="inlineStr">
        <is>
          <t>ttJTrans</t>
        </is>
      </c>
      <c r="B2682" s="38" t="inlineStr">
        <is>
          <t>0-4013-02</t>
        </is>
      </c>
      <c r="C2682" t="inlineStr">
        <is>
          <t>ER</t>
        </is>
      </c>
      <c r="E2682" t="inlineStr">
        <is>
          <t>ER</t>
        </is>
      </c>
      <c r="G2682" s="128" t="inlineStr"/>
      <c r="H2682" s="127" t="n">
        <v>46152</v>
      </c>
      <c r="J2682" s="38" t="inlineStr">
        <is>
          <t>0-4013-02</t>
        </is>
      </c>
      <c r="K2682" t="inlineStr">
        <is>
          <t>RDZ318 CAT D5 LGPVPR DOZER 170 HP CAT D5 LGPVPR DOZER 170 HP</t>
        </is>
      </c>
      <c r="L2682" t="n">
        <v>0</v>
      </c>
      <c r="M2682" t="n">
        <v>0</v>
      </c>
      <c r="O2682" t="inlineStr">
        <is>
          <t>RDZ318</t>
        </is>
      </c>
      <c r="Q2682" s="114" t="n">
        <v>0</v>
      </c>
      <c r="R2682" s="114" t="n">
        <v>778.74</v>
      </c>
      <c r="S2682" s="114" t="n">
        <v>0</v>
      </c>
      <c r="T2682" t="n">
        <v>0</v>
      </c>
    </row>
    <row r="2683">
      <c r="A2683" t="inlineStr">
        <is>
          <t>ttJTrans</t>
        </is>
      </c>
      <c r="B2683" s="38" t="inlineStr">
        <is>
          <t>0-4013-02</t>
        </is>
      </c>
      <c r="C2683" t="inlineStr">
        <is>
          <t>ER</t>
        </is>
      </c>
      <c r="E2683" t="inlineStr">
        <is>
          <t>ER</t>
        </is>
      </c>
      <c r="G2683" s="128" t="inlineStr"/>
      <c r="H2683" s="127" t="n">
        <v>46152</v>
      </c>
      <c r="J2683" s="38" t="inlineStr">
        <is>
          <t>0-4013-02</t>
        </is>
      </c>
      <c r="K2683" t="inlineStr">
        <is>
          <t>RDZ318 CAT D5 LGPVPR DOZER 170 HP CAT D5 LGPVPR DOZER 170 HP</t>
        </is>
      </c>
      <c r="L2683" t="n">
        <v>0</v>
      </c>
      <c r="M2683" t="n">
        <v>0</v>
      </c>
      <c r="O2683" t="inlineStr">
        <is>
          <t>RDZ318</t>
        </is>
      </c>
      <c r="Q2683" s="114" t="n">
        <v>0</v>
      </c>
      <c r="R2683" s="114" t="n">
        <v>778.74</v>
      </c>
      <c r="S2683" s="114" t="n">
        <v>0</v>
      </c>
      <c r="T2683" t="n">
        <v>0</v>
      </c>
    </row>
    <row r="2684">
      <c r="A2684" t="inlineStr">
        <is>
          <t>ttJTrans</t>
        </is>
      </c>
      <c r="B2684" s="38" t="inlineStr">
        <is>
          <t>0-4013-02</t>
        </is>
      </c>
      <c r="C2684" t="inlineStr">
        <is>
          <t>ER</t>
        </is>
      </c>
      <c r="E2684" t="inlineStr">
        <is>
          <t>ER</t>
        </is>
      </c>
      <c r="G2684" s="128" t="inlineStr"/>
      <c r="H2684" s="127" t="n">
        <v>46152</v>
      </c>
      <c r="J2684" s="38" t="inlineStr">
        <is>
          <t>0-4013-02</t>
        </is>
      </c>
      <c r="K2684" t="inlineStr">
        <is>
          <t>RLD291 CATERPILLAR 299D3 TRACK SKID STEER LOADER W FORKS CATERPILLAR 299D3 TRACK SKID STEER LOADER W FORKS</t>
        </is>
      </c>
      <c r="L2684" t="n">
        <v>0</v>
      </c>
      <c r="M2684" t="n">
        <v>0</v>
      </c>
      <c r="O2684" t="inlineStr">
        <is>
          <t>RLD291</t>
        </is>
      </c>
      <c r="Q2684" s="114" t="n">
        <v>0</v>
      </c>
      <c r="R2684" s="114" t="n">
        <v>186.27</v>
      </c>
      <c r="S2684" s="114" t="n">
        <v>0</v>
      </c>
      <c r="T2684" t="n">
        <v>0</v>
      </c>
    </row>
    <row r="2685">
      <c r="A2685" t="inlineStr">
        <is>
          <t>ttJTrans</t>
        </is>
      </c>
      <c r="B2685" s="38" t="inlineStr">
        <is>
          <t>0-4013-02</t>
        </is>
      </c>
      <c r="C2685" t="inlineStr">
        <is>
          <t>ER</t>
        </is>
      </c>
      <c r="E2685" t="inlineStr">
        <is>
          <t>ER</t>
        </is>
      </c>
      <c r="G2685" s="128" t="inlineStr"/>
      <c r="H2685" s="127" t="n">
        <v>46152</v>
      </c>
      <c r="J2685" s="38" t="inlineStr">
        <is>
          <t>0-4013-02</t>
        </is>
      </c>
      <c r="K2685" t="inlineStr">
        <is>
          <t>RLD291 CATERPILLAR 299D3 TRACK SKID STEER LOADER W FORKS CATERPILLAR 299D3 TRACK SKID STEER LOADER W FORKS</t>
        </is>
      </c>
      <c r="L2685" t="n">
        <v>0</v>
      </c>
      <c r="M2685" t="n">
        <v>0</v>
      </c>
      <c r="O2685" t="inlineStr">
        <is>
          <t>RLD291</t>
        </is>
      </c>
      <c r="Q2685" s="114" t="n">
        <v>0</v>
      </c>
      <c r="R2685" s="114" t="n">
        <v>186.27</v>
      </c>
      <c r="S2685" s="114" t="n">
        <v>0</v>
      </c>
      <c r="T2685" t="n">
        <v>0</v>
      </c>
    </row>
    <row r="2686">
      <c r="A2686" t="inlineStr">
        <is>
          <t>ttJTrans</t>
        </is>
      </c>
      <c r="B2686" s="38" t="inlineStr">
        <is>
          <t>0-4013-02</t>
        </is>
      </c>
      <c r="C2686" t="inlineStr">
        <is>
          <t>ER</t>
        </is>
      </c>
      <c r="E2686" t="inlineStr">
        <is>
          <t>ER</t>
        </is>
      </c>
      <c r="G2686" s="128" t="inlineStr"/>
      <c r="H2686" s="127" t="n">
        <v>46152</v>
      </c>
      <c r="J2686" s="38" t="inlineStr">
        <is>
          <t>0-4013-02</t>
        </is>
      </c>
      <c r="K2686" t="inlineStr">
        <is>
          <t>RLD292 CATERPILLAR 299D3 TRACK SKID STEER LOADER CATERPILLAR 299D3 TRACK SKID STEER LOADER</t>
        </is>
      </c>
      <c r="L2686" t="n">
        <v>0</v>
      </c>
      <c r="M2686" t="n">
        <v>0</v>
      </c>
      <c r="O2686" t="inlineStr">
        <is>
          <t>RLD292</t>
        </is>
      </c>
      <c r="Q2686" s="114" t="n">
        <v>0</v>
      </c>
      <c r="R2686" s="114" t="n">
        <v>186.27</v>
      </c>
      <c r="S2686" s="114" t="n">
        <v>0</v>
      </c>
      <c r="T2686" t="n">
        <v>0</v>
      </c>
    </row>
    <row r="2687">
      <c r="A2687" t="inlineStr">
        <is>
          <t>ttJTrans</t>
        </is>
      </c>
      <c r="B2687" s="38" t="inlineStr">
        <is>
          <t>0-4013-02</t>
        </is>
      </c>
      <c r="C2687" t="inlineStr">
        <is>
          <t>ER</t>
        </is>
      </c>
      <c r="E2687" t="inlineStr">
        <is>
          <t>ER</t>
        </is>
      </c>
      <c r="G2687" s="128" t="inlineStr"/>
      <c r="H2687" s="127" t="n">
        <v>46152</v>
      </c>
      <c r="J2687" s="38" t="inlineStr">
        <is>
          <t>0-4013-02</t>
        </is>
      </c>
      <c r="K2687" t="inlineStr">
        <is>
          <t>RLD292 CATERPILLAR 299D3 TRACK SKID STEER LOADER CATERPILLAR 299D3 TRACK SKID STEER LOADER</t>
        </is>
      </c>
      <c r="L2687" t="n">
        <v>0</v>
      </c>
      <c r="M2687" t="n">
        <v>0</v>
      </c>
      <c r="O2687" t="inlineStr">
        <is>
          <t>RLD292</t>
        </is>
      </c>
      <c r="Q2687" s="114" t="n">
        <v>0</v>
      </c>
      <c r="R2687" s="114" t="n">
        <v>186.27</v>
      </c>
      <c r="S2687" s="114" t="n">
        <v>0</v>
      </c>
      <c r="T2687" t="n">
        <v>0</v>
      </c>
    </row>
    <row r="2688">
      <c r="A2688" t="inlineStr">
        <is>
          <t>ttJTrans</t>
        </is>
      </c>
      <c r="B2688" s="38" t="inlineStr">
        <is>
          <t>0-4013-02</t>
        </is>
      </c>
      <c r="C2688" t="inlineStr">
        <is>
          <t>ER</t>
        </is>
      </c>
      <c r="E2688" t="inlineStr">
        <is>
          <t>ER</t>
        </is>
      </c>
      <c r="G2688" s="128" t="inlineStr"/>
      <c r="H2688" s="127" t="n">
        <v>46152</v>
      </c>
      <c r="J2688" s="38" t="inlineStr">
        <is>
          <t>0-4013-02</t>
        </is>
      </c>
      <c r="K2688" t="inlineStr">
        <is>
          <t>RAT439 CAN AM HD11XT CREW CAB UTV CAN AM HD11XT CREW CAB UTV</t>
        </is>
      </c>
      <c r="L2688" t="n">
        <v>0</v>
      </c>
      <c r="M2688" t="n">
        <v>0</v>
      </c>
      <c r="O2688" t="inlineStr">
        <is>
          <t>RAT439</t>
        </is>
      </c>
      <c r="Q2688" s="114" t="n">
        <v>0</v>
      </c>
      <c r="R2688" s="114" t="n">
        <v>62.5</v>
      </c>
      <c r="S2688" s="114" t="n">
        <v>0</v>
      </c>
      <c r="T2688" t="n">
        <v>0</v>
      </c>
    </row>
    <row r="2689">
      <c r="A2689" t="inlineStr">
        <is>
          <t>ttJTrans</t>
        </is>
      </c>
      <c r="B2689" s="38" t="inlineStr">
        <is>
          <t>0-4013-02</t>
        </is>
      </c>
      <c r="C2689" t="inlineStr">
        <is>
          <t>ER</t>
        </is>
      </c>
      <c r="E2689" t="inlineStr">
        <is>
          <t>ER</t>
        </is>
      </c>
      <c r="G2689" s="128" t="inlineStr"/>
      <c r="H2689" s="127" t="n">
        <v>46152</v>
      </c>
      <c r="J2689" s="38" t="inlineStr">
        <is>
          <t>0-4013-02</t>
        </is>
      </c>
      <c r="K2689" t="inlineStr">
        <is>
          <t>RAT439 CAN AM HD11XT CREW CAB UTV CAN AM HD11XT CREW CAB UTV</t>
        </is>
      </c>
      <c r="L2689" t="n">
        <v>0</v>
      </c>
      <c r="M2689" t="n">
        <v>0</v>
      </c>
      <c r="O2689" t="inlineStr">
        <is>
          <t>RAT439</t>
        </is>
      </c>
      <c r="Q2689" s="114" t="n">
        <v>0</v>
      </c>
      <c r="R2689" s="114" t="n">
        <v>62.5</v>
      </c>
      <c r="S2689" s="114" t="n">
        <v>0</v>
      </c>
      <c r="T2689" t="n">
        <v>0</v>
      </c>
    </row>
    <row r="2690">
      <c r="A2690" t="inlineStr">
        <is>
          <t>ttJTrans</t>
        </is>
      </c>
      <c r="B2690" s="38" t="inlineStr">
        <is>
          <t>0-4013-02</t>
        </is>
      </c>
      <c r="C2690" t="inlineStr">
        <is>
          <t>ER</t>
        </is>
      </c>
      <c r="E2690" t="inlineStr">
        <is>
          <t>ER</t>
        </is>
      </c>
      <c r="G2690" s="128" t="inlineStr"/>
      <c r="H2690" s="127" t="n">
        <v>46152</v>
      </c>
      <c r="J2690" s="38" t="inlineStr">
        <is>
          <t>0-4013-02</t>
        </is>
      </c>
      <c r="K2690" t="inlineStr">
        <is>
          <t>RAT440 CAN AM HD11 CREW CAB UTV CAN AM HD11 CREW CAB UTV</t>
        </is>
      </c>
      <c r="L2690" t="n">
        <v>0</v>
      </c>
      <c r="M2690" t="n">
        <v>0</v>
      </c>
      <c r="O2690" t="inlineStr">
        <is>
          <t>RAT440</t>
        </is>
      </c>
      <c r="Q2690" s="114" t="n">
        <v>0</v>
      </c>
      <c r="R2690" s="114" t="n">
        <v>62.5</v>
      </c>
      <c r="S2690" s="114" t="n">
        <v>0</v>
      </c>
      <c r="T2690" t="n">
        <v>0</v>
      </c>
    </row>
    <row r="2691">
      <c r="A2691" t="inlineStr">
        <is>
          <t>ttJTrans</t>
        </is>
      </c>
      <c r="B2691" s="38" t="inlineStr">
        <is>
          <t>0-4013-02</t>
        </is>
      </c>
      <c r="C2691" t="inlineStr">
        <is>
          <t>ER</t>
        </is>
      </c>
      <c r="E2691" t="inlineStr">
        <is>
          <t>ER</t>
        </is>
      </c>
      <c r="G2691" s="128" t="inlineStr"/>
      <c r="H2691" s="127" t="n">
        <v>46152</v>
      </c>
      <c r="J2691" s="38" t="inlineStr">
        <is>
          <t>0-4013-02</t>
        </is>
      </c>
      <c r="K2691" t="inlineStr">
        <is>
          <t>RAT440 CAN AM HD11 CREW CAB UTV CAN AM HD11 CREW CAB UTV</t>
        </is>
      </c>
      <c r="L2691" t="n">
        <v>0</v>
      </c>
      <c r="M2691" t="n">
        <v>0</v>
      </c>
      <c r="O2691" t="inlineStr">
        <is>
          <t>RAT440</t>
        </is>
      </c>
      <c r="Q2691" s="114" t="n">
        <v>0</v>
      </c>
      <c r="R2691" s="114" t="n">
        <v>62.5</v>
      </c>
      <c r="S2691" s="114" t="n">
        <v>0</v>
      </c>
      <c r="T2691" t="n">
        <v>0</v>
      </c>
    </row>
    <row r="2692">
      <c r="A2692" t="inlineStr">
        <is>
          <t>ttJTrans</t>
        </is>
      </c>
      <c r="B2692" s="38" t="inlineStr">
        <is>
          <t>0-4013-02</t>
        </is>
      </c>
      <c r="C2692" t="inlineStr">
        <is>
          <t>ER</t>
        </is>
      </c>
      <c r="E2692" t="inlineStr">
        <is>
          <t>ER</t>
        </is>
      </c>
      <c r="G2692" s="128" t="inlineStr"/>
      <c r="H2692" s="127" t="n">
        <v>46152</v>
      </c>
      <c r="J2692" s="38" t="inlineStr">
        <is>
          <t>0-4013-02</t>
        </is>
      </c>
      <c r="K2692" t="inlineStr">
        <is>
          <t>RGR114 CATERPILLAR 150 AWD MOTOR GRADER CATERPILLAR 150 AWD MOTOR GRADER</t>
        </is>
      </c>
      <c r="L2692" t="n">
        <v>0</v>
      </c>
      <c r="M2692" t="n">
        <v>0</v>
      </c>
      <c r="O2692" t="inlineStr">
        <is>
          <t>RGR114</t>
        </is>
      </c>
      <c r="Q2692" s="114" t="n">
        <v>0</v>
      </c>
      <c r="R2692" s="114" t="n">
        <v>604.17</v>
      </c>
      <c r="S2692" s="114" t="n">
        <v>0</v>
      </c>
      <c r="T2692" t="n">
        <v>0</v>
      </c>
    </row>
    <row r="2693">
      <c r="A2693" t="inlineStr">
        <is>
          <t>ttJTrans</t>
        </is>
      </c>
      <c r="B2693" s="38" t="inlineStr">
        <is>
          <t>0-4013-02</t>
        </is>
      </c>
      <c r="C2693" t="inlineStr">
        <is>
          <t>ER</t>
        </is>
      </c>
      <c r="E2693" t="inlineStr">
        <is>
          <t>ER</t>
        </is>
      </c>
      <c r="G2693" s="128" t="inlineStr"/>
      <c r="H2693" s="127" t="n">
        <v>46152</v>
      </c>
      <c r="J2693" s="38" t="inlineStr">
        <is>
          <t>0-4013-02</t>
        </is>
      </c>
      <c r="K2693" t="inlineStr">
        <is>
          <t>RGR114 CATERPILLAR 150 AWD MOTOR GRADER CATERPILLAR 150 AWD MOTOR GRADER</t>
        </is>
      </c>
      <c r="L2693" t="n">
        <v>0</v>
      </c>
      <c r="M2693" t="n">
        <v>0</v>
      </c>
      <c r="O2693" t="inlineStr">
        <is>
          <t>RGR114</t>
        </is>
      </c>
      <c r="Q2693" s="114" t="n">
        <v>0</v>
      </c>
      <c r="R2693" s="114" t="n">
        <v>604.17</v>
      </c>
      <c r="S2693" s="114" t="n">
        <v>0</v>
      </c>
      <c r="T2693" t="n">
        <v>0</v>
      </c>
    </row>
    <row r="2694">
      <c r="A2694" t="inlineStr">
        <is>
          <t>ttJTrans</t>
        </is>
      </c>
      <c r="B2694" s="38" t="inlineStr">
        <is>
          <t>0-4013-02</t>
        </is>
      </c>
      <c r="C2694" t="inlineStr">
        <is>
          <t>ER</t>
        </is>
      </c>
      <c r="E2694" t="inlineStr">
        <is>
          <t>ER</t>
        </is>
      </c>
      <c r="G2694" s="128" t="inlineStr"/>
      <c r="H2694" s="127" t="n">
        <v>46152</v>
      </c>
      <c r="J2694" s="38" t="inlineStr">
        <is>
          <t>0-4013-02</t>
        </is>
      </c>
      <c r="K2694" t="inlineStr">
        <is>
          <t>RFT890 CASE MAGNUN 220 FARM TRACTOR CASE MAGNUN 220 FARM TRACTOR</t>
        </is>
      </c>
      <c r="L2694" t="n">
        <v>0</v>
      </c>
      <c r="M2694" t="n">
        <v>0</v>
      </c>
      <c r="O2694" t="inlineStr">
        <is>
          <t>RFT890</t>
        </is>
      </c>
      <c r="Q2694" s="114" t="n">
        <v>0</v>
      </c>
      <c r="R2694" s="114" t="n">
        <v>500</v>
      </c>
      <c r="S2694" s="114" t="n">
        <v>0</v>
      </c>
      <c r="T2694" t="n">
        <v>0</v>
      </c>
    </row>
    <row r="2695">
      <c r="A2695" t="inlineStr">
        <is>
          <t>ttJTrans</t>
        </is>
      </c>
      <c r="B2695" s="38" t="inlineStr">
        <is>
          <t>0-4013-02</t>
        </is>
      </c>
      <c r="C2695" t="inlineStr">
        <is>
          <t>ER</t>
        </is>
      </c>
      <c r="E2695" t="inlineStr">
        <is>
          <t>ER</t>
        </is>
      </c>
      <c r="G2695" s="128" t="inlineStr"/>
      <c r="H2695" s="127" t="n">
        <v>46152</v>
      </c>
      <c r="J2695" s="38" t="inlineStr">
        <is>
          <t>0-4013-02</t>
        </is>
      </c>
      <c r="K2695" t="inlineStr">
        <is>
          <t>RFT890 CASE MAGNUN 220 FARM TRACTOR CASE MAGNUN 220 FARM TRACTOR</t>
        </is>
      </c>
      <c r="L2695" t="n">
        <v>0</v>
      </c>
      <c r="M2695" t="n">
        <v>0</v>
      </c>
      <c r="O2695" t="inlineStr">
        <is>
          <t>RFT890</t>
        </is>
      </c>
      <c r="Q2695" s="114" t="n">
        <v>0</v>
      </c>
      <c r="R2695" s="114" t="n">
        <v>500</v>
      </c>
      <c r="S2695" s="114" t="n">
        <v>0</v>
      </c>
      <c r="T2695" t="n">
        <v>0</v>
      </c>
    </row>
    <row r="2696">
      <c r="A2696" t="inlineStr">
        <is>
          <t>ttJTrans</t>
        </is>
      </c>
      <c r="B2696" s="38" t="inlineStr">
        <is>
          <t>0-4013-02</t>
        </is>
      </c>
      <c r="C2696" t="inlineStr">
        <is>
          <t>ER</t>
        </is>
      </c>
      <c r="E2696" t="inlineStr">
        <is>
          <t>ER</t>
        </is>
      </c>
      <c r="G2696" s="128" t="inlineStr"/>
      <c r="H2696" s="127" t="n">
        <v>46152</v>
      </c>
      <c r="J2696" s="38" t="inlineStr">
        <is>
          <t>0-4013-02</t>
        </is>
      </c>
      <c r="K2696" t="inlineStr">
        <is>
          <t>RFT892 CASE PUMA 200 FARM TRACTOR W FRONT LOADER CASE PUMA 200 FARM TRACTOR W FRONT LOADER</t>
        </is>
      </c>
      <c r="L2696" t="n">
        <v>0</v>
      </c>
      <c r="M2696" t="n">
        <v>0</v>
      </c>
      <c r="O2696" t="inlineStr">
        <is>
          <t>RFT892</t>
        </is>
      </c>
      <c r="Q2696" s="114" t="n">
        <v>0</v>
      </c>
      <c r="R2696" s="114" t="n">
        <v>508.33</v>
      </c>
      <c r="S2696" s="114" t="n">
        <v>0</v>
      </c>
      <c r="T2696" t="n">
        <v>0</v>
      </c>
    </row>
    <row r="2697">
      <c r="A2697" t="inlineStr">
        <is>
          <t>ttJTrans</t>
        </is>
      </c>
      <c r="B2697" s="38" t="inlineStr">
        <is>
          <t>0-4013-02</t>
        </is>
      </c>
      <c r="C2697" t="inlineStr">
        <is>
          <t>ER</t>
        </is>
      </c>
      <c r="E2697" t="inlineStr">
        <is>
          <t>ER</t>
        </is>
      </c>
      <c r="G2697" s="128" t="inlineStr"/>
      <c r="H2697" s="127" t="n">
        <v>46152</v>
      </c>
      <c r="J2697" s="38" t="inlineStr">
        <is>
          <t>0-4013-02</t>
        </is>
      </c>
      <c r="K2697" t="inlineStr">
        <is>
          <t>RFT892 CASE PUMA 200 FARM TRACTOR W FRONT LOADER CASE PUMA 200 FARM TRACTOR W FRONT LOADER</t>
        </is>
      </c>
      <c r="L2697" t="n">
        <v>0</v>
      </c>
      <c r="M2697" t="n">
        <v>0</v>
      </c>
      <c r="O2697" t="inlineStr">
        <is>
          <t>RFT892</t>
        </is>
      </c>
      <c r="Q2697" s="114" t="n">
        <v>0</v>
      </c>
      <c r="R2697" s="114" t="n">
        <v>508.33</v>
      </c>
      <c r="S2697" s="114" t="n">
        <v>0</v>
      </c>
      <c r="T2697" t="n">
        <v>0</v>
      </c>
    </row>
    <row r="2698">
      <c r="A2698" t="inlineStr">
        <is>
          <t>ttJTrans</t>
        </is>
      </c>
      <c r="B2698" s="38" t="inlineStr">
        <is>
          <t>0-4013-02</t>
        </is>
      </c>
      <c r="C2698" t="inlineStr">
        <is>
          <t>ER</t>
        </is>
      </c>
      <c r="E2698" t="inlineStr">
        <is>
          <t>ER</t>
        </is>
      </c>
      <c r="G2698" s="128" t="inlineStr"/>
      <c r="H2698" s="127" t="n">
        <v>46152</v>
      </c>
      <c r="J2698" s="38" t="inlineStr">
        <is>
          <t>0-4013-02</t>
        </is>
      </c>
      <c r="K2698" t="inlineStr">
        <is>
          <t>RFT891 CASE MAGNUM 220 FARM TRACTOR CASE MAGNUM 220 FARM TRACTOR</t>
        </is>
      </c>
      <c r="L2698" t="n">
        <v>0</v>
      </c>
      <c r="M2698" t="n">
        <v>0</v>
      </c>
      <c r="O2698" t="inlineStr">
        <is>
          <t>RFT891</t>
        </is>
      </c>
      <c r="Q2698" s="114" t="n">
        <v>0</v>
      </c>
      <c r="R2698" s="114" t="n">
        <v>500</v>
      </c>
      <c r="S2698" s="114" t="n">
        <v>0</v>
      </c>
      <c r="T2698" t="n">
        <v>0</v>
      </c>
    </row>
    <row r="2699">
      <c r="A2699" t="inlineStr">
        <is>
          <t>ttJTrans</t>
        </is>
      </c>
      <c r="B2699" s="38" t="inlineStr">
        <is>
          <t>0-4013-02</t>
        </is>
      </c>
      <c r="C2699" t="inlineStr">
        <is>
          <t>ER</t>
        </is>
      </c>
      <c r="E2699" t="inlineStr">
        <is>
          <t>ER</t>
        </is>
      </c>
      <c r="G2699" s="128" t="inlineStr"/>
      <c r="H2699" s="127" t="n">
        <v>46152</v>
      </c>
      <c r="J2699" s="38" t="inlineStr">
        <is>
          <t>0-4013-02</t>
        </is>
      </c>
      <c r="K2699" t="inlineStr">
        <is>
          <t>RFT891 CASE MAGNUM 220 FARM TRACTOR CASE MAGNUM 220 FARM TRACTOR</t>
        </is>
      </c>
      <c r="L2699" t="n">
        <v>0</v>
      </c>
      <c r="M2699" t="n">
        <v>0</v>
      </c>
      <c r="O2699" t="inlineStr">
        <is>
          <t>RFT891</t>
        </is>
      </c>
      <c r="Q2699" s="114" t="n">
        <v>0</v>
      </c>
      <c r="R2699" s="114" t="n">
        <v>500</v>
      </c>
      <c r="S2699" s="114" t="n">
        <v>0</v>
      </c>
      <c r="T2699" t="n">
        <v>0</v>
      </c>
    </row>
    <row r="2700">
      <c r="A2700" t="inlineStr">
        <is>
          <t>ttJTrans</t>
        </is>
      </c>
      <c r="B2700" s="38" t="inlineStr">
        <is>
          <t>0-4013-02</t>
        </is>
      </c>
      <c r="C2700" t="inlineStr">
        <is>
          <t>ER</t>
        </is>
      </c>
      <c r="E2700" t="inlineStr">
        <is>
          <t>ER</t>
        </is>
      </c>
      <c r="G2700" s="128" t="inlineStr"/>
      <c r="H2700" s="127" t="n">
        <v>46152</v>
      </c>
      <c r="J2700" s="38" t="inlineStr">
        <is>
          <t>0-4013-02</t>
        </is>
      </c>
      <c r="K2700" t="inlineStr">
        <is>
          <t>RMS2319 25' SMOOTH ROLLER FOR FARM TRACTOR 25' SMOOTH ROLLER FOR FARM TRACTOR</t>
        </is>
      </c>
      <c r="L2700" t="n">
        <v>0</v>
      </c>
      <c r="M2700" t="n">
        <v>0</v>
      </c>
      <c r="O2700" t="inlineStr">
        <is>
          <t>RMS2319</t>
        </is>
      </c>
      <c r="Q2700" s="114" t="n">
        <v>0</v>
      </c>
      <c r="R2700" s="114" t="n">
        <v>179.6</v>
      </c>
      <c r="S2700" s="114" t="n">
        <v>0</v>
      </c>
      <c r="T2700" t="n">
        <v>0</v>
      </c>
    </row>
    <row r="2701">
      <c r="A2701" t="inlineStr">
        <is>
          <t>ttJTrans</t>
        </is>
      </c>
      <c r="B2701" s="38" t="inlineStr">
        <is>
          <t>0-4013-02</t>
        </is>
      </c>
      <c r="C2701" t="inlineStr">
        <is>
          <t>ER</t>
        </is>
      </c>
      <c r="E2701" t="inlineStr">
        <is>
          <t>ER</t>
        </is>
      </c>
      <c r="G2701" s="128" t="inlineStr"/>
      <c r="H2701" s="127" t="n">
        <v>46152</v>
      </c>
      <c r="J2701" s="38" t="inlineStr">
        <is>
          <t>0-4013-02</t>
        </is>
      </c>
      <c r="K2701" t="inlineStr">
        <is>
          <t>RMS2319 25' SMOOTH ROLLER FOR FARM TRACTOR 25' SMOOTH ROLLER FOR FARM TRACTOR</t>
        </is>
      </c>
      <c r="L2701" t="n">
        <v>0</v>
      </c>
      <c r="M2701" t="n">
        <v>0</v>
      </c>
      <c r="O2701" t="inlineStr">
        <is>
          <t>RMS2319</t>
        </is>
      </c>
      <c r="Q2701" s="114" t="n">
        <v>0</v>
      </c>
      <c r="R2701" s="114" t="n">
        <v>179.6</v>
      </c>
      <c r="S2701" s="114" t="n">
        <v>0</v>
      </c>
      <c r="T2701" t="n">
        <v>0</v>
      </c>
    </row>
    <row r="2702">
      <c r="A2702" t="inlineStr">
        <is>
          <t>ttJTrans</t>
        </is>
      </c>
      <c r="B2702" s="38" t="inlineStr">
        <is>
          <t>0-4013-02</t>
        </is>
      </c>
      <c r="C2702" t="inlineStr">
        <is>
          <t>ER</t>
        </is>
      </c>
      <c r="E2702" t="inlineStr">
        <is>
          <t>ER</t>
        </is>
      </c>
      <c r="G2702" s="128" t="inlineStr"/>
      <c r="H2702" s="127" t="n">
        <v>46152</v>
      </c>
      <c r="J2702" s="38" t="inlineStr">
        <is>
          <t>0-4013-02</t>
        </is>
      </c>
      <c r="K2702" t="inlineStr">
        <is>
          <t>RMS2321 SEED DRILL FOR FARM TRACTOR SEED DRILL FOR FARM TRACTOR</t>
        </is>
      </c>
      <c r="L2702" t="n">
        <v>0</v>
      </c>
      <c r="M2702" t="n">
        <v>0</v>
      </c>
      <c r="O2702" t="inlineStr">
        <is>
          <t>RMS2321</t>
        </is>
      </c>
      <c r="Q2702" s="114" t="n">
        <v>0</v>
      </c>
      <c r="R2702" s="114" t="n">
        <v>1077.59</v>
      </c>
      <c r="S2702" s="114" t="n">
        <v>0</v>
      </c>
      <c r="T2702" t="n">
        <v>0</v>
      </c>
    </row>
    <row r="2703">
      <c r="A2703" t="inlineStr">
        <is>
          <t>ttJTrans</t>
        </is>
      </c>
      <c r="B2703" s="38" t="inlineStr">
        <is>
          <t>0-4013-02</t>
        </is>
      </c>
      <c r="C2703" t="inlineStr">
        <is>
          <t>ER</t>
        </is>
      </c>
      <c r="E2703" t="inlineStr">
        <is>
          <t>ER</t>
        </is>
      </c>
      <c r="G2703" s="128" t="inlineStr"/>
      <c r="H2703" s="127" t="n">
        <v>46152</v>
      </c>
      <c r="J2703" s="38" t="inlineStr">
        <is>
          <t>0-4013-02</t>
        </is>
      </c>
      <c r="K2703" t="inlineStr">
        <is>
          <t>RMS2321 SEED DRILL FOR FARM TRACTOR SEED DRILL FOR FARM TRACTOR</t>
        </is>
      </c>
      <c r="L2703" t="n">
        <v>0</v>
      </c>
      <c r="M2703" t="n">
        <v>0</v>
      </c>
      <c r="O2703" t="inlineStr">
        <is>
          <t>RMS2321</t>
        </is>
      </c>
      <c r="Q2703" s="114" t="n">
        <v>0</v>
      </c>
      <c r="R2703" s="114" t="n">
        <v>1077.59</v>
      </c>
      <c r="S2703" s="114" t="n">
        <v>0</v>
      </c>
      <c r="T2703" t="n">
        <v>0</v>
      </c>
    </row>
    <row r="2704">
      <c r="A2704" t="inlineStr">
        <is>
          <t>ttJTrans</t>
        </is>
      </c>
      <c r="B2704" s="38" t="inlineStr">
        <is>
          <t>0-4013-02</t>
        </is>
      </c>
      <c r="C2704" t="inlineStr">
        <is>
          <t>ER</t>
        </is>
      </c>
      <c r="E2704" t="inlineStr">
        <is>
          <t>ER</t>
        </is>
      </c>
      <c r="G2704" s="128" t="inlineStr"/>
      <c r="H2704" s="127" t="n">
        <v>46152</v>
      </c>
      <c r="J2704" s="38" t="inlineStr">
        <is>
          <t>0-4013-02</t>
        </is>
      </c>
      <c r="K2704" t="inlineStr">
        <is>
          <t>RLD293 TAKEUCHI TL10VS TRACK SKID STEER LOADER W TREE SAW ATTACHMENT TAKEUCHI TL10VS TRACK SKID STEER LOADER W TREE SAW ATTACHMENT</t>
        </is>
      </c>
      <c r="L2704" t="n">
        <v>0</v>
      </c>
      <c r="M2704" t="n">
        <v>0</v>
      </c>
      <c r="O2704" t="inlineStr">
        <is>
          <t>RLD293</t>
        </is>
      </c>
      <c r="Q2704" s="114" t="n">
        <v>0</v>
      </c>
      <c r="R2704" s="114" t="n">
        <v>282.06</v>
      </c>
      <c r="S2704" s="114" t="n">
        <v>0</v>
      </c>
      <c r="T2704" t="n">
        <v>0</v>
      </c>
    </row>
    <row r="2705">
      <c r="A2705" t="inlineStr">
        <is>
          <t>ttJTrans</t>
        </is>
      </c>
      <c r="B2705" s="38" t="inlineStr">
        <is>
          <t>0-4013-02</t>
        </is>
      </c>
      <c r="C2705" t="inlineStr">
        <is>
          <t>ER</t>
        </is>
      </c>
      <c r="E2705" t="inlineStr">
        <is>
          <t>ER</t>
        </is>
      </c>
      <c r="G2705" s="128" t="inlineStr"/>
      <c r="H2705" s="127" t="n">
        <v>46152</v>
      </c>
      <c r="J2705" s="38" t="inlineStr">
        <is>
          <t>0-4013-02</t>
        </is>
      </c>
      <c r="K2705" t="inlineStr">
        <is>
          <t>RLD293 TAKEUCHI TL10VS TRACK SKID STEER LOADER W TREE SAW ATTACHMENT TAKEUCHI TL10VS TRACK SKID STEER LOADER W TREE SAW ATTACHMENT</t>
        </is>
      </c>
      <c r="L2705" t="n">
        <v>0</v>
      </c>
      <c r="M2705" t="n">
        <v>0</v>
      </c>
      <c r="O2705" t="inlineStr">
        <is>
          <t>RLD293</t>
        </is>
      </c>
      <c r="Q2705" s="114" t="n">
        <v>0</v>
      </c>
      <c r="R2705" s="114" t="n">
        <v>282.06</v>
      </c>
      <c r="S2705" s="114" t="n">
        <v>0</v>
      </c>
      <c r="T2705" t="n">
        <v>0</v>
      </c>
    </row>
    <row r="2706">
      <c r="A2706" t="inlineStr">
        <is>
          <t>ttJTrans</t>
        </is>
      </c>
      <c r="B2706" s="38" t="inlineStr">
        <is>
          <t>0-4013-02</t>
        </is>
      </c>
      <c r="C2706" t="inlineStr">
        <is>
          <t>ER</t>
        </is>
      </c>
      <c r="E2706" t="inlineStr">
        <is>
          <t>ER</t>
        </is>
      </c>
      <c r="G2706" s="128" t="inlineStr"/>
      <c r="H2706" s="127" t="n">
        <v>46152</v>
      </c>
      <c r="J2706" s="38" t="inlineStr">
        <is>
          <t>0-4013-02</t>
        </is>
      </c>
      <c r="K2706" t="inlineStr">
        <is>
          <t>RHV96 PETERBILT 4,000 GALLON WATER TRUCK PETERBILT 4,000 GALLON WATER TRUCK</t>
        </is>
      </c>
      <c r="L2706" t="n">
        <v>0</v>
      </c>
      <c r="M2706" t="n">
        <v>0</v>
      </c>
      <c r="O2706" t="inlineStr">
        <is>
          <t>RHV96</t>
        </is>
      </c>
      <c r="Q2706" s="114" t="n">
        <v>0</v>
      </c>
      <c r="R2706" s="114" t="n">
        <v>200</v>
      </c>
      <c r="S2706" s="114" t="n">
        <v>0</v>
      </c>
      <c r="T2706" t="n">
        <v>0</v>
      </c>
    </row>
    <row r="2707">
      <c r="A2707" t="inlineStr">
        <is>
          <t>ttJTrans</t>
        </is>
      </c>
      <c r="B2707" s="38" t="inlineStr">
        <is>
          <t>0-4013-02</t>
        </is>
      </c>
      <c r="C2707" t="inlineStr">
        <is>
          <t>ER</t>
        </is>
      </c>
      <c r="E2707" t="inlineStr">
        <is>
          <t>ER</t>
        </is>
      </c>
      <c r="G2707" s="128" t="inlineStr"/>
      <c r="H2707" s="127" t="n">
        <v>46152</v>
      </c>
      <c r="J2707" s="38" t="inlineStr">
        <is>
          <t>0-4013-02</t>
        </is>
      </c>
      <c r="K2707" t="inlineStr">
        <is>
          <t>RHV96 PETERBILT 4,000 GALLON WATER TRUCK PETERBILT 4,000 GALLON WATER TRUCK</t>
        </is>
      </c>
      <c r="L2707" t="n">
        <v>0</v>
      </c>
      <c r="M2707" t="n">
        <v>0</v>
      </c>
      <c r="O2707" t="inlineStr">
        <is>
          <t>RHV96</t>
        </is>
      </c>
      <c r="Q2707" s="114" t="n">
        <v>0</v>
      </c>
      <c r="R2707" s="114" t="n">
        <v>200</v>
      </c>
      <c r="S2707" s="114" t="n">
        <v>0</v>
      </c>
      <c r="T2707" t="n">
        <v>0</v>
      </c>
    </row>
    <row r="2708">
      <c r="A2708" t="inlineStr">
        <is>
          <t>ttJTrans</t>
        </is>
      </c>
      <c r="B2708" s="38" t="inlineStr">
        <is>
          <t>0-4013-02</t>
        </is>
      </c>
      <c r="C2708" t="inlineStr">
        <is>
          <t>ER</t>
        </is>
      </c>
      <c r="E2708" t="inlineStr">
        <is>
          <t>ER</t>
        </is>
      </c>
      <c r="G2708" s="128" t="inlineStr"/>
      <c r="H2708" s="127" t="n">
        <v>46152</v>
      </c>
      <c r="J2708" s="38" t="inlineStr">
        <is>
          <t>0-4013-02</t>
        </is>
      </c>
      <c r="K2708" t="inlineStr">
        <is>
          <t>RMS2320 SEED DRILL FOR FARM TRACTOR SEED DRILL FOR FARM TRACTOR</t>
        </is>
      </c>
      <c r="L2708" t="n">
        <v>0</v>
      </c>
      <c r="M2708" t="n">
        <v>0</v>
      </c>
      <c r="O2708" t="inlineStr">
        <is>
          <t>RMS2320</t>
        </is>
      </c>
      <c r="Q2708" s="114" t="n">
        <v>0</v>
      </c>
      <c r="R2708" s="114" t="n">
        <v>1077.59</v>
      </c>
      <c r="S2708" s="114" t="n">
        <v>0</v>
      </c>
      <c r="T2708" t="n">
        <v>0</v>
      </c>
    </row>
    <row r="2709">
      <c r="A2709" t="inlineStr">
        <is>
          <t>ttJTrans</t>
        </is>
      </c>
      <c r="B2709" s="38" t="inlineStr">
        <is>
          <t>0-4013-02</t>
        </is>
      </c>
      <c r="C2709" t="inlineStr">
        <is>
          <t>ER</t>
        </is>
      </c>
      <c r="E2709" t="inlineStr">
        <is>
          <t>ER</t>
        </is>
      </c>
      <c r="G2709" s="128" t="inlineStr"/>
      <c r="H2709" s="127" t="n">
        <v>46152</v>
      </c>
      <c r="J2709" s="38" t="inlineStr">
        <is>
          <t>0-4013-02</t>
        </is>
      </c>
      <c r="K2709" t="inlineStr">
        <is>
          <t>RMS2320 SEED DRILL FOR FARM TRACTOR SEED DRILL FOR FARM TRACTOR</t>
        </is>
      </c>
      <c r="L2709" t="n">
        <v>0</v>
      </c>
      <c r="M2709" t="n">
        <v>0</v>
      </c>
      <c r="O2709" t="inlineStr">
        <is>
          <t>RMS2320</t>
        </is>
      </c>
      <c r="Q2709" s="114" t="n">
        <v>0</v>
      </c>
      <c r="R2709" s="114" t="n">
        <v>1077.59</v>
      </c>
      <c r="S2709" s="114" t="n">
        <v>0</v>
      </c>
      <c r="T2709" t="n">
        <v>0</v>
      </c>
    </row>
    <row r="2710">
      <c r="A2710" t="inlineStr">
        <is>
          <t>ttJTrans</t>
        </is>
      </c>
      <c r="B2710" s="38" t="inlineStr">
        <is>
          <t>0-4013-02</t>
        </is>
      </c>
      <c r="C2710" t="inlineStr">
        <is>
          <t>ER</t>
        </is>
      </c>
      <c r="E2710" t="inlineStr">
        <is>
          <t>ER</t>
        </is>
      </c>
      <c r="G2710" s="128" t="inlineStr"/>
      <c r="H2710" s="127" t="n">
        <v>46152</v>
      </c>
      <c r="J2710" s="38" t="inlineStr">
        <is>
          <t>0-4013-02</t>
        </is>
      </c>
      <c r="K2710" t="inlineStr">
        <is>
          <t>REX665 330 CATERPILLAR EXCAVATOR 330 CATERPILLAR EXCAVATOR</t>
        </is>
      </c>
      <c r="L2710" t="n">
        <v>0</v>
      </c>
      <c r="M2710" t="n">
        <v>0</v>
      </c>
      <c r="O2710" t="inlineStr">
        <is>
          <t>REX665</t>
        </is>
      </c>
      <c r="Q2710" s="114" t="n">
        <v>0</v>
      </c>
      <c r="R2710" s="114" t="n">
        <v>458.33</v>
      </c>
      <c r="S2710" s="114" t="n">
        <v>0</v>
      </c>
      <c r="T2710" t="n">
        <v>0</v>
      </c>
    </row>
    <row r="2711">
      <c r="A2711" t="inlineStr">
        <is>
          <t>ttJTrans</t>
        </is>
      </c>
      <c r="B2711" s="38" t="inlineStr">
        <is>
          <t>0-4013-02</t>
        </is>
      </c>
      <c r="C2711" t="inlineStr">
        <is>
          <t>ER</t>
        </is>
      </c>
      <c r="E2711" t="inlineStr">
        <is>
          <t>ER</t>
        </is>
      </c>
      <c r="G2711" s="128" t="inlineStr"/>
      <c r="H2711" s="127" t="n">
        <v>46152</v>
      </c>
      <c r="J2711" s="38" t="inlineStr">
        <is>
          <t>0-4013-02</t>
        </is>
      </c>
      <c r="K2711" t="inlineStr">
        <is>
          <t>REX665 330 CATERPILLAR EXCAVATOR 330 CATERPILLAR EXCAVATOR</t>
        </is>
      </c>
      <c r="L2711" t="n">
        <v>0</v>
      </c>
      <c r="M2711" t="n">
        <v>0</v>
      </c>
      <c r="O2711" t="inlineStr">
        <is>
          <t>REX665</t>
        </is>
      </c>
      <c r="Q2711" s="114" t="n">
        <v>0</v>
      </c>
      <c r="R2711" s="114" t="n">
        <v>458.33</v>
      </c>
      <c r="S2711" s="114" t="n">
        <v>0</v>
      </c>
      <c r="T2711" t="n">
        <v>0</v>
      </c>
    </row>
    <row r="2712">
      <c r="A2712" t="inlineStr">
        <is>
          <t>ttJTrans</t>
        </is>
      </c>
      <c r="B2712" s="38" t="inlineStr">
        <is>
          <t>0-4013-02</t>
        </is>
      </c>
      <c r="C2712" t="inlineStr">
        <is>
          <t>ER</t>
        </is>
      </c>
      <c r="E2712" t="inlineStr">
        <is>
          <t>ER</t>
        </is>
      </c>
      <c r="G2712" s="128" t="inlineStr"/>
      <c r="H2712" s="127" t="n">
        <v>46152</v>
      </c>
      <c r="J2712" s="38" t="inlineStr">
        <is>
          <t>0-4013-02</t>
        </is>
      </c>
      <c r="K2712" t="inlineStr">
        <is>
          <t>RPK482 HAMM 84' SINGLE DRUM ROLLER HAMM 84' SINGLE DRUM ROLLER</t>
        </is>
      </c>
      <c r="L2712" t="n">
        <v>0</v>
      </c>
      <c r="M2712" t="n">
        <v>0</v>
      </c>
      <c r="O2712" t="inlineStr">
        <is>
          <t>RPK482</t>
        </is>
      </c>
      <c r="Q2712" s="114" t="n">
        <v>0</v>
      </c>
      <c r="R2712" s="114" t="n">
        <v>300</v>
      </c>
      <c r="S2712" s="114" t="n">
        <v>0</v>
      </c>
      <c r="T2712" t="n">
        <v>0</v>
      </c>
    </row>
    <row r="2713">
      <c r="A2713" t="inlineStr">
        <is>
          <t>ttJTrans</t>
        </is>
      </c>
      <c r="B2713" s="38" t="inlineStr">
        <is>
          <t>0-4013-02</t>
        </is>
      </c>
      <c r="C2713" t="inlineStr">
        <is>
          <t>ER</t>
        </is>
      </c>
      <c r="E2713" t="inlineStr">
        <is>
          <t>ER</t>
        </is>
      </c>
      <c r="G2713" s="128" t="inlineStr"/>
      <c r="H2713" s="127" t="n">
        <v>46152</v>
      </c>
      <c r="J2713" s="38" t="inlineStr">
        <is>
          <t>0-4013-02</t>
        </is>
      </c>
      <c r="K2713" t="inlineStr">
        <is>
          <t>RPK482 HAMM 84' SINGLE DRUM ROLLER HAMM 84' SINGLE DRUM ROLLER</t>
        </is>
      </c>
      <c r="L2713" t="n">
        <v>0</v>
      </c>
      <c r="M2713" t="n">
        <v>0</v>
      </c>
      <c r="O2713" t="inlineStr">
        <is>
          <t>RPK482</t>
        </is>
      </c>
      <c r="Q2713" s="114" t="n">
        <v>0</v>
      </c>
      <c r="R2713" s="114" t="n">
        <v>300</v>
      </c>
      <c r="S2713" s="114" t="n">
        <v>0</v>
      </c>
      <c r="T2713" t="n">
        <v>0</v>
      </c>
    </row>
    <row r="2714">
      <c r="A2714" t="inlineStr">
        <is>
          <t>ttJTrans</t>
        </is>
      </c>
      <c r="B2714" s="38" t="inlineStr">
        <is>
          <t>0-4013-02</t>
        </is>
      </c>
      <c r="C2714" t="inlineStr">
        <is>
          <t>ER</t>
        </is>
      </c>
      <c r="E2714" t="inlineStr">
        <is>
          <t>ER</t>
        </is>
      </c>
      <c r="G2714" s="128" t="inlineStr"/>
      <c r="H2714" s="127" t="n">
        <v>46152</v>
      </c>
      <c r="J2714" s="38" t="inlineStr">
        <is>
          <t>0-4013-02</t>
        </is>
      </c>
      <c r="K2714" t="inlineStr">
        <is>
          <t>RMS2318 BROCE RCT350 WHEEL SWEEPER BROCE RCT350 WHEEL SWEEPER</t>
        </is>
      </c>
      <c r="L2714" t="n">
        <v>0</v>
      </c>
      <c r="M2714" t="n">
        <v>0</v>
      </c>
      <c r="O2714" t="inlineStr">
        <is>
          <t>RMS2318</t>
        </is>
      </c>
      <c r="Q2714" s="114" t="n">
        <v>0</v>
      </c>
      <c r="R2714" s="114" t="n">
        <v>200</v>
      </c>
      <c r="S2714" s="114" t="n">
        <v>0</v>
      </c>
      <c r="T2714" t="n">
        <v>0</v>
      </c>
    </row>
    <row r="2715">
      <c r="A2715" t="inlineStr">
        <is>
          <t>ttJTrans</t>
        </is>
      </c>
      <c r="B2715" s="38" t="inlineStr">
        <is>
          <t>0-4013-02</t>
        </is>
      </c>
      <c r="C2715" t="inlineStr">
        <is>
          <t>ER</t>
        </is>
      </c>
      <c r="E2715" t="inlineStr">
        <is>
          <t>ER</t>
        </is>
      </c>
      <c r="G2715" s="128" t="inlineStr"/>
      <c r="H2715" s="127" t="n">
        <v>46152</v>
      </c>
      <c r="J2715" s="38" t="inlineStr">
        <is>
          <t>0-4013-02</t>
        </is>
      </c>
      <c r="K2715" t="inlineStr">
        <is>
          <t>RMS2318 BROCE RCT350 WHEEL SWEEPER BROCE RCT350 WHEEL SWEEPER</t>
        </is>
      </c>
      <c r="L2715" t="n">
        <v>0</v>
      </c>
      <c r="M2715" t="n">
        <v>0</v>
      </c>
      <c r="O2715" t="inlineStr">
        <is>
          <t>RMS2318</t>
        </is>
      </c>
      <c r="Q2715" s="114" t="n">
        <v>0</v>
      </c>
      <c r="R2715" s="114" t="n">
        <v>200</v>
      </c>
      <c r="S2715" s="114" t="n">
        <v>0</v>
      </c>
      <c r="T2715" t="n">
        <v>0</v>
      </c>
    </row>
    <row r="2716">
      <c r="A2716" t="inlineStr">
        <is>
          <t>ttJTrans</t>
        </is>
      </c>
      <c r="B2716" s="38" t="inlineStr">
        <is>
          <t>0-4013-02</t>
        </is>
      </c>
      <c r="C2716" t="inlineStr">
        <is>
          <t>ER</t>
        </is>
      </c>
      <c r="E2716" t="inlineStr">
        <is>
          <t>ER</t>
        </is>
      </c>
      <c r="G2716" s="128" t="inlineStr"/>
      <c r="H2716" s="127" t="n">
        <v>46152</v>
      </c>
      <c r="J2716" s="38" t="inlineStr">
        <is>
          <t>0-4013-02</t>
        </is>
      </c>
      <c r="K2716" t="inlineStr">
        <is>
          <t>RMS2317 TRIMBLE TD540 TOTAL STATING TRIMBLE TD540 TOTAL STATING</t>
        </is>
      </c>
      <c r="L2716" t="n">
        <v>0</v>
      </c>
      <c r="M2716" t="n">
        <v>0</v>
      </c>
      <c r="O2716" t="inlineStr">
        <is>
          <t>RMS2317</t>
        </is>
      </c>
      <c r="Q2716" s="114" t="n">
        <v>0</v>
      </c>
      <c r="R2716" s="114" t="n">
        <v>287.36</v>
      </c>
      <c r="S2716" s="114" t="n">
        <v>0</v>
      </c>
      <c r="T2716" t="n">
        <v>0</v>
      </c>
    </row>
    <row r="2717">
      <c r="A2717" t="inlineStr">
        <is>
          <t>ttJTrans</t>
        </is>
      </c>
      <c r="B2717" s="38" t="inlineStr">
        <is>
          <t>0-4013-02</t>
        </is>
      </c>
      <c r="C2717" t="inlineStr">
        <is>
          <t>ER</t>
        </is>
      </c>
      <c r="E2717" t="inlineStr">
        <is>
          <t>ER</t>
        </is>
      </c>
      <c r="G2717" s="128" t="inlineStr"/>
      <c r="H2717" s="127" t="n">
        <v>46152</v>
      </c>
      <c r="J2717" s="38" t="inlineStr">
        <is>
          <t>0-4013-02</t>
        </is>
      </c>
      <c r="K2717" t="inlineStr">
        <is>
          <t>RMS2317 TRIMBLE TD540 TOTAL STATING TRIMBLE TD540 TOTAL STATING</t>
        </is>
      </c>
      <c r="L2717" t="n">
        <v>0</v>
      </c>
      <c r="M2717" t="n">
        <v>0</v>
      </c>
      <c r="O2717" t="inlineStr">
        <is>
          <t>RMS2317</t>
        </is>
      </c>
      <c r="Q2717" s="114" t="n">
        <v>0</v>
      </c>
      <c r="R2717" s="114" t="n">
        <v>287.36</v>
      </c>
      <c r="S2717" s="114" t="n">
        <v>0</v>
      </c>
      <c r="T2717" t="n">
        <v>0</v>
      </c>
    </row>
    <row r="2718">
      <c r="A2718" t="inlineStr">
        <is>
          <t>ttJTrans</t>
        </is>
      </c>
      <c r="B2718" s="38" t="inlineStr">
        <is>
          <t>0-4013-02</t>
        </is>
      </c>
      <c r="C2718" t="inlineStr">
        <is>
          <t>ER</t>
        </is>
      </c>
      <c r="E2718" t="inlineStr">
        <is>
          <t>ER</t>
        </is>
      </c>
      <c r="G2718" s="128" t="inlineStr"/>
      <c r="H2718" s="127" t="n">
        <v>46152</v>
      </c>
      <c r="J2718" s="38" t="inlineStr">
        <is>
          <t>0-4013-02</t>
        </is>
      </c>
      <c r="K2718" t="inlineStr">
        <is>
          <t>RMS2388 BUSH-HACKER 15' BRUSH CUTTER BUSH-HACKER 15' BRUSH CUTTER</t>
        </is>
      </c>
      <c r="L2718" t="n">
        <v>0</v>
      </c>
      <c r="M2718" t="n">
        <v>0</v>
      </c>
      <c r="O2718" t="inlineStr">
        <is>
          <t>RMS2388</t>
        </is>
      </c>
      <c r="Q2718" s="114" t="n">
        <v>0</v>
      </c>
      <c r="R2718" s="114" t="n">
        <v>125</v>
      </c>
      <c r="S2718" s="114" t="n">
        <v>0</v>
      </c>
      <c r="T2718" t="n">
        <v>0</v>
      </c>
    </row>
    <row r="2719">
      <c r="A2719" t="inlineStr">
        <is>
          <t>ttJTrans</t>
        </is>
      </c>
      <c r="B2719" s="38" t="inlineStr">
        <is>
          <t>0-4013-02</t>
        </is>
      </c>
      <c r="C2719" t="inlineStr">
        <is>
          <t>ER</t>
        </is>
      </c>
      <c r="E2719" t="inlineStr">
        <is>
          <t>ER</t>
        </is>
      </c>
      <c r="G2719" s="128" t="inlineStr"/>
      <c r="H2719" s="127" t="n">
        <v>46152</v>
      </c>
      <c r="J2719" s="38" t="inlineStr">
        <is>
          <t>0-4013-02</t>
        </is>
      </c>
      <c r="K2719" t="inlineStr">
        <is>
          <t>RMS2388 BUSH-HACKER 15' BRUSH CUTTER BUSH-HACKER 15' BRUSH CUTTER</t>
        </is>
      </c>
      <c r="L2719" t="n">
        <v>0</v>
      </c>
      <c r="M2719" t="n">
        <v>0</v>
      </c>
      <c r="O2719" t="inlineStr">
        <is>
          <t>RMS2388</t>
        </is>
      </c>
      <c r="Q2719" s="114" t="n">
        <v>0</v>
      </c>
      <c r="R2719" s="114" t="n">
        <v>125</v>
      </c>
      <c r="S2719" s="114" t="n">
        <v>0</v>
      </c>
      <c r="T2719" t="n">
        <v>0</v>
      </c>
    </row>
    <row r="2720">
      <c r="A2720" t="inlineStr">
        <is>
          <t>ttJTrans</t>
        </is>
      </c>
      <c r="B2720" s="38" t="inlineStr">
        <is>
          <t>0-4013-02</t>
        </is>
      </c>
      <c r="C2720" t="inlineStr">
        <is>
          <t>ER</t>
        </is>
      </c>
      <c r="E2720" t="inlineStr">
        <is>
          <t>ER</t>
        </is>
      </c>
      <c r="G2720" s="128" t="inlineStr"/>
      <c r="H2720" s="127" t="n">
        <v>46166</v>
      </c>
      <c r="J2720" s="38" t="inlineStr">
        <is>
          <t>0-4013-02</t>
        </is>
      </c>
      <c r="K2720" t="inlineStr">
        <is>
          <t>RDZ318 CAT D5 LGPVPR DOZER 170 HP CAT D5 LGPVPR DOZER 170 HP</t>
        </is>
      </c>
      <c r="L2720" t="n">
        <v>0</v>
      </c>
      <c r="M2720" t="n">
        <v>0</v>
      </c>
      <c r="O2720" t="inlineStr">
        <is>
          <t>RDZ318</t>
        </is>
      </c>
      <c r="Q2720" s="114" t="n">
        <v>0</v>
      </c>
      <c r="R2720" s="114" t="n">
        <v>778.74</v>
      </c>
      <c r="S2720" s="114" t="n">
        <v>0</v>
      </c>
      <c r="T2720" t="n">
        <v>0</v>
      </c>
    </row>
    <row r="2721">
      <c r="A2721" t="inlineStr">
        <is>
          <t>ttJTrans</t>
        </is>
      </c>
      <c r="B2721" s="38" t="inlineStr">
        <is>
          <t>0-4013-02</t>
        </is>
      </c>
      <c r="C2721" t="inlineStr">
        <is>
          <t>ER</t>
        </is>
      </c>
      <c r="E2721" t="inlineStr">
        <is>
          <t>ER</t>
        </is>
      </c>
      <c r="G2721" s="128" t="inlineStr"/>
      <c r="H2721" s="127" t="n">
        <v>46166</v>
      </c>
      <c r="J2721" s="38" t="inlineStr">
        <is>
          <t>0-4013-02</t>
        </is>
      </c>
      <c r="K2721" t="inlineStr">
        <is>
          <t>RDZ318 CAT D5 LGPVPR DOZER 170 HP CAT D5 LGPVPR DOZER 170 HP</t>
        </is>
      </c>
      <c r="L2721" t="n">
        <v>0</v>
      </c>
      <c r="M2721" t="n">
        <v>0</v>
      </c>
      <c r="O2721" t="inlineStr">
        <is>
          <t>RDZ318</t>
        </is>
      </c>
      <c r="Q2721" s="114" t="n">
        <v>0</v>
      </c>
      <c r="R2721" s="114" t="n">
        <v>778.74</v>
      </c>
      <c r="S2721" s="114" t="n">
        <v>0</v>
      </c>
      <c r="T2721" t="n">
        <v>0</v>
      </c>
    </row>
    <row r="2722">
      <c r="A2722" t="inlineStr">
        <is>
          <t>ttJTrans</t>
        </is>
      </c>
      <c r="B2722" s="38" t="inlineStr">
        <is>
          <t>0-4013-02</t>
        </is>
      </c>
      <c r="C2722" t="inlineStr">
        <is>
          <t>ER</t>
        </is>
      </c>
      <c r="E2722" t="inlineStr">
        <is>
          <t>ER</t>
        </is>
      </c>
      <c r="G2722" s="128" t="inlineStr"/>
      <c r="H2722" s="127" t="n">
        <v>46166</v>
      </c>
      <c r="J2722" s="38" t="inlineStr">
        <is>
          <t>0-4013-02</t>
        </is>
      </c>
      <c r="K2722" t="inlineStr">
        <is>
          <t>RDZ318 CAT D5 LGPVPR DOZER 170 HP CAT D5 LGPVPR DOZER 170 HP</t>
        </is>
      </c>
      <c r="L2722" t="n">
        <v>0</v>
      </c>
      <c r="M2722" t="n">
        <v>0</v>
      </c>
      <c r="O2722" t="inlineStr">
        <is>
          <t>RDZ318</t>
        </is>
      </c>
      <c r="Q2722" s="114" t="n">
        <v>0</v>
      </c>
      <c r="R2722" s="114" t="n">
        <v>778.74</v>
      </c>
      <c r="S2722" s="114" t="n">
        <v>0</v>
      </c>
      <c r="T2722" t="n">
        <v>0</v>
      </c>
    </row>
    <row r="2723">
      <c r="A2723" t="inlineStr">
        <is>
          <t>ttJTrans</t>
        </is>
      </c>
      <c r="B2723" s="38" t="inlineStr">
        <is>
          <t>0-4013-02</t>
        </is>
      </c>
      <c r="C2723" t="inlineStr">
        <is>
          <t>ER</t>
        </is>
      </c>
      <c r="E2723" t="inlineStr">
        <is>
          <t>ER</t>
        </is>
      </c>
      <c r="G2723" s="128" t="inlineStr"/>
      <c r="H2723" s="127" t="n">
        <v>46166</v>
      </c>
      <c r="J2723" s="38" t="inlineStr">
        <is>
          <t>0-4013-02</t>
        </is>
      </c>
      <c r="K2723" t="inlineStr">
        <is>
          <t>RLD291 CATERPILLAR 299D3 TRACK SKID STEER LOADER W FORKS CATERPILLAR 299D3 TRACK SKID STEER LOADER W FORKS</t>
        </is>
      </c>
      <c r="L2723" t="n">
        <v>0</v>
      </c>
      <c r="M2723" t="n">
        <v>0</v>
      </c>
      <c r="O2723" t="inlineStr">
        <is>
          <t>RLD291</t>
        </is>
      </c>
      <c r="Q2723" s="114" t="n">
        <v>0</v>
      </c>
      <c r="R2723" s="114" t="n">
        <v>186.27</v>
      </c>
      <c r="S2723" s="114" t="n">
        <v>0</v>
      </c>
      <c r="T2723" t="n">
        <v>0</v>
      </c>
    </row>
    <row r="2724">
      <c r="A2724" t="inlineStr">
        <is>
          <t>ttJTrans</t>
        </is>
      </c>
      <c r="B2724" s="38" t="inlineStr">
        <is>
          <t>0-4013-02</t>
        </is>
      </c>
      <c r="C2724" t="inlineStr">
        <is>
          <t>ER</t>
        </is>
      </c>
      <c r="E2724" t="inlineStr">
        <is>
          <t>ER</t>
        </is>
      </c>
      <c r="G2724" s="128" t="inlineStr"/>
      <c r="H2724" s="127" t="n">
        <v>46166</v>
      </c>
      <c r="J2724" s="38" t="inlineStr">
        <is>
          <t>0-4013-02</t>
        </is>
      </c>
      <c r="K2724" t="inlineStr">
        <is>
          <t>RLD291 CATERPILLAR 299D3 TRACK SKID STEER LOADER W FORKS CATERPILLAR 299D3 TRACK SKID STEER LOADER W FORKS</t>
        </is>
      </c>
      <c r="L2724" t="n">
        <v>0</v>
      </c>
      <c r="M2724" t="n">
        <v>0</v>
      </c>
      <c r="O2724" t="inlineStr">
        <is>
          <t>RLD291</t>
        </is>
      </c>
      <c r="Q2724" s="114" t="n">
        <v>0</v>
      </c>
      <c r="R2724" s="114" t="n">
        <v>186.27</v>
      </c>
      <c r="S2724" s="114" t="n">
        <v>0</v>
      </c>
      <c r="T2724" t="n">
        <v>0</v>
      </c>
    </row>
    <row r="2725">
      <c r="A2725" t="inlineStr">
        <is>
          <t>ttJTrans</t>
        </is>
      </c>
      <c r="B2725" s="38" t="inlineStr">
        <is>
          <t>0-4013-02</t>
        </is>
      </c>
      <c r="C2725" t="inlineStr">
        <is>
          <t>ER</t>
        </is>
      </c>
      <c r="E2725" t="inlineStr">
        <is>
          <t>ER</t>
        </is>
      </c>
      <c r="G2725" s="128" t="inlineStr"/>
      <c r="H2725" s="127" t="n">
        <v>46166</v>
      </c>
      <c r="J2725" s="38" t="inlineStr">
        <is>
          <t>0-4013-02</t>
        </is>
      </c>
      <c r="K2725" t="inlineStr">
        <is>
          <t>RLD291 CATERPILLAR 299D3 TRACK SKID STEER LOADER W FORKS CATERPILLAR 299D3 TRACK SKID STEER LOADER W FORKS</t>
        </is>
      </c>
      <c r="L2725" t="n">
        <v>0</v>
      </c>
      <c r="M2725" t="n">
        <v>0</v>
      </c>
      <c r="O2725" t="inlineStr">
        <is>
          <t>RLD291</t>
        </is>
      </c>
      <c r="Q2725" s="114" t="n">
        <v>0</v>
      </c>
      <c r="R2725" s="114" t="n">
        <v>186.27</v>
      </c>
      <c r="S2725" s="114" t="n">
        <v>0</v>
      </c>
      <c r="T2725" t="n">
        <v>0</v>
      </c>
    </row>
    <row r="2726">
      <c r="A2726" t="inlineStr">
        <is>
          <t>ttJTrans</t>
        </is>
      </c>
      <c r="B2726" s="38" t="inlineStr">
        <is>
          <t>0-4013-02</t>
        </is>
      </c>
      <c r="C2726" t="inlineStr">
        <is>
          <t>ER</t>
        </is>
      </c>
      <c r="E2726" t="inlineStr">
        <is>
          <t>ER</t>
        </is>
      </c>
      <c r="G2726" s="128" t="inlineStr"/>
      <c r="H2726" s="127" t="n">
        <v>46166</v>
      </c>
      <c r="J2726" s="38" t="inlineStr">
        <is>
          <t>0-4013-02</t>
        </is>
      </c>
      <c r="K2726" t="inlineStr">
        <is>
          <t>RLD292 CATERPILLAR 299D3 TRACK SKID STEER LOADER CATERPILLAR 299D3 TRACK SKID STEER LOADER</t>
        </is>
      </c>
      <c r="L2726" t="n">
        <v>0</v>
      </c>
      <c r="M2726" t="n">
        <v>0</v>
      </c>
      <c r="O2726" t="inlineStr">
        <is>
          <t>RLD292</t>
        </is>
      </c>
      <c r="Q2726" s="114" t="n">
        <v>0</v>
      </c>
      <c r="R2726" s="114" t="n">
        <v>186.27</v>
      </c>
      <c r="S2726" s="114" t="n">
        <v>0</v>
      </c>
      <c r="T2726" t="n">
        <v>0</v>
      </c>
    </row>
    <row r="2727">
      <c r="A2727" t="inlineStr">
        <is>
          <t>ttJTrans</t>
        </is>
      </c>
      <c r="B2727" s="38" t="inlineStr">
        <is>
          <t>0-4013-02</t>
        </is>
      </c>
      <c r="C2727" t="inlineStr">
        <is>
          <t>ER</t>
        </is>
      </c>
      <c r="E2727" t="inlineStr">
        <is>
          <t>ER</t>
        </is>
      </c>
      <c r="G2727" s="128" t="inlineStr"/>
      <c r="H2727" s="127" t="n">
        <v>46166</v>
      </c>
      <c r="J2727" s="38" t="inlineStr">
        <is>
          <t>0-4013-02</t>
        </is>
      </c>
      <c r="K2727" t="inlineStr">
        <is>
          <t>RLD292 CATERPILLAR 299D3 TRACK SKID STEER LOADER CATERPILLAR 299D3 TRACK SKID STEER LOADER</t>
        </is>
      </c>
      <c r="L2727" t="n">
        <v>0</v>
      </c>
      <c r="M2727" t="n">
        <v>0</v>
      </c>
      <c r="O2727" t="inlineStr">
        <is>
          <t>RLD292</t>
        </is>
      </c>
      <c r="Q2727" s="114" t="n">
        <v>0</v>
      </c>
      <c r="R2727" s="114" t="n">
        <v>186.27</v>
      </c>
      <c r="S2727" s="114" t="n">
        <v>0</v>
      </c>
      <c r="T2727" t="n">
        <v>0</v>
      </c>
    </row>
    <row r="2728">
      <c r="A2728" t="inlineStr">
        <is>
          <t>ttJTrans</t>
        </is>
      </c>
      <c r="B2728" s="38" t="inlineStr">
        <is>
          <t>0-4013-02</t>
        </is>
      </c>
      <c r="C2728" t="inlineStr">
        <is>
          <t>ER</t>
        </is>
      </c>
      <c r="E2728" t="inlineStr">
        <is>
          <t>ER</t>
        </is>
      </c>
      <c r="G2728" s="128" t="inlineStr"/>
      <c r="H2728" s="127" t="n">
        <v>46166</v>
      </c>
      <c r="J2728" s="38" t="inlineStr">
        <is>
          <t>0-4013-02</t>
        </is>
      </c>
      <c r="K2728" t="inlineStr">
        <is>
          <t>RLD292 CATERPILLAR 299D3 TRACK SKID STEER LOADER CATERPILLAR 299D3 TRACK SKID STEER LOADER</t>
        </is>
      </c>
      <c r="L2728" t="n">
        <v>0</v>
      </c>
      <c r="M2728" t="n">
        <v>0</v>
      </c>
      <c r="O2728" t="inlineStr">
        <is>
          <t>RLD292</t>
        </is>
      </c>
      <c r="Q2728" s="114" t="n">
        <v>0</v>
      </c>
      <c r="R2728" s="114" t="n">
        <v>186.27</v>
      </c>
      <c r="S2728" s="114" t="n">
        <v>0</v>
      </c>
      <c r="T2728" t="n">
        <v>0</v>
      </c>
    </row>
    <row r="2729">
      <c r="A2729" t="inlineStr">
        <is>
          <t>ttJTrans</t>
        </is>
      </c>
      <c r="B2729" s="38" t="inlineStr">
        <is>
          <t>0-4013-02</t>
        </is>
      </c>
      <c r="C2729" t="inlineStr">
        <is>
          <t>ER</t>
        </is>
      </c>
      <c r="E2729" t="inlineStr">
        <is>
          <t>ER</t>
        </is>
      </c>
      <c r="G2729" s="128" t="inlineStr"/>
      <c r="H2729" s="127" t="n">
        <v>46166</v>
      </c>
      <c r="J2729" s="38" t="inlineStr">
        <is>
          <t>0-4013-02</t>
        </is>
      </c>
      <c r="K2729" t="inlineStr">
        <is>
          <t>RAT439 CAN AM HD11XT CREW CAB UTV CAN AM HD11XT CREW CAB UTV</t>
        </is>
      </c>
      <c r="L2729" t="n">
        <v>0</v>
      </c>
      <c r="M2729" t="n">
        <v>0</v>
      </c>
      <c r="O2729" t="inlineStr">
        <is>
          <t>RAT439</t>
        </is>
      </c>
      <c r="Q2729" s="114" t="n">
        <v>0</v>
      </c>
      <c r="R2729" s="114" t="n">
        <v>62.5</v>
      </c>
      <c r="S2729" s="114" t="n">
        <v>0</v>
      </c>
      <c r="T2729" t="n">
        <v>0</v>
      </c>
    </row>
    <row r="2730">
      <c r="A2730" t="inlineStr">
        <is>
          <t>ttJTrans</t>
        </is>
      </c>
      <c r="B2730" s="38" t="inlineStr">
        <is>
          <t>0-4013-02</t>
        </is>
      </c>
      <c r="C2730" t="inlineStr">
        <is>
          <t>ER</t>
        </is>
      </c>
      <c r="E2730" t="inlineStr">
        <is>
          <t>ER</t>
        </is>
      </c>
      <c r="G2730" s="128" t="inlineStr"/>
      <c r="H2730" s="127" t="n">
        <v>46166</v>
      </c>
      <c r="J2730" s="38" t="inlineStr">
        <is>
          <t>0-4013-02</t>
        </is>
      </c>
      <c r="K2730" t="inlineStr">
        <is>
          <t>RAT439 CAN AM HD11XT CREW CAB UTV CAN AM HD11XT CREW CAB UTV</t>
        </is>
      </c>
      <c r="L2730" t="n">
        <v>0</v>
      </c>
      <c r="M2730" t="n">
        <v>0</v>
      </c>
      <c r="O2730" t="inlineStr">
        <is>
          <t>RAT439</t>
        </is>
      </c>
      <c r="Q2730" s="114" t="n">
        <v>0</v>
      </c>
      <c r="R2730" s="114" t="n">
        <v>62.5</v>
      </c>
      <c r="S2730" s="114" t="n">
        <v>0</v>
      </c>
      <c r="T2730" t="n">
        <v>0</v>
      </c>
    </row>
    <row r="2731">
      <c r="A2731" t="inlineStr">
        <is>
          <t>ttJTrans</t>
        </is>
      </c>
      <c r="B2731" s="38" t="inlineStr">
        <is>
          <t>0-4013-02</t>
        </is>
      </c>
      <c r="C2731" t="inlineStr">
        <is>
          <t>ER</t>
        </is>
      </c>
      <c r="E2731" t="inlineStr">
        <is>
          <t>ER</t>
        </is>
      </c>
      <c r="G2731" s="128" t="inlineStr"/>
      <c r="H2731" s="127" t="n">
        <v>46166</v>
      </c>
      <c r="J2731" s="38" t="inlineStr">
        <is>
          <t>0-4013-02</t>
        </is>
      </c>
      <c r="K2731" t="inlineStr">
        <is>
          <t>RAT439 CAN AM HD11XT CREW CAB UTV CAN AM HD11XT CREW CAB UTV</t>
        </is>
      </c>
      <c r="L2731" t="n">
        <v>0</v>
      </c>
      <c r="M2731" t="n">
        <v>0</v>
      </c>
      <c r="O2731" t="inlineStr">
        <is>
          <t>RAT439</t>
        </is>
      </c>
      <c r="Q2731" s="114" t="n">
        <v>0</v>
      </c>
      <c r="R2731" s="114" t="n">
        <v>62.5</v>
      </c>
      <c r="S2731" s="114" t="n">
        <v>0</v>
      </c>
      <c r="T2731" t="n">
        <v>0</v>
      </c>
    </row>
    <row r="2732">
      <c r="A2732" t="inlineStr">
        <is>
          <t>ttJTrans</t>
        </is>
      </c>
      <c r="B2732" s="38" t="inlineStr">
        <is>
          <t>0-4013-02</t>
        </is>
      </c>
      <c r="C2732" t="inlineStr">
        <is>
          <t>ER</t>
        </is>
      </c>
      <c r="E2732" t="inlineStr">
        <is>
          <t>ER</t>
        </is>
      </c>
      <c r="G2732" s="128" t="inlineStr"/>
      <c r="H2732" s="127" t="n">
        <v>46166</v>
      </c>
      <c r="J2732" s="38" t="inlineStr">
        <is>
          <t>0-4013-02</t>
        </is>
      </c>
      <c r="K2732" t="inlineStr">
        <is>
          <t>RAT440 CAN AM HD11 CREW CAB UTV CAN AM HD11 CREW CAB UTV</t>
        </is>
      </c>
      <c r="L2732" t="n">
        <v>0</v>
      </c>
      <c r="M2732" t="n">
        <v>0</v>
      </c>
      <c r="O2732" t="inlineStr">
        <is>
          <t>RAT440</t>
        </is>
      </c>
      <c r="Q2732" s="114" t="n">
        <v>0</v>
      </c>
      <c r="R2732" s="114" t="n">
        <v>62.5</v>
      </c>
      <c r="S2732" s="114" t="n">
        <v>0</v>
      </c>
      <c r="T2732" t="n">
        <v>0</v>
      </c>
    </row>
    <row r="2733">
      <c r="A2733" t="inlineStr">
        <is>
          <t>ttJTrans</t>
        </is>
      </c>
      <c r="B2733" s="38" t="inlineStr">
        <is>
          <t>0-4013-02</t>
        </is>
      </c>
      <c r="C2733" t="inlineStr">
        <is>
          <t>ER</t>
        </is>
      </c>
      <c r="E2733" t="inlineStr">
        <is>
          <t>ER</t>
        </is>
      </c>
      <c r="G2733" s="128" t="inlineStr"/>
      <c r="H2733" s="127" t="n">
        <v>46166</v>
      </c>
      <c r="J2733" s="38" t="inlineStr">
        <is>
          <t>0-4013-02</t>
        </is>
      </c>
      <c r="K2733" t="inlineStr">
        <is>
          <t>RAT440 CAN AM HD11 CREW CAB UTV CAN AM HD11 CREW CAB UTV</t>
        </is>
      </c>
      <c r="L2733" t="n">
        <v>0</v>
      </c>
      <c r="M2733" t="n">
        <v>0</v>
      </c>
      <c r="O2733" t="inlineStr">
        <is>
          <t>RAT440</t>
        </is>
      </c>
      <c r="Q2733" s="114" t="n">
        <v>0</v>
      </c>
      <c r="R2733" s="114" t="n">
        <v>62.5</v>
      </c>
      <c r="S2733" s="114" t="n">
        <v>0</v>
      </c>
      <c r="T2733" t="n">
        <v>0</v>
      </c>
    </row>
    <row r="2734">
      <c r="A2734" t="inlineStr">
        <is>
          <t>ttJTrans</t>
        </is>
      </c>
      <c r="B2734" s="38" t="inlineStr">
        <is>
          <t>0-4013-02</t>
        </is>
      </c>
      <c r="C2734" t="inlineStr">
        <is>
          <t>ER</t>
        </is>
      </c>
      <c r="E2734" t="inlineStr">
        <is>
          <t>ER</t>
        </is>
      </c>
      <c r="G2734" s="128" t="inlineStr"/>
      <c r="H2734" s="127" t="n">
        <v>46166</v>
      </c>
      <c r="J2734" s="38" t="inlineStr">
        <is>
          <t>0-4013-02</t>
        </is>
      </c>
      <c r="K2734" t="inlineStr">
        <is>
          <t>RAT440 CAN AM HD11 CREW CAB UTV CAN AM HD11 CREW CAB UTV</t>
        </is>
      </c>
      <c r="L2734" t="n">
        <v>0</v>
      </c>
      <c r="M2734" t="n">
        <v>0</v>
      </c>
      <c r="O2734" t="inlineStr">
        <is>
          <t>RAT440</t>
        </is>
      </c>
      <c r="Q2734" s="114" t="n">
        <v>0</v>
      </c>
      <c r="R2734" s="114" t="n">
        <v>62.5</v>
      </c>
      <c r="S2734" s="114" t="n">
        <v>0</v>
      </c>
      <c r="T2734" t="n">
        <v>0</v>
      </c>
    </row>
    <row r="2735">
      <c r="A2735" t="inlineStr">
        <is>
          <t>ttJTrans</t>
        </is>
      </c>
      <c r="B2735" s="38" t="inlineStr">
        <is>
          <t>0-4013-02</t>
        </is>
      </c>
      <c r="C2735" t="inlineStr">
        <is>
          <t>ER</t>
        </is>
      </c>
      <c r="E2735" t="inlineStr">
        <is>
          <t>ER</t>
        </is>
      </c>
      <c r="G2735" s="128" t="inlineStr"/>
      <c r="H2735" s="127" t="n">
        <v>46166</v>
      </c>
      <c r="J2735" s="38" t="inlineStr">
        <is>
          <t>0-4013-02</t>
        </is>
      </c>
      <c r="K2735" t="inlineStr">
        <is>
          <t>RGR114 CATERPILLAR 150 AWD MOTOR GRADER CATERPILLAR 150 AWD MOTOR GRADER</t>
        </is>
      </c>
      <c r="L2735" t="n">
        <v>0</v>
      </c>
      <c r="M2735" t="n">
        <v>0</v>
      </c>
      <c r="O2735" t="inlineStr">
        <is>
          <t>RGR114</t>
        </is>
      </c>
      <c r="Q2735" s="114" t="n">
        <v>0</v>
      </c>
      <c r="R2735" s="114" t="n">
        <v>604.17</v>
      </c>
      <c r="S2735" s="114" t="n">
        <v>0</v>
      </c>
      <c r="T2735" t="n">
        <v>0</v>
      </c>
    </row>
    <row r="2736">
      <c r="A2736" t="inlineStr">
        <is>
          <t>ttJTrans</t>
        </is>
      </c>
      <c r="B2736" s="38" t="inlineStr">
        <is>
          <t>0-4013-02</t>
        </is>
      </c>
      <c r="C2736" t="inlineStr">
        <is>
          <t>ER</t>
        </is>
      </c>
      <c r="E2736" t="inlineStr">
        <is>
          <t>ER</t>
        </is>
      </c>
      <c r="G2736" s="128" t="inlineStr"/>
      <c r="H2736" s="127" t="n">
        <v>46166</v>
      </c>
      <c r="J2736" s="38" t="inlineStr">
        <is>
          <t>0-4013-02</t>
        </is>
      </c>
      <c r="K2736" t="inlineStr">
        <is>
          <t>RGR114 CATERPILLAR 150 AWD MOTOR GRADER CATERPILLAR 150 AWD MOTOR GRADER</t>
        </is>
      </c>
      <c r="L2736" t="n">
        <v>0</v>
      </c>
      <c r="M2736" t="n">
        <v>0</v>
      </c>
      <c r="O2736" t="inlineStr">
        <is>
          <t>RGR114</t>
        </is>
      </c>
      <c r="Q2736" s="114" t="n">
        <v>0</v>
      </c>
      <c r="R2736" s="114" t="n">
        <v>604.17</v>
      </c>
      <c r="S2736" s="114" t="n">
        <v>0</v>
      </c>
      <c r="T2736" t="n">
        <v>0</v>
      </c>
    </row>
    <row r="2737">
      <c r="A2737" t="inlineStr">
        <is>
          <t>ttJTrans</t>
        </is>
      </c>
      <c r="B2737" s="38" t="inlineStr">
        <is>
          <t>0-4013-02</t>
        </is>
      </c>
      <c r="C2737" t="inlineStr">
        <is>
          <t>ER</t>
        </is>
      </c>
      <c r="E2737" t="inlineStr">
        <is>
          <t>ER</t>
        </is>
      </c>
      <c r="G2737" s="128" t="inlineStr"/>
      <c r="H2737" s="127" t="n">
        <v>46166</v>
      </c>
      <c r="J2737" s="38" t="inlineStr">
        <is>
          <t>0-4013-02</t>
        </is>
      </c>
      <c r="K2737" t="inlineStr">
        <is>
          <t>RGR114 CATERPILLAR 150 AWD MOTOR GRADER CATERPILLAR 150 AWD MOTOR GRADER</t>
        </is>
      </c>
      <c r="L2737" t="n">
        <v>0</v>
      </c>
      <c r="M2737" t="n">
        <v>0</v>
      </c>
      <c r="O2737" t="inlineStr">
        <is>
          <t>RGR114</t>
        </is>
      </c>
      <c r="Q2737" s="114" t="n">
        <v>0</v>
      </c>
      <c r="R2737" s="114" t="n">
        <v>604.17</v>
      </c>
      <c r="S2737" s="114" t="n">
        <v>0</v>
      </c>
      <c r="T2737" t="n">
        <v>0</v>
      </c>
    </row>
    <row r="2738">
      <c r="A2738" t="inlineStr">
        <is>
          <t>ttJTrans</t>
        </is>
      </c>
      <c r="B2738" s="38" t="inlineStr">
        <is>
          <t>0-4013-02</t>
        </is>
      </c>
      <c r="C2738" t="inlineStr">
        <is>
          <t>ER</t>
        </is>
      </c>
      <c r="E2738" t="inlineStr">
        <is>
          <t>ER</t>
        </is>
      </c>
      <c r="G2738" s="128" t="inlineStr"/>
      <c r="H2738" s="127" t="n">
        <v>46166</v>
      </c>
      <c r="J2738" s="38" t="inlineStr">
        <is>
          <t>0-4013-02</t>
        </is>
      </c>
      <c r="K2738" t="inlineStr">
        <is>
          <t>RFT890 CASE MAGNUN 220 FARM TRACTOR CASE MAGNUN 220 FARM TRACTOR</t>
        </is>
      </c>
      <c r="L2738" t="n">
        <v>0</v>
      </c>
      <c r="M2738" t="n">
        <v>0</v>
      </c>
      <c r="O2738" t="inlineStr">
        <is>
          <t>RFT890</t>
        </is>
      </c>
      <c r="Q2738" s="114" t="n">
        <v>0</v>
      </c>
      <c r="R2738" s="114" t="n">
        <v>500</v>
      </c>
      <c r="S2738" s="114" t="n">
        <v>0</v>
      </c>
      <c r="T2738" t="n">
        <v>0</v>
      </c>
    </row>
    <row r="2739">
      <c r="A2739" t="inlineStr">
        <is>
          <t>ttJTrans</t>
        </is>
      </c>
      <c r="B2739" s="38" t="inlineStr">
        <is>
          <t>0-4013-02</t>
        </is>
      </c>
      <c r="C2739" t="inlineStr">
        <is>
          <t>ER</t>
        </is>
      </c>
      <c r="E2739" t="inlineStr">
        <is>
          <t>ER</t>
        </is>
      </c>
      <c r="G2739" s="128" t="inlineStr"/>
      <c r="H2739" s="127" t="n">
        <v>46166</v>
      </c>
      <c r="J2739" s="38" t="inlineStr">
        <is>
          <t>0-4013-02</t>
        </is>
      </c>
      <c r="K2739" t="inlineStr">
        <is>
          <t>RFT890 CASE MAGNUN 220 FARM TRACTOR CASE MAGNUN 220 FARM TRACTOR</t>
        </is>
      </c>
      <c r="L2739" t="n">
        <v>0</v>
      </c>
      <c r="M2739" t="n">
        <v>0</v>
      </c>
      <c r="O2739" t="inlineStr">
        <is>
          <t>RFT890</t>
        </is>
      </c>
      <c r="Q2739" s="114" t="n">
        <v>0</v>
      </c>
      <c r="R2739" s="114" t="n">
        <v>500</v>
      </c>
      <c r="S2739" s="114" t="n">
        <v>0</v>
      </c>
      <c r="T2739" t="n">
        <v>0</v>
      </c>
    </row>
    <row r="2740">
      <c r="A2740" t="inlineStr">
        <is>
          <t>ttJTrans</t>
        </is>
      </c>
      <c r="B2740" s="38" t="inlineStr">
        <is>
          <t>0-4013-02</t>
        </is>
      </c>
      <c r="C2740" t="inlineStr">
        <is>
          <t>ER</t>
        </is>
      </c>
      <c r="E2740" t="inlineStr">
        <is>
          <t>ER</t>
        </is>
      </c>
      <c r="G2740" s="128" t="inlineStr"/>
      <c r="H2740" s="127" t="n">
        <v>46166</v>
      </c>
      <c r="J2740" s="38" t="inlineStr">
        <is>
          <t>0-4013-02</t>
        </is>
      </c>
      <c r="K2740" t="inlineStr">
        <is>
          <t>RFT890 CASE MAGNUN 220 FARM TRACTOR CASE MAGNUN 220 FARM TRACTOR</t>
        </is>
      </c>
      <c r="L2740" t="n">
        <v>0</v>
      </c>
      <c r="M2740" t="n">
        <v>0</v>
      </c>
      <c r="O2740" t="inlineStr">
        <is>
          <t>RFT890</t>
        </is>
      </c>
      <c r="Q2740" s="114" t="n">
        <v>0</v>
      </c>
      <c r="R2740" s="114" t="n">
        <v>500</v>
      </c>
      <c r="S2740" s="114" t="n">
        <v>0</v>
      </c>
      <c r="T2740" t="n">
        <v>0</v>
      </c>
    </row>
    <row r="2741">
      <c r="A2741" t="inlineStr">
        <is>
          <t>ttJTrans</t>
        </is>
      </c>
      <c r="B2741" s="38" t="inlineStr">
        <is>
          <t>0-4013-02</t>
        </is>
      </c>
      <c r="C2741" t="inlineStr">
        <is>
          <t>ER</t>
        </is>
      </c>
      <c r="E2741" t="inlineStr">
        <is>
          <t>ER</t>
        </is>
      </c>
      <c r="G2741" s="128" t="inlineStr"/>
      <c r="H2741" s="127" t="n">
        <v>46166</v>
      </c>
      <c r="J2741" s="38" t="inlineStr">
        <is>
          <t>0-4013-02</t>
        </is>
      </c>
      <c r="K2741" t="inlineStr">
        <is>
          <t>RFT892 CASE PUMA 200 FARM TRACTOR W FRONT LOADER CASE PUMA 200 FARM TRACTOR W FRONT LOADER</t>
        </is>
      </c>
      <c r="L2741" t="n">
        <v>0</v>
      </c>
      <c r="M2741" t="n">
        <v>0</v>
      </c>
      <c r="O2741" t="inlineStr">
        <is>
          <t>RFT892</t>
        </is>
      </c>
      <c r="Q2741" s="114" t="n">
        <v>0</v>
      </c>
      <c r="R2741" s="114" t="n">
        <v>508.33</v>
      </c>
      <c r="S2741" s="114" t="n">
        <v>0</v>
      </c>
      <c r="T2741" t="n">
        <v>0</v>
      </c>
    </row>
    <row r="2742">
      <c r="A2742" t="inlineStr">
        <is>
          <t>ttJTrans</t>
        </is>
      </c>
      <c r="B2742" s="38" t="inlineStr">
        <is>
          <t>0-4013-02</t>
        </is>
      </c>
      <c r="C2742" t="inlineStr">
        <is>
          <t>ER</t>
        </is>
      </c>
      <c r="E2742" t="inlineStr">
        <is>
          <t>ER</t>
        </is>
      </c>
      <c r="G2742" s="128" t="inlineStr"/>
      <c r="H2742" s="127" t="n">
        <v>46166</v>
      </c>
      <c r="J2742" s="38" t="inlineStr">
        <is>
          <t>0-4013-02</t>
        </is>
      </c>
      <c r="K2742" t="inlineStr">
        <is>
          <t>RFT892 CASE PUMA 200 FARM TRACTOR W FRONT LOADER CASE PUMA 200 FARM TRACTOR W FRONT LOADER</t>
        </is>
      </c>
      <c r="L2742" t="n">
        <v>0</v>
      </c>
      <c r="M2742" t="n">
        <v>0</v>
      </c>
      <c r="O2742" t="inlineStr">
        <is>
          <t>RFT892</t>
        </is>
      </c>
      <c r="Q2742" s="114" t="n">
        <v>0</v>
      </c>
      <c r="R2742" s="114" t="n">
        <v>508.33</v>
      </c>
      <c r="S2742" s="114" t="n">
        <v>0</v>
      </c>
      <c r="T2742" t="n">
        <v>0</v>
      </c>
    </row>
    <row r="2743">
      <c r="A2743" t="inlineStr">
        <is>
          <t>ttJTrans</t>
        </is>
      </c>
      <c r="B2743" s="38" t="inlineStr">
        <is>
          <t>0-4013-02</t>
        </is>
      </c>
      <c r="C2743" t="inlineStr">
        <is>
          <t>ER</t>
        </is>
      </c>
      <c r="E2743" t="inlineStr">
        <is>
          <t>ER</t>
        </is>
      </c>
      <c r="G2743" s="128" t="inlineStr"/>
      <c r="H2743" s="127" t="n">
        <v>46166</v>
      </c>
      <c r="J2743" s="38" t="inlineStr">
        <is>
          <t>0-4013-02</t>
        </is>
      </c>
      <c r="K2743" t="inlineStr">
        <is>
          <t>RFT892 CASE PUMA 200 FARM TRACTOR W FRONT LOADER CASE PUMA 200 FARM TRACTOR W FRONT LOADER</t>
        </is>
      </c>
      <c r="L2743" t="n">
        <v>0</v>
      </c>
      <c r="M2743" t="n">
        <v>0</v>
      </c>
      <c r="O2743" t="inlineStr">
        <is>
          <t>RFT892</t>
        </is>
      </c>
      <c r="Q2743" s="114" t="n">
        <v>0</v>
      </c>
      <c r="R2743" s="114" t="n">
        <v>508.33</v>
      </c>
      <c r="S2743" s="114" t="n">
        <v>0</v>
      </c>
      <c r="T2743" t="n">
        <v>0</v>
      </c>
    </row>
    <row r="2744">
      <c r="A2744" t="inlineStr">
        <is>
          <t>ttJTrans</t>
        </is>
      </c>
      <c r="B2744" s="38" t="inlineStr">
        <is>
          <t>0-4013-02</t>
        </is>
      </c>
      <c r="C2744" t="inlineStr">
        <is>
          <t>ER</t>
        </is>
      </c>
      <c r="E2744" t="inlineStr">
        <is>
          <t>ER</t>
        </is>
      </c>
      <c r="G2744" s="128" t="inlineStr"/>
      <c r="H2744" s="127" t="n">
        <v>46166</v>
      </c>
      <c r="J2744" s="38" t="inlineStr">
        <is>
          <t>0-4013-02</t>
        </is>
      </c>
      <c r="K2744" t="inlineStr">
        <is>
          <t>RFT891 CASE MAGNUM 220 FARM TRACTOR CASE MAGNUM 220 FARM TRACTOR</t>
        </is>
      </c>
      <c r="L2744" t="n">
        <v>0</v>
      </c>
      <c r="M2744" t="n">
        <v>0</v>
      </c>
      <c r="O2744" t="inlineStr">
        <is>
          <t>RFT891</t>
        </is>
      </c>
      <c r="Q2744" s="114" t="n">
        <v>0</v>
      </c>
      <c r="R2744" s="114" t="n">
        <v>500</v>
      </c>
      <c r="S2744" s="114" t="n">
        <v>0</v>
      </c>
      <c r="T2744" t="n">
        <v>0</v>
      </c>
    </row>
    <row r="2745">
      <c r="A2745" t="inlineStr">
        <is>
          <t>ttJTrans</t>
        </is>
      </c>
      <c r="B2745" s="38" t="inlineStr">
        <is>
          <t>0-4013-02</t>
        </is>
      </c>
      <c r="C2745" t="inlineStr">
        <is>
          <t>ER</t>
        </is>
      </c>
      <c r="E2745" t="inlineStr">
        <is>
          <t>ER</t>
        </is>
      </c>
      <c r="G2745" s="128" t="inlineStr"/>
      <c r="H2745" s="127" t="n">
        <v>46166</v>
      </c>
      <c r="J2745" s="38" t="inlineStr">
        <is>
          <t>0-4013-02</t>
        </is>
      </c>
      <c r="K2745" t="inlineStr">
        <is>
          <t>RFT891 CASE MAGNUM 220 FARM TRACTOR CASE MAGNUM 220 FARM TRACTOR</t>
        </is>
      </c>
      <c r="L2745" t="n">
        <v>0</v>
      </c>
      <c r="M2745" t="n">
        <v>0</v>
      </c>
      <c r="O2745" t="inlineStr">
        <is>
          <t>RFT891</t>
        </is>
      </c>
      <c r="Q2745" s="114" t="n">
        <v>0</v>
      </c>
      <c r="R2745" s="114" t="n">
        <v>500</v>
      </c>
      <c r="S2745" s="114" t="n">
        <v>0</v>
      </c>
      <c r="T2745" t="n">
        <v>0</v>
      </c>
    </row>
    <row r="2746">
      <c r="A2746" t="inlineStr">
        <is>
          <t>ttJTrans</t>
        </is>
      </c>
      <c r="B2746" s="38" t="inlineStr">
        <is>
          <t>0-4013-02</t>
        </is>
      </c>
      <c r="C2746" t="inlineStr">
        <is>
          <t>ER</t>
        </is>
      </c>
      <c r="E2746" t="inlineStr">
        <is>
          <t>ER</t>
        </is>
      </c>
      <c r="G2746" s="128" t="inlineStr"/>
      <c r="H2746" s="127" t="n">
        <v>46166</v>
      </c>
      <c r="J2746" s="38" t="inlineStr">
        <is>
          <t>0-4013-02</t>
        </is>
      </c>
      <c r="K2746" t="inlineStr">
        <is>
          <t>RFT891 CASE MAGNUM 220 FARM TRACTOR CASE MAGNUM 220 FARM TRACTOR</t>
        </is>
      </c>
      <c r="L2746" t="n">
        <v>0</v>
      </c>
      <c r="M2746" t="n">
        <v>0</v>
      </c>
      <c r="O2746" t="inlineStr">
        <is>
          <t>RFT891</t>
        </is>
      </c>
      <c r="Q2746" s="114" t="n">
        <v>0</v>
      </c>
      <c r="R2746" s="114" t="n">
        <v>500</v>
      </c>
      <c r="S2746" s="114" t="n">
        <v>0</v>
      </c>
      <c r="T2746" t="n">
        <v>0</v>
      </c>
    </row>
    <row r="2747">
      <c r="A2747" t="inlineStr">
        <is>
          <t>ttJTrans</t>
        </is>
      </c>
      <c r="B2747" s="38" t="inlineStr">
        <is>
          <t>0-4013-02</t>
        </is>
      </c>
      <c r="C2747" t="inlineStr">
        <is>
          <t>ER</t>
        </is>
      </c>
      <c r="E2747" t="inlineStr">
        <is>
          <t>ER</t>
        </is>
      </c>
      <c r="G2747" s="128" t="inlineStr"/>
      <c r="H2747" s="127" t="n">
        <v>46166</v>
      </c>
      <c r="J2747" s="38" t="inlineStr">
        <is>
          <t>0-4013-02</t>
        </is>
      </c>
      <c r="K2747" t="inlineStr">
        <is>
          <t>RMS2319 25' SMOOTH ROLLER FOR FARM TRACTOR 25' SMOOTH ROLLER FOR FARM TRACTOR</t>
        </is>
      </c>
      <c r="L2747" t="n">
        <v>0</v>
      </c>
      <c r="M2747" t="n">
        <v>0</v>
      </c>
      <c r="O2747" t="inlineStr">
        <is>
          <t>RMS2319</t>
        </is>
      </c>
      <c r="Q2747" s="114" t="n">
        <v>0</v>
      </c>
      <c r="R2747" s="114" t="n">
        <v>179.6</v>
      </c>
      <c r="S2747" s="114" t="n">
        <v>0</v>
      </c>
      <c r="T2747" t="n">
        <v>0</v>
      </c>
    </row>
    <row r="2748">
      <c r="A2748" t="inlineStr">
        <is>
          <t>ttJTrans</t>
        </is>
      </c>
      <c r="B2748" s="38" t="inlineStr">
        <is>
          <t>0-4013-02</t>
        </is>
      </c>
      <c r="C2748" t="inlineStr">
        <is>
          <t>ER</t>
        </is>
      </c>
      <c r="E2748" t="inlineStr">
        <is>
          <t>ER</t>
        </is>
      </c>
      <c r="G2748" s="128" t="inlineStr"/>
      <c r="H2748" s="127" t="n">
        <v>46166</v>
      </c>
      <c r="J2748" s="38" t="inlineStr">
        <is>
          <t>0-4013-02</t>
        </is>
      </c>
      <c r="K2748" t="inlineStr">
        <is>
          <t>RMS2319 25' SMOOTH ROLLER FOR FARM TRACTOR 25' SMOOTH ROLLER FOR FARM TRACTOR</t>
        </is>
      </c>
      <c r="L2748" t="n">
        <v>0</v>
      </c>
      <c r="M2748" t="n">
        <v>0</v>
      </c>
      <c r="O2748" t="inlineStr">
        <is>
          <t>RMS2319</t>
        </is>
      </c>
      <c r="Q2748" s="114" t="n">
        <v>0</v>
      </c>
      <c r="R2748" s="114" t="n">
        <v>179.6</v>
      </c>
      <c r="S2748" s="114" t="n">
        <v>0</v>
      </c>
      <c r="T2748" t="n">
        <v>0</v>
      </c>
    </row>
    <row r="2749">
      <c r="A2749" t="inlineStr">
        <is>
          <t>ttJTrans</t>
        </is>
      </c>
      <c r="B2749" s="38" t="inlineStr">
        <is>
          <t>0-4013-02</t>
        </is>
      </c>
      <c r="C2749" t="inlineStr">
        <is>
          <t>ER</t>
        </is>
      </c>
      <c r="E2749" t="inlineStr">
        <is>
          <t>ER</t>
        </is>
      </c>
      <c r="G2749" s="128" t="inlineStr"/>
      <c r="H2749" s="127" t="n">
        <v>46166</v>
      </c>
      <c r="J2749" s="38" t="inlineStr">
        <is>
          <t>0-4013-02</t>
        </is>
      </c>
      <c r="K2749" t="inlineStr">
        <is>
          <t>RMS2319 25' SMOOTH ROLLER FOR FARM TRACTOR 25' SMOOTH ROLLER FOR FARM TRACTOR</t>
        </is>
      </c>
      <c r="L2749" t="n">
        <v>0</v>
      </c>
      <c r="M2749" t="n">
        <v>0</v>
      </c>
      <c r="O2749" t="inlineStr">
        <is>
          <t>RMS2319</t>
        </is>
      </c>
      <c r="Q2749" s="114" t="n">
        <v>0</v>
      </c>
      <c r="R2749" s="114" t="n">
        <v>179.6</v>
      </c>
      <c r="S2749" s="114" t="n">
        <v>0</v>
      </c>
      <c r="T2749" t="n">
        <v>0</v>
      </c>
    </row>
    <row r="2750">
      <c r="A2750" t="inlineStr">
        <is>
          <t>ttJTrans</t>
        </is>
      </c>
      <c r="B2750" s="38" t="inlineStr">
        <is>
          <t>0-4013-02</t>
        </is>
      </c>
      <c r="C2750" t="inlineStr">
        <is>
          <t>ER</t>
        </is>
      </c>
      <c r="E2750" t="inlineStr">
        <is>
          <t>ER</t>
        </is>
      </c>
      <c r="G2750" s="128" t="inlineStr"/>
      <c r="H2750" s="127" t="n">
        <v>46166</v>
      </c>
      <c r="J2750" s="38" t="inlineStr">
        <is>
          <t>0-4013-02</t>
        </is>
      </c>
      <c r="K2750" t="inlineStr">
        <is>
          <t>RMS2321 SEED DRILL FOR FARM TRACTOR SEED DRILL FOR FARM TRACTOR</t>
        </is>
      </c>
      <c r="L2750" t="n">
        <v>0</v>
      </c>
      <c r="M2750" t="n">
        <v>0</v>
      </c>
      <c r="O2750" t="inlineStr">
        <is>
          <t>RMS2321</t>
        </is>
      </c>
      <c r="Q2750" s="114" t="n">
        <v>0</v>
      </c>
      <c r="R2750" s="114" t="n">
        <v>1077.59</v>
      </c>
      <c r="S2750" s="114" t="n">
        <v>0</v>
      </c>
      <c r="T2750" t="n">
        <v>0</v>
      </c>
    </row>
    <row r="2751">
      <c r="A2751" t="inlineStr">
        <is>
          <t>ttJTrans</t>
        </is>
      </c>
      <c r="B2751" s="38" t="inlineStr">
        <is>
          <t>0-4013-02</t>
        </is>
      </c>
      <c r="C2751" t="inlineStr">
        <is>
          <t>ER</t>
        </is>
      </c>
      <c r="E2751" t="inlineStr">
        <is>
          <t>ER</t>
        </is>
      </c>
      <c r="G2751" s="128" t="inlineStr"/>
      <c r="H2751" s="127" t="n">
        <v>46166</v>
      </c>
      <c r="J2751" s="38" t="inlineStr">
        <is>
          <t>0-4013-02</t>
        </is>
      </c>
      <c r="K2751" t="inlineStr">
        <is>
          <t>RMS2321 SEED DRILL FOR FARM TRACTOR SEED DRILL FOR FARM TRACTOR</t>
        </is>
      </c>
      <c r="L2751" t="n">
        <v>0</v>
      </c>
      <c r="M2751" t="n">
        <v>0</v>
      </c>
      <c r="O2751" t="inlineStr">
        <is>
          <t>RMS2321</t>
        </is>
      </c>
      <c r="Q2751" s="114" t="n">
        <v>0</v>
      </c>
      <c r="R2751" s="114" t="n">
        <v>1077.59</v>
      </c>
      <c r="S2751" s="114" t="n">
        <v>0</v>
      </c>
      <c r="T2751" t="n">
        <v>0</v>
      </c>
    </row>
    <row r="2752">
      <c r="A2752" t="inlineStr">
        <is>
          <t>ttJTrans</t>
        </is>
      </c>
      <c r="B2752" s="38" t="inlineStr">
        <is>
          <t>0-4013-02</t>
        </is>
      </c>
      <c r="C2752" t="inlineStr">
        <is>
          <t>ER</t>
        </is>
      </c>
      <c r="E2752" t="inlineStr">
        <is>
          <t>ER</t>
        </is>
      </c>
      <c r="G2752" s="128" t="inlineStr"/>
      <c r="H2752" s="127" t="n">
        <v>46166</v>
      </c>
      <c r="J2752" s="38" t="inlineStr">
        <is>
          <t>0-4013-02</t>
        </is>
      </c>
      <c r="K2752" t="inlineStr">
        <is>
          <t>RMS2321 SEED DRILL FOR FARM TRACTOR SEED DRILL FOR FARM TRACTOR</t>
        </is>
      </c>
      <c r="L2752" t="n">
        <v>0</v>
      </c>
      <c r="M2752" t="n">
        <v>0</v>
      </c>
      <c r="O2752" t="inlineStr">
        <is>
          <t>RMS2321</t>
        </is>
      </c>
      <c r="Q2752" s="114" t="n">
        <v>0</v>
      </c>
      <c r="R2752" s="114" t="n">
        <v>1077.59</v>
      </c>
      <c r="S2752" s="114" t="n">
        <v>0</v>
      </c>
      <c r="T2752" t="n">
        <v>0</v>
      </c>
    </row>
    <row r="2753">
      <c r="A2753" t="inlineStr">
        <is>
          <t>ttJTrans</t>
        </is>
      </c>
      <c r="B2753" s="38" t="inlineStr">
        <is>
          <t>0-4013-02</t>
        </is>
      </c>
      <c r="C2753" t="inlineStr">
        <is>
          <t>ER</t>
        </is>
      </c>
      <c r="E2753" t="inlineStr">
        <is>
          <t>ER</t>
        </is>
      </c>
      <c r="G2753" s="128" t="inlineStr"/>
      <c r="H2753" s="127" t="n">
        <v>46166</v>
      </c>
      <c r="J2753" s="38" t="inlineStr">
        <is>
          <t>0-4013-02</t>
        </is>
      </c>
      <c r="K2753" t="inlineStr">
        <is>
          <t>RLD293 TAKEUCHI TL10VS TRACK SKID STEER LOADER W TREE SAW ATTACHMENT TAKEUCHI TL10VS TRACK SKID STEER LOADER W TREE SAW ATTACHMENT</t>
        </is>
      </c>
      <c r="L2753" t="n">
        <v>0</v>
      </c>
      <c r="M2753" t="n">
        <v>0</v>
      </c>
      <c r="O2753" t="inlineStr">
        <is>
          <t>RLD293</t>
        </is>
      </c>
      <c r="Q2753" s="114" t="n">
        <v>0</v>
      </c>
      <c r="R2753" s="114" t="n">
        <v>282.06</v>
      </c>
      <c r="S2753" s="114" t="n">
        <v>0</v>
      </c>
      <c r="T2753" t="n">
        <v>0</v>
      </c>
    </row>
    <row r="2754">
      <c r="A2754" t="inlineStr">
        <is>
          <t>ttJTrans</t>
        </is>
      </c>
      <c r="B2754" s="38" t="inlineStr">
        <is>
          <t>0-4013-02</t>
        </is>
      </c>
      <c r="C2754" t="inlineStr">
        <is>
          <t>ER</t>
        </is>
      </c>
      <c r="E2754" t="inlineStr">
        <is>
          <t>ER</t>
        </is>
      </c>
      <c r="G2754" s="128" t="inlineStr"/>
      <c r="H2754" s="127" t="n">
        <v>46166</v>
      </c>
      <c r="J2754" s="38" t="inlineStr">
        <is>
          <t>0-4013-02</t>
        </is>
      </c>
      <c r="K2754" t="inlineStr">
        <is>
          <t>RLD293 TAKEUCHI TL10VS TRACK SKID STEER LOADER W TREE SAW ATTACHMENT TAKEUCHI TL10VS TRACK SKID STEER LOADER W TREE SAW ATTACHMENT</t>
        </is>
      </c>
      <c r="L2754" t="n">
        <v>0</v>
      </c>
      <c r="M2754" t="n">
        <v>0</v>
      </c>
      <c r="O2754" t="inlineStr">
        <is>
          <t>RLD293</t>
        </is>
      </c>
      <c r="Q2754" s="114" t="n">
        <v>0</v>
      </c>
      <c r="R2754" s="114" t="n">
        <v>282.06</v>
      </c>
      <c r="S2754" s="114" t="n">
        <v>0</v>
      </c>
      <c r="T2754" t="n">
        <v>0</v>
      </c>
    </row>
    <row r="2755">
      <c r="A2755" t="inlineStr">
        <is>
          <t>ttJTrans</t>
        </is>
      </c>
      <c r="B2755" s="38" t="inlineStr">
        <is>
          <t>0-4013-02</t>
        </is>
      </c>
      <c r="C2755" t="inlineStr">
        <is>
          <t>ER</t>
        </is>
      </c>
      <c r="E2755" t="inlineStr">
        <is>
          <t>ER</t>
        </is>
      </c>
      <c r="G2755" s="128" t="inlineStr"/>
      <c r="H2755" s="127" t="n">
        <v>46166</v>
      </c>
      <c r="J2755" s="38" t="inlineStr">
        <is>
          <t>0-4013-02</t>
        </is>
      </c>
      <c r="K2755" t="inlineStr">
        <is>
          <t>RLD293 TAKEUCHI TL10VS TRACK SKID STEER LOADER W TREE SAW ATTACHMENT TAKEUCHI TL10VS TRACK SKID STEER LOADER W TREE SAW ATTACHMENT</t>
        </is>
      </c>
      <c r="L2755" t="n">
        <v>0</v>
      </c>
      <c r="M2755" t="n">
        <v>0</v>
      </c>
      <c r="O2755" t="inlineStr">
        <is>
          <t>RLD293</t>
        </is>
      </c>
      <c r="Q2755" s="114" t="n">
        <v>0</v>
      </c>
      <c r="R2755" s="114" t="n">
        <v>282.06</v>
      </c>
      <c r="S2755" s="114" t="n">
        <v>0</v>
      </c>
      <c r="T2755" t="n">
        <v>0</v>
      </c>
    </row>
    <row r="2756">
      <c r="A2756" t="inlineStr">
        <is>
          <t>ttJTrans</t>
        </is>
      </c>
      <c r="B2756" s="38" t="inlineStr">
        <is>
          <t>0-4013-02</t>
        </is>
      </c>
      <c r="C2756" t="inlineStr">
        <is>
          <t>ER</t>
        </is>
      </c>
      <c r="E2756" t="inlineStr">
        <is>
          <t>ER</t>
        </is>
      </c>
      <c r="G2756" s="128" t="inlineStr"/>
      <c r="H2756" s="127" t="n">
        <v>46166</v>
      </c>
      <c r="J2756" s="38" t="inlineStr">
        <is>
          <t>0-4013-02</t>
        </is>
      </c>
      <c r="K2756" t="inlineStr">
        <is>
          <t>RHV96 PETERBILT 4,000 GALLON WATER TRUCK PETERBILT 4,000 GALLON WATER TRUCK</t>
        </is>
      </c>
      <c r="L2756" t="n">
        <v>0</v>
      </c>
      <c r="M2756" t="n">
        <v>0</v>
      </c>
      <c r="O2756" t="inlineStr">
        <is>
          <t>RHV96</t>
        </is>
      </c>
      <c r="Q2756" s="114" t="n">
        <v>0</v>
      </c>
      <c r="R2756" s="114" t="n">
        <v>200</v>
      </c>
      <c r="S2756" s="114" t="n">
        <v>0</v>
      </c>
      <c r="T2756" t="n">
        <v>0</v>
      </c>
    </row>
    <row r="2757">
      <c r="A2757" t="inlineStr">
        <is>
          <t>ttJTrans</t>
        </is>
      </c>
      <c r="B2757" s="38" t="inlineStr">
        <is>
          <t>0-4013-02</t>
        </is>
      </c>
      <c r="C2757" t="inlineStr">
        <is>
          <t>ER</t>
        </is>
      </c>
      <c r="E2757" t="inlineStr">
        <is>
          <t>ER</t>
        </is>
      </c>
      <c r="G2757" s="128" t="inlineStr"/>
      <c r="H2757" s="127" t="n">
        <v>46166</v>
      </c>
      <c r="J2757" s="38" t="inlineStr">
        <is>
          <t>0-4013-02</t>
        </is>
      </c>
      <c r="K2757" t="inlineStr">
        <is>
          <t>RHV96 PETERBILT 4,000 GALLON WATER TRUCK PETERBILT 4,000 GALLON WATER TRUCK</t>
        </is>
      </c>
      <c r="L2757" t="n">
        <v>0</v>
      </c>
      <c r="M2757" t="n">
        <v>0</v>
      </c>
      <c r="O2757" t="inlineStr">
        <is>
          <t>RHV96</t>
        </is>
      </c>
      <c r="Q2757" s="114" t="n">
        <v>0</v>
      </c>
      <c r="R2757" s="114" t="n">
        <v>200</v>
      </c>
      <c r="S2757" s="114" t="n">
        <v>0</v>
      </c>
      <c r="T2757" t="n">
        <v>0</v>
      </c>
    </row>
    <row r="2758">
      <c r="A2758" t="inlineStr">
        <is>
          <t>ttJTrans</t>
        </is>
      </c>
      <c r="B2758" s="38" t="inlineStr">
        <is>
          <t>0-4013-02</t>
        </is>
      </c>
      <c r="C2758" t="inlineStr">
        <is>
          <t>ER</t>
        </is>
      </c>
      <c r="E2758" t="inlineStr">
        <is>
          <t>ER</t>
        </is>
      </c>
      <c r="G2758" s="128" t="inlineStr"/>
      <c r="H2758" s="127" t="n">
        <v>46166</v>
      </c>
      <c r="J2758" s="38" t="inlineStr">
        <is>
          <t>0-4013-02</t>
        </is>
      </c>
      <c r="K2758" t="inlineStr">
        <is>
          <t>RHV96 PETERBILT 4,000 GALLON WATER TRUCK PETERBILT 4,000 GALLON WATER TRUCK</t>
        </is>
      </c>
      <c r="L2758" t="n">
        <v>0</v>
      </c>
      <c r="M2758" t="n">
        <v>0</v>
      </c>
      <c r="O2758" t="inlineStr">
        <is>
          <t>RHV96</t>
        </is>
      </c>
      <c r="Q2758" s="114" t="n">
        <v>0</v>
      </c>
      <c r="R2758" s="114" t="n">
        <v>200</v>
      </c>
      <c r="S2758" s="114" t="n">
        <v>0</v>
      </c>
      <c r="T2758" t="n">
        <v>0</v>
      </c>
    </row>
    <row r="2759">
      <c r="A2759" t="inlineStr">
        <is>
          <t>ttJTrans</t>
        </is>
      </c>
      <c r="B2759" s="38" t="inlineStr">
        <is>
          <t>0-4013-02</t>
        </is>
      </c>
      <c r="C2759" t="inlineStr">
        <is>
          <t>ER</t>
        </is>
      </c>
      <c r="E2759" t="inlineStr">
        <is>
          <t>ER</t>
        </is>
      </c>
      <c r="G2759" s="128" t="inlineStr"/>
      <c r="H2759" s="127" t="n">
        <v>46166</v>
      </c>
      <c r="J2759" s="38" t="inlineStr">
        <is>
          <t>0-4013-02</t>
        </is>
      </c>
      <c r="K2759" t="inlineStr">
        <is>
          <t>RMS2320 SEED DRILL FOR FARM TRACTOR SEED DRILL FOR FARM TRACTOR</t>
        </is>
      </c>
      <c r="L2759" t="n">
        <v>0</v>
      </c>
      <c r="M2759" t="n">
        <v>0</v>
      </c>
      <c r="O2759" t="inlineStr">
        <is>
          <t>RMS2320</t>
        </is>
      </c>
      <c r="Q2759" s="114" t="n">
        <v>0</v>
      </c>
      <c r="R2759" s="114" t="n">
        <v>1077.59</v>
      </c>
      <c r="S2759" s="114" t="n">
        <v>0</v>
      </c>
      <c r="T2759" t="n">
        <v>0</v>
      </c>
    </row>
    <row r="2760">
      <c r="A2760" t="inlineStr">
        <is>
          <t>ttJTrans</t>
        </is>
      </c>
      <c r="B2760" s="38" t="inlineStr">
        <is>
          <t>0-4013-02</t>
        </is>
      </c>
      <c r="C2760" t="inlineStr">
        <is>
          <t>ER</t>
        </is>
      </c>
      <c r="E2760" t="inlineStr">
        <is>
          <t>ER</t>
        </is>
      </c>
      <c r="G2760" s="128" t="inlineStr"/>
      <c r="H2760" s="127" t="n">
        <v>46166</v>
      </c>
      <c r="J2760" s="38" t="inlineStr">
        <is>
          <t>0-4013-02</t>
        </is>
      </c>
      <c r="K2760" t="inlineStr">
        <is>
          <t>RMS2320 SEED DRILL FOR FARM TRACTOR SEED DRILL FOR FARM TRACTOR</t>
        </is>
      </c>
      <c r="L2760" t="n">
        <v>0</v>
      </c>
      <c r="M2760" t="n">
        <v>0</v>
      </c>
      <c r="O2760" t="inlineStr">
        <is>
          <t>RMS2320</t>
        </is>
      </c>
      <c r="Q2760" s="114" t="n">
        <v>0</v>
      </c>
      <c r="R2760" s="114" t="n">
        <v>1077.59</v>
      </c>
      <c r="S2760" s="114" t="n">
        <v>0</v>
      </c>
      <c r="T2760" t="n">
        <v>0</v>
      </c>
    </row>
    <row r="2761">
      <c r="A2761" t="inlineStr">
        <is>
          <t>ttJTrans</t>
        </is>
      </c>
      <c r="B2761" s="38" t="inlineStr">
        <is>
          <t>0-4013-02</t>
        </is>
      </c>
      <c r="C2761" t="inlineStr">
        <is>
          <t>ER</t>
        </is>
      </c>
      <c r="E2761" t="inlineStr">
        <is>
          <t>ER</t>
        </is>
      </c>
      <c r="G2761" s="128" t="inlineStr"/>
      <c r="H2761" s="127" t="n">
        <v>46166</v>
      </c>
      <c r="J2761" s="38" t="inlineStr">
        <is>
          <t>0-4013-02</t>
        </is>
      </c>
      <c r="K2761" t="inlineStr">
        <is>
          <t>RMS2320 SEED DRILL FOR FARM TRACTOR SEED DRILL FOR FARM TRACTOR</t>
        </is>
      </c>
      <c r="L2761" t="n">
        <v>0</v>
      </c>
      <c r="M2761" t="n">
        <v>0</v>
      </c>
      <c r="O2761" t="inlineStr">
        <is>
          <t>RMS2320</t>
        </is>
      </c>
      <c r="Q2761" s="114" t="n">
        <v>0</v>
      </c>
      <c r="R2761" s="114" t="n">
        <v>1077.59</v>
      </c>
      <c r="S2761" s="114" t="n">
        <v>0</v>
      </c>
      <c r="T2761" t="n">
        <v>0</v>
      </c>
    </row>
    <row r="2762">
      <c r="A2762" t="inlineStr">
        <is>
          <t>ttJTrans</t>
        </is>
      </c>
      <c r="B2762" s="38" t="inlineStr">
        <is>
          <t>0-4013-02</t>
        </is>
      </c>
      <c r="C2762" t="inlineStr">
        <is>
          <t>ER</t>
        </is>
      </c>
      <c r="E2762" t="inlineStr">
        <is>
          <t>ER</t>
        </is>
      </c>
      <c r="G2762" s="128" t="inlineStr"/>
      <c r="H2762" s="127" t="n">
        <v>46166</v>
      </c>
      <c r="J2762" s="38" t="inlineStr">
        <is>
          <t>0-4013-02</t>
        </is>
      </c>
      <c r="K2762" t="inlineStr">
        <is>
          <t>REX665 330 CATERPILLAR EXCAVATOR 330 CATERPILLAR EXCAVATOR</t>
        </is>
      </c>
      <c r="L2762" t="n">
        <v>0</v>
      </c>
      <c r="M2762" t="n">
        <v>0</v>
      </c>
      <c r="O2762" t="inlineStr">
        <is>
          <t>REX665</t>
        </is>
      </c>
      <c r="Q2762" s="114" t="n">
        <v>0</v>
      </c>
      <c r="R2762" s="114" t="n">
        <v>458.33</v>
      </c>
      <c r="S2762" s="114" t="n">
        <v>0</v>
      </c>
      <c r="T2762" t="n">
        <v>0</v>
      </c>
    </row>
    <row r="2763">
      <c r="A2763" t="inlineStr">
        <is>
          <t>ttJTrans</t>
        </is>
      </c>
      <c r="B2763" s="38" t="inlineStr">
        <is>
          <t>0-4013-02</t>
        </is>
      </c>
      <c r="C2763" t="inlineStr">
        <is>
          <t>ER</t>
        </is>
      </c>
      <c r="E2763" t="inlineStr">
        <is>
          <t>ER</t>
        </is>
      </c>
      <c r="G2763" s="128" t="inlineStr"/>
      <c r="H2763" s="127" t="n">
        <v>46166</v>
      </c>
      <c r="J2763" s="38" t="inlineStr">
        <is>
          <t>0-4013-02</t>
        </is>
      </c>
      <c r="K2763" t="inlineStr">
        <is>
          <t>REX665 330 CATERPILLAR EXCAVATOR 330 CATERPILLAR EXCAVATOR</t>
        </is>
      </c>
      <c r="L2763" t="n">
        <v>0</v>
      </c>
      <c r="M2763" t="n">
        <v>0</v>
      </c>
      <c r="O2763" t="inlineStr">
        <is>
          <t>REX665</t>
        </is>
      </c>
      <c r="Q2763" s="114" t="n">
        <v>0</v>
      </c>
      <c r="R2763" s="114" t="n">
        <v>458.33</v>
      </c>
      <c r="S2763" s="114" t="n">
        <v>0</v>
      </c>
      <c r="T2763" t="n">
        <v>0</v>
      </c>
    </row>
    <row r="2764">
      <c r="A2764" t="inlineStr">
        <is>
          <t>ttJTrans</t>
        </is>
      </c>
      <c r="B2764" s="38" t="inlineStr">
        <is>
          <t>0-4013-02</t>
        </is>
      </c>
      <c r="C2764" t="inlineStr">
        <is>
          <t>ER</t>
        </is>
      </c>
      <c r="E2764" t="inlineStr">
        <is>
          <t>ER</t>
        </is>
      </c>
      <c r="G2764" s="128" t="inlineStr"/>
      <c r="H2764" s="127" t="n">
        <v>46166</v>
      </c>
      <c r="J2764" s="38" t="inlineStr">
        <is>
          <t>0-4013-02</t>
        </is>
      </c>
      <c r="K2764" t="inlineStr">
        <is>
          <t>REX665 330 CATERPILLAR EXCAVATOR 330 CATERPILLAR EXCAVATOR</t>
        </is>
      </c>
      <c r="L2764" t="n">
        <v>0</v>
      </c>
      <c r="M2764" t="n">
        <v>0</v>
      </c>
      <c r="O2764" t="inlineStr">
        <is>
          <t>REX665</t>
        </is>
      </c>
      <c r="Q2764" s="114" t="n">
        <v>0</v>
      </c>
      <c r="R2764" s="114" t="n">
        <v>458.33</v>
      </c>
      <c r="S2764" s="114" t="n">
        <v>0</v>
      </c>
      <c r="T2764" t="n">
        <v>0</v>
      </c>
    </row>
    <row r="2765">
      <c r="A2765" t="inlineStr">
        <is>
          <t>ttJTrans</t>
        </is>
      </c>
      <c r="B2765" s="38" t="inlineStr">
        <is>
          <t>0-4013-02</t>
        </is>
      </c>
      <c r="C2765" t="inlineStr">
        <is>
          <t>ER</t>
        </is>
      </c>
      <c r="E2765" t="inlineStr">
        <is>
          <t>ER</t>
        </is>
      </c>
      <c r="G2765" s="128" t="inlineStr"/>
      <c r="H2765" s="127" t="n">
        <v>46166</v>
      </c>
      <c r="J2765" s="38" t="inlineStr">
        <is>
          <t>0-4013-02</t>
        </is>
      </c>
      <c r="K2765" t="inlineStr">
        <is>
          <t>RPK482 HAMM 84' SINGLE DRUM ROLLER HAMM 84' SINGLE DRUM ROLLER</t>
        </is>
      </c>
      <c r="L2765" t="n">
        <v>0</v>
      </c>
      <c r="M2765" t="n">
        <v>0</v>
      </c>
      <c r="O2765" t="inlineStr">
        <is>
          <t>RPK482</t>
        </is>
      </c>
      <c r="Q2765" s="114" t="n">
        <v>0</v>
      </c>
      <c r="R2765" s="114" t="n">
        <v>300</v>
      </c>
      <c r="S2765" s="114" t="n">
        <v>0</v>
      </c>
      <c r="T2765" t="n">
        <v>0</v>
      </c>
    </row>
    <row r="2766">
      <c r="A2766" t="inlineStr">
        <is>
          <t>ttJTrans</t>
        </is>
      </c>
      <c r="B2766" s="38" t="inlineStr">
        <is>
          <t>0-4013-02</t>
        </is>
      </c>
      <c r="C2766" t="inlineStr">
        <is>
          <t>ER</t>
        </is>
      </c>
      <c r="E2766" t="inlineStr">
        <is>
          <t>ER</t>
        </is>
      </c>
      <c r="G2766" s="128" t="inlineStr"/>
      <c r="H2766" s="127" t="n">
        <v>46166</v>
      </c>
      <c r="J2766" s="38" t="inlineStr">
        <is>
          <t>0-4013-02</t>
        </is>
      </c>
      <c r="K2766" t="inlineStr">
        <is>
          <t>RPK482 HAMM 84' SINGLE DRUM ROLLER HAMM 84' SINGLE DRUM ROLLER</t>
        </is>
      </c>
      <c r="L2766" t="n">
        <v>0</v>
      </c>
      <c r="M2766" t="n">
        <v>0</v>
      </c>
      <c r="O2766" t="inlineStr">
        <is>
          <t>RPK482</t>
        </is>
      </c>
      <c r="Q2766" s="114" t="n">
        <v>0</v>
      </c>
      <c r="R2766" s="114" t="n">
        <v>300</v>
      </c>
      <c r="S2766" s="114" t="n">
        <v>0</v>
      </c>
      <c r="T2766" t="n">
        <v>0</v>
      </c>
    </row>
    <row r="2767">
      <c r="A2767" t="inlineStr">
        <is>
          <t>ttJTrans</t>
        </is>
      </c>
      <c r="B2767" s="38" t="inlineStr">
        <is>
          <t>0-4013-02</t>
        </is>
      </c>
      <c r="C2767" t="inlineStr">
        <is>
          <t>ER</t>
        </is>
      </c>
      <c r="E2767" t="inlineStr">
        <is>
          <t>ER</t>
        </is>
      </c>
      <c r="G2767" s="128" t="inlineStr"/>
      <c r="H2767" s="127" t="n">
        <v>46166</v>
      </c>
      <c r="J2767" s="38" t="inlineStr">
        <is>
          <t>0-4013-02</t>
        </is>
      </c>
      <c r="K2767" t="inlineStr">
        <is>
          <t>RPK482 HAMM 84' SINGLE DRUM ROLLER HAMM 84' SINGLE DRUM ROLLER</t>
        </is>
      </c>
      <c r="L2767" t="n">
        <v>0</v>
      </c>
      <c r="M2767" t="n">
        <v>0</v>
      </c>
      <c r="O2767" t="inlineStr">
        <is>
          <t>RPK482</t>
        </is>
      </c>
      <c r="Q2767" s="114" t="n">
        <v>0</v>
      </c>
      <c r="R2767" s="114" t="n">
        <v>300</v>
      </c>
      <c r="S2767" s="114" t="n">
        <v>0</v>
      </c>
      <c r="T2767" t="n">
        <v>0</v>
      </c>
    </row>
    <row r="2768">
      <c r="A2768" t="inlineStr">
        <is>
          <t>ttJTrans</t>
        </is>
      </c>
      <c r="B2768" s="38" t="inlineStr">
        <is>
          <t>0-4013-02</t>
        </is>
      </c>
      <c r="C2768" t="inlineStr">
        <is>
          <t>ER</t>
        </is>
      </c>
      <c r="E2768" t="inlineStr">
        <is>
          <t>ER</t>
        </is>
      </c>
      <c r="G2768" s="128" t="inlineStr"/>
      <c r="H2768" s="127" t="n">
        <v>46166</v>
      </c>
      <c r="J2768" s="38" t="inlineStr">
        <is>
          <t>0-4013-02</t>
        </is>
      </c>
      <c r="K2768" t="inlineStr">
        <is>
          <t>RMS2318 BROCE RCT350 WHEEL SWEEPER BROCE RCT350 WHEEL SWEEPER</t>
        </is>
      </c>
      <c r="L2768" t="n">
        <v>0</v>
      </c>
      <c r="M2768" t="n">
        <v>0</v>
      </c>
      <c r="O2768" t="inlineStr">
        <is>
          <t>RMS2318</t>
        </is>
      </c>
      <c r="Q2768" s="114" t="n">
        <v>0</v>
      </c>
      <c r="R2768" s="114" t="n">
        <v>200</v>
      </c>
      <c r="S2768" s="114" t="n">
        <v>0</v>
      </c>
      <c r="T2768" t="n">
        <v>0</v>
      </c>
    </row>
    <row r="2769">
      <c r="A2769" t="inlineStr">
        <is>
          <t>ttJTrans</t>
        </is>
      </c>
      <c r="B2769" s="38" t="inlineStr">
        <is>
          <t>0-4013-02</t>
        </is>
      </c>
      <c r="C2769" t="inlineStr">
        <is>
          <t>ER</t>
        </is>
      </c>
      <c r="E2769" t="inlineStr">
        <is>
          <t>ER</t>
        </is>
      </c>
      <c r="G2769" s="128" t="inlineStr"/>
      <c r="H2769" s="127" t="n">
        <v>46166</v>
      </c>
      <c r="J2769" s="38" t="inlineStr">
        <is>
          <t>0-4013-02</t>
        </is>
      </c>
      <c r="K2769" t="inlineStr">
        <is>
          <t>RMS2318 BROCE RCT350 WHEEL SWEEPER BROCE RCT350 WHEEL SWEEPER</t>
        </is>
      </c>
      <c r="L2769" t="n">
        <v>0</v>
      </c>
      <c r="M2769" t="n">
        <v>0</v>
      </c>
      <c r="O2769" t="inlineStr">
        <is>
          <t>RMS2318</t>
        </is>
      </c>
      <c r="Q2769" s="114" t="n">
        <v>0</v>
      </c>
      <c r="R2769" s="114" t="n">
        <v>200</v>
      </c>
      <c r="S2769" s="114" t="n">
        <v>0</v>
      </c>
      <c r="T2769" t="n">
        <v>0</v>
      </c>
    </row>
    <row r="2770">
      <c r="A2770" t="inlineStr">
        <is>
          <t>ttJTrans</t>
        </is>
      </c>
      <c r="B2770" s="38" t="inlineStr">
        <is>
          <t>0-4013-02</t>
        </is>
      </c>
      <c r="C2770" t="inlineStr">
        <is>
          <t>ER</t>
        </is>
      </c>
      <c r="E2770" t="inlineStr">
        <is>
          <t>ER</t>
        </is>
      </c>
      <c r="G2770" s="128" t="inlineStr"/>
      <c r="H2770" s="127" t="n">
        <v>46166</v>
      </c>
      <c r="J2770" s="38" t="inlineStr">
        <is>
          <t>0-4013-02</t>
        </is>
      </c>
      <c r="K2770" t="inlineStr">
        <is>
          <t>RMS2318 BROCE RCT350 WHEEL SWEEPER BROCE RCT350 WHEEL SWEEPER</t>
        </is>
      </c>
      <c r="L2770" t="n">
        <v>0</v>
      </c>
      <c r="M2770" t="n">
        <v>0</v>
      </c>
      <c r="O2770" t="inlineStr">
        <is>
          <t>RMS2318</t>
        </is>
      </c>
      <c r="Q2770" s="114" t="n">
        <v>0</v>
      </c>
      <c r="R2770" s="114" t="n">
        <v>200</v>
      </c>
      <c r="S2770" s="114" t="n">
        <v>0</v>
      </c>
      <c r="T2770" t="n">
        <v>0</v>
      </c>
    </row>
    <row r="2771">
      <c r="A2771" t="inlineStr">
        <is>
          <t>ttJTrans</t>
        </is>
      </c>
      <c r="B2771" s="38" t="inlineStr">
        <is>
          <t>0-4013-02</t>
        </is>
      </c>
      <c r="C2771" t="inlineStr">
        <is>
          <t>ER</t>
        </is>
      </c>
      <c r="E2771" t="inlineStr">
        <is>
          <t>ER</t>
        </is>
      </c>
      <c r="G2771" s="128" t="inlineStr"/>
      <c r="H2771" s="127" t="n">
        <v>46166</v>
      </c>
      <c r="J2771" s="38" t="inlineStr">
        <is>
          <t>0-4013-02</t>
        </is>
      </c>
      <c r="K2771" t="inlineStr">
        <is>
          <t>RMS2317 TRIMBLE TD540 TOTAL STATING TRIMBLE TD540 TOTAL STATING</t>
        </is>
      </c>
      <c r="L2771" t="n">
        <v>0</v>
      </c>
      <c r="M2771" t="n">
        <v>0</v>
      </c>
      <c r="O2771" t="inlineStr">
        <is>
          <t>RMS2317</t>
        </is>
      </c>
      <c r="Q2771" s="114" t="n">
        <v>0</v>
      </c>
      <c r="R2771" s="114" t="n">
        <v>287.36</v>
      </c>
      <c r="S2771" s="114" t="n">
        <v>0</v>
      </c>
      <c r="T2771" t="n">
        <v>0</v>
      </c>
    </row>
    <row r="2772">
      <c r="A2772" t="inlineStr">
        <is>
          <t>ttJTrans</t>
        </is>
      </c>
      <c r="B2772" s="38" t="inlineStr">
        <is>
          <t>0-4013-02</t>
        </is>
      </c>
      <c r="C2772" t="inlineStr">
        <is>
          <t>ER</t>
        </is>
      </c>
      <c r="E2772" t="inlineStr">
        <is>
          <t>ER</t>
        </is>
      </c>
      <c r="G2772" s="128" t="inlineStr"/>
      <c r="H2772" s="127" t="n">
        <v>46166</v>
      </c>
      <c r="J2772" s="38" t="inlineStr">
        <is>
          <t>0-4013-02</t>
        </is>
      </c>
      <c r="K2772" t="inlineStr">
        <is>
          <t>RMS2317 TRIMBLE TD540 TOTAL STATING TRIMBLE TD540 TOTAL STATING</t>
        </is>
      </c>
      <c r="L2772" t="n">
        <v>0</v>
      </c>
      <c r="M2772" t="n">
        <v>0</v>
      </c>
      <c r="O2772" t="inlineStr">
        <is>
          <t>RMS2317</t>
        </is>
      </c>
      <c r="Q2772" s="114" t="n">
        <v>0</v>
      </c>
      <c r="R2772" s="114" t="n">
        <v>287.36</v>
      </c>
      <c r="S2772" s="114" t="n">
        <v>0</v>
      </c>
      <c r="T2772" t="n">
        <v>0</v>
      </c>
    </row>
    <row r="2773">
      <c r="A2773" t="inlineStr">
        <is>
          <t>ttJTrans</t>
        </is>
      </c>
      <c r="B2773" s="38" t="inlineStr">
        <is>
          <t>0-4013-02</t>
        </is>
      </c>
      <c r="C2773" t="inlineStr">
        <is>
          <t>ER</t>
        </is>
      </c>
      <c r="E2773" t="inlineStr">
        <is>
          <t>ER</t>
        </is>
      </c>
      <c r="G2773" s="128" t="inlineStr"/>
      <c r="H2773" s="127" t="n">
        <v>46166</v>
      </c>
      <c r="J2773" s="38" t="inlineStr">
        <is>
          <t>0-4013-02</t>
        </is>
      </c>
      <c r="K2773" t="inlineStr">
        <is>
          <t>RMS2317 TRIMBLE TD540 TOTAL STATING TRIMBLE TD540 TOTAL STATING</t>
        </is>
      </c>
      <c r="L2773" t="n">
        <v>0</v>
      </c>
      <c r="M2773" t="n">
        <v>0</v>
      </c>
      <c r="O2773" t="inlineStr">
        <is>
          <t>RMS2317</t>
        </is>
      </c>
      <c r="Q2773" s="114" t="n">
        <v>0</v>
      </c>
      <c r="R2773" s="114" t="n">
        <v>287.36</v>
      </c>
      <c r="S2773" s="114" t="n">
        <v>0</v>
      </c>
      <c r="T2773" t="n">
        <v>0</v>
      </c>
    </row>
    <row r="2774">
      <c r="A2774" t="inlineStr">
        <is>
          <t>ttJTrans</t>
        </is>
      </c>
      <c r="B2774" s="38" t="inlineStr">
        <is>
          <t>0-4013-02</t>
        </is>
      </c>
      <c r="C2774" t="inlineStr">
        <is>
          <t>ER</t>
        </is>
      </c>
      <c r="E2774" t="inlineStr">
        <is>
          <t>ER</t>
        </is>
      </c>
      <c r="G2774" s="128" t="inlineStr"/>
      <c r="H2774" s="127" t="n">
        <v>46166</v>
      </c>
      <c r="J2774" s="38" t="inlineStr">
        <is>
          <t>0-4013-02</t>
        </is>
      </c>
      <c r="K2774" t="inlineStr">
        <is>
          <t>RMS2388 BUSH-HACKER 15' BRUSH CUTTER BUSH-HACKER 15' BRUSH CUTTER</t>
        </is>
      </c>
      <c r="L2774" t="n">
        <v>0</v>
      </c>
      <c r="M2774" t="n">
        <v>0</v>
      </c>
      <c r="O2774" t="inlineStr">
        <is>
          <t>RMS2388</t>
        </is>
      </c>
      <c r="Q2774" s="114" t="n">
        <v>0</v>
      </c>
      <c r="R2774" s="114" t="n">
        <v>125</v>
      </c>
      <c r="S2774" s="114" t="n">
        <v>0</v>
      </c>
      <c r="T2774" t="n">
        <v>0</v>
      </c>
    </row>
    <row r="2775">
      <c r="A2775" t="inlineStr">
        <is>
          <t>ttJTrans</t>
        </is>
      </c>
      <c r="B2775" s="38" t="inlineStr">
        <is>
          <t>0-4013-02</t>
        </is>
      </c>
      <c r="C2775" t="inlineStr">
        <is>
          <t>ER</t>
        </is>
      </c>
      <c r="E2775" t="inlineStr">
        <is>
          <t>ER</t>
        </is>
      </c>
      <c r="G2775" s="128" t="inlineStr"/>
      <c r="H2775" s="127" t="n">
        <v>46166</v>
      </c>
      <c r="J2775" s="38" t="inlineStr">
        <is>
          <t>0-4013-02</t>
        </is>
      </c>
      <c r="K2775" t="inlineStr">
        <is>
          <t>RMS2388 BUSH-HACKER 15' BRUSH CUTTER BUSH-HACKER 15' BRUSH CUTTER</t>
        </is>
      </c>
      <c r="L2775" t="n">
        <v>0</v>
      </c>
      <c r="M2775" t="n">
        <v>0</v>
      </c>
      <c r="O2775" t="inlineStr">
        <is>
          <t>RMS2388</t>
        </is>
      </c>
      <c r="Q2775" s="114" t="n">
        <v>0</v>
      </c>
      <c r="R2775" s="114" t="n">
        <v>125</v>
      </c>
      <c r="S2775" s="114" t="n">
        <v>0</v>
      </c>
      <c r="T2775" t="n">
        <v>0</v>
      </c>
    </row>
    <row r="2776">
      <c r="A2776" t="inlineStr">
        <is>
          <t>ttJTrans</t>
        </is>
      </c>
      <c r="B2776" s="38" t="inlineStr">
        <is>
          <t>0-4013-02</t>
        </is>
      </c>
      <c r="C2776" t="inlineStr">
        <is>
          <t>ER</t>
        </is>
      </c>
      <c r="E2776" t="inlineStr">
        <is>
          <t>ER</t>
        </is>
      </c>
      <c r="G2776" s="128" t="inlineStr"/>
      <c r="H2776" s="127" t="n">
        <v>46166</v>
      </c>
      <c r="J2776" s="38" t="inlineStr">
        <is>
          <t>0-4013-02</t>
        </is>
      </c>
      <c r="K2776" t="inlineStr">
        <is>
          <t>RMS2388 BUSH-HACKER 15' BRUSH CUTTER BUSH-HACKER 15' BRUSH CUTTER</t>
        </is>
      </c>
      <c r="L2776" t="n">
        <v>0</v>
      </c>
      <c r="M2776" t="n">
        <v>0</v>
      </c>
      <c r="O2776" t="inlineStr">
        <is>
          <t>RMS2388</t>
        </is>
      </c>
      <c r="Q2776" s="114" t="n">
        <v>0</v>
      </c>
      <c r="R2776" s="114" t="n">
        <v>125</v>
      </c>
      <c r="S2776" s="114" t="n">
        <v>0</v>
      </c>
      <c r="T2776" t="n">
        <v>0</v>
      </c>
    </row>
    <row r="2777">
      <c r="A2777" t="inlineStr">
        <is>
          <t>ttJTrans</t>
        </is>
      </c>
      <c r="B2777" s="38" t="inlineStr">
        <is>
          <t>0-4013-02</t>
        </is>
      </c>
      <c r="C2777" t="inlineStr">
        <is>
          <t>ER</t>
        </is>
      </c>
      <c r="E2777" t="inlineStr">
        <is>
          <t>ER</t>
        </is>
      </c>
      <c r="G2777" s="128" t="inlineStr"/>
      <c r="H2777" s="127" t="n">
        <v>46166</v>
      </c>
      <c r="J2777" s="38" t="inlineStr">
        <is>
          <t>0-4013-02</t>
        </is>
      </c>
      <c r="K2777" t="inlineStr">
        <is>
          <t>RLV100049 CHEVROLET 15 PASSENGER VAN CHEVROLET 15 PASSENGER VAN</t>
        </is>
      </c>
      <c r="L2777" t="n">
        <v>0</v>
      </c>
      <c r="M2777" t="n">
        <v>0</v>
      </c>
      <c r="O2777" t="inlineStr">
        <is>
          <t>RLV100049</t>
        </is>
      </c>
      <c r="Q2777" s="114" t="n">
        <v>0</v>
      </c>
      <c r="R2777" s="114" t="n">
        <v>109.92</v>
      </c>
      <c r="S2777" s="114" t="n">
        <v>0</v>
      </c>
      <c r="T2777" t="n">
        <v>0</v>
      </c>
    </row>
    <row r="2778">
      <c r="A2778" t="inlineStr">
        <is>
          <t>ttJTrans</t>
        </is>
      </c>
      <c r="B2778" s="38" t="inlineStr">
        <is>
          <t>0-4013-02</t>
        </is>
      </c>
      <c r="C2778" t="inlineStr">
        <is>
          <t>ER</t>
        </is>
      </c>
      <c r="E2778" t="inlineStr">
        <is>
          <t>ER</t>
        </is>
      </c>
      <c r="G2778" s="128" t="inlineStr"/>
      <c r="H2778" s="127" t="n">
        <v>46166</v>
      </c>
      <c r="J2778" s="38" t="inlineStr">
        <is>
          <t>0-4013-02</t>
        </is>
      </c>
      <c r="K2778" t="inlineStr">
        <is>
          <t>RLV100049 CHEVROLET 15 PASSENGER VAN CHEVROLET 15 PASSENGER VAN</t>
        </is>
      </c>
      <c r="L2778" t="n">
        <v>0</v>
      </c>
      <c r="M2778" t="n">
        <v>0</v>
      </c>
      <c r="O2778" t="inlineStr">
        <is>
          <t>RLV100049</t>
        </is>
      </c>
      <c r="Q2778" s="114" t="n">
        <v>0</v>
      </c>
      <c r="R2778" s="114" t="n">
        <v>109.92</v>
      </c>
      <c r="S2778" s="114" t="n">
        <v>0</v>
      </c>
      <c r="T2778" t="n">
        <v>0</v>
      </c>
    </row>
    <row r="2779">
      <c r="A2779" t="inlineStr">
        <is>
          <t>ttJTrans</t>
        </is>
      </c>
      <c r="B2779" s="38" t="inlineStr">
        <is>
          <t>0-4013-02</t>
        </is>
      </c>
      <c r="C2779" t="inlineStr">
        <is>
          <t>LA</t>
        </is>
      </c>
      <c r="E2779" t="inlineStr">
        <is>
          <t>LA</t>
        </is>
      </c>
      <c r="G2779" s="128" t="inlineStr"/>
      <c r="H2779" s="127" t="n">
        <v>46135</v>
      </c>
      <c r="J2779" s="38" t="inlineStr">
        <is>
          <t>0-4013-02</t>
        </is>
      </c>
      <c r="K2779" t="inlineStr">
        <is>
          <t>PR P0COST 000527 (PR) Summary</t>
        </is>
      </c>
      <c r="L2779" t="n">
        <v>0</v>
      </c>
      <c r="M2779" t="n">
        <v>0</v>
      </c>
      <c r="Q2779" s="114" t="n">
        <v>0</v>
      </c>
      <c r="R2779" s="114" t="n">
        <v>1558.07</v>
      </c>
      <c r="S2779" s="114" t="n">
        <v>0</v>
      </c>
      <c r="T2779" t="n">
        <v>14</v>
      </c>
    </row>
    <row r="2780">
      <c r="A2780" t="inlineStr">
        <is>
          <t>ttJTrans</t>
        </is>
      </c>
      <c r="B2780" s="38" t="inlineStr">
        <is>
          <t>0-4013-02</t>
        </is>
      </c>
      <c r="C2780" t="inlineStr">
        <is>
          <t>LA</t>
        </is>
      </c>
      <c r="E2780" t="inlineStr">
        <is>
          <t>LA</t>
        </is>
      </c>
      <c r="G2780" s="128" t="inlineStr"/>
      <c r="H2780" s="127" t="n">
        <v>46135</v>
      </c>
      <c r="J2780" s="38" t="inlineStr">
        <is>
          <t>0-4013-02</t>
        </is>
      </c>
      <c r="K2780" t="inlineStr">
        <is>
          <t>PR P0COST 000527 (PR) Summary</t>
        </is>
      </c>
      <c r="L2780" t="n">
        <v>0</v>
      </c>
      <c r="M2780" t="n">
        <v>0</v>
      </c>
      <c r="Q2780" s="114" t="n">
        <v>0</v>
      </c>
      <c r="R2780" s="114" t="n">
        <v>2309.18</v>
      </c>
      <c r="S2780" s="114" t="n">
        <v>0</v>
      </c>
      <c r="T2780" t="n">
        <v>28</v>
      </c>
    </row>
    <row r="2781">
      <c r="A2781" t="inlineStr">
        <is>
          <t>ttJTrans</t>
        </is>
      </c>
      <c r="B2781" s="38" t="inlineStr">
        <is>
          <t>0-4013-02</t>
        </is>
      </c>
      <c r="C2781" t="inlineStr">
        <is>
          <t>LA</t>
        </is>
      </c>
      <c r="E2781" t="inlineStr">
        <is>
          <t>LA</t>
        </is>
      </c>
      <c r="G2781" s="128" t="inlineStr"/>
      <c r="H2781" s="127" t="n">
        <v>46135</v>
      </c>
      <c r="J2781" s="38" t="inlineStr">
        <is>
          <t>0-4013-02</t>
        </is>
      </c>
      <c r="K2781" t="inlineStr">
        <is>
          <t>PR P0COST 000527 (PR) Summary</t>
        </is>
      </c>
      <c r="L2781" t="n">
        <v>0</v>
      </c>
      <c r="M2781" t="n">
        <v>0</v>
      </c>
      <c r="Q2781" s="114" t="n">
        <v>0</v>
      </c>
      <c r="R2781" s="114" t="n">
        <v>2309.18</v>
      </c>
      <c r="S2781" s="114" t="n">
        <v>0</v>
      </c>
      <c r="T2781" t="n">
        <v>28</v>
      </c>
    </row>
    <row r="2782">
      <c r="A2782" t="inlineStr">
        <is>
          <t>ttJTrans</t>
        </is>
      </c>
      <c r="B2782" s="38" t="inlineStr">
        <is>
          <t>0-4013-02</t>
        </is>
      </c>
      <c r="C2782" t="inlineStr">
        <is>
          <t>LA</t>
        </is>
      </c>
      <c r="E2782" t="inlineStr">
        <is>
          <t>LA</t>
        </is>
      </c>
      <c r="G2782" s="128" t="inlineStr"/>
      <c r="H2782" s="127" t="n">
        <v>46135</v>
      </c>
      <c r="J2782" s="38" t="inlineStr">
        <is>
          <t>0-4013-02</t>
        </is>
      </c>
      <c r="K2782" t="inlineStr">
        <is>
          <t>PR P0COST 000527 (PR) Summary</t>
        </is>
      </c>
      <c r="L2782" t="n">
        <v>0</v>
      </c>
      <c r="M2782" t="n">
        <v>0</v>
      </c>
      <c r="Q2782" s="114" t="n">
        <v>0</v>
      </c>
      <c r="R2782" s="114" t="n">
        <v>2090.36</v>
      </c>
      <c r="S2782" s="114" t="n">
        <v>0</v>
      </c>
      <c r="T2782" t="n">
        <v>24</v>
      </c>
    </row>
    <row r="2783">
      <c r="A2783" t="inlineStr">
        <is>
          <t>ttJTrans</t>
        </is>
      </c>
      <c r="B2783" s="38" t="inlineStr">
        <is>
          <t>0-4013-02</t>
        </is>
      </c>
      <c r="C2783" t="inlineStr">
        <is>
          <t>LA</t>
        </is>
      </c>
      <c r="E2783" t="inlineStr">
        <is>
          <t>LA</t>
        </is>
      </c>
      <c r="G2783" s="128" t="inlineStr"/>
      <c r="H2783" s="127" t="n">
        <v>46135</v>
      </c>
      <c r="J2783" s="38" t="inlineStr">
        <is>
          <t>0-4013-02</t>
        </is>
      </c>
      <c r="K2783" t="inlineStr">
        <is>
          <t>PR P0COST 000527 (PR) Summary</t>
        </is>
      </c>
      <c r="L2783" t="n">
        <v>0</v>
      </c>
      <c r="M2783" t="n">
        <v>0</v>
      </c>
      <c r="Q2783" s="114" t="n">
        <v>0</v>
      </c>
      <c r="R2783" s="114" t="n">
        <v>656.0700000000001</v>
      </c>
      <c r="S2783" s="114" t="n">
        <v>0</v>
      </c>
      <c r="T2783" t="n">
        <v>10.03</v>
      </c>
    </row>
    <row r="2784">
      <c r="A2784" t="inlineStr">
        <is>
          <t>ttJTrans</t>
        </is>
      </c>
      <c r="B2784" s="38" t="inlineStr">
        <is>
          <t>0-4013-02</t>
        </is>
      </c>
      <c r="C2784" t="inlineStr">
        <is>
          <t>LA</t>
        </is>
      </c>
      <c r="E2784" t="inlineStr">
        <is>
          <t>LA</t>
        </is>
      </c>
      <c r="G2784" s="128" t="inlineStr"/>
      <c r="H2784" s="127" t="n">
        <v>46135</v>
      </c>
      <c r="J2784" s="38" t="inlineStr">
        <is>
          <t>0-4013-02</t>
        </is>
      </c>
      <c r="K2784" t="inlineStr">
        <is>
          <t>PR P0COST 000527 (PR) Summary</t>
        </is>
      </c>
      <c r="L2784" t="n">
        <v>0</v>
      </c>
      <c r="M2784" t="n">
        <v>0</v>
      </c>
      <c r="Q2784" s="114" t="n">
        <v>0</v>
      </c>
      <c r="R2784" s="114" t="n">
        <v>608.75</v>
      </c>
      <c r="S2784" s="114" t="n">
        <v>0</v>
      </c>
      <c r="T2784" t="n">
        <v>10.34</v>
      </c>
    </row>
    <row r="2785">
      <c r="A2785" t="inlineStr">
        <is>
          <t>ttJTrans</t>
        </is>
      </c>
      <c r="B2785" s="38" t="inlineStr">
        <is>
          <t>0-4013-02</t>
        </is>
      </c>
      <c r="C2785" t="inlineStr">
        <is>
          <t>LA</t>
        </is>
      </c>
      <c r="E2785" t="inlineStr">
        <is>
          <t>LA</t>
        </is>
      </c>
      <c r="G2785" s="128" t="inlineStr"/>
      <c r="H2785" s="127" t="n">
        <v>46135</v>
      </c>
      <c r="J2785" s="38" t="inlineStr">
        <is>
          <t>0-4013-02</t>
        </is>
      </c>
      <c r="K2785" t="inlineStr">
        <is>
          <t>PR P0COST 000527 (PR) Summary</t>
        </is>
      </c>
      <c r="L2785" t="n">
        <v>0</v>
      </c>
      <c r="M2785" t="n">
        <v>0</v>
      </c>
      <c r="Q2785" s="114" t="n">
        <v>0</v>
      </c>
      <c r="R2785" s="114" t="n">
        <v>608.75</v>
      </c>
      <c r="S2785" s="114" t="n">
        <v>0</v>
      </c>
      <c r="T2785" t="n">
        <v>5</v>
      </c>
    </row>
    <row r="2786">
      <c r="A2786" t="inlineStr">
        <is>
          <t>ttJTrans</t>
        </is>
      </c>
      <c r="B2786" s="38" t="inlineStr">
        <is>
          <t>0-4013-02</t>
        </is>
      </c>
      <c r="C2786" t="inlineStr">
        <is>
          <t>LA</t>
        </is>
      </c>
      <c r="E2786" t="inlineStr">
        <is>
          <t>LA</t>
        </is>
      </c>
      <c r="G2786" s="128" t="inlineStr"/>
      <c r="H2786" s="127" t="n">
        <v>46142</v>
      </c>
      <c r="J2786" s="38" t="inlineStr">
        <is>
          <t>0-4013-02</t>
        </is>
      </c>
      <c r="K2786" t="inlineStr">
        <is>
          <t>PR P0COST 000528 (PR) Summary</t>
        </is>
      </c>
      <c r="L2786" t="n">
        <v>0</v>
      </c>
      <c r="M2786" t="n">
        <v>0</v>
      </c>
      <c r="Q2786" s="114" t="n">
        <v>0</v>
      </c>
      <c r="R2786" s="114" t="n">
        <v>2109.11</v>
      </c>
      <c r="S2786" s="114" t="n">
        <v>0</v>
      </c>
      <c r="T2786" t="n">
        <v>30</v>
      </c>
    </row>
    <row r="2787">
      <c r="A2787" t="inlineStr">
        <is>
          <t>ttJTrans</t>
        </is>
      </c>
      <c r="B2787" s="38" t="inlineStr">
        <is>
          <t>0-4013-02</t>
        </is>
      </c>
      <c r="C2787" t="inlineStr">
        <is>
          <t>LA</t>
        </is>
      </c>
      <c r="E2787" t="inlineStr">
        <is>
          <t>LA</t>
        </is>
      </c>
      <c r="G2787" s="128" t="inlineStr"/>
      <c r="H2787" s="127" t="n">
        <v>46142</v>
      </c>
      <c r="J2787" s="38" t="inlineStr">
        <is>
          <t>0-4013-02</t>
        </is>
      </c>
      <c r="K2787" t="inlineStr">
        <is>
          <t>PR P0COST 000528 (PR) Summary</t>
        </is>
      </c>
      <c r="L2787" t="n">
        <v>0</v>
      </c>
      <c r="M2787" t="n">
        <v>0</v>
      </c>
      <c r="Q2787" s="114" t="n">
        <v>0</v>
      </c>
      <c r="R2787" s="114" t="n">
        <v>2210.22</v>
      </c>
      <c r="S2787" s="114" t="n">
        <v>0</v>
      </c>
      <c r="T2787" t="n">
        <v>28</v>
      </c>
    </row>
    <row r="2788">
      <c r="A2788" t="inlineStr">
        <is>
          <t>ttJTrans</t>
        </is>
      </c>
      <c r="B2788" s="38" t="inlineStr">
        <is>
          <t>0-4013-02</t>
        </is>
      </c>
      <c r="C2788" t="inlineStr">
        <is>
          <t>LA</t>
        </is>
      </c>
      <c r="E2788" t="inlineStr">
        <is>
          <t>LA</t>
        </is>
      </c>
      <c r="G2788" s="128" t="inlineStr"/>
      <c r="H2788" s="127" t="n">
        <v>46142</v>
      </c>
      <c r="J2788" s="38" t="inlineStr">
        <is>
          <t>0-4013-02</t>
        </is>
      </c>
      <c r="K2788" t="inlineStr">
        <is>
          <t>PR P0COST 000528 (PR) Summary</t>
        </is>
      </c>
      <c r="L2788" t="n">
        <v>0</v>
      </c>
      <c r="M2788" t="n">
        <v>0</v>
      </c>
      <c r="Q2788" s="114" t="n">
        <v>0</v>
      </c>
      <c r="R2788" s="114" t="n">
        <v>1506.63</v>
      </c>
      <c r="S2788" s="114" t="n">
        <v>0</v>
      </c>
      <c r="T2788" t="n">
        <v>17.65</v>
      </c>
    </row>
    <row r="2789">
      <c r="A2789" t="inlineStr">
        <is>
          <t>ttJTrans</t>
        </is>
      </c>
      <c r="B2789" s="38" t="inlineStr">
        <is>
          <t>0-4013-02</t>
        </is>
      </c>
      <c r="C2789" t="inlineStr">
        <is>
          <t>LA</t>
        </is>
      </c>
      <c r="E2789" t="inlineStr">
        <is>
          <t>LA</t>
        </is>
      </c>
      <c r="G2789" s="128" t="inlineStr"/>
      <c r="H2789" s="127" t="n">
        <v>46142</v>
      </c>
      <c r="J2789" s="38" t="inlineStr">
        <is>
          <t>0-4013-02</t>
        </is>
      </c>
      <c r="K2789" t="inlineStr">
        <is>
          <t>PR P0COST 000528 (PR) Summary</t>
        </is>
      </c>
      <c r="L2789" t="n">
        <v>0</v>
      </c>
      <c r="M2789" t="n">
        <v>0</v>
      </c>
      <c r="Q2789" s="114" t="n">
        <v>0</v>
      </c>
      <c r="R2789" s="114" t="n">
        <v>1184.22</v>
      </c>
      <c r="S2789" s="114" t="n">
        <v>0</v>
      </c>
      <c r="T2789" t="n">
        <v>6</v>
      </c>
    </row>
    <row r="2790">
      <c r="A2790" t="inlineStr">
        <is>
          <t>ttJTrans</t>
        </is>
      </c>
      <c r="B2790" s="38" t="inlineStr">
        <is>
          <t>0-4013-02</t>
        </is>
      </c>
      <c r="C2790" t="inlineStr">
        <is>
          <t>LA</t>
        </is>
      </c>
      <c r="E2790" t="inlineStr">
        <is>
          <t>LA</t>
        </is>
      </c>
      <c r="G2790" s="128" t="inlineStr"/>
      <c r="H2790" s="127" t="n">
        <v>46142</v>
      </c>
      <c r="J2790" s="38" t="inlineStr">
        <is>
          <t>0-4013-02</t>
        </is>
      </c>
      <c r="K2790" t="inlineStr">
        <is>
          <t>PR P0COST 000528 (PR) Summary</t>
        </is>
      </c>
      <c r="L2790" t="n">
        <v>0</v>
      </c>
      <c r="M2790" t="n">
        <v>0</v>
      </c>
      <c r="Q2790" s="114" t="n">
        <v>0</v>
      </c>
      <c r="R2790" s="114" t="n">
        <v>700</v>
      </c>
      <c r="S2790" s="114" t="n">
        <v>0</v>
      </c>
      <c r="T2790" t="n">
        <v>0</v>
      </c>
    </row>
    <row r="2791">
      <c r="A2791" t="inlineStr">
        <is>
          <t>ttJTrans</t>
        </is>
      </c>
      <c r="B2791" s="38" t="inlineStr">
        <is>
          <t>0-4013-02</t>
        </is>
      </c>
      <c r="C2791" t="inlineStr">
        <is>
          <t>LA</t>
        </is>
      </c>
      <c r="E2791" t="inlineStr">
        <is>
          <t>LA</t>
        </is>
      </c>
      <c r="G2791" s="128" t="inlineStr"/>
      <c r="H2791" s="127" t="n">
        <v>46163</v>
      </c>
      <c r="J2791" s="38" t="inlineStr">
        <is>
          <t>0-4013-02</t>
        </is>
      </c>
      <c r="K2791" t="inlineStr">
        <is>
          <t>PR P0COST 000531 (PR) Summary</t>
        </is>
      </c>
      <c r="L2791" t="n">
        <v>0</v>
      </c>
      <c r="M2791" t="n">
        <v>0</v>
      </c>
      <c r="Q2791" s="114" t="n">
        <v>0</v>
      </c>
      <c r="R2791" s="114" t="n">
        <v>3605.6</v>
      </c>
      <c r="S2791" s="114" t="n">
        <v>0</v>
      </c>
      <c r="T2791" t="n">
        <v>44</v>
      </c>
    </row>
    <row r="2792">
      <c r="A2792" t="inlineStr">
        <is>
          <t>ttJTrans</t>
        </is>
      </c>
      <c r="B2792" s="38" t="inlineStr">
        <is>
          <t>0-4013-02</t>
        </is>
      </c>
      <c r="C2792" t="inlineStr">
        <is>
          <t>LA</t>
        </is>
      </c>
      <c r="E2792" t="inlineStr">
        <is>
          <t>LA</t>
        </is>
      </c>
      <c r="G2792" s="128" t="inlineStr"/>
      <c r="H2792" s="127" t="n">
        <v>46163</v>
      </c>
      <c r="J2792" s="38" t="inlineStr">
        <is>
          <t>0-4013-02</t>
        </is>
      </c>
      <c r="K2792" t="inlineStr">
        <is>
          <t>PR P0COST 000531 (PR) Summary</t>
        </is>
      </c>
      <c r="L2792" t="n">
        <v>0</v>
      </c>
      <c r="M2792" t="n">
        <v>0</v>
      </c>
      <c r="Q2792" s="114" t="n">
        <v>0</v>
      </c>
      <c r="R2792" s="114" t="n">
        <v>3115.72</v>
      </c>
      <c r="S2792" s="114" t="n">
        <v>0</v>
      </c>
      <c r="T2792" t="n">
        <v>38</v>
      </c>
    </row>
    <row r="2793">
      <c r="A2793" t="inlineStr">
        <is>
          <t>ttJTrans</t>
        </is>
      </c>
      <c r="B2793" s="38" t="inlineStr">
        <is>
          <t>0-4013-02</t>
        </is>
      </c>
      <c r="C2793" t="inlineStr">
        <is>
          <t>LA</t>
        </is>
      </c>
      <c r="E2793" t="inlineStr">
        <is>
          <t>LA</t>
        </is>
      </c>
      <c r="G2793" s="128" t="inlineStr"/>
      <c r="H2793" s="127" t="n">
        <v>46163</v>
      </c>
      <c r="J2793" s="38" t="inlineStr">
        <is>
          <t>0-4013-02</t>
        </is>
      </c>
      <c r="K2793" t="inlineStr">
        <is>
          <t>PR P0COST 000531 (PR) Summary</t>
        </is>
      </c>
      <c r="L2793" t="n">
        <v>0</v>
      </c>
      <c r="M2793" t="n">
        <v>0</v>
      </c>
      <c r="Q2793" s="114" t="n">
        <v>0</v>
      </c>
      <c r="R2793" s="114" t="n">
        <v>2889.24</v>
      </c>
      <c r="S2793" s="114" t="n">
        <v>0</v>
      </c>
      <c r="T2793" t="n">
        <v>34</v>
      </c>
    </row>
    <row r="2794">
      <c r="A2794" t="inlineStr">
        <is>
          <t>ttJTrans</t>
        </is>
      </c>
      <c r="B2794" s="38" t="inlineStr">
        <is>
          <t>0-4013-02</t>
        </is>
      </c>
      <c r="C2794" t="inlineStr">
        <is>
          <t>LA</t>
        </is>
      </c>
      <c r="E2794" t="inlineStr">
        <is>
          <t>LA</t>
        </is>
      </c>
      <c r="G2794" s="128" t="inlineStr"/>
      <c r="H2794" s="127" t="n">
        <v>46163</v>
      </c>
      <c r="J2794" s="38" t="inlineStr">
        <is>
          <t>0-4013-02</t>
        </is>
      </c>
      <c r="K2794" t="inlineStr">
        <is>
          <t>PR P0COST 000531 (PR) Summary</t>
        </is>
      </c>
      <c r="L2794" t="n">
        <v>0</v>
      </c>
      <c r="M2794" t="n">
        <v>0</v>
      </c>
      <c r="Q2794" s="114" t="n">
        <v>0</v>
      </c>
      <c r="R2794" s="114" t="n">
        <v>2317.98</v>
      </c>
      <c r="S2794" s="114" t="n">
        <v>0</v>
      </c>
      <c r="T2794" t="n">
        <v>40</v>
      </c>
    </row>
    <row r="2795">
      <c r="A2795" t="inlineStr">
        <is>
          <t>ttJTrans</t>
        </is>
      </c>
      <c r="B2795" s="38" t="inlineStr">
        <is>
          <t>0-4013-02</t>
        </is>
      </c>
      <c r="C2795" t="inlineStr">
        <is>
          <t>LA</t>
        </is>
      </c>
      <c r="E2795" t="inlineStr">
        <is>
          <t>LA</t>
        </is>
      </c>
      <c r="G2795" s="128" t="inlineStr"/>
      <c r="H2795" s="127" t="n">
        <v>46163</v>
      </c>
      <c r="J2795" s="38" t="inlineStr">
        <is>
          <t>0-4013-02</t>
        </is>
      </c>
      <c r="K2795" t="inlineStr">
        <is>
          <t>PR P0COST 000531 (PR) Summary</t>
        </is>
      </c>
      <c r="L2795" t="n">
        <v>0</v>
      </c>
      <c r="M2795" t="n">
        <v>0</v>
      </c>
      <c r="Q2795" s="114" t="n">
        <v>0</v>
      </c>
      <c r="R2795" s="114" t="n">
        <v>631.72</v>
      </c>
      <c r="S2795" s="114" t="n">
        <v>0</v>
      </c>
      <c r="T2795" t="n">
        <v>0</v>
      </c>
    </row>
    <row r="2796">
      <c r="A2796" t="inlineStr">
        <is>
          <t>ttJTrans</t>
        </is>
      </c>
      <c r="B2796" s="38" t="inlineStr">
        <is>
          <t>0-4013-02</t>
        </is>
      </c>
      <c r="C2796" t="inlineStr">
        <is>
          <t>LA</t>
        </is>
      </c>
      <c r="E2796" t="inlineStr">
        <is>
          <t>LA</t>
        </is>
      </c>
      <c r="G2796" s="128" t="inlineStr"/>
      <c r="H2796" s="127" t="n">
        <v>46163</v>
      </c>
      <c r="J2796" s="38" t="inlineStr">
        <is>
          <t>0-4013-02</t>
        </is>
      </c>
      <c r="K2796" t="inlineStr">
        <is>
          <t>PR P0COST 000531 (PR) Summary</t>
        </is>
      </c>
      <c r="L2796" t="n">
        <v>0</v>
      </c>
      <c r="M2796" t="n">
        <v>0</v>
      </c>
      <c r="Q2796" s="114" t="n">
        <v>0</v>
      </c>
      <c r="R2796" s="114" t="n">
        <v>501.62</v>
      </c>
      <c r="S2796" s="114" t="n">
        <v>0</v>
      </c>
      <c r="T2796" t="n">
        <v>8</v>
      </c>
    </row>
    <row r="2797">
      <c r="A2797" t="inlineStr">
        <is>
          <t>ttJTrans</t>
        </is>
      </c>
      <c r="B2797" s="38" t="inlineStr">
        <is>
          <t>0-4015</t>
        </is>
      </c>
      <c r="C2797" t="inlineStr">
        <is>
          <t>EQ</t>
        </is>
      </c>
      <c r="E2797" t="inlineStr">
        <is>
          <t>EQ</t>
        </is>
      </c>
      <c r="G2797" s="128" t="inlineStr"/>
      <c r="H2797" s="127" t="n">
        <v>46152</v>
      </c>
      <c r="J2797" s="38" t="inlineStr">
        <is>
          <t>0-4015</t>
        </is>
      </c>
      <c r="K2797" t="inlineStr">
        <is>
          <t>TR145 20' CARGO TRAILER 20' CARGO TRAILER</t>
        </is>
      </c>
      <c r="L2797" t="n">
        <v>0</v>
      </c>
      <c r="M2797" t="n">
        <v>0</v>
      </c>
      <c r="O2797" t="inlineStr">
        <is>
          <t>TR145</t>
        </is>
      </c>
      <c r="Q2797" s="114" t="n">
        <v>0</v>
      </c>
      <c r="R2797" s="114" t="n">
        <v>65</v>
      </c>
      <c r="S2797" s="114" t="n">
        <v>0</v>
      </c>
      <c r="T2797" t="n">
        <v>0</v>
      </c>
    </row>
    <row r="2798">
      <c r="A2798" t="inlineStr">
        <is>
          <t>ttJTrans</t>
        </is>
      </c>
      <c r="B2798" s="38" t="inlineStr">
        <is>
          <t>0-4015</t>
        </is>
      </c>
      <c r="C2798" t="inlineStr">
        <is>
          <t>EQ</t>
        </is>
      </c>
      <c r="E2798" t="inlineStr">
        <is>
          <t>EQ</t>
        </is>
      </c>
      <c r="G2798" s="128" t="inlineStr"/>
      <c r="H2798" s="127" t="n">
        <v>46152</v>
      </c>
      <c r="J2798" s="38" t="inlineStr">
        <is>
          <t>0-4015</t>
        </is>
      </c>
      <c r="K2798" t="inlineStr">
        <is>
          <t>TR145 20' CARGO TRAILER 20' CARGO TRAILER</t>
        </is>
      </c>
      <c r="L2798" t="n">
        <v>0</v>
      </c>
      <c r="M2798" t="n">
        <v>0</v>
      </c>
      <c r="O2798" t="inlineStr">
        <is>
          <t>TR145</t>
        </is>
      </c>
      <c r="Q2798" s="114" t="n">
        <v>0</v>
      </c>
      <c r="R2798" s="114" t="n">
        <v>65</v>
      </c>
      <c r="S2798" s="114" t="n">
        <v>0</v>
      </c>
      <c r="T2798" t="n">
        <v>0</v>
      </c>
    </row>
    <row r="2799">
      <c r="A2799" t="inlineStr">
        <is>
          <t>ttJTrans</t>
        </is>
      </c>
      <c r="B2799" s="38" t="inlineStr">
        <is>
          <t>0-4015</t>
        </is>
      </c>
      <c r="C2799" t="inlineStr">
        <is>
          <t>EQ</t>
        </is>
      </c>
      <c r="E2799" t="inlineStr">
        <is>
          <t>EQ</t>
        </is>
      </c>
      <c r="G2799" s="128" t="inlineStr"/>
      <c r="H2799" s="127" t="n">
        <v>46152</v>
      </c>
      <c r="J2799" s="38" t="inlineStr">
        <is>
          <t>0-4015</t>
        </is>
      </c>
      <c r="K2799" t="inlineStr">
        <is>
          <t>TR145 20' CARGO TRAILER 20' CARGO TRAILER</t>
        </is>
      </c>
      <c r="L2799" t="n">
        <v>0</v>
      </c>
      <c r="M2799" t="n">
        <v>0</v>
      </c>
      <c r="O2799" t="inlineStr">
        <is>
          <t>TR145</t>
        </is>
      </c>
      <c r="Q2799" s="114" t="n">
        <v>0</v>
      </c>
      <c r="R2799" s="114" t="n">
        <v>65</v>
      </c>
      <c r="S2799" s="114" t="n">
        <v>0</v>
      </c>
      <c r="T2799" t="n">
        <v>0</v>
      </c>
    </row>
    <row r="2800">
      <c r="A2800" t="inlineStr">
        <is>
          <t>ttJTrans</t>
        </is>
      </c>
      <c r="B2800" s="38" t="inlineStr">
        <is>
          <t>0-4015</t>
        </is>
      </c>
      <c r="C2800" t="inlineStr">
        <is>
          <t>EQ</t>
        </is>
      </c>
      <c r="E2800" t="inlineStr">
        <is>
          <t>EQ</t>
        </is>
      </c>
      <c r="G2800" s="128" t="inlineStr"/>
      <c r="H2800" s="127" t="n">
        <v>46152</v>
      </c>
      <c r="J2800" s="38" t="inlineStr">
        <is>
          <t>0-4015</t>
        </is>
      </c>
      <c r="K2800" t="inlineStr">
        <is>
          <t>TR145 20' CARGO TRAILER 20' CARGO TRAILER</t>
        </is>
      </c>
      <c r="L2800" t="n">
        <v>0</v>
      </c>
      <c r="M2800" t="n">
        <v>0</v>
      </c>
      <c r="O2800" t="inlineStr">
        <is>
          <t>TR145</t>
        </is>
      </c>
      <c r="Q2800" s="114" t="n">
        <v>0</v>
      </c>
      <c r="R2800" s="114" t="n">
        <v>65</v>
      </c>
      <c r="S2800" s="114" t="n">
        <v>0</v>
      </c>
      <c r="T2800" t="n">
        <v>0</v>
      </c>
    </row>
    <row r="2801">
      <c r="A2801" t="inlineStr">
        <is>
          <t>ttJTrans</t>
        </is>
      </c>
      <c r="B2801" s="38" t="inlineStr">
        <is>
          <t>0-4015</t>
        </is>
      </c>
      <c r="C2801" t="inlineStr">
        <is>
          <t>EQ</t>
        </is>
      </c>
      <c r="E2801" t="inlineStr">
        <is>
          <t>EQ</t>
        </is>
      </c>
      <c r="G2801" s="128" t="inlineStr"/>
      <c r="H2801" s="127" t="n">
        <v>46159</v>
      </c>
      <c r="J2801" s="38" t="inlineStr">
        <is>
          <t>0-4015</t>
        </is>
      </c>
      <c r="K2801" t="inlineStr">
        <is>
          <t>TR145 20' CARGO TRAILER 20' CARGO TRAILER</t>
        </is>
      </c>
      <c r="L2801" t="n">
        <v>0</v>
      </c>
      <c r="M2801" t="n">
        <v>0</v>
      </c>
      <c r="O2801" t="inlineStr">
        <is>
          <t>TR145</t>
        </is>
      </c>
      <c r="Q2801" s="114" t="n">
        <v>0</v>
      </c>
      <c r="R2801" s="114" t="n">
        <v>65</v>
      </c>
      <c r="S2801" s="114" t="n">
        <v>0</v>
      </c>
      <c r="T2801" t="n">
        <v>0</v>
      </c>
    </row>
    <row r="2802">
      <c r="A2802" t="inlineStr">
        <is>
          <t>ttJTrans</t>
        </is>
      </c>
      <c r="B2802" s="38" t="inlineStr">
        <is>
          <t>0-4015</t>
        </is>
      </c>
      <c r="C2802" t="inlineStr">
        <is>
          <t>EQ</t>
        </is>
      </c>
      <c r="E2802" t="inlineStr">
        <is>
          <t>EQ</t>
        </is>
      </c>
      <c r="G2802" s="128" t="inlineStr"/>
      <c r="H2802" s="127" t="n">
        <v>46159</v>
      </c>
      <c r="J2802" s="38" t="inlineStr">
        <is>
          <t>0-4015</t>
        </is>
      </c>
      <c r="K2802" t="inlineStr">
        <is>
          <t>TR145 20' CARGO TRAILER 20' CARGO TRAILER</t>
        </is>
      </c>
      <c r="L2802" t="n">
        <v>0</v>
      </c>
      <c r="M2802" t="n">
        <v>0</v>
      </c>
      <c r="O2802" t="inlineStr">
        <is>
          <t>TR145</t>
        </is>
      </c>
      <c r="Q2802" s="114" t="n">
        <v>0</v>
      </c>
      <c r="R2802" s="114" t="n">
        <v>65</v>
      </c>
      <c r="S2802" s="114" t="n">
        <v>0</v>
      </c>
      <c r="T2802" t="n">
        <v>0</v>
      </c>
    </row>
    <row r="2803">
      <c r="A2803" t="inlineStr">
        <is>
          <t>ttJTrans</t>
        </is>
      </c>
      <c r="B2803" s="38" t="inlineStr">
        <is>
          <t>0-4015</t>
        </is>
      </c>
      <c r="C2803" t="inlineStr">
        <is>
          <t>EQ</t>
        </is>
      </c>
      <c r="E2803" t="inlineStr">
        <is>
          <t>EQ</t>
        </is>
      </c>
      <c r="G2803" s="128" t="inlineStr"/>
      <c r="H2803" s="127" t="n">
        <v>46159</v>
      </c>
      <c r="J2803" s="38" t="inlineStr">
        <is>
          <t>0-4015</t>
        </is>
      </c>
      <c r="K2803" t="inlineStr">
        <is>
          <t>TR145 20' CARGO TRAILER 20' CARGO TRAILER</t>
        </is>
      </c>
      <c r="L2803" t="n">
        <v>0</v>
      </c>
      <c r="M2803" t="n">
        <v>0</v>
      </c>
      <c r="O2803" t="inlineStr">
        <is>
          <t>TR145</t>
        </is>
      </c>
      <c r="Q2803" s="114" t="n">
        <v>0</v>
      </c>
      <c r="R2803" s="114" t="n">
        <v>65</v>
      </c>
      <c r="S2803" s="114" t="n">
        <v>0</v>
      </c>
      <c r="T2803" t="n">
        <v>0</v>
      </c>
    </row>
    <row r="2804">
      <c r="A2804" t="inlineStr">
        <is>
          <t>ttJTrans</t>
        </is>
      </c>
      <c r="B2804" s="38" t="inlineStr">
        <is>
          <t>0-4015</t>
        </is>
      </c>
      <c r="C2804" t="inlineStr">
        <is>
          <t>EQ</t>
        </is>
      </c>
      <c r="E2804" t="inlineStr">
        <is>
          <t>EQ</t>
        </is>
      </c>
      <c r="G2804" s="128" t="inlineStr"/>
      <c r="H2804" s="127" t="n">
        <v>46159</v>
      </c>
      <c r="J2804" s="38" t="inlineStr">
        <is>
          <t>0-4015</t>
        </is>
      </c>
      <c r="K2804" t="inlineStr">
        <is>
          <t>TR145 20' CARGO TRAILER 20' CARGO TRAILER</t>
        </is>
      </c>
      <c r="L2804" t="n">
        <v>0</v>
      </c>
      <c r="M2804" t="n">
        <v>0</v>
      </c>
      <c r="O2804" t="inlineStr">
        <is>
          <t>TR145</t>
        </is>
      </c>
      <c r="Q2804" s="114" t="n">
        <v>0</v>
      </c>
      <c r="R2804" s="114" t="n">
        <v>65</v>
      </c>
      <c r="S2804" s="114" t="n">
        <v>0</v>
      </c>
      <c r="T2804" t="n">
        <v>0</v>
      </c>
    </row>
    <row r="2805">
      <c r="A2805" t="inlineStr">
        <is>
          <t>ttJTrans</t>
        </is>
      </c>
      <c r="B2805" s="38" t="inlineStr">
        <is>
          <t>0-4015</t>
        </is>
      </c>
      <c r="C2805" t="inlineStr">
        <is>
          <t>EQ</t>
        </is>
      </c>
      <c r="E2805" t="inlineStr">
        <is>
          <t>EQ</t>
        </is>
      </c>
      <c r="G2805" s="128" t="inlineStr"/>
      <c r="H2805" s="127" t="n">
        <v>46159</v>
      </c>
      <c r="J2805" s="38" t="inlineStr">
        <is>
          <t>0-4015</t>
        </is>
      </c>
      <c r="K2805" t="inlineStr">
        <is>
          <t>TR145 20' CARGO TRAILER 20' CARGO TRAILER</t>
        </is>
      </c>
      <c r="L2805" t="n">
        <v>0</v>
      </c>
      <c r="M2805" t="n">
        <v>0</v>
      </c>
      <c r="O2805" t="inlineStr">
        <is>
          <t>TR145</t>
        </is>
      </c>
      <c r="Q2805" s="114" t="n">
        <v>0</v>
      </c>
      <c r="R2805" s="114" t="n">
        <v>65</v>
      </c>
      <c r="S2805" s="114" t="n">
        <v>0</v>
      </c>
      <c r="T2805" t="n">
        <v>0</v>
      </c>
    </row>
    <row r="2806">
      <c r="A2806" t="inlineStr">
        <is>
          <t>ttJTrans</t>
        </is>
      </c>
      <c r="B2806" s="38" t="inlineStr">
        <is>
          <t>0-4015</t>
        </is>
      </c>
      <c r="C2806" t="inlineStr">
        <is>
          <t>EQ</t>
        </is>
      </c>
      <c r="E2806" t="inlineStr">
        <is>
          <t>EQ</t>
        </is>
      </c>
      <c r="G2806" s="128" t="inlineStr"/>
      <c r="H2806" s="127" t="n">
        <v>46166</v>
      </c>
      <c r="J2806" s="38" t="inlineStr">
        <is>
          <t>0-4015</t>
        </is>
      </c>
      <c r="K2806" t="inlineStr">
        <is>
          <t>TR145 20' CARGO TRAILER 20' CARGO TRAILER</t>
        </is>
      </c>
      <c r="L2806" t="n">
        <v>0</v>
      </c>
      <c r="M2806" t="n">
        <v>0</v>
      </c>
      <c r="O2806" t="inlineStr">
        <is>
          <t>TR145</t>
        </is>
      </c>
      <c r="Q2806" s="114" t="n">
        <v>0</v>
      </c>
      <c r="R2806" s="114" t="n">
        <v>65</v>
      </c>
      <c r="S2806" s="114" t="n">
        <v>0</v>
      </c>
      <c r="T2806" t="n">
        <v>0</v>
      </c>
    </row>
    <row r="2807">
      <c r="A2807" t="inlineStr">
        <is>
          <t>ttJTrans</t>
        </is>
      </c>
      <c r="B2807" s="38" t="inlineStr">
        <is>
          <t>0-4015</t>
        </is>
      </c>
      <c r="C2807" t="inlineStr">
        <is>
          <t>EQ</t>
        </is>
      </c>
      <c r="E2807" t="inlineStr">
        <is>
          <t>EQ</t>
        </is>
      </c>
      <c r="G2807" s="128" t="inlineStr"/>
      <c r="H2807" s="127" t="n">
        <v>46166</v>
      </c>
      <c r="J2807" s="38" t="inlineStr">
        <is>
          <t>0-4015</t>
        </is>
      </c>
      <c r="K2807" t="inlineStr">
        <is>
          <t>TR145 20' CARGO TRAILER 20' CARGO TRAILER</t>
        </is>
      </c>
      <c r="L2807" t="n">
        <v>0</v>
      </c>
      <c r="M2807" t="n">
        <v>0</v>
      </c>
      <c r="O2807" t="inlineStr">
        <is>
          <t>TR145</t>
        </is>
      </c>
      <c r="Q2807" s="114" t="n">
        <v>0</v>
      </c>
      <c r="R2807" s="114" t="n">
        <v>65</v>
      </c>
      <c r="S2807" s="114" t="n">
        <v>0</v>
      </c>
      <c r="T2807" t="n">
        <v>0</v>
      </c>
    </row>
    <row r="2808">
      <c r="A2808" t="inlineStr">
        <is>
          <t>ttJTrans</t>
        </is>
      </c>
      <c r="B2808" s="38" t="inlineStr">
        <is>
          <t>0-4015</t>
        </is>
      </c>
      <c r="C2808" t="inlineStr">
        <is>
          <t>EQ</t>
        </is>
      </c>
      <c r="E2808" t="inlineStr">
        <is>
          <t>EQ</t>
        </is>
      </c>
      <c r="G2808" s="128" t="inlineStr"/>
      <c r="H2808" s="127" t="n">
        <v>46166</v>
      </c>
      <c r="J2808" s="38" t="inlineStr">
        <is>
          <t>0-4015</t>
        </is>
      </c>
      <c r="K2808" t="inlineStr">
        <is>
          <t>TR145 20' CARGO TRAILER 20' CARGO TRAILER</t>
        </is>
      </c>
      <c r="L2808" t="n">
        <v>0</v>
      </c>
      <c r="M2808" t="n">
        <v>0</v>
      </c>
      <c r="O2808" t="inlineStr">
        <is>
          <t>TR145</t>
        </is>
      </c>
      <c r="Q2808" s="114" t="n">
        <v>0</v>
      </c>
      <c r="R2808" s="114" t="n">
        <v>65</v>
      </c>
      <c r="S2808" s="114" t="n">
        <v>0</v>
      </c>
      <c r="T2808" t="n">
        <v>0</v>
      </c>
    </row>
    <row r="2809">
      <c r="A2809" t="inlineStr">
        <is>
          <t>ttJTrans</t>
        </is>
      </c>
      <c r="B2809" s="38" t="inlineStr">
        <is>
          <t>0-4015</t>
        </is>
      </c>
      <c r="C2809" t="inlineStr">
        <is>
          <t>ER</t>
        </is>
      </c>
      <c r="E2809" t="inlineStr">
        <is>
          <t>ER</t>
        </is>
      </c>
      <c r="G2809" s="128" t="inlineStr"/>
      <c r="H2809" s="127" t="n">
        <v>46103</v>
      </c>
      <c r="J2809" s="38" t="inlineStr">
        <is>
          <t>0-4015</t>
        </is>
      </c>
      <c r="K2809" t="inlineStr">
        <is>
          <t>RMS2259 IC-75 IHI MOROOKA CRAWLER CARRIER W/ VACUUM UNIT IC-75 IHI MOROOKA CRAWLER CARRIER W/ VACUUM UNIT</t>
        </is>
      </c>
      <c r="L2809" t="n">
        <v>0</v>
      </c>
      <c r="M2809" t="n">
        <v>0</v>
      </c>
      <c r="O2809" t="inlineStr">
        <is>
          <t>RMS2259</t>
        </is>
      </c>
      <c r="Q2809" s="114" t="n">
        <v>0</v>
      </c>
      <c r="R2809" s="114" t="n">
        <v>459.77</v>
      </c>
      <c r="S2809" s="114" t="n">
        <v>0</v>
      </c>
      <c r="T2809" t="n">
        <v>0</v>
      </c>
    </row>
    <row r="2810">
      <c r="A2810" t="inlineStr">
        <is>
          <t>ttJTrans</t>
        </is>
      </c>
      <c r="B2810" s="38" t="inlineStr">
        <is>
          <t>0-4015</t>
        </is>
      </c>
      <c r="C2810" t="inlineStr">
        <is>
          <t>ER</t>
        </is>
      </c>
      <c r="E2810" t="inlineStr">
        <is>
          <t>ER</t>
        </is>
      </c>
      <c r="G2810" s="128" t="inlineStr"/>
      <c r="H2810" s="127" t="n">
        <v>46103</v>
      </c>
      <c r="J2810" s="38" t="inlineStr">
        <is>
          <t>0-4015</t>
        </is>
      </c>
      <c r="K2810" t="inlineStr">
        <is>
          <t>RMS2259 IC-75 IHI MOROOKA CRAWLER CARRIER W/ VACUUM UNIT IC-75 IHI MOROOKA CRAWLER CARRIER W/ VACUUM UNIT</t>
        </is>
      </c>
      <c r="L2810" t="n">
        <v>0</v>
      </c>
      <c r="M2810" t="n">
        <v>0</v>
      </c>
      <c r="O2810" t="inlineStr">
        <is>
          <t>RMS2259</t>
        </is>
      </c>
      <c r="Q2810" s="114" t="n">
        <v>0</v>
      </c>
      <c r="R2810" s="114" t="n">
        <v>459.77</v>
      </c>
      <c r="S2810" s="114" t="n">
        <v>0</v>
      </c>
      <c r="T2810" t="n">
        <v>0</v>
      </c>
    </row>
    <row r="2811">
      <c r="A2811" t="inlineStr">
        <is>
          <t>ttJTrans</t>
        </is>
      </c>
      <c r="B2811" s="38" t="inlineStr">
        <is>
          <t>0-4015</t>
        </is>
      </c>
      <c r="C2811" t="inlineStr">
        <is>
          <t>ER</t>
        </is>
      </c>
      <c r="E2811" t="inlineStr">
        <is>
          <t>ER</t>
        </is>
      </c>
      <c r="G2811" s="128" t="inlineStr"/>
      <c r="H2811" s="127" t="n">
        <v>46103</v>
      </c>
      <c r="J2811" s="38" t="inlineStr">
        <is>
          <t>0-4015</t>
        </is>
      </c>
      <c r="K2811" t="inlineStr">
        <is>
          <t>RMV34 2000 GAL WATER TRUCK 2000 GAL WATER TRUCK</t>
        </is>
      </c>
      <c r="L2811" t="n">
        <v>0</v>
      </c>
      <c r="M2811" t="n">
        <v>0</v>
      </c>
      <c r="O2811" t="inlineStr">
        <is>
          <t>RMV34</t>
        </is>
      </c>
      <c r="Q2811" s="114" t="n">
        <v>0</v>
      </c>
      <c r="R2811" s="114" t="n">
        <v>198.28</v>
      </c>
      <c r="S2811" s="114" t="n">
        <v>0</v>
      </c>
      <c r="T2811" t="n">
        <v>0</v>
      </c>
    </row>
    <row r="2812">
      <c r="A2812" t="inlineStr">
        <is>
          <t>ttJTrans</t>
        </is>
      </c>
      <c r="B2812" s="38" t="inlineStr">
        <is>
          <t>0-4015</t>
        </is>
      </c>
      <c r="C2812" t="inlineStr">
        <is>
          <t>ER</t>
        </is>
      </c>
      <c r="E2812" t="inlineStr">
        <is>
          <t>ER</t>
        </is>
      </c>
      <c r="G2812" s="128" t="inlineStr"/>
      <c r="H2812" s="127" t="n">
        <v>46103</v>
      </c>
      <c r="J2812" s="38" t="inlineStr">
        <is>
          <t>0-4015</t>
        </is>
      </c>
      <c r="K2812" t="inlineStr">
        <is>
          <t>RMV34 2000 GAL WATER TRUCK 2000 GAL WATER TRUCK</t>
        </is>
      </c>
      <c r="L2812" t="n">
        <v>0</v>
      </c>
      <c r="M2812" t="n">
        <v>0</v>
      </c>
      <c r="O2812" t="inlineStr">
        <is>
          <t>RMV34</t>
        </is>
      </c>
      <c r="Q2812" s="114" t="n">
        <v>0</v>
      </c>
      <c r="R2812" s="114" t="n">
        <v>198.28</v>
      </c>
      <c r="S2812" s="114" t="n">
        <v>0</v>
      </c>
      <c r="T2812" t="n">
        <v>0</v>
      </c>
    </row>
    <row r="2813">
      <c r="A2813" t="inlineStr">
        <is>
          <t>ttJTrans</t>
        </is>
      </c>
      <c r="B2813" s="38" t="inlineStr">
        <is>
          <t>0-4015</t>
        </is>
      </c>
      <c r="C2813" t="inlineStr">
        <is>
          <t>ER</t>
        </is>
      </c>
      <c r="E2813" t="inlineStr">
        <is>
          <t>ER</t>
        </is>
      </c>
      <c r="G2813" s="128" t="inlineStr"/>
      <c r="H2813" s="127" t="n">
        <v>46103</v>
      </c>
      <c r="J2813" s="38" t="inlineStr">
        <is>
          <t>0-4015</t>
        </is>
      </c>
      <c r="K2813" t="inlineStr">
        <is>
          <t>RMV34 2000 GAL WATER TRUCK 2000 GAL WATER TRUCK</t>
        </is>
      </c>
      <c r="L2813" t="n">
        <v>0</v>
      </c>
      <c r="M2813" t="n">
        <v>0</v>
      </c>
      <c r="O2813" t="inlineStr">
        <is>
          <t>RMV34</t>
        </is>
      </c>
      <c r="Q2813" s="114" t="n">
        <v>0</v>
      </c>
      <c r="R2813" s="114" t="n">
        <v>198.28</v>
      </c>
      <c r="S2813" s="114" t="n">
        <v>0</v>
      </c>
      <c r="T2813" t="n">
        <v>0</v>
      </c>
    </row>
    <row r="2814">
      <c r="A2814" t="inlineStr">
        <is>
          <t>ttJTrans</t>
        </is>
      </c>
      <c r="B2814" s="38" t="inlineStr">
        <is>
          <t>0-4015</t>
        </is>
      </c>
      <c r="C2814" t="inlineStr">
        <is>
          <t>ER</t>
        </is>
      </c>
      <c r="E2814" t="inlineStr">
        <is>
          <t>ER</t>
        </is>
      </c>
      <c r="G2814" s="128" t="inlineStr"/>
      <c r="H2814" s="127" t="n">
        <v>46103</v>
      </c>
      <c r="J2814" s="38" t="inlineStr">
        <is>
          <t>0-4015</t>
        </is>
      </c>
      <c r="K2814" t="inlineStr">
        <is>
          <t>RMV34 2000 GAL WATER TRUCK 2000 GAL WATER TRUCK</t>
        </is>
      </c>
      <c r="L2814" t="n">
        <v>0</v>
      </c>
      <c r="M2814" t="n">
        <v>0</v>
      </c>
      <c r="O2814" t="inlineStr">
        <is>
          <t>RMV34</t>
        </is>
      </c>
      <c r="Q2814" s="114" t="n">
        <v>0</v>
      </c>
      <c r="R2814" s="114" t="n">
        <v>198.28</v>
      </c>
      <c r="S2814" s="114" t="n">
        <v>0</v>
      </c>
      <c r="T2814" t="n">
        <v>0</v>
      </c>
    </row>
    <row r="2815">
      <c r="A2815" t="inlineStr">
        <is>
          <t>ttJTrans</t>
        </is>
      </c>
      <c r="B2815" s="38" t="inlineStr">
        <is>
          <t>0-4015</t>
        </is>
      </c>
      <c r="C2815" t="inlineStr">
        <is>
          <t>ER</t>
        </is>
      </c>
      <c r="E2815" t="inlineStr">
        <is>
          <t>ER</t>
        </is>
      </c>
      <c r="G2815" s="128" t="inlineStr"/>
      <c r="H2815" s="127" t="n">
        <v>46103</v>
      </c>
      <c r="J2815" s="38" t="inlineStr">
        <is>
          <t>0-4015</t>
        </is>
      </c>
      <c r="K2815" t="inlineStr">
        <is>
          <t>RLD287 3600-4000 LB SKID STEER JOHN DEERE 333P 3600-4000 LB SKID STEER JOHN DEERE 333P</t>
        </is>
      </c>
      <c r="L2815" t="n">
        <v>0</v>
      </c>
      <c r="M2815" t="n">
        <v>0</v>
      </c>
      <c r="O2815" t="inlineStr">
        <is>
          <t>RLD287</t>
        </is>
      </c>
      <c r="Q2815" s="114" t="n">
        <v>0</v>
      </c>
      <c r="R2815" s="114" t="n">
        <v>186.27</v>
      </c>
      <c r="S2815" s="114" t="n">
        <v>0</v>
      </c>
      <c r="T2815" t="n">
        <v>0</v>
      </c>
    </row>
    <row r="2816">
      <c r="A2816" t="inlineStr">
        <is>
          <t>ttJTrans</t>
        </is>
      </c>
      <c r="B2816" s="38" t="inlineStr">
        <is>
          <t>0-4015</t>
        </is>
      </c>
      <c r="C2816" t="inlineStr">
        <is>
          <t>ER</t>
        </is>
      </c>
      <c r="E2816" t="inlineStr">
        <is>
          <t>ER</t>
        </is>
      </c>
      <c r="G2816" s="128" t="inlineStr"/>
      <c r="H2816" s="127" t="n">
        <v>46103</v>
      </c>
      <c r="J2816" s="38" t="inlineStr">
        <is>
          <t>0-4015</t>
        </is>
      </c>
      <c r="K2816" t="inlineStr">
        <is>
          <t>RLD287 3600-4000 LB SKID STEER JOHN DEERE 333P 3600-4000 LB SKID STEER JOHN DEERE 333P</t>
        </is>
      </c>
      <c r="L2816" t="n">
        <v>0</v>
      </c>
      <c r="M2816" t="n">
        <v>0</v>
      </c>
      <c r="O2816" t="inlineStr">
        <is>
          <t>RLD287</t>
        </is>
      </c>
      <c r="Q2816" s="114" t="n">
        <v>0</v>
      </c>
      <c r="R2816" s="114" t="n">
        <v>186.27</v>
      </c>
      <c r="S2816" s="114" t="n">
        <v>0</v>
      </c>
      <c r="T2816" t="n">
        <v>0</v>
      </c>
    </row>
    <row r="2817">
      <c r="A2817" t="inlineStr">
        <is>
          <t>ttJTrans</t>
        </is>
      </c>
      <c r="B2817" s="38" t="inlineStr">
        <is>
          <t>0-4015</t>
        </is>
      </c>
      <c r="C2817" t="inlineStr">
        <is>
          <t>ER</t>
        </is>
      </c>
      <c r="E2817" t="inlineStr">
        <is>
          <t>ER</t>
        </is>
      </c>
      <c r="G2817" s="128" t="inlineStr"/>
      <c r="H2817" s="127" t="n">
        <v>46103</v>
      </c>
      <c r="J2817" s="38" t="inlineStr">
        <is>
          <t>0-4015</t>
        </is>
      </c>
      <c r="K2817" t="inlineStr">
        <is>
          <t>RLD287 3600-4000 LB SKID STEER JOHN DEERE 333P 3600-4000 LB SKID STEER JOHN DEERE 333P</t>
        </is>
      </c>
      <c r="L2817" t="n">
        <v>0</v>
      </c>
      <c r="M2817" t="n">
        <v>0</v>
      </c>
      <c r="O2817" t="inlineStr">
        <is>
          <t>RLD287</t>
        </is>
      </c>
      <c r="Q2817" s="114" t="n">
        <v>0</v>
      </c>
      <c r="R2817" s="114" t="n">
        <v>186.27</v>
      </c>
      <c r="S2817" s="114" t="n">
        <v>0</v>
      </c>
      <c r="T2817" t="n">
        <v>0</v>
      </c>
    </row>
    <row r="2818">
      <c r="A2818" t="inlineStr">
        <is>
          <t>ttJTrans</t>
        </is>
      </c>
      <c r="B2818" s="38" t="inlineStr">
        <is>
          <t>0-4015</t>
        </is>
      </c>
      <c r="C2818" t="inlineStr">
        <is>
          <t>ER</t>
        </is>
      </c>
      <c r="E2818" t="inlineStr">
        <is>
          <t>ER</t>
        </is>
      </c>
      <c r="G2818" s="128" t="inlineStr"/>
      <c r="H2818" s="127" t="n">
        <v>46103</v>
      </c>
      <c r="J2818" s="38" t="inlineStr">
        <is>
          <t>0-4015</t>
        </is>
      </c>
      <c r="K2818" t="inlineStr">
        <is>
          <t>RLD287 3600-4000 LB SKID STEER JOHN DEERE 333P 3600-4000 LB SKID STEER JOHN DEERE 333P</t>
        </is>
      </c>
      <c r="L2818" t="n">
        <v>0</v>
      </c>
      <c r="M2818" t="n">
        <v>0</v>
      </c>
      <c r="O2818" t="inlineStr">
        <is>
          <t>RLD287</t>
        </is>
      </c>
      <c r="Q2818" s="114" t="n">
        <v>0</v>
      </c>
      <c r="R2818" s="114" t="n">
        <v>186.27</v>
      </c>
      <c r="S2818" s="114" t="n">
        <v>0</v>
      </c>
      <c r="T2818" t="n">
        <v>0</v>
      </c>
    </row>
    <row r="2819">
      <c r="A2819" t="inlineStr">
        <is>
          <t>ttJTrans</t>
        </is>
      </c>
      <c r="B2819" s="38" t="inlineStr">
        <is>
          <t>0-4015</t>
        </is>
      </c>
      <c r="C2819" t="inlineStr">
        <is>
          <t>ER</t>
        </is>
      </c>
      <c r="E2819" t="inlineStr">
        <is>
          <t>ER</t>
        </is>
      </c>
      <c r="G2819" s="128" t="inlineStr"/>
      <c r="H2819" s="127" t="n">
        <v>46103</v>
      </c>
      <c r="J2819" s="38" t="inlineStr">
        <is>
          <t>0-4015</t>
        </is>
      </c>
      <c r="K2819" t="inlineStr">
        <is>
          <t>RLD287 3600-4000 LB SKID STEER JOHN DEERE 333P 3600-4000 LB SKID STEER JOHN DEERE 333P</t>
        </is>
      </c>
      <c r="L2819" t="n">
        <v>0</v>
      </c>
      <c r="M2819" t="n">
        <v>0</v>
      </c>
      <c r="O2819" t="inlineStr">
        <is>
          <t>RLD287</t>
        </is>
      </c>
      <c r="Q2819" s="114" t="n">
        <v>0</v>
      </c>
      <c r="R2819" s="114" t="n">
        <v>186.27</v>
      </c>
      <c r="S2819" s="114" t="n">
        <v>0</v>
      </c>
      <c r="T2819" t="n">
        <v>0</v>
      </c>
    </row>
    <row r="2820">
      <c r="A2820" t="inlineStr">
        <is>
          <t>ttJTrans</t>
        </is>
      </c>
      <c r="B2820" s="38" t="inlineStr">
        <is>
          <t>0-4015</t>
        </is>
      </c>
      <c r="C2820" t="inlineStr">
        <is>
          <t>ER</t>
        </is>
      </c>
      <c r="E2820" t="inlineStr">
        <is>
          <t>ER</t>
        </is>
      </c>
      <c r="G2820" s="128" t="inlineStr"/>
      <c r="H2820" s="127" t="n">
        <v>46103</v>
      </c>
      <c r="J2820" s="38" t="inlineStr">
        <is>
          <t>0-4015</t>
        </is>
      </c>
      <c r="K2820" t="inlineStr">
        <is>
          <t>RMV34 2000 GAL WATER TRUCK 2000 GAL WATER TRUCK</t>
        </is>
      </c>
      <c r="L2820" t="n">
        <v>0</v>
      </c>
      <c r="M2820" t="n">
        <v>0</v>
      </c>
      <c r="O2820" t="inlineStr">
        <is>
          <t>RMV34</t>
        </is>
      </c>
      <c r="Q2820" s="114" t="n">
        <v>0</v>
      </c>
      <c r="R2820" s="114" t="n">
        <v>198.28</v>
      </c>
      <c r="S2820" s="114" t="n">
        <v>0</v>
      </c>
      <c r="T2820" t="n">
        <v>0</v>
      </c>
    </row>
    <row r="2821">
      <c r="A2821" t="inlineStr">
        <is>
          <t>ttJTrans</t>
        </is>
      </c>
      <c r="B2821" s="38" t="inlineStr">
        <is>
          <t>0-4015</t>
        </is>
      </c>
      <c r="C2821" t="inlineStr">
        <is>
          <t>ER</t>
        </is>
      </c>
      <c r="E2821" t="inlineStr">
        <is>
          <t>ER</t>
        </is>
      </c>
      <c r="G2821" s="128" t="inlineStr"/>
      <c r="H2821" s="127" t="n">
        <v>46103</v>
      </c>
      <c r="J2821" s="38" t="inlineStr">
        <is>
          <t>0-4015</t>
        </is>
      </c>
      <c r="K2821" t="inlineStr">
        <is>
          <t>RMV34 2000 GAL WATER TRUCK 2000 GAL WATER TRUCK</t>
        </is>
      </c>
      <c r="L2821" t="n">
        <v>0</v>
      </c>
      <c r="M2821" t="n">
        <v>0</v>
      </c>
      <c r="O2821" t="inlineStr">
        <is>
          <t>RMV34</t>
        </is>
      </c>
      <c r="Q2821" s="114" t="n">
        <v>0</v>
      </c>
      <c r="R2821" s="114" t="n">
        <v>198.28</v>
      </c>
      <c r="S2821" s="114" t="n">
        <v>0</v>
      </c>
      <c r="T2821" t="n">
        <v>0</v>
      </c>
    </row>
    <row r="2822">
      <c r="A2822" t="inlineStr">
        <is>
          <t>ttJTrans</t>
        </is>
      </c>
      <c r="B2822" s="38" t="inlineStr">
        <is>
          <t>0-4015</t>
        </is>
      </c>
      <c r="C2822" t="inlineStr">
        <is>
          <t>ER</t>
        </is>
      </c>
      <c r="E2822" t="inlineStr">
        <is>
          <t>ER</t>
        </is>
      </c>
      <c r="G2822" s="128" t="inlineStr"/>
      <c r="H2822" s="127" t="n">
        <v>46103</v>
      </c>
      <c r="J2822" s="38" t="inlineStr">
        <is>
          <t>0-4015</t>
        </is>
      </c>
      <c r="K2822" t="inlineStr">
        <is>
          <t>RMS2259 IC-75 IHI MOROOKA CRAWLER CARRIER W/ VACUUM UNIT IC-75 IHI MOROOKA CRAWLER CARRIER W/ VACUUM UNIT</t>
        </is>
      </c>
      <c r="L2822" t="n">
        <v>0</v>
      </c>
      <c r="M2822" t="n">
        <v>0</v>
      </c>
      <c r="O2822" t="inlineStr">
        <is>
          <t>RMS2259</t>
        </is>
      </c>
      <c r="Q2822" s="114" t="n">
        <v>0</v>
      </c>
      <c r="R2822" s="114" t="n">
        <v>459.77</v>
      </c>
      <c r="S2822" s="114" t="n">
        <v>0</v>
      </c>
      <c r="T2822" t="n">
        <v>0</v>
      </c>
    </row>
    <row r="2823">
      <c r="A2823" t="inlineStr">
        <is>
          <t>ttJTrans</t>
        </is>
      </c>
      <c r="B2823" s="38" t="inlineStr">
        <is>
          <t>0-4015</t>
        </is>
      </c>
      <c r="C2823" t="inlineStr">
        <is>
          <t>ER</t>
        </is>
      </c>
      <c r="E2823" t="inlineStr">
        <is>
          <t>ER</t>
        </is>
      </c>
      <c r="G2823" s="128" t="inlineStr"/>
      <c r="H2823" s="127" t="n">
        <v>46103</v>
      </c>
      <c r="J2823" s="38" t="inlineStr">
        <is>
          <t>0-4015</t>
        </is>
      </c>
      <c r="K2823" t="inlineStr">
        <is>
          <t>RMS2259 IC-75 IHI MOROOKA CRAWLER CARRIER W/ VACUUM UNIT IC-75 IHI MOROOKA CRAWLER CARRIER W/ VACUUM UNIT</t>
        </is>
      </c>
      <c r="L2823" t="n">
        <v>0</v>
      </c>
      <c r="M2823" t="n">
        <v>0</v>
      </c>
      <c r="O2823" t="inlineStr">
        <is>
          <t>RMS2259</t>
        </is>
      </c>
      <c r="Q2823" s="114" t="n">
        <v>0</v>
      </c>
      <c r="R2823" s="114" t="n">
        <v>459.77</v>
      </c>
      <c r="S2823" s="114" t="n">
        <v>0</v>
      </c>
      <c r="T2823" t="n">
        <v>0</v>
      </c>
    </row>
    <row r="2824">
      <c r="A2824" t="inlineStr">
        <is>
          <t>ttJTrans</t>
        </is>
      </c>
      <c r="B2824" s="38" t="inlineStr">
        <is>
          <t>0-4015</t>
        </is>
      </c>
      <c r="C2824" t="inlineStr">
        <is>
          <t>ER</t>
        </is>
      </c>
      <c r="E2824" t="inlineStr">
        <is>
          <t>ER</t>
        </is>
      </c>
      <c r="G2824" s="128" t="inlineStr"/>
      <c r="H2824" s="127" t="n">
        <v>46103</v>
      </c>
      <c r="J2824" s="38" t="inlineStr">
        <is>
          <t>0-4015</t>
        </is>
      </c>
      <c r="K2824" t="inlineStr">
        <is>
          <t>RMS2259 IC-75 IHI MOROOKA CRAWLER CARRIER W/ VACUUM UNIT IC-75 IHI MOROOKA CRAWLER CARRIER W/ VACUUM UNIT</t>
        </is>
      </c>
      <c r="L2824" t="n">
        <v>0</v>
      </c>
      <c r="M2824" t="n">
        <v>0</v>
      </c>
      <c r="O2824" t="inlineStr">
        <is>
          <t>RMS2259</t>
        </is>
      </c>
      <c r="Q2824" s="114" t="n">
        <v>0</v>
      </c>
      <c r="R2824" s="114" t="n">
        <v>459.77</v>
      </c>
      <c r="S2824" s="114" t="n">
        <v>0</v>
      </c>
      <c r="T2824" t="n">
        <v>0</v>
      </c>
    </row>
    <row r="2825">
      <c r="A2825" t="inlineStr">
        <is>
          <t>ttJTrans</t>
        </is>
      </c>
      <c r="B2825" s="38" t="inlineStr">
        <is>
          <t>0-4015</t>
        </is>
      </c>
      <c r="C2825" t="inlineStr">
        <is>
          <t>ER</t>
        </is>
      </c>
      <c r="E2825" t="inlineStr">
        <is>
          <t>ER</t>
        </is>
      </c>
      <c r="G2825" s="128" t="inlineStr"/>
      <c r="H2825" s="127" t="n">
        <v>46103</v>
      </c>
      <c r="J2825" s="38" t="inlineStr">
        <is>
          <t>0-4015</t>
        </is>
      </c>
      <c r="K2825" t="inlineStr">
        <is>
          <t>RMS2259 IC-75 IHI MOROOKA CRAWLER CARRIER W/ VACUUM UNIT IC-75 IHI MOROOKA CRAWLER CARRIER W/ VACUUM UNIT</t>
        </is>
      </c>
      <c r="L2825" t="n">
        <v>0</v>
      </c>
      <c r="M2825" t="n">
        <v>0</v>
      </c>
      <c r="O2825" t="inlineStr">
        <is>
          <t>RMS2259</t>
        </is>
      </c>
      <c r="Q2825" s="114" t="n">
        <v>0</v>
      </c>
      <c r="R2825" s="114" t="n">
        <v>459.77</v>
      </c>
      <c r="S2825" s="114" t="n">
        <v>0</v>
      </c>
      <c r="T2825" t="n">
        <v>0</v>
      </c>
    </row>
    <row r="2826">
      <c r="A2826" t="inlineStr">
        <is>
          <t>ttJTrans</t>
        </is>
      </c>
      <c r="B2826" s="38" t="inlineStr">
        <is>
          <t>0-4015</t>
        </is>
      </c>
      <c r="C2826" t="inlineStr">
        <is>
          <t>ER</t>
        </is>
      </c>
      <c r="E2826" t="inlineStr">
        <is>
          <t>ER</t>
        </is>
      </c>
      <c r="G2826" s="128" t="inlineStr"/>
      <c r="H2826" s="127" t="n">
        <v>46152</v>
      </c>
      <c r="J2826" s="38" t="inlineStr">
        <is>
          <t>0-4015</t>
        </is>
      </c>
      <c r="K2826" t="inlineStr">
        <is>
          <t>RDZ318 CAT D5 LGPVPR DOZER 170 HP CAT D5 LGPVPR DOZER 170 HP</t>
        </is>
      </c>
      <c r="L2826" t="n">
        <v>0</v>
      </c>
      <c r="M2826" t="n">
        <v>0</v>
      </c>
      <c r="O2826" t="inlineStr">
        <is>
          <t>RDZ318</t>
        </is>
      </c>
      <c r="Q2826" s="114" t="n">
        <v>0</v>
      </c>
      <c r="R2826" s="114" t="n">
        <v>778.74</v>
      </c>
      <c r="S2826" s="114" t="n">
        <v>0</v>
      </c>
      <c r="T2826" t="n">
        <v>0</v>
      </c>
    </row>
    <row r="2827">
      <c r="A2827" t="inlineStr">
        <is>
          <t>ttJTrans</t>
        </is>
      </c>
      <c r="B2827" s="38" t="inlineStr">
        <is>
          <t>0-4015</t>
        </is>
      </c>
      <c r="C2827" t="inlineStr">
        <is>
          <t>ER</t>
        </is>
      </c>
      <c r="E2827" t="inlineStr">
        <is>
          <t>ER</t>
        </is>
      </c>
      <c r="G2827" s="128" t="inlineStr"/>
      <c r="H2827" s="127" t="n">
        <v>46159</v>
      </c>
      <c r="J2827" s="38" t="inlineStr">
        <is>
          <t>0-4015</t>
        </is>
      </c>
      <c r="K2827" t="inlineStr">
        <is>
          <t>RDZ318 CAT D5 LGPVPR DOZER 170 HP CAT D5 LGPVPR DOZER 170 HP</t>
        </is>
      </c>
      <c r="L2827" t="n">
        <v>0</v>
      </c>
      <c r="M2827" t="n">
        <v>0</v>
      </c>
      <c r="O2827" t="inlineStr">
        <is>
          <t>RDZ318</t>
        </is>
      </c>
      <c r="Q2827" s="114" t="n">
        <v>0</v>
      </c>
      <c r="R2827" s="114" t="n">
        <v>778.74</v>
      </c>
      <c r="S2827" s="114" t="n">
        <v>0</v>
      </c>
      <c r="T2827" t="n">
        <v>0</v>
      </c>
    </row>
    <row r="2828">
      <c r="A2828" t="inlineStr">
        <is>
          <t>ttJTrans</t>
        </is>
      </c>
      <c r="B2828" s="38" t="inlineStr">
        <is>
          <t>0-4015</t>
        </is>
      </c>
      <c r="C2828" t="inlineStr">
        <is>
          <t>ER</t>
        </is>
      </c>
      <c r="E2828" t="inlineStr">
        <is>
          <t>ER</t>
        </is>
      </c>
      <c r="G2828" s="128" t="inlineStr"/>
      <c r="H2828" s="127" t="n">
        <v>46166</v>
      </c>
      <c r="J2828" s="38" t="inlineStr">
        <is>
          <t>0-4015</t>
        </is>
      </c>
      <c r="K2828" t="inlineStr">
        <is>
          <t>RDZ318 CAT D5 LGPVPR DOZER 170 HP CAT D5 LGPVPR DOZER 170 HP</t>
        </is>
      </c>
      <c r="L2828" t="n">
        <v>0</v>
      </c>
      <c r="M2828" t="n">
        <v>0</v>
      </c>
      <c r="O2828" t="inlineStr">
        <is>
          <t>RDZ318</t>
        </is>
      </c>
      <c r="Q2828" s="114" t="n">
        <v>0</v>
      </c>
      <c r="R2828" s="114" t="n">
        <v>778.74</v>
      </c>
      <c r="S2828" s="114" t="n">
        <v>0</v>
      </c>
      <c r="T2828" t="n">
        <v>0</v>
      </c>
    </row>
    <row r="2829">
      <c r="A2829" t="inlineStr">
        <is>
          <t>ttJTrans</t>
        </is>
      </c>
      <c r="B2829" s="38" t="inlineStr">
        <is>
          <t>0-4015</t>
        </is>
      </c>
      <c r="C2829" t="inlineStr">
        <is>
          <t>ER</t>
        </is>
      </c>
      <c r="E2829" t="inlineStr">
        <is>
          <t>ER</t>
        </is>
      </c>
      <c r="G2829" s="128" t="inlineStr"/>
      <c r="H2829" s="127" t="n">
        <v>46166</v>
      </c>
      <c r="J2829" s="38" t="inlineStr">
        <is>
          <t>0-4015</t>
        </is>
      </c>
      <c r="K2829" t="inlineStr">
        <is>
          <t>RMS1653 HIPER VR BASE &amp; ROVER HIPER VR BASE &amp; ROVER</t>
        </is>
      </c>
      <c r="L2829" t="n">
        <v>0</v>
      </c>
      <c r="M2829" t="n">
        <v>0</v>
      </c>
      <c r="O2829" t="inlineStr">
        <is>
          <t>RMS1653</t>
        </is>
      </c>
      <c r="Q2829" s="114" t="n">
        <v>0</v>
      </c>
      <c r="R2829" s="114" t="n">
        <v>191.57</v>
      </c>
      <c r="S2829" s="114" t="n">
        <v>0</v>
      </c>
      <c r="T2829" t="n">
        <v>0</v>
      </c>
    </row>
    <row r="2830">
      <c r="A2830" t="inlineStr">
        <is>
          <t>ttJTrans</t>
        </is>
      </c>
      <c r="B2830" s="38" t="inlineStr">
        <is>
          <t>0-4015</t>
        </is>
      </c>
      <c r="C2830" t="inlineStr">
        <is>
          <t>ER</t>
        </is>
      </c>
      <c r="E2830" t="inlineStr">
        <is>
          <t>ER</t>
        </is>
      </c>
      <c r="G2830" s="128" t="inlineStr"/>
      <c r="H2830" s="127" t="n">
        <v>46166</v>
      </c>
      <c r="J2830" s="38" t="inlineStr">
        <is>
          <t>0-4015</t>
        </is>
      </c>
      <c r="K2830" t="inlineStr">
        <is>
          <t>RMS1653 HIPER VR BASE &amp; ROVER HIPER VR BASE &amp; ROVER</t>
        </is>
      </c>
      <c r="L2830" t="n">
        <v>0</v>
      </c>
      <c r="M2830" t="n">
        <v>0</v>
      </c>
      <c r="O2830" t="inlineStr">
        <is>
          <t>RMS1653</t>
        </is>
      </c>
      <c r="Q2830" s="114" t="n">
        <v>0</v>
      </c>
      <c r="R2830" s="114" t="n">
        <v>191.57</v>
      </c>
      <c r="S2830" s="114" t="n">
        <v>0</v>
      </c>
      <c r="T2830" t="n">
        <v>0</v>
      </c>
    </row>
    <row r="2831">
      <c r="A2831" t="inlineStr">
        <is>
          <t>ttJTrans</t>
        </is>
      </c>
      <c r="B2831" s="38" t="inlineStr">
        <is>
          <t>0-4015</t>
        </is>
      </c>
      <c r="C2831" t="inlineStr">
        <is>
          <t>ER</t>
        </is>
      </c>
      <c r="E2831" t="inlineStr">
        <is>
          <t>ER</t>
        </is>
      </c>
      <c r="G2831" s="128" t="inlineStr"/>
      <c r="H2831" s="127" t="n">
        <v>46166</v>
      </c>
      <c r="J2831" s="38" t="inlineStr">
        <is>
          <t>0-4015</t>
        </is>
      </c>
      <c r="K2831" t="inlineStr">
        <is>
          <t>RMS1653 HIPER VR BASE &amp; ROVER HIPER VR BASE &amp; ROVER</t>
        </is>
      </c>
      <c r="L2831" t="n">
        <v>0</v>
      </c>
      <c r="M2831" t="n">
        <v>0</v>
      </c>
      <c r="O2831" t="inlineStr">
        <is>
          <t>RMS1653</t>
        </is>
      </c>
      <c r="Q2831" s="114" t="n">
        <v>0</v>
      </c>
      <c r="R2831" s="114" t="n">
        <v>191.57</v>
      </c>
      <c r="S2831" s="114" t="n">
        <v>0</v>
      </c>
      <c r="T2831" t="n">
        <v>0</v>
      </c>
    </row>
    <row r="2832">
      <c r="A2832" t="inlineStr">
        <is>
          <t>ttJTrans</t>
        </is>
      </c>
      <c r="B2832" s="38" t="inlineStr">
        <is>
          <t>0-4015</t>
        </is>
      </c>
      <c r="C2832" t="inlineStr">
        <is>
          <t>ER</t>
        </is>
      </c>
      <c r="E2832" t="inlineStr">
        <is>
          <t>ER</t>
        </is>
      </c>
      <c r="G2832" s="128" t="inlineStr"/>
      <c r="H2832" s="127" t="n">
        <v>46166</v>
      </c>
      <c r="J2832" s="38" t="inlineStr">
        <is>
          <t>0-4015</t>
        </is>
      </c>
      <c r="K2832" t="inlineStr">
        <is>
          <t>RMS1653 HIPER VR BASE &amp; ROVER HIPER VR BASE &amp; ROVER</t>
        </is>
      </c>
      <c r="L2832" t="n">
        <v>0</v>
      </c>
      <c r="M2832" t="n">
        <v>0</v>
      </c>
      <c r="O2832" t="inlineStr">
        <is>
          <t>RMS1653</t>
        </is>
      </c>
      <c r="Q2832" s="114" t="n">
        <v>0</v>
      </c>
      <c r="R2832" s="114" t="n">
        <v>191.57</v>
      </c>
      <c r="S2832" s="114" t="n">
        <v>0</v>
      </c>
      <c r="T2832" t="n">
        <v>0</v>
      </c>
    </row>
    <row r="2833">
      <c r="A2833" t="inlineStr">
        <is>
          <t>ttJTrans</t>
        </is>
      </c>
      <c r="B2833" s="38" t="inlineStr">
        <is>
          <t>0-4015</t>
        </is>
      </c>
      <c r="C2833" t="inlineStr">
        <is>
          <t>ER</t>
        </is>
      </c>
      <c r="E2833" t="inlineStr">
        <is>
          <t>ER</t>
        </is>
      </c>
      <c r="G2833" s="128" t="inlineStr"/>
      <c r="H2833" s="127" t="n">
        <v>46166</v>
      </c>
      <c r="J2833" s="38" t="inlineStr">
        <is>
          <t>0-4015</t>
        </is>
      </c>
      <c r="K2833" t="inlineStr">
        <is>
          <t>RMS1653 HIPER VR BASE &amp; ROVER HIPER VR BASE &amp; ROVER</t>
        </is>
      </c>
      <c r="L2833" t="n">
        <v>0</v>
      </c>
      <c r="M2833" t="n">
        <v>0</v>
      </c>
      <c r="O2833" t="inlineStr">
        <is>
          <t>RMS1653</t>
        </is>
      </c>
      <c r="Q2833" s="114" t="n">
        <v>0</v>
      </c>
      <c r="R2833" s="114" t="n">
        <v>191.57</v>
      </c>
      <c r="S2833" s="114" t="n">
        <v>0</v>
      </c>
      <c r="T2833" t="n">
        <v>0</v>
      </c>
    </row>
    <row r="2834">
      <c r="A2834" t="inlineStr">
        <is>
          <t>ttJTrans</t>
        </is>
      </c>
      <c r="B2834" s="38" t="inlineStr">
        <is>
          <t>0-4015</t>
        </is>
      </c>
      <c r="C2834" t="inlineStr">
        <is>
          <t>ER</t>
        </is>
      </c>
      <c r="E2834" t="inlineStr">
        <is>
          <t>ER</t>
        </is>
      </c>
      <c r="G2834" s="128" t="inlineStr"/>
      <c r="H2834" s="127" t="n">
        <v>46166</v>
      </c>
      <c r="J2834" s="38" t="inlineStr">
        <is>
          <t>0-4015</t>
        </is>
      </c>
      <c r="K2834" t="inlineStr">
        <is>
          <t>RMS1653 HIPER VR BASE &amp; ROVER HIPER VR BASE &amp; ROVER</t>
        </is>
      </c>
      <c r="L2834" t="n">
        <v>0</v>
      </c>
      <c r="M2834" t="n">
        <v>0</v>
      </c>
      <c r="O2834" t="inlineStr">
        <is>
          <t>RMS1653</t>
        </is>
      </c>
      <c r="Q2834" s="114" t="n">
        <v>0</v>
      </c>
      <c r="R2834" s="114" t="n">
        <v>191.57</v>
      </c>
      <c r="S2834" s="114" t="n">
        <v>0</v>
      </c>
      <c r="T2834" t="n">
        <v>0</v>
      </c>
    </row>
    <row r="2835">
      <c r="A2835" t="inlineStr">
        <is>
          <t>ttJTrans</t>
        </is>
      </c>
      <c r="B2835" s="38" t="inlineStr">
        <is>
          <t>0-4015</t>
        </is>
      </c>
      <c r="C2835" t="inlineStr">
        <is>
          <t>LA</t>
        </is>
      </c>
      <c r="E2835" t="inlineStr">
        <is>
          <t>LA</t>
        </is>
      </c>
      <c r="G2835" s="128" t="inlineStr"/>
      <c r="H2835" s="127" t="n">
        <v>46051</v>
      </c>
      <c r="J2835" s="38" t="inlineStr">
        <is>
          <t>0-4015</t>
        </is>
      </c>
      <c r="K2835" t="inlineStr">
        <is>
          <t>PR P0COST 000514 (PR) Summary</t>
        </is>
      </c>
      <c r="L2835" t="n">
        <v>0</v>
      </c>
      <c r="M2835" t="n">
        <v>0</v>
      </c>
      <c r="Q2835" s="114" t="n">
        <v>0</v>
      </c>
      <c r="R2835" s="114" t="n">
        <v>453.92</v>
      </c>
      <c r="S2835" s="114" t="n">
        <v>0</v>
      </c>
      <c r="T2835" t="n">
        <v>7</v>
      </c>
    </row>
    <row r="2836">
      <c r="A2836" t="inlineStr">
        <is>
          <t>ttJTrans</t>
        </is>
      </c>
      <c r="B2836" s="38" t="inlineStr">
        <is>
          <t>0-4015</t>
        </is>
      </c>
      <c r="C2836" t="inlineStr">
        <is>
          <t>LA</t>
        </is>
      </c>
      <c r="E2836" t="inlineStr">
        <is>
          <t>LA</t>
        </is>
      </c>
      <c r="G2836" s="128" t="inlineStr"/>
      <c r="H2836" s="127" t="n">
        <v>46051</v>
      </c>
      <c r="J2836" s="38" t="inlineStr">
        <is>
          <t>0-4015</t>
        </is>
      </c>
      <c r="K2836" t="inlineStr">
        <is>
          <t>PR P0COST 000514 (PR) Summary</t>
        </is>
      </c>
      <c r="L2836" t="n">
        <v>0</v>
      </c>
      <c r="M2836" t="n">
        <v>0</v>
      </c>
      <c r="Q2836" s="114" t="n">
        <v>0</v>
      </c>
      <c r="R2836" s="114" t="n">
        <v>659.53</v>
      </c>
      <c r="S2836" s="114" t="n">
        <v>0</v>
      </c>
      <c r="T2836" t="n">
        <v>7</v>
      </c>
    </row>
    <row r="2837">
      <c r="A2837" t="inlineStr">
        <is>
          <t>ttJTrans</t>
        </is>
      </c>
      <c r="B2837" s="38" t="inlineStr">
        <is>
          <t>0-4015</t>
        </is>
      </c>
      <c r="C2837" t="inlineStr">
        <is>
          <t>LA</t>
        </is>
      </c>
      <c r="E2837" t="inlineStr">
        <is>
          <t>LA</t>
        </is>
      </c>
      <c r="G2837" s="128" t="inlineStr"/>
      <c r="H2837" s="127" t="n">
        <v>46058</v>
      </c>
      <c r="J2837" s="38" t="inlineStr">
        <is>
          <t>0-4015</t>
        </is>
      </c>
      <c r="K2837" t="inlineStr">
        <is>
          <t>PR P0COST 000515 (PR) Summary</t>
        </is>
      </c>
      <c r="L2837" t="n">
        <v>0</v>
      </c>
      <c r="M2837" t="n">
        <v>0</v>
      </c>
      <c r="Q2837" s="114" t="n">
        <v>0</v>
      </c>
      <c r="R2837" s="114" t="n">
        <v>2200.78</v>
      </c>
      <c r="S2837" s="114" t="n">
        <v>0</v>
      </c>
      <c r="T2837" t="n">
        <v>44</v>
      </c>
    </row>
    <row r="2838">
      <c r="A2838" t="inlineStr">
        <is>
          <t>ttJTrans</t>
        </is>
      </c>
      <c r="B2838" s="38" t="inlineStr">
        <is>
          <t>0-4015</t>
        </is>
      </c>
      <c r="C2838" t="inlineStr">
        <is>
          <t>LA</t>
        </is>
      </c>
      <c r="E2838" t="inlineStr">
        <is>
          <t>LA</t>
        </is>
      </c>
      <c r="G2838" s="128" t="inlineStr"/>
      <c r="H2838" s="127" t="n">
        <v>46058</v>
      </c>
      <c r="J2838" s="38" t="inlineStr">
        <is>
          <t>0-4015</t>
        </is>
      </c>
      <c r="K2838" t="inlineStr">
        <is>
          <t>PR P0COST 000515 (PR) Summary</t>
        </is>
      </c>
      <c r="L2838" t="n">
        <v>0</v>
      </c>
      <c r="M2838" t="n">
        <v>0</v>
      </c>
      <c r="Q2838" s="114" t="n">
        <v>0</v>
      </c>
      <c r="R2838" s="114" t="n">
        <v>2200.79</v>
      </c>
      <c r="S2838" s="114" t="n">
        <v>0</v>
      </c>
      <c r="T2838" t="n">
        <v>44</v>
      </c>
    </row>
    <row r="2839">
      <c r="A2839" t="inlineStr">
        <is>
          <t>ttJTrans</t>
        </is>
      </c>
      <c r="B2839" s="38" t="inlineStr">
        <is>
          <t>0-4015</t>
        </is>
      </c>
      <c r="C2839" t="inlineStr">
        <is>
          <t>LA</t>
        </is>
      </c>
      <c r="E2839" t="inlineStr">
        <is>
          <t>LA</t>
        </is>
      </c>
      <c r="G2839" s="128" t="inlineStr"/>
      <c r="H2839" s="127" t="n">
        <v>46058</v>
      </c>
      <c r="J2839" s="38" t="inlineStr">
        <is>
          <t>0-4015</t>
        </is>
      </c>
      <c r="K2839" t="inlineStr">
        <is>
          <t>PR P0COST 000515 (PR) Summary</t>
        </is>
      </c>
      <c r="L2839" t="n">
        <v>0</v>
      </c>
      <c r="M2839" t="n">
        <v>0</v>
      </c>
      <c r="Q2839" s="114" t="n">
        <v>0</v>
      </c>
      <c r="R2839" s="114" t="n">
        <v>1913.39</v>
      </c>
      <c r="S2839" s="114" t="n">
        <v>0</v>
      </c>
      <c r="T2839" t="n">
        <v>33</v>
      </c>
    </row>
    <row r="2840">
      <c r="A2840" t="inlineStr">
        <is>
          <t>ttJTrans</t>
        </is>
      </c>
      <c r="B2840" s="38" t="inlineStr">
        <is>
          <t>0-4015</t>
        </is>
      </c>
      <c r="C2840" t="inlineStr">
        <is>
          <t>LA</t>
        </is>
      </c>
      <c r="E2840" t="inlineStr">
        <is>
          <t>LA</t>
        </is>
      </c>
      <c r="G2840" s="128" t="inlineStr"/>
      <c r="H2840" s="127" t="n">
        <v>46058</v>
      </c>
      <c r="J2840" s="38" t="inlineStr">
        <is>
          <t>0-4015</t>
        </is>
      </c>
      <c r="K2840" t="inlineStr">
        <is>
          <t>PR P0COST 000515 (PR) Summary</t>
        </is>
      </c>
      <c r="L2840" t="n">
        <v>0</v>
      </c>
      <c r="M2840" t="n">
        <v>0</v>
      </c>
      <c r="Q2840" s="114" t="n">
        <v>0</v>
      </c>
      <c r="R2840" s="114" t="n">
        <v>759.95</v>
      </c>
      <c r="S2840" s="114" t="n">
        <v>0</v>
      </c>
      <c r="T2840" t="n">
        <v>7</v>
      </c>
    </row>
    <row r="2841">
      <c r="A2841" t="inlineStr">
        <is>
          <t>ttJTrans</t>
        </is>
      </c>
      <c r="B2841" s="38" t="inlineStr">
        <is>
          <t>0-4015</t>
        </is>
      </c>
      <c r="C2841" t="inlineStr">
        <is>
          <t>LA</t>
        </is>
      </c>
      <c r="E2841" t="inlineStr">
        <is>
          <t>LA</t>
        </is>
      </c>
      <c r="G2841" s="128" t="inlineStr"/>
      <c r="H2841" s="127" t="n">
        <v>46058</v>
      </c>
      <c r="J2841" s="38" t="inlineStr">
        <is>
          <t>0-4015</t>
        </is>
      </c>
      <c r="K2841" t="inlineStr">
        <is>
          <t>PR P0COST 000515 (PR) Summary</t>
        </is>
      </c>
      <c r="L2841" t="n">
        <v>0</v>
      </c>
      <c r="M2841" t="n">
        <v>0</v>
      </c>
      <c r="Q2841" s="114" t="n">
        <v>0</v>
      </c>
      <c r="R2841" s="114" t="n">
        <v>395.95</v>
      </c>
      <c r="S2841" s="114" t="n">
        <v>0</v>
      </c>
      <c r="T2841" t="n">
        <v>8</v>
      </c>
    </row>
    <row r="2842">
      <c r="A2842" t="inlineStr">
        <is>
          <t>ttJTrans</t>
        </is>
      </c>
      <c r="B2842" s="38" t="inlineStr">
        <is>
          <t>0-4015</t>
        </is>
      </c>
      <c r="C2842" t="inlineStr">
        <is>
          <t>LA</t>
        </is>
      </c>
      <c r="E2842" t="inlineStr">
        <is>
          <t>LA</t>
        </is>
      </c>
      <c r="G2842" s="128" t="inlineStr"/>
      <c r="H2842" s="127" t="n">
        <v>46058</v>
      </c>
      <c r="J2842" s="38" t="inlineStr">
        <is>
          <t>0-4015</t>
        </is>
      </c>
      <c r="K2842" t="inlineStr">
        <is>
          <t>PR P0COST 000515 (PR) Summary</t>
        </is>
      </c>
      <c r="L2842" t="n">
        <v>0</v>
      </c>
      <c r="M2842" t="n">
        <v>0</v>
      </c>
      <c r="Q2842" s="114" t="n">
        <v>0</v>
      </c>
      <c r="R2842" s="114" t="n">
        <v>460.9</v>
      </c>
      <c r="S2842" s="114" t="n">
        <v>0</v>
      </c>
      <c r="T2842" t="n">
        <v>11</v>
      </c>
    </row>
    <row r="2843">
      <c r="A2843" t="inlineStr">
        <is>
          <t>ttJTrans</t>
        </is>
      </c>
      <c r="B2843" s="38" t="inlineStr">
        <is>
          <t>0-4015</t>
        </is>
      </c>
      <c r="C2843" t="inlineStr">
        <is>
          <t>LA</t>
        </is>
      </c>
      <c r="E2843" t="inlineStr">
        <is>
          <t>LA</t>
        </is>
      </c>
      <c r="G2843" s="128" t="inlineStr"/>
      <c r="H2843" s="127" t="n">
        <v>46058</v>
      </c>
      <c r="J2843" s="38" t="inlineStr">
        <is>
          <t>0-4015</t>
        </is>
      </c>
      <c r="K2843" t="inlineStr">
        <is>
          <t>PR P0COST 000515 (PR) Summary</t>
        </is>
      </c>
      <c r="L2843" t="n">
        <v>0</v>
      </c>
      <c r="M2843" t="n">
        <v>0</v>
      </c>
      <c r="Q2843" s="114" t="n">
        <v>0</v>
      </c>
      <c r="R2843" s="114" t="n">
        <v>1053.81</v>
      </c>
      <c r="S2843" s="114" t="n">
        <v>0</v>
      </c>
      <c r="T2843" t="n">
        <v>20</v>
      </c>
    </row>
    <row r="2844">
      <c r="A2844" t="inlineStr">
        <is>
          <t>ttJTrans</t>
        </is>
      </c>
      <c r="B2844" s="38" t="inlineStr">
        <is>
          <t>0-4015</t>
        </is>
      </c>
      <c r="C2844" t="inlineStr">
        <is>
          <t>LA</t>
        </is>
      </c>
      <c r="E2844" t="inlineStr">
        <is>
          <t>LA</t>
        </is>
      </c>
      <c r="G2844" s="128" t="inlineStr"/>
      <c r="H2844" s="127" t="n">
        <v>46093</v>
      </c>
      <c r="J2844" s="38" t="inlineStr">
        <is>
          <t>0-4015</t>
        </is>
      </c>
      <c r="K2844" t="inlineStr">
        <is>
          <t>PR P0COST 000521 (PR) Summary</t>
        </is>
      </c>
      <c r="L2844" t="n">
        <v>0</v>
      </c>
      <c r="M2844" t="n">
        <v>0</v>
      </c>
      <c r="Q2844" s="114" t="n">
        <v>0</v>
      </c>
      <c r="R2844" s="114" t="n">
        <v>2683.91</v>
      </c>
      <c r="S2844" s="114" t="n">
        <v>0</v>
      </c>
      <c r="T2844" t="n">
        <v>60</v>
      </c>
    </row>
    <row r="2845">
      <c r="A2845" t="inlineStr">
        <is>
          <t>ttJTrans</t>
        </is>
      </c>
      <c r="B2845" s="38" t="inlineStr">
        <is>
          <t>0-4015</t>
        </is>
      </c>
      <c r="C2845" t="inlineStr">
        <is>
          <t>LA</t>
        </is>
      </c>
      <c r="E2845" t="inlineStr">
        <is>
          <t>LA</t>
        </is>
      </c>
      <c r="G2845" s="128" t="inlineStr"/>
      <c r="H2845" s="127" t="n">
        <v>46093</v>
      </c>
      <c r="J2845" s="38" t="inlineStr">
        <is>
          <t>0-4015</t>
        </is>
      </c>
      <c r="K2845" t="inlineStr">
        <is>
          <t>PR P0COST 000521 (PR) Summary</t>
        </is>
      </c>
      <c r="L2845" t="n">
        <v>0</v>
      </c>
      <c r="M2845" t="n">
        <v>0</v>
      </c>
      <c r="Q2845" s="114" t="n">
        <v>0</v>
      </c>
      <c r="R2845" s="114" t="n">
        <v>2683.91</v>
      </c>
      <c r="S2845" s="114" t="n">
        <v>0</v>
      </c>
      <c r="T2845" t="n">
        <v>60</v>
      </c>
    </row>
    <row r="2846">
      <c r="A2846" t="inlineStr">
        <is>
          <t>ttJTrans</t>
        </is>
      </c>
      <c r="B2846" s="38" t="inlineStr">
        <is>
          <t>0-4015</t>
        </is>
      </c>
      <c r="C2846" t="inlineStr">
        <is>
          <t>LA</t>
        </is>
      </c>
      <c r="E2846" t="inlineStr">
        <is>
          <t>LA</t>
        </is>
      </c>
      <c r="G2846" s="128" t="inlineStr"/>
      <c r="H2846" s="127" t="n">
        <v>46093</v>
      </c>
      <c r="J2846" s="38" t="inlineStr">
        <is>
          <t>0-4015</t>
        </is>
      </c>
      <c r="K2846" t="inlineStr">
        <is>
          <t>PR P0COST 000521 (PR) Summary</t>
        </is>
      </c>
      <c r="L2846" t="n">
        <v>0</v>
      </c>
      <c r="M2846" t="n">
        <v>0</v>
      </c>
      <c r="Q2846" s="114" t="n">
        <v>0</v>
      </c>
      <c r="R2846" s="114" t="n">
        <v>2683.92</v>
      </c>
      <c r="S2846" s="114" t="n">
        <v>0</v>
      </c>
      <c r="T2846" t="n">
        <v>60</v>
      </c>
    </row>
    <row r="2847">
      <c r="A2847" t="inlineStr">
        <is>
          <t>ttJTrans</t>
        </is>
      </c>
      <c r="B2847" s="38" t="inlineStr">
        <is>
          <t>0-4015</t>
        </is>
      </c>
      <c r="C2847" t="inlineStr">
        <is>
          <t>LA</t>
        </is>
      </c>
      <c r="E2847" t="inlineStr">
        <is>
          <t>LA</t>
        </is>
      </c>
      <c r="G2847" s="128" t="inlineStr"/>
      <c r="H2847" s="127" t="n">
        <v>46093</v>
      </c>
      <c r="J2847" s="38" t="inlineStr">
        <is>
          <t>0-4015</t>
        </is>
      </c>
      <c r="K2847" t="inlineStr">
        <is>
          <t>PR P0COST 000521 (PR) Summary</t>
        </is>
      </c>
      <c r="L2847" t="n">
        <v>0</v>
      </c>
      <c r="M2847" t="n">
        <v>0</v>
      </c>
      <c r="Q2847" s="114" t="n">
        <v>0</v>
      </c>
      <c r="R2847" s="114" t="n">
        <v>2575.93</v>
      </c>
      <c r="S2847" s="114" t="n">
        <v>0</v>
      </c>
      <c r="T2847" t="n">
        <v>55</v>
      </c>
    </row>
    <row r="2848">
      <c r="A2848" t="inlineStr">
        <is>
          <t>ttJTrans</t>
        </is>
      </c>
      <c r="B2848" s="38" t="inlineStr">
        <is>
          <t>0-4015</t>
        </is>
      </c>
      <c r="C2848" t="inlineStr">
        <is>
          <t>LA</t>
        </is>
      </c>
      <c r="E2848" t="inlineStr">
        <is>
          <t>LA</t>
        </is>
      </c>
      <c r="G2848" s="128" t="inlineStr"/>
      <c r="H2848" s="127" t="n">
        <v>46093</v>
      </c>
      <c r="J2848" s="38" t="inlineStr">
        <is>
          <t>0-4015</t>
        </is>
      </c>
      <c r="K2848" t="inlineStr">
        <is>
          <t>PR P0COST 000521 (PR) Summary</t>
        </is>
      </c>
      <c r="L2848" t="n">
        <v>0</v>
      </c>
      <c r="M2848" t="n">
        <v>0</v>
      </c>
      <c r="Q2848" s="114" t="n">
        <v>0</v>
      </c>
      <c r="R2848" s="114" t="n">
        <v>1531.96</v>
      </c>
      <c r="S2848" s="114" t="n">
        <v>0</v>
      </c>
      <c r="T2848" t="n">
        <v>5</v>
      </c>
    </row>
    <row r="2849">
      <c r="A2849" t="inlineStr">
        <is>
          <t>ttJTrans</t>
        </is>
      </c>
      <c r="B2849" s="38" t="inlineStr">
        <is>
          <t>0-4015</t>
        </is>
      </c>
      <c r="C2849" t="inlineStr">
        <is>
          <t>LA</t>
        </is>
      </c>
      <c r="E2849" t="inlineStr">
        <is>
          <t>LA</t>
        </is>
      </c>
      <c r="G2849" s="128" t="inlineStr"/>
      <c r="H2849" s="127" t="n">
        <v>46093</v>
      </c>
      <c r="J2849" s="38" t="inlineStr">
        <is>
          <t>0-4015</t>
        </is>
      </c>
      <c r="K2849" t="inlineStr">
        <is>
          <t>PR P0COST 000521 (PR) Summary</t>
        </is>
      </c>
      <c r="L2849" t="n">
        <v>0</v>
      </c>
      <c r="M2849" t="n">
        <v>0</v>
      </c>
      <c r="Q2849" s="114" t="n">
        <v>0</v>
      </c>
      <c r="R2849" s="114" t="n">
        <v>1379.97</v>
      </c>
      <c r="S2849" s="114" t="n">
        <v>0</v>
      </c>
      <c r="T2849" t="n">
        <v>0</v>
      </c>
    </row>
    <row r="2850">
      <c r="A2850" t="inlineStr">
        <is>
          <t>ttJTrans</t>
        </is>
      </c>
      <c r="B2850" s="38" t="inlineStr">
        <is>
          <t>0-4015</t>
        </is>
      </c>
      <c r="C2850" t="inlineStr">
        <is>
          <t>LA</t>
        </is>
      </c>
      <c r="E2850" t="inlineStr">
        <is>
          <t>LA</t>
        </is>
      </c>
      <c r="G2850" s="128" t="inlineStr"/>
      <c r="H2850" s="127" t="n">
        <v>46093</v>
      </c>
      <c r="J2850" s="38" t="inlineStr">
        <is>
          <t>0-4015</t>
        </is>
      </c>
      <c r="K2850" t="inlineStr">
        <is>
          <t>PR P0COST 000521 (PR) Summary</t>
        </is>
      </c>
      <c r="L2850" t="n">
        <v>0</v>
      </c>
      <c r="M2850" t="n">
        <v>0</v>
      </c>
      <c r="Q2850" s="114" t="n">
        <v>0</v>
      </c>
      <c r="R2850" s="114" t="n">
        <v>1512.54</v>
      </c>
      <c r="S2850" s="114" t="n">
        <v>0</v>
      </c>
      <c r="T2850" t="n">
        <v>35</v>
      </c>
    </row>
    <row r="2851">
      <c r="A2851" t="inlineStr">
        <is>
          <t>ttJTrans</t>
        </is>
      </c>
      <c r="B2851" s="38" t="inlineStr">
        <is>
          <t>0-4015</t>
        </is>
      </c>
      <c r="C2851" t="inlineStr">
        <is>
          <t>LA</t>
        </is>
      </c>
      <c r="E2851" t="inlineStr">
        <is>
          <t>LA</t>
        </is>
      </c>
      <c r="G2851" s="128" t="inlineStr"/>
      <c r="H2851" s="127" t="n">
        <v>46093</v>
      </c>
      <c r="J2851" s="38" t="inlineStr">
        <is>
          <t>0-4015</t>
        </is>
      </c>
      <c r="K2851" t="inlineStr">
        <is>
          <t>PR P0COST 000521 (PR) Summary</t>
        </is>
      </c>
      <c r="L2851" t="n">
        <v>0</v>
      </c>
      <c r="M2851" t="n">
        <v>0</v>
      </c>
      <c r="Q2851" s="114" t="n">
        <v>0</v>
      </c>
      <c r="R2851" s="114" t="n">
        <v>1716</v>
      </c>
      <c r="S2851" s="114" t="n">
        <v>0</v>
      </c>
      <c r="T2851" t="n">
        <v>40</v>
      </c>
    </row>
    <row r="2852">
      <c r="A2852" t="inlineStr">
        <is>
          <t>ttJTrans</t>
        </is>
      </c>
      <c r="B2852" s="38" t="inlineStr">
        <is>
          <t>0-4015</t>
        </is>
      </c>
      <c r="C2852" t="inlineStr">
        <is>
          <t>LA</t>
        </is>
      </c>
      <c r="E2852" t="inlineStr">
        <is>
          <t>LA</t>
        </is>
      </c>
      <c r="G2852" s="128" t="inlineStr"/>
      <c r="H2852" s="127" t="n">
        <v>46100</v>
      </c>
      <c r="J2852" s="38" t="inlineStr">
        <is>
          <t>0-4015</t>
        </is>
      </c>
      <c r="K2852" t="inlineStr">
        <is>
          <t>PR P0COST 000522 (PR) Summary</t>
        </is>
      </c>
      <c r="L2852" t="n">
        <v>0</v>
      </c>
      <c r="M2852" t="n">
        <v>0</v>
      </c>
      <c r="Q2852" s="114" t="n">
        <v>0</v>
      </c>
      <c r="R2852" s="114" t="n">
        <v>3712.11</v>
      </c>
      <c r="S2852" s="114" t="n">
        <v>0</v>
      </c>
      <c r="T2852" t="n">
        <v>81.02</v>
      </c>
    </row>
    <row r="2853">
      <c r="A2853" t="inlineStr">
        <is>
          <t>ttJTrans</t>
        </is>
      </c>
      <c r="B2853" s="38" t="inlineStr">
        <is>
          <t>0-4015</t>
        </is>
      </c>
      <c r="C2853" t="inlineStr">
        <is>
          <t>LA</t>
        </is>
      </c>
      <c r="E2853" t="inlineStr">
        <is>
          <t>LA</t>
        </is>
      </c>
      <c r="G2853" s="128" t="inlineStr"/>
      <c r="H2853" s="127" t="n">
        <v>46100</v>
      </c>
      <c r="J2853" s="38" t="inlineStr">
        <is>
          <t>0-4015</t>
        </is>
      </c>
      <c r="K2853" t="inlineStr">
        <is>
          <t>PR P0COST 000522 (PR) Summary</t>
        </is>
      </c>
      <c r="L2853" t="n">
        <v>0</v>
      </c>
      <c r="M2853" t="n">
        <v>0</v>
      </c>
      <c r="Q2853" s="114" t="n">
        <v>0</v>
      </c>
      <c r="R2853" s="114" t="n">
        <v>3712.11</v>
      </c>
      <c r="S2853" s="114" t="n">
        <v>0</v>
      </c>
      <c r="T2853" t="n">
        <v>81.02</v>
      </c>
    </row>
    <row r="2854">
      <c r="A2854" t="inlineStr">
        <is>
          <t>ttJTrans</t>
        </is>
      </c>
      <c r="B2854" s="38" t="inlineStr">
        <is>
          <t>0-4015</t>
        </is>
      </c>
      <c r="C2854" t="inlineStr">
        <is>
          <t>LA</t>
        </is>
      </c>
      <c r="E2854" t="inlineStr">
        <is>
          <t>LA</t>
        </is>
      </c>
      <c r="G2854" s="128" t="inlineStr"/>
      <c r="H2854" s="127" t="n">
        <v>46100</v>
      </c>
      <c r="J2854" s="38" t="inlineStr">
        <is>
          <t>0-4015</t>
        </is>
      </c>
      <c r="K2854" t="inlineStr">
        <is>
          <t>PR P0COST 000522 (PR) Summary</t>
        </is>
      </c>
      <c r="L2854" t="n">
        <v>0</v>
      </c>
      <c r="M2854" t="n">
        <v>0</v>
      </c>
      <c r="Q2854" s="114" t="n">
        <v>0</v>
      </c>
      <c r="R2854" s="114" t="n">
        <v>3712.12</v>
      </c>
      <c r="S2854" s="114" t="n">
        <v>0</v>
      </c>
      <c r="T2854" t="n">
        <v>81.02</v>
      </c>
    </row>
    <row r="2855">
      <c r="A2855" t="inlineStr">
        <is>
          <t>ttJTrans</t>
        </is>
      </c>
      <c r="B2855" s="38" t="inlineStr">
        <is>
          <t>0-4015</t>
        </is>
      </c>
      <c r="C2855" t="inlineStr">
        <is>
          <t>LA</t>
        </is>
      </c>
      <c r="E2855" t="inlineStr">
        <is>
          <t>LA</t>
        </is>
      </c>
      <c r="G2855" s="128" t="inlineStr"/>
      <c r="H2855" s="127" t="n">
        <v>46100</v>
      </c>
      <c r="J2855" s="38" t="inlineStr">
        <is>
          <t>0-4015</t>
        </is>
      </c>
      <c r="K2855" t="inlineStr">
        <is>
          <t>PR P0COST 000522 (PR) Summary</t>
        </is>
      </c>
      <c r="L2855" t="n">
        <v>0</v>
      </c>
      <c r="M2855" t="n">
        <v>0</v>
      </c>
      <c r="Q2855" s="114" t="n">
        <v>0</v>
      </c>
      <c r="R2855" s="114" t="n">
        <v>3082.54</v>
      </c>
      <c r="S2855" s="114" t="n">
        <v>0</v>
      </c>
      <c r="T2855" t="n">
        <v>70</v>
      </c>
    </row>
    <row r="2856">
      <c r="A2856" t="inlineStr">
        <is>
          <t>ttJTrans</t>
        </is>
      </c>
      <c r="B2856" s="38" t="inlineStr">
        <is>
          <t>0-4015</t>
        </is>
      </c>
      <c r="C2856" t="inlineStr">
        <is>
          <t>LA</t>
        </is>
      </c>
      <c r="E2856" t="inlineStr">
        <is>
          <t>LA</t>
        </is>
      </c>
      <c r="G2856" s="128" t="inlineStr"/>
      <c r="H2856" s="127" t="n">
        <v>46100</v>
      </c>
      <c r="J2856" s="38" t="inlineStr">
        <is>
          <t>0-4015</t>
        </is>
      </c>
      <c r="K2856" t="inlineStr">
        <is>
          <t>PR P0COST 000522 (PR) Summary</t>
        </is>
      </c>
      <c r="L2856" t="n">
        <v>0</v>
      </c>
      <c r="M2856" t="n">
        <v>0</v>
      </c>
      <c r="Q2856" s="114" t="n">
        <v>0</v>
      </c>
      <c r="R2856" s="114" t="n">
        <v>1994.8</v>
      </c>
      <c r="S2856" s="114" t="n">
        <v>0</v>
      </c>
      <c r="T2856" t="n">
        <v>11.5</v>
      </c>
    </row>
    <row r="2857">
      <c r="A2857" t="inlineStr">
        <is>
          <t>ttJTrans</t>
        </is>
      </c>
      <c r="B2857" s="38" t="inlineStr">
        <is>
          <t>0-4015</t>
        </is>
      </c>
      <c r="C2857" t="inlineStr">
        <is>
          <t>LA</t>
        </is>
      </c>
      <c r="E2857" t="inlineStr">
        <is>
          <t>LA</t>
        </is>
      </c>
      <c r="G2857" s="128" t="inlineStr"/>
      <c r="H2857" s="127" t="n">
        <v>46100</v>
      </c>
      <c r="J2857" s="38" t="inlineStr">
        <is>
          <t>0-4015</t>
        </is>
      </c>
      <c r="K2857" t="inlineStr">
        <is>
          <t>PR P0COST 000522 (PR) Summary</t>
        </is>
      </c>
      <c r="L2857" t="n">
        <v>0</v>
      </c>
      <c r="M2857" t="n">
        <v>0</v>
      </c>
      <c r="Q2857" s="114" t="n">
        <v>0</v>
      </c>
      <c r="R2857" s="114" t="n">
        <v>1994.77</v>
      </c>
      <c r="S2857" s="114" t="n">
        <v>0</v>
      </c>
      <c r="T2857" t="n">
        <v>6.02</v>
      </c>
    </row>
    <row r="2858">
      <c r="A2858" t="inlineStr">
        <is>
          <t>ttJTrans</t>
        </is>
      </c>
      <c r="B2858" s="38" t="inlineStr">
        <is>
          <t>0-4015</t>
        </is>
      </c>
      <c r="C2858" t="inlineStr">
        <is>
          <t>LA</t>
        </is>
      </c>
      <c r="E2858" t="inlineStr">
        <is>
          <t>LA</t>
        </is>
      </c>
      <c r="G2858" s="128" t="inlineStr"/>
      <c r="H2858" s="127" t="n">
        <v>46100</v>
      </c>
      <c r="J2858" s="38" t="inlineStr">
        <is>
          <t>0-4015</t>
        </is>
      </c>
      <c r="K2858" t="inlineStr">
        <is>
          <t>PR P0COST 000522 (PR) Summary</t>
        </is>
      </c>
      <c r="L2858" t="n">
        <v>0</v>
      </c>
      <c r="M2858" t="n">
        <v>0</v>
      </c>
      <c r="Q2858" s="114" t="n">
        <v>0</v>
      </c>
      <c r="R2858" s="114" t="n">
        <v>2178.9</v>
      </c>
      <c r="S2858" s="114" t="n">
        <v>0</v>
      </c>
      <c r="T2858" t="n">
        <v>45</v>
      </c>
    </row>
    <row r="2859">
      <c r="A2859" t="inlineStr">
        <is>
          <t>ttJTrans</t>
        </is>
      </c>
      <c r="B2859" s="38" t="inlineStr">
        <is>
          <t>0-4015</t>
        </is>
      </c>
      <c r="C2859" t="inlineStr">
        <is>
          <t>LA</t>
        </is>
      </c>
      <c r="E2859" t="inlineStr">
        <is>
          <t>LA</t>
        </is>
      </c>
      <c r="G2859" s="128" t="inlineStr"/>
      <c r="H2859" s="127" t="n">
        <v>46100</v>
      </c>
      <c r="J2859" s="38" t="inlineStr">
        <is>
          <t>0-4015</t>
        </is>
      </c>
      <c r="K2859" t="inlineStr">
        <is>
          <t>PR P0COST 000522 (PR) Summary</t>
        </is>
      </c>
      <c r="L2859" t="n">
        <v>0</v>
      </c>
      <c r="M2859" t="n">
        <v>0</v>
      </c>
      <c r="Q2859" s="114" t="n">
        <v>0</v>
      </c>
      <c r="R2859" s="114" t="n">
        <v>2336.84</v>
      </c>
      <c r="S2859" s="114" t="n">
        <v>0</v>
      </c>
      <c r="T2859" t="n">
        <v>50</v>
      </c>
    </row>
    <row r="2860">
      <c r="A2860" t="inlineStr">
        <is>
          <t>ttJTrans</t>
        </is>
      </c>
      <c r="B2860" s="38" t="inlineStr">
        <is>
          <t>0-4015</t>
        </is>
      </c>
      <c r="C2860" t="inlineStr">
        <is>
          <t>LA</t>
        </is>
      </c>
      <c r="E2860" t="inlineStr">
        <is>
          <t>LA</t>
        </is>
      </c>
      <c r="G2860" s="128" t="inlineStr"/>
      <c r="H2860" s="127" t="n">
        <v>46111</v>
      </c>
      <c r="J2860" s="38" t="inlineStr">
        <is>
          <t>0-4015</t>
        </is>
      </c>
      <c r="K2860" t="inlineStr">
        <is>
          <t>PR P2COST 000288 (PR) Summary</t>
        </is>
      </c>
      <c r="L2860" t="n">
        <v>0</v>
      </c>
      <c r="M2860" t="n">
        <v>0</v>
      </c>
      <c r="Q2860" s="114" t="n">
        <v>0</v>
      </c>
      <c r="R2860" s="114" t="n">
        <v>960.2</v>
      </c>
      <c r="S2860" s="114" t="n">
        <v>0</v>
      </c>
      <c r="T2860" t="n">
        <v>10</v>
      </c>
    </row>
    <row r="2861">
      <c r="A2861" t="inlineStr">
        <is>
          <t>ttJTrans</t>
        </is>
      </c>
      <c r="B2861" s="38" t="inlineStr">
        <is>
          <t>0-4015</t>
        </is>
      </c>
      <c r="C2861" t="inlineStr">
        <is>
          <t>LA</t>
        </is>
      </c>
      <c r="E2861" t="inlineStr">
        <is>
          <t>LA</t>
        </is>
      </c>
      <c r="G2861" s="128" t="inlineStr"/>
      <c r="H2861" s="127" t="n">
        <v>46111</v>
      </c>
      <c r="J2861" s="38" t="inlineStr">
        <is>
          <t>0-4015</t>
        </is>
      </c>
      <c r="K2861" t="inlineStr">
        <is>
          <t>PR P2COST 000288 (PR) Summary</t>
        </is>
      </c>
      <c r="L2861" t="n">
        <v>0</v>
      </c>
      <c r="M2861" t="n">
        <v>0</v>
      </c>
      <c r="Q2861" s="114" t="n">
        <v>0</v>
      </c>
      <c r="R2861" s="114" t="n">
        <v>960.1799999999999</v>
      </c>
      <c r="S2861" s="114" t="n">
        <v>0</v>
      </c>
      <c r="T2861" t="n">
        <v>10</v>
      </c>
    </row>
    <row r="2862">
      <c r="A2862" t="inlineStr">
        <is>
          <t>ttJTrans</t>
        </is>
      </c>
      <c r="B2862" s="38" t="inlineStr">
        <is>
          <t>0-4015</t>
        </is>
      </c>
      <c r="C2862" t="inlineStr">
        <is>
          <t>LA</t>
        </is>
      </c>
      <c r="E2862" t="inlineStr">
        <is>
          <t>LA</t>
        </is>
      </c>
      <c r="G2862" s="128" t="inlineStr"/>
      <c r="H2862" s="127" t="n">
        <v>46111</v>
      </c>
      <c r="J2862" s="38" t="inlineStr">
        <is>
          <t>0-4015</t>
        </is>
      </c>
      <c r="K2862" t="inlineStr">
        <is>
          <t>PR P2COST 000288 (PR) Summary</t>
        </is>
      </c>
      <c r="L2862" t="n">
        <v>0</v>
      </c>
      <c r="M2862" t="n">
        <v>0</v>
      </c>
      <c r="Q2862" s="114" t="n">
        <v>0</v>
      </c>
      <c r="R2862" s="114" t="n">
        <v>960.2</v>
      </c>
      <c r="S2862" s="114" t="n">
        <v>0</v>
      </c>
      <c r="T2862" t="n">
        <v>10</v>
      </c>
    </row>
    <row r="2863">
      <c r="A2863" t="inlineStr">
        <is>
          <t>ttJTrans</t>
        </is>
      </c>
      <c r="B2863" s="38" t="inlineStr">
        <is>
          <t>0-4015</t>
        </is>
      </c>
      <c r="C2863" t="inlineStr">
        <is>
          <t>LA</t>
        </is>
      </c>
      <c r="E2863" t="inlineStr">
        <is>
          <t>LA</t>
        </is>
      </c>
      <c r="G2863" s="128" t="inlineStr"/>
      <c r="H2863" s="127" t="n">
        <v>46111</v>
      </c>
      <c r="J2863" s="38" t="inlineStr">
        <is>
          <t>0-4015</t>
        </is>
      </c>
      <c r="K2863" t="inlineStr">
        <is>
          <t>PR P2COST 000288 (PR) Summary</t>
        </is>
      </c>
      <c r="L2863" t="n">
        <v>0</v>
      </c>
      <c r="M2863" t="n">
        <v>0</v>
      </c>
      <c r="Q2863" s="114" t="n">
        <v>0</v>
      </c>
      <c r="R2863" s="114" t="n">
        <v>960.2</v>
      </c>
      <c r="S2863" s="114" t="n">
        <v>0</v>
      </c>
      <c r="T2863" t="n">
        <v>10</v>
      </c>
    </row>
    <row r="2864">
      <c r="A2864" t="inlineStr">
        <is>
          <t>ttJTrans</t>
        </is>
      </c>
      <c r="B2864" s="38" t="inlineStr">
        <is>
          <t>0-4015</t>
        </is>
      </c>
      <c r="C2864" t="inlineStr">
        <is>
          <t>LA</t>
        </is>
      </c>
      <c r="E2864" t="inlineStr">
        <is>
          <t>LA</t>
        </is>
      </c>
      <c r="G2864" s="128" t="inlineStr"/>
      <c r="H2864" s="127" t="n">
        <v>46111</v>
      </c>
      <c r="J2864" s="38" t="inlineStr">
        <is>
          <t>0-4015</t>
        </is>
      </c>
      <c r="K2864" t="inlineStr">
        <is>
          <t>PR P2COST 000288 (PR) Summary</t>
        </is>
      </c>
      <c r="L2864" t="n">
        <v>0</v>
      </c>
      <c r="M2864" t="n">
        <v>0</v>
      </c>
      <c r="Q2864" s="114" t="n">
        <v>0</v>
      </c>
      <c r="R2864" s="114" t="n">
        <v>960.1799999999999</v>
      </c>
      <c r="S2864" s="114" t="n">
        <v>0</v>
      </c>
      <c r="T2864" t="n">
        <v>10</v>
      </c>
    </row>
    <row r="2865">
      <c r="A2865" t="inlineStr">
        <is>
          <t>ttJTrans</t>
        </is>
      </c>
      <c r="B2865" s="38" t="inlineStr">
        <is>
          <t>0-4015</t>
        </is>
      </c>
      <c r="C2865" t="inlineStr">
        <is>
          <t>LA</t>
        </is>
      </c>
      <c r="E2865" t="inlineStr">
        <is>
          <t>LA</t>
        </is>
      </c>
      <c r="G2865" s="128" t="inlineStr"/>
      <c r="H2865" s="127" t="n">
        <v>46111</v>
      </c>
      <c r="J2865" s="38" t="inlineStr">
        <is>
          <t>0-4015</t>
        </is>
      </c>
      <c r="K2865" t="inlineStr">
        <is>
          <t>PR P2COST 000288 (PR) Summary</t>
        </is>
      </c>
      <c r="L2865" t="n">
        <v>0</v>
      </c>
      <c r="M2865" t="n">
        <v>0</v>
      </c>
      <c r="Q2865" s="114" t="n">
        <v>0</v>
      </c>
      <c r="R2865" s="114" t="n">
        <v>960.2</v>
      </c>
      <c r="S2865" s="114" t="n">
        <v>0</v>
      </c>
      <c r="T2865" t="n">
        <v>10</v>
      </c>
    </row>
    <row r="2866">
      <c r="A2866" t="inlineStr">
        <is>
          <t>ttJTrans</t>
        </is>
      </c>
      <c r="B2866" s="38" t="inlineStr">
        <is>
          <t>0-4015</t>
        </is>
      </c>
      <c r="C2866" t="inlineStr">
        <is>
          <t>LA</t>
        </is>
      </c>
      <c r="E2866" t="inlineStr">
        <is>
          <t>LA</t>
        </is>
      </c>
      <c r="G2866" s="128" t="inlineStr"/>
      <c r="H2866" s="127" t="n">
        <v>46107</v>
      </c>
      <c r="J2866" s="38" t="inlineStr">
        <is>
          <t>0-4015</t>
        </is>
      </c>
      <c r="K2866" t="inlineStr">
        <is>
          <t>PR P0COST 000523 (PR) Summary</t>
        </is>
      </c>
      <c r="L2866" t="n">
        <v>0</v>
      </c>
      <c r="M2866" t="n">
        <v>0</v>
      </c>
      <c r="Q2866" s="114" t="n">
        <v>0</v>
      </c>
      <c r="R2866" s="114" t="n">
        <v>2984.07</v>
      </c>
      <c r="S2866" s="114" t="n">
        <v>0</v>
      </c>
      <c r="T2866" t="n">
        <v>60</v>
      </c>
    </row>
    <row r="2867">
      <c r="A2867" t="inlineStr">
        <is>
          <t>ttJTrans</t>
        </is>
      </c>
      <c r="B2867" s="38" t="inlineStr">
        <is>
          <t>0-4015</t>
        </is>
      </c>
      <c r="C2867" t="inlineStr">
        <is>
          <t>LA</t>
        </is>
      </c>
      <c r="E2867" t="inlineStr">
        <is>
          <t>LA</t>
        </is>
      </c>
      <c r="G2867" s="128" t="inlineStr"/>
      <c r="H2867" s="127" t="n">
        <v>46107</v>
      </c>
      <c r="J2867" s="38" t="inlineStr">
        <is>
          <t>0-4015</t>
        </is>
      </c>
      <c r="K2867" t="inlineStr">
        <is>
          <t>PR P0COST 000523 (PR) Summary</t>
        </is>
      </c>
      <c r="L2867" t="n">
        <v>0</v>
      </c>
      <c r="M2867" t="n">
        <v>0</v>
      </c>
      <c r="Q2867" s="114" t="n">
        <v>0</v>
      </c>
      <c r="R2867" s="114" t="n">
        <v>2984.07</v>
      </c>
      <c r="S2867" s="114" t="n">
        <v>0</v>
      </c>
      <c r="T2867" t="n">
        <v>60</v>
      </c>
    </row>
    <row r="2868">
      <c r="A2868" t="inlineStr">
        <is>
          <t>ttJTrans</t>
        </is>
      </c>
      <c r="B2868" s="38" t="inlineStr">
        <is>
          <t>0-4015</t>
        </is>
      </c>
      <c r="C2868" t="inlineStr">
        <is>
          <t>LA</t>
        </is>
      </c>
      <c r="E2868" t="inlineStr">
        <is>
          <t>LA</t>
        </is>
      </c>
      <c r="G2868" s="128" t="inlineStr"/>
      <c r="H2868" s="127" t="n">
        <v>46107</v>
      </c>
      <c r="J2868" s="38" t="inlineStr">
        <is>
          <t>0-4015</t>
        </is>
      </c>
      <c r="K2868" t="inlineStr">
        <is>
          <t>PR P0COST 000523 (PR) Summary</t>
        </is>
      </c>
      <c r="L2868" t="n">
        <v>0</v>
      </c>
      <c r="M2868" t="n">
        <v>0</v>
      </c>
      <c r="Q2868" s="114" t="n">
        <v>0</v>
      </c>
      <c r="R2868" s="114" t="n">
        <v>2015.31</v>
      </c>
      <c r="S2868" s="114" t="n">
        <v>0</v>
      </c>
      <c r="T2868" t="n">
        <v>30</v>
      </c>
    </row>
    <row r="2869">
      <c r="A2869" t="inlineStr">
        <is>
          <t>ttJTrans</t>
        </is>
      </c>
      <c r="B2869" s="38" t="inlineStr">
        <is>
          <t>0-4015</t>
        </is>
      </c>
      <c r="C2869" t="inlineStr">
        <is>
          <t>LA</t>
        </is>
      </c>
      <c r="E2869" t="inlineStr">
        <is>
          <t>LA</t>
        </is>
      </c>
      <c r="G2869" s="128" t="inlineStr"/>
      <c r="H2869" s="127" t="n">
        <v>46107</v>
      </c>
      <c r="J2869" s="38" t="inlineStr">
        <is>
          <t>0-4015</t>
        </is>
      </c>
      <c r="K2869" t="inlineStr">
        <is>
          <t>PR P0COST 000523 (PR) Summary</t>
        </is>
      </c>
      <c r="L2869" t="n">
        <v>0</v>
      </c>
      <c r="M2869" t="n">
        <v>0</v>
      </c>
      <c r="Q2869" s="114" t="n">
        <v>0</v>
      </c>
      <c r="R2869" s="114" t="n">
        <v>2015.31</v>
      </c>
      <c r="S2869" s="114" t="n">
        <v>0</v>
      </c>
      <c r="T2869" t="n">
        <v>30</v>
      </c>
    </row>
    <row r="2870">
      <c r="A2870" t="inlineStr">
        <is>
          <t>ttJTrans</t>
        </is>
      </c>
      <c r="B2870" s="38" t="inlineStr">
        <is>
          <t>0-4015</t>
        </is>
      </c>
      <c r="C2870" t="inlineStr">
        <is>
          <t>LA</t>
        </is>
      </c>
      <c r="E2870" t="inlineStr">
        <is>
          <t>LA</t>
        </is>
      </c>
      <c r="G2870" s="128" t="inlineStr"/>
      <c r="H2870" s="127" t="n">
        <v>46107</v>
      </c>
      <c r="J2870" s="38" t="inlineStr">
        <is>
          <t>0-4015</t>
        </is>
      </c>
      <c r="K2870" t="inlineStr">
        <is>
          <t>PR P0COST 000523 (PR) Summary</t>
        </is>
      </c>
      <c r="L2870" t="n">
        <v>0</v>
      </c>
      <c r="M2870" t="n">
        <v>0</v>
      </c>
      <c r="Q2870" s="114" t="n">
        <v>0</v>
      </c>
      <c r="R2870" s="114" t="n">
        <v>1485.9</v>
      </c>
      <c r="S2870" s="114" t="n">
        <v>0</v>
      </c>
      <c r="T2870" t="n">
        <v>0</v>
      </c>
    </row>
    <row r="2871">
      <c r="A2871" t="inlineStr">
        <is>
          <t>ttJTrans</t>
        </is>
      </c>
      <c r="B2871" s="38" t="inlineStr">
        <is>
          <t>0-4015</t>
        </is>
      </c>
      <c r="C2871" t="inlineStr">
        <is>
          <t>LA</t>
        </is>
      </c>
      <c r="E2871" t="inlineStr">
        <is>
          <t>LA</t>
        </is>
      </c>
      <c r="G2871" s="128" t="inlineStr"/>
      <c r="H2871" s="127" t="n">
        <v>46107</v>
      </c>
      <c r="J2871" s="38" t="inlineStr">
        <is>
          <t>0-4015</t>
        </is>
      </c>
      <c r="K2871" t="inlineStr">
        <is>
          <t>PR P0COST 000523 (PR) Summary</t>
        </is>
      </c>
      <c r="L2871" t="n">
        <v>0</v>
      </c>
      <c r="M2871" t="n">
        <v>0</v>
      </c>
      <c r="Q2871" s="114" t="n">
        <v>0</v>
      </c>
      <c r="R2871" s="114" t="n">
        <v>711.67</v>
      </c>
      <c r="S2871" s="114" t="n">
        <v>0</v>
      </c>
      <c r="T2871" t="n">
        <v>0</v>
      </c>
    </row>
    <row r="2872">
      <c r="A2872" t="inlineStr">
        <is>
          <t>ttJTrans</t>
        </is>
      </c>
      <c r="B2872" s="38" t="inlineStr">
        <is>
          <t>0-4015</t>
        </is>
      </c>
      <c r="C2872" t="inlineStr">
        <is>
          <t>LA</t>
        </is>
      </c>
      <c r="E2872" t="inlineStr">
        <is>
          <t>LA</t>
        </is>
      </c>
      <c r="G2872" s="128" t="inlineStr"/>
      <c r="H2872" s="127" t="n">
        <v>46107</v>
      </c>
      <c r="J2872" s="38" t="inlineStr">
        <is>
          <t>0-4015</t>
        </is>
      </c>
      <c r="K2872" t="inlineStr">
        <is>
          <t>PR P0COST 000523 (PR) Summary</t>
        </is>
      </c>
      <c r="L2872" t="n">
        <v>0</v>
      </c>
      <c r="M2872" t="n">
        <v>0</v>
      </c>
      <c r="Q2872" s="114" t="n">
        <v>0</v>
      </c>
      <c r="R2872" s="114" t="n">
        <v>406.83</v>
      </c>
      <c r="S2872" s="114" t="n">
        <v>0</v>
      </c>
      <c r="T2872" t="n">
        <v>5</v>
      </c>
    </row>
    <row r="2873">
      <c r="A2873" t="inlineStr">
        <is>
          <t>ttJTrans</t>
        </is>
      </c>
      <c r="B2873" s="38" t="inlineStr">
        <is>
          <t>0-4015</t>
        </is>
      </c>
      <c r="C2873" t="inlineStr">
        <is>
          <t>LA</t>
        </is>
      </c>
      <c r="E2873" t="inlineStr">
        <is>
          <t>LA</t>
        </is>
      </c>
      <c r="G2873" s="128" t="inlineStr"/>
      <c r="H2873" s="127" t="n">
        <v>46114</v>
      </c>
      <c r="J2873" s="38" t="inlineStr">
        <is>
          <t>0-4015</t>
        </is>
      </c>
      <c r="K2873" t="inlineStr">
        <is>
          <t>PR P0COST 000524 (PR) Summary</t>
        </is>
      </c>
      <c r="L2873" t="n">
        <v>0</v>
      </c>
      <c r="M2873" t="n">
        <v>0</v>
      </c>
      <c r="Q2873" s="114" t="n">
        <v>0</v>
      </c>
      <c r="R2873" s="114" t="n">
        <v>1516.01</v>
      </c>
      <c r="S2873" s="114" t="n">
        <v>0</v>
      </c>
      <c r="T2873" t="n">
        <v>20</v>
      </c>
    </row>
    <row r="2874">
      <c r="A2874" t="inlineStr">
        <is>
          <t>ttJTrans</t>
        </is>
      </c>
      <c r="B2874" s="38" t="inlineStr">
        <is>
          <t>0-4015</t>
        </is>
      </c>
      <c r="C2874" t="inlineStr">
        <is>
          <t>LA</t>
        </is>
      </c>
      <c r="E2874" t="inlineStr">
        <is>
          <t>LA</t>
        </is>
      </c>
      <c r="G2874" s="128" t="inlineStr"/>
      <c r="H2874" s="127" t="n">
        <v>46114</v>
      </c>
      <c r="J2874" s="38" t="inlineStr">
        <is>
          <t>0-4015</t>
        </is>
      </c>
      <c r="K2874" t="inlineStr">
        <is>
          <t>PR P0COST 000524 (PR) Summary</t>
        </is>
      </c>
      <c r="L2874" t="n">
        <v>0</v>
      </c>
      <c r="M2874" t="n">
        <v>0</v>
      </c>
      <c r="Q2874" s="114" t="n">
        <v>0</v>
      </c>
      <c r="R2874" s="114" t="n">
        <v>1516.01</v>
      </c>
      <c r="S2874" s="114" t="n">
        <v>0</v>
      </c>
      <c r="T2874" t="n">
        <v>20</v>
      </c>
    </row>
    <row r="2875">
      <c r="A2875" t="inlineStr">
        <is>
          <t>ttJTrans</t>
        </is>
      </c>
      <c r="B2875" s="38" t="inlineStr">
        <is>
          <t>0-4015</t>
        </is>
      </c>
      <c r="C2875" t="inlineStr">
        <is>
          <t>LA</t>
        </is>
      </c>
      <c r="E2875" t="inlineStr">
        <is>
          <t>LA</t>
        </is>
      </c>
      <c r="G2875" s="128" t="inlineStr"/>
      <c r="H2875" s="127" t="n">
        <v>46114</v>
      </c>
      <c r="J2875" s="38" t="inlineStr">
        <is>
          <t>0-4015</t>
        </is>
      </c>
      <c r="K2875" t="inlineStr">
        <is>
          <t>PR P0COST 000524 (PR) Summary</t>
        </is>
      </c>
      <c r="L2875" t="n">
        <v>0</v>
      </c>
      <c r="M2875" t="n">
        <v>0</v>
      </c>
      <c r="Q2875" s="114" t="n">
        <v>0</v>
      </c>
      <c r="R2875" s="114" t="n">
        <v>1516.03</v>
      </c>
      <c r="S2875" s="114" t="n">
        <v>0</v>
      </c>
      <c r="T2875" t="n">
        <v>20</v>
      </c>
    </row>
    <row r="2876">
      <c r="A2876" t="inlineStr">
        <is>
          <t>ttJTrans</t>
        </is>
      </c>
      <c r="B2876" s="38" t="inlineStr">
        <is>
          <t>0-4015</t>
        </is>
      </c>
      <c r="C2876" t="inlineStr">
        <is>
          <t>LA</t>
        </is>
      </c>
      <c r="E2876" t="inlineStr">
        <is>
          <t>LA</t>
        </is>
      </c>
      <c r="G2876" s="128" t="inlineStr"/>
      <c r="H2876" s="127" t="n">
        <v>46114</v>
      </c>
      <c r="J2876" s="38" t="inlineStr">
        <is>
          <t>0-4015</t>
        </is>
      </c>
      <c r="K2876" t="inlineStr">
        <is>
          <t>PR P0COST 000524 (PR) Summary</t>
        </is>
      </c>
      <c r="L2876" t="n">
        <v>0</v>
      </c>
      <c r="M2876" t="n">
        <v>0</v>
      </c>
      <c r="Q2876" s="114" t="n">
        <v>0</v>
      </c>
      <c r="R2876" s="114" t="n">
        <v>1516.04</v>
      </c>
      <c r="S2876" s="114" t="n">
        <v>0</v>
      </c>
      <c r="T2876" t="n">
        <v>20</v>
      </c>
    </row>
    <row r="2877">
      <c r="A2877" t="inlineStr">
        <is>
          <t>ttJTrans</t>
        </is>
      </c>
      <c r="B2877" s="38" t="inlineStr">
        <is>
          <t>0-4015</t>
        </is>
      </c>
      <c r="C2877" t="inlineStr">
        <is>
          <t>LA</t>
        </is>
      </c>
      <c r="E2877" t="inlineStr">
        <is>
          <t>LA</t>
        </is>
      </c>
      <c r="G2877" s="128" t="inlineStr"/>
      <c r="H2877" s="127" t="n">
        <v>46121</v>
      </c>
      <c r="J2877" s="38" t="inlineStr">
        <is>
          <t>0-4015</t>
        </is>
      </c>
      <c r="K2877" t="inlineStr">
        <is>
          <t>PR P0COST 000525 (PR) Summary</t>
        </is>
      </c>
      <c r="L2877" t="n">
        <v>0</v>
      </c>
      <c r="M2877" t="n">
        <v>0</v>
      </c>
      <c r="Q2877" s="114" t="n">
        <v>0</v>
      </c>
      <c r="R2877" s="114" t="n">
        <v>729.48</v>
      </c>
      <c r="S2877" s="114" t="n">
        <v>0</v>
      </c>
      <c r="T2877" t="n">
        <v>10</v>
      </c>
    </row>
    <row r="2878">
      <c r="A2878" t="inlineStr">
        <is>
          <t>ttJTrans</t>
        </is>
      </c>
      <c r="B2878" s="38" t="inlineStr">
        <is>
          <t>0-4015</t>
        </is>
      </c>
      <c r="C2878" t="inlineStr">
        <is>
          <t>LA</t>
        </is>
      </c>
      <c r="E2878" t="inlineStr">
        <is>
          <t>LA</t>
        </is>
      </c>
      <c r="G2878" s="128" t="inlineStr"/>
      <c r="H2878" s="127" t="n">
        <v>46121</v>
      </c>
      <c r="J2878" s="38" t="inlineStr">
        <is>
          <t>0-4015</t>
        </is>
      </c>
      <c r="K2878" t="inlineStr">
        <is>
          <t>PR P0COST 000525 (PR) Summary</t>
        </is>
      </c>
      <c r="L2878" t="n">
        <v>0</v>
      </c>
      <c r="M2878" t="n">
        <v>0</v>
      </c>
      <c r="Q2878" s="114" t="n">
        <v>0</v>
      </c>
      <c r="R2878" s="114" t="n">
        <v>1280.79</v>
      </c>
      <c r="S2878" s="114" t="n">
        <v>0</v>
      </c>
      <c r="T2878" t="n">
        <v>20</v>
      </c>
    </row>
    <row r="2879">
      <c r="A2879" t="inlineStr">
        <is>
          <t>ttJTrans</t>
        </is>
      </c>
      <c r="B2879" s="38" t="inlineStr">
        <is>
          <t>0-4015</t>
        </is>
      </c>
      <c r="C2879" t="inlineStr">
        <is>
          <t>LA</t>
        </is>
      </c>
      <c r="E2879" t="inlineStr">
        <is>
          <t>LA</t>
        </is>
      </c>
      <c r="G2879" s="128" t="inlineStr"/>
      <c r="H2879" s="127" t="n">
        <v>46121</v>
      </c>
      <c r="J2879" s="38" t="inlineStr">
        <is>
          <t>0-4015</t>
        </is>
      </c>
      <c r="K2879" t="inlineStr">
        <is>
          <t>PR P0COST 000525 (PR) Summary</t>
        </is>
      </c>
      <c r="L2879" t="n">
        <v>0</v>
      </c>
      <c r="M2879" t="n">
        <v>0</v>
      </c>
      <c r="Q2879" s="114" t="n">
        <v>0</v>
      </c>
      <c r="R2879" s="114" t="n">
        <v>1280.79</v>
      </c>
      <c r="S2879" s="114" t="n">
        <v>0</v>
      </c>
      <c r="T2879" t="n">
        <v>20</v>
      </c>
    </row>
    <row r="2880">
      <c r="A2880" t="inlineStr">
        <is>
          <t>ttJTrans</t>
        </is>
      </c>
      <c r="B2880" s="38" t="inlineStr">
        <is>
          <t>0-4015</t>
        </is>
      </c>
      <c r="C2880" t="inlineStr">
        <is>
          <t>LA</t>
        </is>
      </c>
      <c r="E2880" t="inlineStr">
        <is>
          <t>LA</t>
        </is>
      </c>
      <c r="G2880" s="128" t="inlineStr"/>
      <c r="H2880" s="127" t="n">
        <v>46121</v>
      </c>
      <c r="J2880" s="38" t="inlineStr">
        <is>
          <t>0-4015</t>
        </is>
      </c>
      <c r="K2880" t="inlineStr">
        <is>
          <t>PR P0COST 000525 (PR) Summary</t>
        </is>
      </c>
      <c r="L2880" t="n">
        <v>0</v>
      </c>
      <c r="M2880" t="n">
        <v>0</v>
      </c>
      <c r="Q2880" s="114" t="n">
        <v>0</v>
      </c>
      <c r="R2880" s="114" t="n">
        <v>1280.81</v>
      </c>
      <c r="S2880" s="114" t="n">
        <v>0</v>
      </c>
      <c r="T2880" t="n">
        <v>20</v>
      </c>
    </row>
    <row r="2881">
      <c r="A2881" t="inlineStr">
        <is>
          <t>ttJTrans</t>
        </is>
      </c>
      <c r="B2881" s="38" t="inlineStr">
        <is>
          <t>0-4015</t>
        </is>
      </c>
      <c r="C2881" t="inlineStr">
        <is>
          <t>LA</t>
        </is>
      </c>
      <c r="E2881" t="inlineStr">
        <is>
          <t>LA</t>
        </is>
      </c>
      <c r="G2881" s="128" t="inlineStr"/>
      <c r="H2881" s="127" t="n">
        <v>46121</v>
      </c>
      <c r="J2881" s="38" t="inlineStr">
        <is>
          <t>0-4015</t>
        </is>
      </c>
      <c r="K2881" t="inlineStr">
        <is>
          <t>PR P0COST 000525 (PR) Summary</t>
        </is>
      </c>
      <c r="L2881" t="n">
        <v>0</v>
      </c>
      <c r="M2881" t="n">
        <v>0</v>
      </c>
      <c r="Q2881" s="114" t="n">
        <v>0</v>
      </c>
      <c r="R2881" s="114" t="n">
        <v>1280.81</v>
      </c>
      <c r="S2881" s="114" t="n">
        <v>0</v>
      </c>
      <c r="T2881" t="n">
        <v>20</v>
      </c>
    </row>
    <row r="2882">
      <c r="A2882" t="inlineStr">
        <is>
          <t>ttJTrans</t>
        </is>
      </c>
      <c r="B2882" s="38" t="inlineStr">
        <is>
          <t>0-4015</t>
        </is>
      </c>
      <c r="C2882" t="inlineStr">
        <is>
          <t>LA</t>
        </is>
      </c>
      <c r="E2882" t="inlineStr">
        <is>
          <t>LA</t>
        </is>
      </c>
      <c r="G2882" s="128" t="inlineStr"/>
      <c r="H2882" s="127" t="n">
        <v>46121</v>
      </c>
      <c r="J2882" s="38" t="inlineStr">
        <is>
          <t>0-4015</t>
        </is>
      </c>
      <c r="K2882" t="inlineStr">
        <is>
          <t>PR P0COST 000525 (PR) Summary</t>
        </is>
      </c>
      <c r="L2882" t="n">
        <v>0</v>
      </c>
      <c r="M2882" t="n">
        <v>0</v>
      </c>
      <c r="Q2882" s="114" t="n">
        <v>0</v>
      </c>
      <c r="R2882" s="114" t="n">
        <v>774.21</v>
      </c>
      <c r="S2882" s="114" t="n">
        <v>0</v>
      </c>
      <c r="T2882" t="n">
        <v>0</v>
      </c>
    </row>
    <row r="2883">
      <c r="A2883" t="inlineStr">
        <is>
          <t>ttJTrans</t>
        </is>
      </c>
      <c r="B2883" s="38" t="inlineStr">
        <is>
          <t>0-4015</t>
        </is>
      </c>
      <c r="C2883" t="inlineStr">
        <is>
          <t>LA</t>
        </is>
      </c>
      <c r="E2883" t="inlineStr">
        <is>
          <t>LA</t>
        </is>
      </c>
      <c r="G2883" s="128" t="inlineStr"/>
      <c r="H2883" s="127" t="n">
        <v>46128</v>
      </c>
      <c r="J2883" s="38" t="inlineStr">
        <is>
          <t>0-4015</t>
        </is>
      </c>
      <c r="K2883" t="inlineStr">
        <is>
          <t>PR P0COST 000526 (PR) Summary</t>
        </is>
      </c>
      <c r="L2883" t="n">
        <v>0</v>
      </c>
      <c r="M2883" t="n">
        <v>0</v>
      </c>
      <c r="Q2883" s="114" t="n">
        <v>0</v>
      </c>
      <c r="R2883" s="114" t="n">
        <v>729.48</v>
      </c>
      <c r="S2883" s="114" t="n">
        <v>0</v>
      </c>
      <c r="T2883" t="n">
        <v>10</v>
      </c>
    </row>
    <row r="2884">
      <c r="A2884" t="inlineStr">
        <is>
          <t>ttJTrans</t>
        </is>
      </c>
      <c r="B2884" s="38" t="inlineStr">
        <is>
          <t>0-4015</t>
        </is>
      </c>
      <c r="C2884" t="inlineStr">
        <is>
          <t>LA</t>
        </is>
      </c>
      <c r="E2884" t="inlineStr">
        <is>
          <t>LA</t>
        </is>
      </c>
      <c r="G2884" s="128" t="inlineStr"/>
      <c r="H2884" s="127" t="n">
        <v>46128</v>
      </c>
      <c r="J2884" s="38" t="inlineStr">
        <is>
          <t>0-4015</t>
        </is>
      </c>
      <c r="K2884" t="inlineStr">
        <is>
          <t>PR P0COST 000526 (PR) Summary</t>
        </is>
      </c>
      <c r="L2884" t="n">
        <v>0</v>
      </c>
      <c r="M2884" t="n">
        <v>0</v>
      </c>
      <c r="Q2884" s="114" t="n">
        <v>0</v>
      </c>
      <c r="R2884" s="114" t="n">
        <v>2014.42</v>
      </c>
      <c r="S2884" s="114" t="n">
        <v>0</v>
      </c>
      <c r="T2884" t="n">
        <v>30</v>
      </c>
    </row>
    <row r="2885">
      <c r="A2885" t="inlineStr">
        <is>
          <t>ttJTrans</t>
        </is>
      </c>
      <c r="B2885" s="38" t="inlineStr">
        <is>
          <t>0-4015</t>
        </is>
      </c>
      <c r="C2885" t="inlineStr">
        <is>
          <t>LA</t>
        </is>
      </c>
      <c r="E2885" t="inlineStr">
        <is>
          <t>LA</t>
        </is>
      </c>
      <c r="G2885" s="128" t="inlineStr"/>
      <c r="H2885" s="127" t="n">
        <v>46128</v>
      </c>
      <c r="J2885" s="38" t="inlineStr">
        <is>
          <t>0-4015</t>
        </is>
      </c>
      <c r="K2885" t="inlineStr">
        <is>
          <t>PR P0COST 000526 (PR) Summary</t>
        </is>
      </c>
      <c r="L2885" t="n">
        <v>0</v>
      </c>
      <c r="M2885" t="n">
        <v>0</v>
      </c>
      <c r="Q2885" s="114" t="n">
        <v>0</v>
      </c>
      <c r="R2885" s="114" t="n">
        <v>2013.99</v>
      </c>
      <c r="S2885" s="114" t="n">
        <v>0</v>
      </c>
      <c r="T2885" t="n">
        <v>30</v>
      </c>
    </row>
    <row r="2886">
      <c r="A2886" t="inlineStr">
        <is>
          <t>ttJTrans</t>
        </is>
      </c>
      <c r="B2886" s="38" t="inlineStr">
        <is>
          <t>0-4015</t>
        </is>
      </c>
      <c r="C2886" t="inlineStr">
        <is>
          <t>LA</t>
        </is>
      </c>
      <c r="E2886" t="inlineStr">
        <is>
          <t>LA</t>
        </is>
      </c>
      <c r="G2886" s="128" t="inlineStr"/>
      <c r="H2886" s="127" t="n">
        <v>46128</v>
      </c>
      <c r="J2886" s="38" t="inlineStr">
        <is>
          <t>0-4015</t>
        </is>
      </c>
      <c r="K2886" t="inlineStr">
        <is>
          <t>PR P0COST 000526 (PR) Summary</t>
        </is>
      </c>
      <c r="L2886" t="n">
        <v>0</v>
      </c>
      <c r="M2886" t="n">
        <v>0</v>
      </c>
      <c r="Q2886" s="114" t="n">
        <v>0</v>
      </c>
      <c r="R2886" s="114" t="n">
        <v>2014.01</v>
      </c>
      <c r="S2886" s="114" t="n">
        <v>0</v>
      </c>
      <c r="T2886" t="n">
        <v>30</v>
      </c>
    </row>
    <row r="2887">
      <c r="A2887" t="inlineStr">
        <is>
          <t>ttJTrans</t>
        </is>
      </c>
      <c r="B2887" s="38" t="inlineStr">
        <is>
          <t>0-4015</t>
        </is>
      </c>
      <c r="C2887" t="inlineStr">
        <is>
          <t>LA</t>
        </is>
      </c>
      <c r="E2887" t="inlineStr">
        <is>
          <t>LA</t>
        </is>
      </c>
      <c r="G2887" s="128" t="inlineStr"/>
      <c r="H2887" s="127" t="n">
        <v>46128</v>
      </c>
      <c r="J2887" s="38" t="inlineStr">
        <is>
          <t>0-4015</t>
        </is>
      </c>
      <c r="K2887" t="inlineStr">
        <is>
          <t>PR P0COST 000526 (PR) Summary</t>
        </is>
      </c>
      <c r="L2887" t="n">
        <v>0</v>
      </c>
      <c r="M2887" t="n">
        <v>0</v>
      </c>
      <c r="Q2887" s="114" t="n">
        <v>0</v>
      </c>
      <c r="R2887" s="114" t="n">
        <v>2014.01</v>
      </c>
      <c r="S2887" s="114" t="n">
        <v>0</v>
      </c>
      <c r="T2887" t="n">
        <v>30</v>
      </c>
    </row>
    <row r="2888">
      <c r="A2888" t="inlineStr">
        <is>
          <t>ttJTrans</t>
        </is>
      </c>
      <c r="B2888" s="38" t="inlineStr">
        <is>
          <t>0-4015</t>
        </is>
      </c>
      <c r="C2888" t="inlineStr">
        <is>
          <t>LA</t>
        </is>
      </c>
      <c r="E2888" t="inlineStr">
        <is>
          <t>LA</t>
        </is>
      </c>
      <c r="G2888" s="128" t="inlineStr"/>
      <c r="H2888" s="127" t="n">
        <v>46128</v>
      </c>
      <c r="J2888" s="38" t="inlineStr">
        <is>
          <t>0-4015</t>
        </is>
      </c>
      <c r="K2888" t="inlineStr">
        <is>
          <t>PR P0COST 000526 (PR) Summary</t>
        </is>
      </c>
      <c r="L2888" t="n">
        <v>0</v>
      </c>
      <c r="M2888" t="n">
        <v>0</v>
      </c>
      <c r="Q2888" s="114" t="n">
        <v>0</v>
      </c>
      <c r="R2888" s="114" t="n">
        <v>1493.05</v>
      </c>
      <c r="S2888" s="114" t="n">
        <v>0</v>
      </c>
      <c r="T2888" t="n">
        <v>0</v>
      </c>
    </row>
    <row r="2889">
      <c r="A2889" t="inlineStr">
        <is>
          <t>ttJTrans</t>
        </is>
      </c>
      <c r="B2889" s="38" t="inlineStr">
        <is>
          <t>0-4015</t>
        </is>
      </c>
      <c r="C2889" t="inlineStr">
        <is>
          <t>LA</t>
        </is>
      </c>
      <c r="E2889" t="inlineStr">
        <is>
          <t>LA</t>
        </is>
      </c>
      <c r="G2889" s="128" t="inlineStr"/>
      <c r="H2889" s="127" t="n">
        <v>46135</v>
      </c>
      <c r="J2889" s="38" t="inlineStr">
        <is>
          <t>0-4015</t>
        </is>
      </c>
      <c r="K2889" t="inlineStr">
        <is>
          <t>PR P0COST 000527 (PR) Summary</t>
        </is>
      </c>
      <c r="L2889" t="n">
        <v>0</v>
      </c>
      <c r="M2889" t="n">
        <v>0</v>
      </c>
      <c r="Q2889" s="114" t="n">
        <v>0</v>
      </c>
      <c r="R2889" s="114" t="n">
        <v>527.65</v>
      </c>
      <c r="S2889" s="114" t="n">
        <v>0</v>
      </c>
      <c r="T2889" t="n">
        <v>8</v>
      </c>
    </row>
    <row r="2890">
      <c r="A2890" t="inlineStr">
        <is>
          <t>ttJTrans</t>
        </is>
      </c>
      <c r="B2890" s="38" t="inlineStr">
        <is>
          <t>0-4015</t>
        </is>
      </c>
      <c r="C2890" t="inlineStr">
        <is>
          <t>LA</t>
        </is>
      </c>
      <c r="E2890" t="inlineStr">
        <is>
          <t>LA</t>
        </is>
      </c>
      <c r="G2890" s="128" t="inlineStr"/>
      <c r="H2890" s="127" t="n">
        <v>46135</v>
      </c>
      <c r="J2890" s="38" t="inlineStr">
        <is>
          <t>0-4015</t>
        </is>
      </c>
      <c r="K2890" t="inlineStr">
        <is>
          <t>PR P0COST 000527 (PR) Summary</t>
        </is>
      </c>
      <c r="L2890" t="n">
        <v>0</v>
      </c>
      <c r="M2890" t="n">
        <v>0</v>
      </c>
      <c r="Q2890" s="114" t="n">
        <v>0</v>
      </c>
      <c r="R2890" s="114" t="n">
        <v>803.9400000000001</v>
      </c>
      <c r="S2890" s="114" t="n">
        <v>0</v>
      </c>
      <c r="T2890" t="n">
        <v>12</v>
      </c>
    </row>
    <row r="2891">
      <c r="A2891" t="inlineStr">
        <is>
          <t>ttJTrans</t>
        </is>
      </c>
      <c r="B2891" s="38" t="inlineStr">
        <is>
          <t>0-4015</t>
        </is>
      </c>
      <c r="C2891" t="inlineStr">
        <is>
          <t>LA</t>
        </is>
      </c>
      <c r="E2891" t="inlineStr">
        <is>
          <t>LA</t>
        </is>
      </c>
      <c r="G2891" s="128" t="inlineStr"/>
      <c r="H2891" s="127" t="n">
        <v>46135</v>
      </c>
      <c r="J2891" s="38" t="inlineStr">
        <is>
          <t>0-4015</t>
        </is>
      </c>
      <c r="K2891" t="inlineStr">
        <is>
          <t>PR P0COST 000527 (PR) Summary</t>
        </is>
      </c>
      <c r="L2891" t="n">
        <v>0</v>
      </c>
      <c r="M2891" t="n">
        <v>0</v>
      </c>
      <c r="Q2891" s="114" t="n">
        <v>0</v>
      </c>
      <c r="R2891" s="114" t="n">
        <v>2056.79</v>
      </c>
      <c r="S2891" s="114" t="n">
        <v>0</v>
      </c>
      <c r="T2891" t="n">
        <v>40</v>
      </c>
    </row>
    <row r="2892">
      <c r="A2892" t="inlineStr">
        <is>
          <t>ttJTrans</t>
        </is>
      </c>
      <c r="B2892" s="38" t="inlineStr">
        <is>
          <t>0-4015</t>
        </is>
      </c>
      <c r="C2892" t="inlineStr">
        <is>
          <t>LA</t>
        </is>
      </c>
      <c r="E2892" t="inlineStr">
        <is>
          <t>LA</t>
        </is>
      </c>
      <c r="G2892" s="128" t="inlineStr"/>
      <c r="H2892" s="127" t="n">
        <v>46135</v>
      </c>
      <c r="J2892" s="38" t="inlineStr">
        <is>
          <t>0-4015</t>
        </is>
      </c>
      <c r="K2892" t="inlineStr">
        <is>
          <t>PR P0COST 000527 (PR) Summary</t>
        </is>
      </c>
      <c r="L2892" t="n">
        <v>0</v>
      </c>
      <c r="M2892" t="n">
        <v>0</v>
      </c>
      <c r="Q2892" s="114" t="n">
        <v>0</v>
      </c>
      <c r="R2892" s="114" t="n">
        <v>1461.39</v>
      </c>
      <c r="S2892" s="114" t="n">
        <v>0</v>
      </c>
      <c r="T2892" t="n">
        <v>30</v>
      </c>
    </row>
    <row r="2893">
      <c r="A2893" t="inlineStr">
        <is>
          <t>ttJTrans</t>
        </is>
      </c>
      <c r="B2893" s="38" t="inlineStr">
        <is>
          <t>0-4015</t>
        </is>
      </c>
      <c r="C2893" t="inlineStr">
        <is>
          <t>LA</t>
        </is>
      </c>
      <c r="E2893" t="inlineStr">
        <is>
          <t>LA</t>
        </is>
      </c>
      <c r="G2893" s="128" t="inlineStr"/>
      <c r="H2893" s="127" t="n">
        <v>46135</v>
      </c>
      <c r="J2893" s="38" t="inlineStr">
        <is>
          <t>0-4015</t>
        </is>
      </c>
      <c r="K2893" t="inlineStr">
        <is>
          <t>PR P0COST 000527 (PR) Summary</t>
        </is>
      </c>
      <c r="L2893" t="n">
        <v>0</v>
      </c>
      <c r="M2893" t="n">
        <v>0</v>
      </c>
      <c r="Q2893" s="114" t="n">
        <v>0</v>
      </c>
      <c r="R2893" s="114" t="n">
        <v>1461.39</v>
      </c>
      <c r="S2893" s="114" t="n">
        <v>0</v>
      </c>
      <c r="T2893" t="n">
        <v>20</v>
      </c>
    </row>
    <row r="2894">
      <c r="A2894" t="inlineStr">
        <is>
          <t>ttJTrans</t>
        </is>
      </c>
      <c r="B2894" s="38" t="inlineStr">
        <is>
          <t>0-4015</t>
        </is>
      </c>
      <c r="C2894" t="inlineStr">
        <is>
          <t>LA</t>
        </is>
      </c>
      <c r="E2894" t="inlineStr">
        <is>
          <t>LA</t>
        </is>
      </c>
      <c r="G2894" s="128" t="inlineStr"/>
      <c r="H2894" s="127" t="n">
        <v>46135</v>
      </c>
      <c r="J2894" s="38" t="inlineStr">
        <is>
          <t>0-4015</t>
        </is>
      </c>
      <c r="K2894" t="inlineStr">
        <is>
          <t>PR P0COST 000527 (PR) Summary</t>
        </is>
      </c>
      <c r="L2894" t="n">
        <v>0</v>
      </c>
      <c r="M2894" t="n">
        <v>0</v>
      </c>
      <c r="Q2894" s="114" t="n">
        <v>0</v>
      </c>
      <c r="R2894" s="114" t="n">
        <v>1098.74</v>
      </c>
      <c r="S2894" s="114" t="n">
        <v>0</v>
      </c>
      <c r="T2894" t="n">
        <v>12</v>
      </c>
    </row>
    <row r="2895">
      <c r="A2895" t="inlineStr">
        <is>
          <t>ttJTrans</t>
        </is>
      </c>
      <c r="B2895" s="38" t="inlineStr">
        <is>
          <t>0-4015</t>
        </is>
      </c>
      <c r="C2895" t="inlineStr">
        <is>
          <t>LA</t>
        </is>
      </c>
      <c r="E2895" t="inlineStr">
        <is>
          <t>LA</t>
        </is>
      </c>
      <c r="G2895" s="128" t="inlineStr"/>
      <c r="H2895" s="127" t="n">
        <v>46135</v>
      </c>
      <c r="J2895" s="38" t="inlineStr">
        <is>
          <t>0-4015</t>
        </is>
      </c>
      <c r="K2895" t="inlineStr">
        <is>
          <t>PR P0COST 000527 (PR) Summary</t>
        </is>
      </c>
      <c r="L2895" t="n">
        <v>0</v>
      </c>
      <c r="M2895" t="n">
        <v>0</v>
      </c>
      <c r="Q2895" s="114" t="n">
        <v>0</v>
      </c>
      <c r="R2895" s="114" t="n">
        <v>567.3</v>
      </c>
      <c r="S2895" s="114" t="n">
        <v>0</v>
      </c>
      <c r="T2895" t="n">
        <v>10</v>
      </c>
    </row>
    <row r="2896">
      <c r="A2896" t="inlineStr">
        <is>
          <t>ttJTrans</t>
        </is>
      </c>
      <c r="B2896" s="38" t="inlineStr">
        <is>
          <t>0-4015</t>
        </is>
      </c>
      <c r="C2896" t="inlineStr">
        <is>
          <t>LA</t>
        </is>
      </c>
      <c r="E2896" t="inlineStr">
        <is>
          <t>LA</t>
        </is>
      </c>
      <c r="G2896" s="128" t="inlineStr"/>
      <c r="H2896" s="127" t="n">
        <v>46135</v>
      </c>
      <c r="J2896" s="38" t="inlineStr">
        <is>
          <t>0-4015</t>
        </is>
      </c>
      <c r="K2896" t="inlineStr">
        <is>
          <t>PR P0COST 000527 (PR) Summary</t>
        </is>
      </c>
      <c r="L2896" t="n">
        <v>0</v>
      </c>
      <c r="M2896" t="n">
        <v>0</v>
      </c>
      <c r="Q2896" s="114" t="n">
        <v>0</v>
      </c>
      <c r="R2896" s="114" t="n">
        <v>567.3099999999999</v>
      </c>
      <c r="S2896" s="114" t="n">
        <v>0</v>
      </c>
      <c r="T2896" t="n">
        <v>10</v>
      </c>
    </row>
    <row r="2897">
      <c r="A2897" t="inlineStr">
        <is>
          <t>ttJTrans</t>
        </is>
      </c>
      <c r="B2897" s="38" t="inlineStr">
        <is>
          <t>0-4015</t>
        </is>
      </c>
      <c r="C2897" t="inlineStr">
        <is>
          <t>LA</t>
        </is>
      </c>
      <c r="E2897" t="inlineStr">
        <is>
          <t>LA</t>
        </is>
      </c>
      <c r="G2897" s="128" t="inlineStr"/>
      <c r="H2897" s="127" t="n">
        <v>46135</v>
      </c>
      <c r="J2897" s="38" t="inlineStr">
        <is>
          <t>0-4015</t>
        </is>
      </c>
      <c r="K2897" t="inlineStr">
        <is>
          <t>PR P0COST 000527 (PR) Summary</t>
        </is>
      </c>
      <c r="L2897" t="n">
        <v>0</v>
      </c>
      <c r="M2897" t="n">
        <v>0</v>
      </c>
      <c r="Q2897" s="114" t="n">
        <v>0</v>
      </c>
      <c r="R2897" s="114" t="n">
        <v>567.29</v>
      </c>
      <c r="S2897" s="114" t="n">
        <v>0</v>
      </c>
      <c r="T2897" t="n">
        <v>0</v>
      </c>
    </row>
    <row r="2898">
      <c r="A2898" t="inlineStr">
        <is>
          <t>ttJTrans</t>
        </is>
      </c>
      <c r="B2898" s="38" t="inlineStr">
        <is>
          <t>0-4015</t>
        </is>
      </c>
      <c r="C2898" t="inlineStr">
        <is>
          <t>LA</t>
        </is>
      </c>
      <c r="E2898" t="inlineStr">
        <is>
          <t>LA</t>
        </is>
      </c>
      <c r="G2898" s="128" t="inlineStr"/>
      <c r="H2898" s="127" t="n">
        <v>46142</v>
      </c>
      <c r="J2898" s="38" t="inlineStr">
        <is>
          <t>0-4015</t>
        </is>
      </c>
      <c r="K2898" t="inlineStr">
        <is>
          <t>PR P0COST 000528 (PR) Summary</t>
        </is>
      </c>
      <c r="L2898" t="n">
        <v>0</v>
      </c>
      <c r="M2898" t="n">
        <v>0</v>
      </c>
      <c r="Q2898" s="114" t="n">
        <v>0</v>
      </c>
      <c r="R2898" s="114" t="n">
        <v>1533.19</v>
      </c>
      <c r="S2898" s="114" t="n">
        <v>0</v>
      </c>
      <c r="T2898" t="n">
        <v>30</v>
      </c>
    </row>
    <row r="2899">
      <c r="A2899" t="inlineStr">
        <is>
          <t>ttJTrans</t>
        </is>
      </c>
      <c r="B2899" s="38" t="inlineStr">
        <is>
          <t>0-4015</t>
        </is>
      </c>
      <c r="C2899" t="inlineStr">
        <is>
          <t>LA</t>
        </is>
      </c>
      <c r="E2899" t="inlineStr">
        <is>
          <t>LA</t>
        </is>
      </c>
      <c r="G2899" s="128" t="inlineStr"/>
      <c r="H2899" s="127" t="n">
        <v>46142</v>
      </c>
      <c r="J2899" s="38" t="inlineStr">
        <is>
          <t>0-4015</t>
        </is>
      </c>
      <c r="K2899" t="inlineStr">
        <is>
          <t>PR P0COST 000528 (PR) Summary</t>
        </is>
      </c>
      <c r="L2899" t="n">
        <v>0</v>
      </c>
      <c r="M2899" t="n">
        <v>0</v>
      </c>
      <c r="Q2899" s="114" t="n">
        <v>0</v>
      </c>
      <c r="R2899" s="114" t="n">
        <v>1172.95</v>
      </c>
      <c r="S2899" s="114" t="n">
        <v>0</v>
      </c>
      <c r="T2899" t="n">
        <v>20</v>
      </c>
    </row>
    <row r="2900">
      <c r="A2900" t="inlineStr">
        <is>
          <t>ttJTrans</t>
        </is>
      </c>
      <c r="B2900" s="38" t="inlineStr">
        <is>
          <t>0-4015</t>
        </is>
      </c>
      <c r="C2900" t="inlineStr">
        <is>
          <t>LA</t>
        </is>
      </c>
      <c r="E2900" t="inlineStr">
        <is>
          <t>LA</t>
        </is>
      </c>
      <c r="G2900" s="128" t="inlineStr"/>
      <c r="H2900" s="127" t="n">
        <v>46142</v>
      </c>
      <c r="J2900" s="38" t="inlineStr">
        <is>
          <t>0-4015</t>
        </is>
      </c>
      <c r="K2900" t="inlineStr">
        <is>
          <t>PR P0COST 000528 (PR) Summary</t>
        </is>
      </c>
      <c r="L2900" t="n">
        <v>0</v>
      </c>
      <c r="M2900" t="n">
        <v>0</v>
      </c>
      <c r="Q2900" s="114" t="n">
        <v>0</v>
      </c>
      <c r="R2900" s="114" t="n">
        <v>1172.95</v>
      </c>
      <c r="S2900" s="114" t="n">
        <v>0</v>
      </c>
      <c r="T2900" t="n">
        <v>20</v>
      </c>
    </row>
    <row r="2901">
      <c r="A2901" t="inlineStr">
        <is>
          <t>ttJTrans</t>
        </is>
      </c>
      <c r="B2901" s="38" t="inlineStr">
        <is>
          <t>0-4015</t>
        </is>
      </c>
      <c r="C2901" t="inlineStr">
        <is>
          <t>LA</t>
        </is>
      </c>
      <c r="E2901" t="inlineStr">
        <is>
          <t>LA</t>
        </is>
      </c>
      <c r="G2901" s="128" t="inlineStr"/>
      <c r="H2901" s="127" t="n">
        <v>46142</v>
      </c>
      <c r="J2901" s="38" t="inlineStr">
        <is>
          <t>0-4015</t>
        </is>
      </c>
      <c r="K2901" t="inlineStr">
        <is>
          <t>PR P0COST 000528 (PR) Summary</t>
        </is>
      </c>
      <c r="L2901" t="n">
        <v>0</v>
      </c>
      <c r="M2901" t="n">
        <v>0</v>
      </c>
      <c r="Q2901" s="114" t="n">
        <v>0</v>
      </c>
      <c r="R2901" s="114" t="n">
        <v>1172.95</v>
      </c>
      <c r="S2901" s="114" t="n">
        <v>0</v>
      </c>
      <c r="T2901" t="n">
        <v>20</v>
      </c>
    </row>
    <row r="2902">
      <c r="A2902" t="inlineStr">
        <is>
          <t>ttJTrans</t>
        </is>
      </c>
      <c r="B2902" s="38" t="inlineStr">
        <is>
          <t>0-4015</t>
        </is>
      </c>
      <c r="C2902" t="inlineStr">
        <is>
          <t>LA</t>
        </is>
      </c>
      <c r="E2902" t="inlineStr">
        <is>
          <t>LA</t>
        </is>
      </c>
      <c r="G2902" s="128" t="inlineStr"/>
      <c r="H2902" s="127" t="n">
        <v>46149</v>
      </c>
      <c r="J2902" s="38" t="inlineStr">
        <is>
          <t>0-4015</t>
        </is>
      </c>
      <c r="K2902" t="inlineStr">
        <is>
          <t>PR P0COST 000529 (PR) Summary</t>
        </is>
      </c>
      <c r="L2902" t="n">
        <v>0</v>
      </c>
      <c r="M2902" t="n">
        <v>0</v>
      </c>
      <c r="Q2902" s="114" t="n">
        <v>0</v>
      </c>
      <c r="R2902" s="114" t="n">
        <v>408.71</v>
      </c>
      <c r="S2902" s="114" t="n">
        <v>0</v>
      </c>
      <c r="T2902" t="n">
        <v>10</v>
      </c>
    </row>
    <row r="2903">
      <c r="A2903" t="inlineStr">
        <is>
          <t>ttJTrans</t>
        </is>
      </c>
      <c r="B2903" s="38" t="inlineStr">
        <is>
          <t>0-4015</t>
        </is>
      </c>
      <c r="C2903" t="inlineStr">
        <is>
          <t>LA</t>
        </is>
      </c>
      <c r="E2903" t="inlineStr">
        <is>
          <t>LA</t>
        </is>
      </c>
      <c r="G2903" s="128" t="inlineStr"/>
      <c r="H2903" s="127" t="n">
        <v>46150</v>
      </c>
      <c r="J2903" s="38" t="inlineStr">
        <is>
          <t>0-4015</t>
        </is>
      </c>
      <c r="K2903" t="inlineStr">
        <is>
          <t>COST CODE TRANSFER 25-4005</t>
        </is>
      </c>
      <c r="L2903" t="n">
        <v>0</v>
      </c>
      <c r="M2903" t="n">
        <v>0</v>
      </c>
      <c r="Q2903" s="114" t="n">
        <v>0</v>
      </c>
      <c r="R2903" s="114" t="n">
        <v>-41790.32</v>
      </c>
      <c r="S2903" s="114" t="n">
        <v>0</v>
      </c>
      <c r="T2903" t="n">
        <v>-600</v>
      </c>
    </row>
    <row r="2904">
      <c r="A2904" t="inlineStr">
        <is>
          <t>ttJTrans</t>
        </is>
      </c>
      <c r="B2904" s="38" t="inlineStr">
        <is>
          <t>0-4015</t>
        </is>
      </c>
      <c r="C2904" t="inlineStr">
        <is>
          <t>LA</t>
        </is>
      </c>
      <c r="E2904" t="inlineStr">
        <is>
          <t>LA</t>
        </is>
      </c>
      <c r="G2904" s="128" t="inlineStr"/>
      <c r="H2904" s="127" t="n">
        <v>46149</v>
      </c>
      <c r="J2904" s="38" t="inlineStr">
        <is>
          <t>0-4015</t>
        </is>
      </c>
      <c r="K2904" t="inlineStr">
        <is>
          <t>PR P0COST 000529 (PR) Summary</t>
        </is>
      </c>
      <c r="L2904" t="n">
        <v>0</v>
      </c>
      <c r="M2904" t="n">
        <v>0</v>
      </c>
      <c r="Q2904" s="114" t="n">
        <v>0</v>
      </c>
      <c r="R2904" s="114" t="n">
        <v>704.9</v>
      </c>
      <c r="S2904" s="114" t="n">
        <v>0</v>
      </c>
      <c r="T2904" t="n">
        <v>10</v>
      </c>
    </row>
    <row r="2905">
      <c r="A2905" t="inlineStr">
        <is>
          <t>ttJTrans</t>
        </is>
      </c>
      <c r="B2905" s="38" t="inlineStr">
        <is>
          <t>0-4015</t>
        </is>
      </c>
      <c r="C2905" t="inlineStr">
        <is>
          <t>LA</t>
        </is>
      </c>
      <c r="E2905" t="inlineStr">
        <is>
          <t>LA</t>
        </is>
      </c>
      <c r="G2905" s="128" t="inlineStr"/>
      <c r="H2905" s="127" t="n">
        <v>46149</v>
      </c>
      <c r="J2905" s="38" t="inlineStr">
        <is>
          <t>0-4015</t>
        </is>
      </c>
      <c r="K2905" t="inlineStr">
        <is>
          <t>PR P0COST 000529 (PR) Summary</t>
        </is>
      </c>
      <c r="L2905" t="n">
        <v>0</v>
      </c>
      <c r="M2905" t="n">
        <v>0</v>
      </c>
      <c r="Q2905" s="114" t="n">
        <v>0</v>
      </c>
      <c r="R2905" s="114" t="n">
        <v>681.5599999999999</v>
      </c>
      <c r="S2905" s="114" t="n">
        <v>0</v>
      </c>
      <c r="T2905" t="n">
        <v>10</v>
      </c>
    </row>
    <row r="2906">
      <c r="A2906" t="inlineStr">
        <is>
          <t>ttJTrans</t>
        </is>
      </c>
      <c r="B2906" s="38" t="inlineStr">
        <is>
          <t>0-4015</t>
        </is>
      </c>
      <c r="C2906" t="inlineStr">
        <is>
          <t>LA</t>
        </is>
      </c>
      <c r="E2906" t="inlineStr">
        <is>
          <t>LA</t>
        </is>
      </c>
      <c r="G2906" s="128" t="inlineStr"/>
      <c r="H2906" s="127" t="n">
        <v>46149</v>
      </c>
      <c r="J2906" s="38" t="inlineStr">
        <is>
          <t>0-4015</t>
        </is>
      </c>
      <c r="K2906" t="inlineStr">
        <is>
          <t>PR P0COST 000529 (PR) Summary</t>
        </is>
      </c>
      <c r="L2906" t="n">
        <v>0</v>
      </c>
      <c r="M2906" t="n">
        <v>0</v>
      </c>
      <c r="Q2906" s="114" t="n">
        <v>0</v>
      </c>
      <c r="R2906" s="114" t="n">
        <v>490.64</v>
      </c>
      <c r="S2906" s="114" t="n">
        <v>0</v>
      </c>
      <c r="T2906" t="n">
        <v>10</v>
      </c>
    </row>
    <row r="2907">
      <c r="A2907" t="inlineStr">
        <is>
          <t>ttJTrans</t>
        </is>
      </c>
      <c r="B2907" s="38" t="inlineStr">
        <is>
          <t>0-4015</t>
        </is>
      </c>
      <c r="C2907" t="inlineStr">
        <is>
          <t>LA</t>
        </is>
      </c>
      <c r="E2907" t="inlineStr">
        <is>
          <t>LA</t>
        </is>
      </c>
      <c r="G2907" s="128" t="inlineStr"/>
      <c r="H2907" s="127" t="n">
        <v>46149</v>
      </c>
      <c r="J2907" s="38" t="inlineStr">
        <is>
          <t>0-4015</t>
        </is>
      </c>
      <c r="K2907" t="inlineStr">
        <is>
          <t>PR P0COST 000529 (PR) Summary</t>
        </is>
      </c>
      <c r="L2907" t="n">
        <v>0</v>
      </c>
      <c r="M2907" t="n">
        <v>0</v>
      </c>
      <c r="Q2907" s="114" t="n">
        <v>0</v>
      </c>
      <c r="R2907" s="114" t="n">
        <v>899.35</v>
      </c>
      <c r="S2907" s="114" t="n">
        <v>0</v>
      </c>
      <c r="T2907" t="n">
        <v>20</v>
      </c>
    </row>
    <row r="2908">
      <c r="A2908" t="inlineStr">
        <is>
          <t>ttJTrans</t>
        </is>
      </c>
      <c r="B2908" s="38" t="inlineStr">
        <is>
          <t>0-4015</t>
        </is>
      </c>
      <c r="C2908" t="inlineStr">
        <is>
          <t>LA</t>
        </is>
      </c>
      <c r="E2908" t="inlineStr">
        <is>
          <t>LA</t>
        </is>
      </c>
      <c r="G2908" s="128" t="inlineStr"/>
      <c r="H2908" s="127" t="n">
        <v>46149</v>
      </c>
      <c r="J2908" s="38" t="inlineStr">
        <is>
          <t>0-4015</t>
        </is>
      </c>
      <c r="K2908" t="inlineStr">
        <is>
          <t>PR P0COST 000529 (PR) Summary</t>
        </is>
      </c>
      <c r="L2908" t="n">
        <v>0</v>
      </c>
      <c r="M2908" t="n">
        <v>0</v>
      </c>
      <c r="Q2908" s="114" t="n">
        <v>0</v>
      </c>
      <c r="R2908" s="114" t="n">
        <v>899.35</v>
      </c>
      <c r="S2908" s="114" t="n">
        <v>0</v>
      </c>
      <c r="T2908" t="n">
        <v>20</v>
      </c>
    </row>
    <row r="2909">
      <c r="A2909" t="inlineStr">
        <is>
          <t>ttJTrans</t>
        </is>
      </c>
      <c r="B2909" s="38" t="inlineStr">
        <is>
          <t>0-4015</t>
        </is>
      </c>
      <c r="C2909" t="inlineStr">
        <is>
          <t>LA</t>
        </is>
      </c>
      <c r="E2909" t="inlineStr">
        <is>
          <t>LA</t>
        </is>
      </c>
      <c r="G2909" s="128" t="inlineStr"/>
      <c r="H2909" s="127" t="n">
        <v>46149</v>
      </c>
      <c r="J2909" s="38" t="inlineStr">
        <is>
          <t>0-4015</t>
        </is>
      </c>
      <c r="K2909" t="inlineStr">
        <is>
          <t>PR P0COST 000529 (PR) Summary</t>
        </is>
      </c>
      <c r="L2909" t="n">
        <v>0</v>
      </c>
      <c r="M2909" t="n">
        <v>0</v>
      </c>
      <c r="Q2909" s="114" t="n">
        <v>0</v>
      </c>
      <c r="R2909" s="114" t="n">
        <v>899.35</v>
      </c>
      <c r="S2909" s="114" t="n">
        <v>0</v>
      </c>
      <c r="T2909" t="n">
        <v>20</v>
      </c>
    </row>
    <row r="2910">
      <c r="A2910" t="inlineStr">
        <is>
          <t>ttJTrans</t>
        </is>
      </c>
      <c r="B2910" s="38" t="inlineStr">
        <is>
          <t>0-4015</t>
        </is>
      </c>
      <c r="C2910" t="inlineStr">
        <is>
          <t>LA</t>
        </is>
      </c>
      <c r="E2910" t="inlineStr">
        <is>
          <t>LA</t>
        </is>
      </c>
      <c r="G2910" s="128" t="inlineStr"/>
      <c r="H2910" s="127" t="n">
        <v>46156</v>
      </c>
      <c r="J2910" s="38" t="inlineStr">
        <is>
          <t>0-4015</t>
        </is>
      </c>
      <c r="K2910" t="inlineStr">
        <is>
          <t>PR P0COST 000530 (PR) Summary</t>
        </is>
      </c>
      <c r="L2910" t="n">
        <v>0</v>
      </c>
      <c r="M2910" t="n">
        <v>0</v>
      </c>
      <c r="Q2910" s="114" t="n">
        <v>0</v>
      </c>
      <c r="R2910" s="114" t="n">
        <v>1260.17</v>
      </c>
      <c r="S2910" s="114" t="n">
        <v>0</v>
      </c>
      <c r="T2910" t="n">
        <v>20</v>
      </c>
    </row>
    <row r="2911">
      <c r="A2911" t="inlineStr">
        <is>
          <t>ttJTrans</t>
        </is>
      </c>
      <c r="B2911" s="38" t="inlineStr">
        <is>
          <t>0-4015</t>
        </is>
      </c>
      <c r="C2911" t="inlineStr">
        <is>
          <t>LA</t>
        </is>
      </c>
      <c r="E2911" t="inlineStr">
        <is>
          <t>LA</t>
        </is>
      </c>
      <c r="G2911" s="128" t="inlineStr"/>
      <c r="H2911" s="127" t="n">
        <v>46156</v>
      </c>
      <c r="J2911" s="38" t="inlineStr">
        <is>
          <t>0-4015</t>
        </is>
      </c>
      <c r="K2911" t="inlineStr">
        <is>
          <t>PR P0COST 000530 (PR) Summary</t>
        </is>
      </c>
      <c r="L2911" t="n">
        <v>0</v>
      </c>
      <c r="M2911" t="n">
        <v>0</v>
      </c>
      <c r="Q2911" s="114" t="n">
        <v>0</v>
      </c>
      <c r="R2911" s="114" t="n">
        <v>655.04</v>
      </c>
      <c r="S2911" s="114" t="n">
        <v>0</v>
      </c>
      <c r="T2911" t="n">
        <v>10</v>
      </c>
    </row>
    <row r="2912">
      <c r="A2912" t="inlineStr">
        <is>
          <t>ttJTrans</t>
        </is>
      </c>
      <c r="B2912" s="38" t="inlineStr">
        <is>
          <t>0-4015</t>
        </is>
      </c>
      <c r="C2912" t="inlineStr">
        <is>
          <t>LA</t>
        </is>
      </c>
      <c r="E2912" t="inlineStr">
        <is>
          <t>LA</t>
        </is>
      </c>
      <c r="G2912" s="128" t="inlineStr"/>
      <c r="H2912" s="127" t="n">
        <v>46156</v>
      </c>
      <c r="J2912" s="38" t="inlineStr">
        <is>
          <t>0-4015</t>
        </is>
      </c>
      <c r="K2912" t="inlineStr">
        <is>
          <t>PR P0COST 000530 (PR) Summary</t>
        </is>
      </c>
      <c r="L2912" t="n">
        <v>0</v>
      </c>
      <c r="M2912" t="n">
        <v>0</v>
      </c>
      <c r="Q2912" s="114" t="n">
        <v>0</v>
      </c>
      <c r="R2912" s="114" t="n">
        <v>863.98</v>
      </c>
      <c r="S2912" s="114" t="n">
        <v>0</v>
      </c>
      <c r="T2912" t="n">
        <v>20</v>
      </c>
    </row>
    <row r="2913">
      <c r="A2913" t="inlineStr">
        <is>
          <t>ttJTrans</t>
        </is>
      </c>
      <c r="B2913" s="38" t="inlineStr">
        <is>
          <t>0-4015</t>
        </is>
      </c>
      <c r="C2913" t="inlineStr">
        <is>
          <t>LA</t>
        </is>
      </c>
      <c r="E2913" t="inlineStr">
        <is>
          <t>LA</t>
        </is>
      </c>
      <c r="G2913" s="128" t="inlineStr"/>
      <c r="H2913" s="127" t="n">
        <v>46156</v>
      </c>
      <c r="J2913" s="38" t="inlineStr">
        <is>
          <t>0-4015</t>
        </is>
      </c>
      <c r="K2913" t="inlineStr">
        <is>
          <t>PR P0COST 000530 (PR) Summary</t>
        </is>
      </c>
      <c r="L2913" t="n">
        <v>0</v>
      </c>
      <c r="M2913" t="n">
        <v>0</v>
      </c>
      <c r="Q2913" s="114" t="n">
        <v>0</v>
      </c>
      <c r="R2913" s="114" t="n">
        <v>863.98</v>
      </c>
      <c r="S2913" s="114" t="n">
        <v>0</v>
      </c>
      <c r="T2913" t="n">
        <v>20</v>
      </c>
    </row>
    <row r="2914">
      <c r="A2914" t="inlineStr">
        <is>
          <t>ttJTrans</t>
        </is>
      </c>
      <c r="B2914" s="38" t="inlineStr">
        <is>
          <t>0-4015</t>
        </is>
      </c>
      <c r="C2914" t="inlineStr">
        <is>
          <t>LA</t>
        </is>
      </c>
      <c r="E2914" t="inlineStr">
        <is>
          <t>LA</t>
        </is>
      </c>
      <c r="G2914" s="128" t="inlineStr"/>
      <c r="H2914" s="127" t="n">
        <v>46156</v>
      </c>
      <c r="J2914" s="38" t="inlineStr">
        <is>
          <t>0-4015</t>
        </is>
      </c>
      <c r="K2914" t="inlineStr">
        <is>
          <t>PR P0COST 000530 (PR) Summary</t>
        </is>
      </c>
      <c r="L2914" t="n">
        <v>0</v>
      </c>
      <c r="M2914" t="n">
        <v>0</v>
      </c>
      <c r="Q2914" s="114" t="n">
        <v>0</v>
      </c>
      <c r="R2914" s="114" t="n">
        <v>863.98</v>
      </c>
      <c r="S2914" s="114" t="n">
        <v>0</v>
      </c>
      <c r="T2914" t="n">
        <v>20</v>
      </c>
    </row>
    <row r="2915">
      <c r="A2915" t="inlineStr">
        <is>
          <t>ttJTrans</t>
        </is>
      </c>
      <c r="B2915" s="38" t="inlineStr">
        <is>
          <t>0-4015</t>
        </is>
      </c>
      <c r="C2915" t="inlineStr">
        <is>
          <t>LA</t>
        </is>
      </c>
      <c r="E2915" t="inlineStr">
        <is>
          <t>LA</t>
        </is>
      </c>
      <c r="G2915" s="128" t="inlineStr"/>
      <c r="H2915" s="127" t="n">
        <v>46156</v>
      </c>
      <c r="J2915" s="38" t="inlineStr">
        <is>
          <t>0-4015</t>
        </is>
      </c>
      <c r="K2915" t="inlineStr">
        <is>
          <t>PR P0COST 000530 (PR) Summary</t>
        </is>
      </c>
      <c r="L2915" t="n">
        <v>0</v>
      </c>
      <c r="M2915" t="n">
        <v>0</v>
      </c>
      <c r="Q2915" s="114" t="n">
        <v>0</v>
      </c>
      <c r="R2915" s="114" t="n">
        <v>863.98</v>
      </c>
      <c r="S2915" s="114" t="n">
        <v>0</v>
      </c>
      <c r="T2915" t="n">
        <v>20</v>
      </c>
    </row>
    <row r="2916">
      <c r="A2916" t="inlineStr">
        <is>
          <t>ttJTrans</t>
        </is>
      </c>
      <c r="B2916" s="38" t="inlineStr">
        <is>
          <t>0-4015</t>
        </is>
      </c>
      <c r="C2916" t="inlineStr">
        <is>
          <t>LA</t>
        </is>
      </c>
      <c r="E2916" t="inlineStr">
        <is>
          <t>LA</t>
        </is>
      </c>
      <c r="G2916" s="128" t="inlineStr"/>
      <c r="H2916" s="127" t="n">
        <v>46163</v>
      </c>
      <c r="J2916" s="38" t="inlineStr">
        <is>
          <t>0-4015</t>
        </is>
      </c>
      <c r="K2916" t="inlineStr">
        <is>
          <t>PR P0COST 000531 (PR) Summary</t>
        </is>
      </c>
      <c r="L2916" t="n">
        <v>0</v>
      </c>
      <c r="M2916" t="n">
        <v>0</v>
      </c>
      <c r="Q2916" s="114" t="n">
        <v>0</v>
      </c>
      <c r="R2916" s="114" t="n">
        <v>1199.65</v>
      </c>
      <c r="S2916" s="114" t="n">
        <v>0</v>
      </c>
      <c r="T2916" t="n">
        <v>20</v>
      </c>
    </row>
    <row r="2917">
      <c r="A2917" t="inlineStr">
        <is>
          <t>ttJTrans</t>
        </is>
      </c>
      <c r="B2917" s="38" t="inlineStr">
        <is>
          <t>0-4015</t>
        </is>
      </c>
      <c r="C2917" t="inlineStr">
        <is>
          <t>LA</t>
        </is>
      </c>
      <c r="E2917" t="inlineStr">
        <is>
          <t>LA</t>
        </is>
      </c>
      <c r="G2917" s="128" t="inlineStr"/>
      <c r="H2917" s="127" t="n">
        <v>46163</v>
      </c>
      <c r="J2917" s="38" t="inlineStr">
        <is>
          <t>0-4015</t>
        </is>
      </c>
      <c r="K2917" t="inlineStr">
        <is>
          <t>PR P0COST 000531 (PR) Summary</t>
        </is>
      </c>
      <c r="L2917" t="n">
        <v>0</v>
      </c>
      <c r="M2917" t="n">
        <v>0</v>
      </c>
      <c r="Q2917" s="114" t="n">
        <v>0</v>
      </c>
      <c r="R2917" s="114" t="n">
        <v>1199.65</v>
      </c>
      <c r="S2917" s="114" t="n">
        <v>0</v>
      </c>
      <c r="T2917" t="n">
        <v>20</v>
      </c>
    </row>
    <row r="2918">
      <c r="A2918" t="inlineStr">
        <is>
          <t>ttJTrans</t>
        </is>
      </c>
      <c r="B2918" s="38" t="inlineStr">
        <is>
          <t>0-4015</t>
        </is>
      </c>
      <c r="C2918" t="inlineStr">
        <is>
          <t>MA</t>
        </is>
      </c>
      <c r="D2918" t="inlineStr">
        <is>
          <t>MA1010580</t>
        </is>
      </c>
      <c r="E2918" t="inlineStr">
        <is>
          <t>MA</t>
        </is>
      </c>
      <c r="F2918" t="inlineStr">
        <is>
          <t>MA1010580</t>
        </is>
      </c>
      <c r="G2918" s="128" t="n">
        <v>46094</v>
      </c>
      <c r="H2918" s="127" t="n">
        <v>46097</v>
      </c>
      <c r="I2918" t="inlineStr">
        <is>
          <t>1</t>
        </is>
      </c>
      <c r="J2918" s="38" t="inlineStr">
        <is>
          <t>0-4015</t>
        </is>
      </c>
      <c r="K2918" t="inlineStr">
        <is>
          <t>Yards of Fill Sand E-1125</t>
        </is>
      </c>
      <c r="L2918" t="n">
        <v>28</v>
      </c>
      <c r="M2918" t="n">
        <v>334.11</v>
      </c>
      <c r="N2918" t="inlineStr">
        <is>
          <t>PO:COMMIT</t>
        </is>
      </c>
      <c r="O2918" t="inlineStr">
        <is>
          <t>21358</t>
        </is>
      </c>
      <c r="P2918" t="inlineStr">
        <is>
          <t>TEXAS GULF COAST AGGREGATES, LLC</t>
        </is>
      </c>
      <c r="Q2918" s="114" t="n">
        <v>0</v>
      </c>
      <c r="R2918" s="114" t="n">
        <v>0</v>
      </c>
      <c r="S2918" s="114" t="n">
        <v>334.11</v>
      </c>
      <c r="T2918" t="n">
        <v>0</v>
      </c>
    </row>
    <row r="2919">
      <c r="A2919" t="inlineStr">
        <is>
          <t>ttJTrans</t>
        </is>
      </c>
      <c r="B2919" s="38" t="inlineStr">
        <is>
          <t>0-4015</t>
        </is>
      </c>
      <c r="C2919" t="inlineStr">
        <is>
          <t>MA</t>
        </is>
      </c>
      <c r="D2919" t="inlineStr">
        <is>
          <t>MA1010580</t>
        </is>
      </c>
      <c r="E2919" t="inlineStr">
        <is>
          <t>MA</t>
        </is>
      </c>
      <c r="F2919" t="inlineStr">
        <is>
          <t>MA1010580</t>
        </is>
      </c>
      <c r="G2919" s="128" t="n">
        <v>46094</v>
      </c>
      <c r="H2919" s="127" t="n">
        <v>46097</v>
      </c>
      <c r="I2919" t="inlineStr">
        <is>
          <t>1</t>
        </is>
      </c>
      <c r="J2919" s="38" t="inlineStr">
        <is>
          <t>0-4015</t>
        </is>
      </c>
      <c r="K2919" t="inlineStr">
        <is>
          <t>Yards of Fill Sand E-1125</t>
        </is>
      </c>
      <c r="L2919" t="n">
        <v>28</v>
      </c>
      <c r="M2919" t="n">
        <v>334.11</v>
      </c>
      <c r="N2919" t="inlineStr">
        <is>
          <t>INVOICE:ADJ-COMMIT</t>
        </is>
      </c>
      <c r="O2919" t="inlineStr">
        <is>
          <t>21358</t>
        </is>
      </c>
      <c r="P2919" t="inlineStr">
        <is>
          <t>TEXAS GULF COAST AGGREGATES, LLC</t>
        </is>
      </c>
      <c r="Q2919" s="114" t="n">
        <v>0</v>
      </c>
      <c r="R2919" s="114" t="n">
        <v>0</v>
      </c>
      <c r="S2919" s="114" t="n">
        <v>-334.11</v>
      </c>
      <c r="T2919" t="n">
        <v>0</v>
      </c>
    </row>
    <row r="2920">
      <c r="A2920" t="inlineStr">
        <is>
          <t>ttJTrans</t>
        </is>
      </c>
      <c r="B2920" s="38" t="inlineStr">
        <is>
          <t>0-4015</t>
        </is>
      </c>
      <c r="C2920" t="inlineStr">
        <is>
          <t>MA</t>
        </is>
      </c>
      <c r="D2920" t="inlineStr">
        <is>
          <t>MA1010580</t>
        </is>
      </c>
      <c r="E2920" t="inlineStr">
        <is>
          <t>MA</t>
        </is>
      </c>
      <c r="F2920" t="inlineStr">
        <is>
          <t>MA1010580</t>
        </is>
      </c>
      <c r="G2920" s="128" t="n">
        <v>46094</v>
      </c>
      <c r="H2920" s="127" t="n">
        <v>46162</v>
      </c>
      <c r="I2920" t="inlineStr">
        <is>
          <t>1</t>
        </is>
      </c>
      <c r="J2920" s="38" t="inlineStr">
        <is>
          <t>0-4015</t>
        </is>
      </c>
      <c r="K2920" t="inlineStr">
        <is>
          <t>Yards of Fill Sand E-1125</t>
        </is>
      </c>
      <c r="L2920" t="n">
        <v>28</v>
      </c>
      <c r="M2920" t="n">
        <v>334.11</v>
      </c>
      <c r="N2920" t="inlineStr">
        <is>
          <t>INVOICE</t>
        </is>
      </c>
      <c r="O2920" t="inlineStr">
        <is>
          <t>21358</t>
        </is>
      </c>
      <c r="P2920" t="inlineStr">
        <is>
          <t>TEXAS GULF COAST AGGREGATES, LLC</t>
        </is>
      </c>
      <c r="Q2920" s="114" t="n">
        <v>0</v>
      </c>
      <c r="R2920" s="114" t="n">
        <v>0</v>
      </c>
      <c r="S2920" s="114" t="n">
        <v>0</v>
      </c>
      <c r="T2920" t="n">
        <v>0</v>
      </c>
    </row>
    <row r="2921">
      <c r="A2921" t="inlineStr">
        <is>
          <t>ttJTrans</t>
        </is>
      </c>
      <c r="B2921" s="38" t="inlineStr">
        <is>
          <t>0-4015</t>
        </is>
      </c>
      <c r="C2921" t="inlineStr">
        <is>
          <t>MA</t>
        </is>
      </c>
      <c r="E2921" t="inlineStr">
        <is>
          <t>MA</t>
        </is>
      </c>
      <c r="G2921" s="128" t="inlineStr"/>
      <c r="H2921" s="127" t="n">
        <v>46162</v>
      </c>
      <c r="J2921" s="38" t="inlineStr">
        <is>
          <t>0-4015</t>
        </is>
      </c>
      <c r="K2921" t="inlineStr">
        <is>
          <t>2 loads fill sand approved by Eugene</t>
        </is>
      </c>
      <c r="L2921" t="n">
        <v>0</v>
      </c>
      <c r="M2921" t="n">
        <v>0</v>
      </c>
      <c r="O2921" t="inlineStr">
        <is>
          <t>21358</t>
        </is>
      </c>
      <c r="P2921" t="inlineStr">
        <is>
          <t>TEXAS GULF COAST AGGREGATES, LLC</t>
        </is>
      </c>
      <c r="Q2921" s="114" t="n">
        <v>0</v>
      </c>
      <c r="R2921" s="114" t="n">
        <v>325.83</v>
      </c>
      <c r="S2921" s="114" t="n">
        <v>0</v>
      </c>
      <c r="T2921" t="n">
        <v>0</v>
      </c>
    </row>
    <row r="2922">
      <c r="A2922" t="inlineStr">
        <is>
          <t>ttJTrans</t>
        </is>
      </c>
      <c r="B2922" s="38" t="inlineStr">
        <is>
          <t>0-4015</t>
        </is>
      </c>
      <c r="C2922" t="inlineStr">
        <is>
          <t>OC</t>
        </is>
      </c>
      <c r="D2922" t="inlineStr">
        <is>
          <t>MA1010561</t>
        </is>
      </c>
      <c r="E2922" t="inlineStr">
        <is>
          <t>OC</t>
        </is>
      </c>
      <c r="F2922" t="inlineStr">
        <is>
          <t>MA1010561</t>
        </is>
      </c>
      <c r="G2922" s="128" t="n">
        <v>46093</v>
      </c>
      <c r="H2922" s="127" t="n">
        <v>46113</v>
      </c>
      <c r="I2922" t="inlineStr">
        <is>
          <t>10</t>
        </is>
      </c>
      <c r="J2922" s="38" t="inlineStr">
        <is>
          <t>0-4015</t>
        </is>
      </c>
      <c r="K2922" t="inlineStr">
        <is>
          <t>GAUCHO 1047-6-14GA.- 330'</t>
        </is>
      </c>
      <c r="L2922" t="n">
        <v>1</v>
      </c>
      <c r="M2922" t="n">
        <v>243.09</v>
      </c>
      <c r="N2922" t="inlineStr">
        <is>
          <t>INVOICE</t>
        </is>
      </c>
      <c r="O2922" t="inlineStr">
        <is>
          <t>21265</t>
        </is>
      </c>
      <c r="P2922" t="inlineStr">
        <is>
          <t>WHARTON FEED &amp; SUPPLY LLC</t>
        </is>
      </c>
      <c r="Q2922" s="114" t="n">
        <v>0</v>
      </c>
      <c r="R2922" s="114" t="n">
        <v>0</v>
      </c>
      <c r="S2922" s="114" t="n">
        <v>0</v>
      </c>
      <c r="T2922" t="n">
        <v>0</v>
      </c>
    </row>
    <row r="2923">
      <c r="A2923" t="inlineStr">
        <is>
          <t>ttJTrans</t>
        </is>
      </c>
      <c r="B2923" s="38" t="inlineStr">
        <is>
          <t>0-4015</t>
        </is>
      </c>
      <c r="C2923" t="inlineStr">
        <is>
          <t>OC</t>
        </is>
      </c>
      <c r="D2923" t="inlineStr">
        <is>
          <t>MA1010561</t>
        </is>
      </c>
      <c r="E2923" t="inlineStr">
        <is>
          <t>OC</t>
        </is>
      </c>
      <c r="F2923" t="inlineStr">
        <is>
          <t>MA1010561</t>
        </is>
      </c>
      <c r="G2923" s="128" t="n">
        <v>46093</v>
      </c>
      <c r="H2923" s="127" t="n">
        <v>46113</v>
      </c>
      <c r="I2923" t="inlineStr">
        <is>
          <t>7</t>
        </is>
      </c>
      <c r="J2923" s="38" t="inlineStr">
        <is>
          <t>0-4015</t>
        </is>
      </c>
      <c r="K2923" t="inlineStr">
        <is>
          <t>MARKING WAND PRO</t>
        </is>
      </c>
      <c r="L2923" t="n">
        <v>1</v>
      </c>
      <c r="M2923" t="n">
        <v>43.28</v>
      </c>
      <c r="N2923" t="inlineStr">
        <is>
          <t>INVOICE</t>
        </is>
      </c>
      <c r="O2923" t="inlineStr">
        <is>
          <t>21265</t>
        </is>
      </c>
      <c r="P2923" t="inlineStr">
        <is>
          <t>WHARTON FEED &amp; SUPPLY LLC</t>
        </is>
      </c>
      <c r="Q2923" s="114" t="n">
        <v>0</v>
      </c>
      <c r="R2923" s="114" t="n">
        <v>0</v>
      </c>
      <c r="S2923" s="114" t="n">
        <v>0</v>
      </c>
      <c r="T2923" t="n">
        <v>0</v>
      </c>
    </row>
    <row r="2924">
      <c r="A2924" t="inlineStr">
        <is>
          <t>ttJTrans</t>
        </is>
      </c>
      <c r="B2924" s="38" t="inlineStr">
        <is>
          <t>0-4015</t>
        </is>
      </c>
      <c r="C2924" t="inlineStr">
        <is>
          <t>OC</t>
        </is>
      </c>
      <c r="D2924" t="inlineStr">
        <is>
          <t>MA1010561</t>
        </is>
      </c>
      <c r="E2924" t="inlineStr">
        <is>
          <t>OC</t>
        </is>
      </c>
      <c r="F2924" t="inlineStr">
        <is>
          <t>MA1010561</t>
        </is>
      </c>
      <c r="G2924" s="128" t="n">
        <v>46093</v>
      </c>
      <c r="H2924" s="127" t="n">
        <v>46113</v>
      </c>
      <c r="I2924" t="inlineStr">
        <is>
          <t>6</t>
        </is>
      </c>
      <c r="J2924" s="38" t="inlineStr">
        <is>
          <t>0-4015</t>
        </is>
      </c>
      <c r="K2924" t="inlineStr">
        <is>
          <t>MARKING PAINT SB FL ORNG</t>
        </is>
      </c>
      <c r="L2924" t="n">
        <v>4</v>
      </c>
      <c r="M2924" t="n">
        <v>39.92</v>
      </c>
      <c r="N2924" t="inlineStr">
        <is>
          <t>INVOICE</t>
        </is>
      </c>
      <c r="O2924" t="inlineStr">
        <is>
          <t>21265</t>
        </is>
      </c>
      <c r="P2924" t="inlineStr">
        <is>
          <t>WHARTON FEED &amp; SUPPLY LLC</t>
        </is>
      </c>
      <c r="Q2924" s="114" t="n">
        <v>0</v>
      </c>
      <c r="R2924" s="114" t="n">
        <v>0</v>
      </c>
      <c r="S2924" s="114" t="n">
        <v>0</v>
      </c>
      <c r="T2924" t="n">
        <v>0</v>
      </c>
    </row>
    <row r="2925">
      <c r="A2925" t="inlineStr">
        <is>
          <t>ttJTrans</t>
        </is>
      </c>
      <c r="B2925" s="38" t="inlineStr">
        <is>
          <t>0-4015</t>
        </is>
      </c>
      <c r="C2925" t="inlineStr">
        <is>
          <t>OC</t>
        </is>
      </c>
      <c r="D2925" t="inlineStr">
        <is>
          <t>MA1010561</t>
        </is>
      </c>
      <c r="E2925" t="inlineStr">
        <is>
          <t>OC</t>
        </is>
      </c>
      <c r="F2925" t="inlineStr">
        <is>
          <t>MA1010561</t>
        </is>
      </c>
      <c r="G2925" s="128" t="n">
        <v>46093</v>
      </c>
      <c r="H2925" s="127" t="n">
        <v>46113</v>
      </c>
      <c r="I2925" t="inlineStr">
        <is>
          <t>1</t>
        </is>
      </c>
      <c r="J2925" s="38" t="inlineStr">
        <is>
          <t>0-4015</t>
        </is>
      </c>
      <c r="K2925" t="inlineStr">
        <is>
          <t>100PC BLACK 11.8" 50LB TENSILE S</t>
        </is>
      </c>
      <c r="L2925" t="n">
        <v>2</v>
      </c>
      <c r="M2925" t="n">
        <v>17.52</v>
      </c>
      <c r="N2925" t="inlineStr">
        <is>
          <t>INVOICE</t>
        </is>
      </c>
      <c r="O2925" t="inlineStr">
        <is>
          <t>21265</t>
        </is>
      </c>
      <c r="P2925" t="inlineStr">
        <is>
          <t>WHARTON FEED &amp; SUPPLY LLC</t>
        </is>
      </c>
      <c r="Q2925" s="114" t="n">
        <v>0</v>
      </c>
      <c r="R2925" s="114" t="n">
        <v>0</v>
      </c>
      <c r="S2925" s="114" t="n">
        <v>0</v>
      </c>
      <c r="T2925" t="n">
        <v>0</v>
      </c>
    </row>
    <row r="2926">
      <c r="A2926" t="inlineStr">
        <is>
          <t>ttJTrans</t>
        </is>
      </c>
      <c r="B2926" s="38" t="inlineStr">
        <is>
          <t>0-4015</t>
        </is>
      </c>
      <c r="C2926" t="inlineStr">
        <is>
          <t>OC</t>
        </is>
      </c>
      <c r="D2926" t="inlineStr">
        <is>
          <t>MA1010561</t>
        </is>
      </c>
      <c r="E2926" t="inlineStr">
        <is>
          <t>OC</t>
        </is>
      </c>
      <c r="F2926" t="inlineStr">
        <is>
          <t>MA1010561</t>
        </is>
      </c>
      <c r="G2926" s="128" t="n">
        <v>46093</v>
      </c>
      <c r="H2926" s="127" t="n">
        <v>46113</v>
      </c>
      <c r="I2926" t="inlineStr">
        <is>
          <t>11</t>
        </is>
      </c>
      <c r="J2926" s="38" t="inlineStr">
        <is>
          <t>0-4015</t>
        </is>
      </c>
      <c r="K2926" t="inlineStr">
        <is>
          <t>T-POST 1.33 6.5'</t>
        </is>
      </c>
      <c r="L2926" t="n">
        <v>30</v>
      </c>
      <c r="M2926" t="n">
        <v>258.08</v>
      </c>
      <c r="N2926" t="inlineStr">
        <is>
          <t>INVOICE</t>
        </is>
      </c>
      <c r="O2926" t="inlineStr">
        <is>
          <t>21265</t>
        </is>
      </c>
      <c r="P2926" t="inlineStr">
        <is>
          <t>WHARTON FEED &amp; SUPPLY LLC</t>
        </is>
      </c>
      <c r="Q2926" s="114" t="n">
        <v>0</v>
      </c>
      <c r="R2926" s="114" t="n">
        <v>0</v>
      </c>
      <c r="S2926" s="114" t="n">
        <v>0</v>
      </c>
      <c r="T2926" t="n">
        <v>0</v>
      </c>
    </row>
    <row r="2927">
      <c r="A2927" t="inlineStr">
        <is>
          <t>ttJTrans</t>
        </is>
      </c>
      <c r="B2927" s="38" t="inlineStr">
        <is>
          <t>0-4015</t>
        </is>
      </c>
      <c r="C2927" t="inlineStr">
        <is>
          <t>OC</t>
        </is>
      </c>
      <c r="D2927" t="inlineStr">
        <is>
          <t>MA1010561</t>
        </is>
      </c>
      <c r="E2927" t="inlineStr">
        <is>
          <t>OC</t>
        </is>
      </c>
      <c r="F2927" t="inlineStr">
        <is>
          <t>MA1010561</t>
        </is>
      </c>
      <c r="G2927" s="128" t="n">
        <v>46093</v>
      </c>
      <c r="H2927" s="127" t="n">
        <v>46113</v>
      </c>
      <c r="I2927" t="inlineStr">
        <is>
          <t>8</t>
        </is>
      </c>
      <c r="J2927" s="38" t="inlineStr">
        <is>
          <t>0-4015</t>
        </is>
      </c>
      <c r="K2927" t="inlineStr">
        <is>
          <t>POULTRY FENCE 3'X25' GRN</t>
        </is>
      </c>
      <c r="L2927" t="n">
        <v>2</v>
      </c>
      <c r="M2927" t="n">
        <v>71.02</v>
      </c>
      <c r="N2927" t="inlineStr">
        <is>
          <t>INVOICE</t>
        </is>
      </c>
      <c r="O2927" t="inlineStr">
        <is>
          <t>21265</t>
        </is>
      </c>
      <c r="P2927" t="inlineStr">
        <is>
          <t>WHARTON FEED &amp; SUPPLY LLC</t>
        </is>
      </c>
      <c r="Q2927" s="114" t="n">
        <v>0</v>
      </c>
      <c r="R2927" s="114" t="n">
        <v>0</v>
      </c>
      <c r="S2927" s="114" t="n">
        <v>0</v>
      </c>
      <c r="T2927" t="n">
        <v>0</v>
      </c>
    </row>
    <row r="2928">
      <c r="A2928" t="inlineStr">
        <is>
          <t>ttJTrans</t>
        </is>
      </c>
      <c r="B2928" s="38" t="inlineStr">
        <is>
          <t>0-4015</t>
        </is>
      </c>
      <c r="C2928" t="inlineStr">
        <is>
          <t>OC</t>
        </is>
      </c>
      <c r="D2928" t="inlineStr">
        <is>
          <t>MA1010561</t>
        </is>
      </c>
      <c r="E2928" t="inlineStr">
        <is>
          <t>OC</t>
        </is>
      </c>
      <c r="F2928" t="inlineStr">
        <is>
          <t>MA1010561</t>
        </is>
      </c>
      <c r="G2928" s="128" t="n">
        <v>46093</v>
      </c>
      <c r="H2928" s="127" t="n">
        <v>46094</v>
      </c>
      <c r="I2928" t="inlineStr">
        <is>
          <t>6</t>
        </is>
      </c>
      <c r="J2928" s="38" t="inlineStr">
        <is>
          <t>0-4015</t>
        </is>
      </c>
      <c r="K2928" t="inlineStr">
        <is>
          <t>MARKING PAINT SB FL ORNG</t>
        </is>
      </c>
      <c r="L2928" t="n">
        <v>4</v>
      </c>
      <c r="M2928" t="n">
        <v>39.92</v>
      </c>
      <c r="N2928" t="inlineStr">
        <is>
          <t>PO:COMMIT</t>
        </is>
      </c>
      <c r="O2928" t="inlineStr">
        <is>
          <t>21265</t>
        </is>
      </c>
      <c r="P2928" t="inlineStr">
        <is>
          <t>WHARTON FEED &amp; SUPPLY LLC</t>
        </is>
      </c>
      <c r="Q2928" s="114" t="n">
        <v>0</v>
      </c>
      <c r="R2928" s="114" t="n">
        <v>0</v>
      </c>
      <c r="S2928" s="114" t="n">
        <v>39.92</v>
      </c>
      <c r="T2928" t="n">
        <v>0</v>
      </c>
    </row>
    <row r="2929">
      <c r="A2929" t="inlineStr">
        <is>
          <t>ttJTrans</t>
        </is>
      </c>
      <c r="B2929" s="38" t="inlineStr">
        <is>
          <t>0-4015</t>
        </is>
      </c>
      <c r="C2929" t="inlineStr">
        <is>
          <t>OC</t>
        </is>
      </c>
      <c r="D2929" t="inlineStr">
        <is>
          <t>MA1010561</t>
        </is>
      </c>
      <c r="E2929" t="inlineStr">
        <is>
          <t>OC</t>
        </is>
      </c>
      <c r="F2929" t="inlineStr">
        <is>
          <t>MA1010561</t>
        </is>
      </c>
      <c r="G2929" s="128" t="n">
        <v>46093</v>
      </c>
      <c r="H2929" s="127" t="n">
        <v>46094</v>
      </c>
      <c r="I2929" t="inlineStr">
        <is>
          <t>11</t>
        </is>
      </c>
      <c r="J2929" s="38" t="inlineStr">
        <is>
          <t>0-4015</t>
        </is>
      </c>
      <c r="K2929" t="inlineStr">
        <is>
          <t>T-POST 1.33 6.5'</t>
        </is>
      </c>
      <c r="L2929" t="n">
        <v>30</v>
      </c>
      <c r="M2929" t="n">
        <v>258.08</v>
      </c>
      <c r="N2929" t="inlineStr">
        <is>
          <t>PO:COMMIT</t>
        </is>
      </c>
      <c r="O2929" t="inlineStr">
        <is>
          <t>21265</t>
        </is>
      </c>
      <c r="P2929" t="inlineStr">
        <is>
          <t>WHARTON FEED &amp; SUPPLY LLC</t>
        </is>
      </c>
      <c r="Q2929" s="114" t="n">
        <v>0</v>
      </c>
      <c r="R2929" s="114" t="n">
        <v>0</v>
      </c>
      <c r="S2929" s="114" t="n">
        <v>258.08</v>
      </c>
      <c r="T2929" t="n">
        <v>0</v>
      </c>
    </row>
    <row r="2930">
      <c r="A2930" t="inlineStr">
        <is>
          <t>ttJTrans</t>
        </is>
      </c>
      <c r="B2930" s="38" t="inlineStr">
        <is>
          <t>0-4015</t>
        </is>
      </c>
      <c r="C2930" t="inlineStr">
        <is>
          <t>OC</t>
        </is>
      </c>
      <c r="D2930" t="inlineStr">
        <is>
          <t>MA1010561</t>
        </is>
      </c>
      <c r="E2930" t="inlineStr">
        <is>
          <t>OC</t>
        </is>
      </c>
      <c r="F2930" t="inlineStr">
        <is>
          <t>MA1010561</t>
        </is>
      </c>
      <c r="G2930" s="128" t="n">
        <v>46093</v>
      </c>
      <c r="H2930" s="127" t="n">
        <v>46094</v>
      </c>
      <c r="I2930" t="inlineStr">
        <is>
          <t>8</t>
        </is>
      </c>
      <c r="J2930" s="38" t="inlineStr">
        <is>
          <t>0-4015</t>
        </is>
      </c>
      <c r="K2930" t="inlineStr">
        <is>
          <t>POULTRY FENCE 3'X25' GRN</t>
        </is>
      </c>
      <c r="L2930" t="n">
        <v>2</v>
      </c>
      <c r="M2930" t="n">
        <v>71.02</v>
      </c>
      <c r="N2930" t="inlineStr">
        <is>
          <t>PO:COMMIT</t>
        </is>
      </c>
      <c r="O2930" t="inlineStr">
        <is>
          <t>21265</t>
        </is>
      </c>
      <c r="P2930" t="inlineStr">
        <is>
          <t>WHARTON FEED &amp; SUPPLY LLC</t>
        </is>
      </c>
      <c r="Q2930" s="114" t="n">
        <v>0</v>
      </c>
      <c r="R2930" s="114" t="n">
        <v>0</v>
      </c>
      <c r="S2930" s="114" t="n">
        <v>71.02</v>
      </c>
      <c r="T2930" t="n">
        <v>0</v>
      </c>
    </row>
    <row r="2931">
      <c r="A2931" t="inlineStr">
        <is>
          <t>ttJTrans</t>
        </is>
      </c>
      <c r="B2931" s="38" t="inlineStr">
        <is>
          <t>0-4015</t>
        </is>
      </c>
      <c r="C2931" t="inlineStr">
        <is>
          <t>OC</t>
        </is>
      </c>
      <c r="D2931" t="inlineStr">
        <is>
          <t>MA1010561</t>
        </is>
      </c>
      <c r="E2931" t="inlineStr">
        <is>
          <t>OC</t>
        </is>
      </c>
      <c r="F2931" t="inlineStr">
        <is>
          <t>MA1010561</t>
        </is>
      </c>
      <c r="G2931" s="128" t="n">
        <v>46093</v>
      </c>
      <c r="H2931" s="127" t="n">
        <v>46094</v>
      </c>
      <c r="I2931" t="inlineStr">
        <is>
          <t>7</t>
        </is>
      </c>
      <c r="J2931" s="38" t="inlineStr">
        <is>
          <t>0-4015</t>
        </is>
      </c>
      <c r="K2931" t="inlineStr">
        <is>
          <t>MARKING WAND PRO</t>
        </is>
      </c>
      <c r="L2931" t="n">
        <v>1</v>
      </c>
      <c r="M2931" t="n">
        <v>43.28</v>
      </c>
      <c r="N2931" t="inlineStr">
        <is>
          <t>PO:COMMIT</t>
        </is>
      </c>
      <c r="O2931" t="inlineStr">
        <is>
          <t>21265</t>
        </is>
      </c>
      <c r="P2931" t="inlineStr">
        <is>
          <t>WHARTON FEED &amp; SUPPLY LLC</t>
        </is>
      </c>
      <c r="Q2931" s="114" t="n">
        <v>0</v>
      </c>
      <c r="R2931" s="114" t="n">
        <v>0</v>
      </c>
      <c r="S2931" s="114" t="n">
        <v>43.28</v>
      </c>
      <c r="T2931" t="n">
        <v>0</v>
      </c>
    </row>
    <row r="2932">
      <c r="A2932" t="inlineStr">
        <is>
          <t>ttJTrans</t>
        </is>
      </c>
      <c r="B2932" s="38" t="inlineStr">
        <is>
          <t>0-4015</t>
        </is>
      </c>
      <c r="C2932" t="inlineStr">
        <is>
          <t>OC</t>
        </is>
      </c>
      <c r="D2932" t="inlineStr">
        <is>
          <t>MA1010561</t>
        </is>
      </c>
      <c r="E2932" t="inlineStr">
        <is>
          <t>OC</t>
        </is>
      </c>
      <c r="F2932" t="inlineStr">
        <is>
          <t>MA1010561</t>
        </is>
      </c>
      <c r="G2932" s="128" t="n">
        <v>46093</v>
      </c>
      <c r="H2932" s="127" t="n">
        <v>46094</v>
      </c>
      <c r="I2932" t="inlineStr">
        <is>
          <t>7</t>
        </is>
      </c>
      <c r="J2932" s="38" t="inlineStr">
        <is>
          <t>0-4015</t>
        </is>
      </c>
      <c r="K2932" t="inlineStr">
        <is>
          <t>MARKING WAND PRO</t>
        </is>
      </c>
      <c r="L2932" t="n">
        <v>1</v>
      </c>
      <c r="M2932" t="n">
        <v>43.28</v>
      </c>
      <c r="N2932" t="inlineStr">
        <is>
          <t>INVOICE:ADJ-COMMIT</t>
        </is>
      </c>
      <c r="O2932" t="inlineStr">
        <is>
          <t>21265</t>
        </is>
      </c>
      <c r="P2932" t="inlineStr">
        <is>
          <t>WHARTON FEED &amp; SUPPLY LLC</t>
        </is>
      </c>
      <c r="Q2932" s="114" t="n">
        <v>0</v>
      </c>
      <c r="R2932" s="114" t="n">
        <v>0</v>
      </c>
      <c r="S2932" s="114" t="n">
        <v>-43.28</v>
      </c>
      <c r="T2932" t="n">
        <v>0</v>
      </c>
    </row>
    <row r="2933">
      <c r="A2933" t="inlineStr">
        <is>
          <t>ttJTrans</t>
        </is>
      </c>
      <c r="B2933" s="38" t="inlineStr">
        <is>
          <t>0-4015</t>
        </is>
      </c>
      <c r="C2933" t="inlineStr">
        <is>
          <t>OC</t>
        </is>
      </c>
      <c r="D2933" t="inlineStr">
        <is>
          <t>MA1010561</t>
        </is>
      </c>
      <c r="E2933" t="inlineStr">
        <is>
          <t>OC</t>
        </is>
      </c>
      <c r="F2933" t="inlineStr">
        <is>
          <t>MA1010561</t>
        </is>
      </c>
      <c r="G2933" s="128" t="n">
        <v>46093</v>
      </c>
      <c r="H2933" s="127" t="n">
        <v>46094</v>
      </c>
      <c r="I2933" t="inlineStr">
        <is>
          <t>6</t>
        </is>
      </c>
      <c r="J2933" s="38" t="inlineStr">
        <is>
          <t>0-4015</t>
        </is>
      </c>
      <c r="K2933" t="inlineStr">
        <is>
          <t>MARKING PAINT SB FL ORNG</t>
        </is>
      </c>
      <c r="L2933" t="n">
        <v>4</v>
      </c>
      <c r="M2933" t="n">
        <v>39.92</v>
      </c>
      <c r="N2933" t="inlineStr">
        <is>
          <t>INVOICE:ADJ-COMMIT</t>
        </is>
      </c>
      <c r="O2933" t="inlineStr">
        <is>
          <t>21265</t>
        </is>
      </c>
      <c r="P2933" t="inlineStr">
        <is>
          <t>WHARTON FEED &amp; SUPPLY LLC</t>
        </is>
      </c>
      <c r="Q2933" s="114" t="n">
        <v>0</v>
      </c>
      <c r="R2933" s="114" t="n">
        <v>0</v>
      </c>
      <c r="S2933" s="114" t="n">
        <v>-39.92</v>
      </c>
      <c r="T2933" t="n">
        <v>0</v>
      </c>
    </row>
    <row r="2934">
      <c r="A2934" t="inlineStr">
        <is>
          <t>ttJTrans</t>
        </is>
      </c>
      <c r="B2934" s="38" t="inlineStr">
        <is>
          <t>0-4015</t>
        </is>
      </c>
      <c r="C2934" t="inlineStr">
        <is>
          <t>OC</t>
        </is>
      </c>
      <c r="D2934" t="inlineStr">
        <is>
          <t>MA1010561</t>
        </is>
      </c>
      <c r="E2934" t="inlineStr">
        <is>
          <t>OC</t>
        </is>
      </c>
      <c r="F2934" t="inlineStr">
        <is>
          <t>MA1010561</t>
        </is>
      </c>
      <c r="G2934" s="128" t="n">
        <v>46093</v>
      </c>
      <c r="H2934" s="127" t="n">
        <v>46094</v>
      </c>
      <c r="I2934" t="inlineStr">
        <is>
          <t>1</t>
        </is>
      </c>
      <c r="J2934" s="38" t="inlineStr">
        <is>
          <t>0-4015</t>
        </is>
      </c>
      <c r="K2934" t="inlineStr">
        <is>
          <t>100PC BLACK 11.8" 50LB TENSILE S</t>
        </is>
      </c>
      <c r="L2934" t="n">
        <v>2</v>
      </c>
      <c r="M2934" t="n">
        <v>17.52</v>
      </c>
      <c r="N2934" t="inlineStr">
        <is>
          <t>INVOICE:ADJ-COMMIT</t>
        </is>
      </c>
      <c r="O2934" t="inlineStr">
        <is>
          <t>21265</t>
        </is>
      </c>
      <c r="P2934" t="inlineStr">
        <is>
          <t>WHARTON FEED &amp; SUPPLY LLC</t>
        </is>
      </c>
      <c r="Q2934" s="114" t="n">
        <v>0</v>
      </c>
      <c r="R2934" s="114" t="n">
        <v>0</v>
      </c>
      <c r="S2934" s="114" t="n">
        <v>-17.52</v>
      </c>
      <c r="T2934" t="n">
        <v>0</v>
      </c>
    </row>
    <row r="2935">
      <c r="A2935" t="inlineStr">
        <is>
          <t>ttJTrans</t>
        </is>
      </c>
      <c r="B2935" s="38" t="inlineStr">
        <is>
          <t>0-4015</t>
        </is>
      </c>
      <c r="C2935" t="inlineStr">
        <is>
          <t>OC</t>
        </is>
      </c>
      <c r="D2935" t="inlineStr">
        <is>
          <t>MA1010561</t>
        </is>
      </c>
      <c r="E2935" t="inlineStr">
        <is>
          <t>OC</t>
        </is>
      </c>
      <c r="F2935" t="inlineStr">
        <is>
          <t>MA1010561</t>
        </is>
      </c>
      <c r="G2935" s="128" t="n">
        <v>46093</v>
      </c>
      <c r="H2935" s="127" t="n">
        <v>46094</v>
      </c>
      <c r="I2935" t="inlineStr">
        <is>
          <t>11</t>
        </is>
      </c>
      <c r="J2935" s="38" t="inlineStr">
        <is>
          <t>0-4015</t>
        </is>
      </c>
      <c r="K2935" t="inlineStr">
        <is>
          <t>T-POST 1.33 6.5'</t>
        </is>
      </c>
      <c r="L2935" t="n">
        <v>30</v>
      </c>
      <c r="M2935" t="n">
        <v>258.08</v>
      </c>
      <c r="N2935" t="inlineStr">
        <is>
          <t>INVOICE:ADJ-COMMIT</t>
        </is>
      </c>
      <c r="O2935" t="inlineStr">
        <is>
          <t>21265</t>
        </is>
      </c>
      <c r="P2935" t="inlineStr">
        <is>
          <t>WHARTON FEED &amp; SUPPLY LLC</t>
        </is>
      </c>
      <c r="Q2935" s="114" t="n">
        <v>0</v>
      </c>
      <c r="R2935" s="114" t="n">
        <v>0</v>
      </c>
      <c r="S2935" s="114" t="n">
        <v>-258.08</v>
      </c>
      <c r="T2935" t="n">
        <v>0</v>
      </c>
    </row>
    <row r="2936">
      <c r="A2936" t="inlineStr">
        <is>
          <t>ttJTrans</t>
        </is>
      </c>
      <c r="B2936" s="38" t="inlineStr">
        <is>
          <t>0-4015</t>
        </is>
      </c>
      <c r="C2936" t="inlineStr">
        <is>
          <t>OC</t>
        </is>
      </c>
      <c r="D2936" t="inlineStr">
        <is>
          <t>MA1010561</t>
        </is>
      </c>
      <c r="E2936" t="inlineStr">
        <is>
          <t>OC</t>
        </is>
      </c>
      <c r="F2936" t="inlineStr">
        <is>
          <t>MA1010561</t>
        </is>
      </c>
      <c r="G2936" s="128" t="n">
        <v>46093</v>
      </c>
      <c r="H2936" s="127" t="n">
        <v>46094</v>
      </c>
      <c r="I2936" t="inlineStr">
        <is>
          <t>10</t>
        </is>
      </c>
      <c r="J2936" s="38" t="inlineStr">
        <is>
          <t>0-4015</t>
        </is>
      </c>
      <c r="K2936" t="inlineStr">
        <is>
          <t>GAUCHO 1047-6-14GA.- 330'</t>
        </is>
      </c>
      <c r="L2936" t="n">
        <v>1</v>
      </c>
      <c r="M2936" t="n">
        <v>243.09</v>
      </c>
      <c r="N2936" t="inlineStr">
        <is>
          <t>INVOICE:ADJ-COMMIT</t>
        </is>
      </c>
      <c r="O2936" t="inlineStr">
        <is>
          <t>21265</t>
        </is>
      </c>
      <c r="P2936" t="inlineStr">
        <is>
          <t>WHARTON FEED &amp; SUPPLY LLC</t>
        </is>
      </c>
      <c r="Q2936" s="114" t="n">
        <v>0</v>
      </c>
      <c r="R2936" s="114" t="n">
        <v>0</v>
      </c>
      <c r="S2936" s="114" t="n">
        <v>-243.09</v>
      </c>
      <c r="T2936" t="n">
        <v>0</v>
      </c>
    </row>
    <row r="2937">
      <c r="A2937" t="inlineStr">
        <is>
          <t>ttJTrans</t>
        </is>
      </c>
      <c r="B2937" s="38" t="inlineStr">
        <is>
          <t>0-4015</t>
        </is>
      </c>
      <c r="C2937" t="inlineStr">
        <is>
          <t>OC</t>
        </is>
      </c>
      <c r="D2937" t="inlineStr">
        <is>
          <t>MA1010561</t>
        </is>
      </c>
      <c r="E2937" t="inlineStr">
        <is>
          <t>OC</t>
        </is>
      </c>
      <c r="F2937" t="inlineStr">
        <is>
          <t>MA1010561</t>
        </is>
      </c>
      <c r="G2937" s="128" t="n">
        <v>46093</v>
      </c>
      <c r="H2937" s="127" t="n">
        <v>46094</v>
      </c>
      <c r="I2937" t="inlineStr">
        <is>
          <t>8</t>
        </is>
      </c>
      <c r="J2937" s="38" t="inlineStr">
        <is>
          <t>0-4015</t>
        </is>
      </c>
      <c r="K2937" t="inlineStr">
        <is>
          <t>POULTRY FENCE 3'X25' GRN</t>
        </is>
      </c>
      <c r="L2937" t="n">
        <v>2</v>
      </c>
      <c r="M2937" t="n">
        <v>71.02</v>
      </c>
      <c r="N2937" t="inlineStr">
        <is>
          <t>INVOICE:ADJ-COMMIT</t>
        </is>
      </c>
      <c r="O2937" t="inlineStr">
        <is>
          <t>21265</t>
        </is>
      </c>
      <c r="P2937" t="inlineStr">
        <is>
          <t>WHARTON FEED &amp; SUPPLY LLC</t>
        </is>
      </c>
      <c r="Q2937" s="114" t="n">
        <v>0</v>
      </c>
      <c r="R2937" s="114" t="n">
        <v>0</v>
      </c>
      <c r="S2937" s="114" t="n">
        <v>-71.02</v>
      </c>
      <c r="T2937" t="n">
        <v>0</v>
      </c>
    </row>
    <row r="2938">
      <c r="A2938" t="inlineStr">
        <is>
          <t>ttJTrans</t>
        </is>
      </c>
      <c r="B2938" s="38" t="inlineStr">
        <is>
          <t>0-4015</t>
        </is>
      </c>
      <c r="C2938" t="inlineStr">
        <is>
          <t>OC</t>
        </is>
      </c>
      <c r="D2938" t="inlineStr">
        <is>
          <t>MA1010561</t>
        </is>
      </c>
      <c r="E2938" t="inlineStr">
        <is>
          <t>OC</t>
        </is>
      </c>
      <c r="F2938" t="inlineStr">
        <is>
          <t>MA1010561</t>
        </is>
      </c>
      <c r="G2938" s="128" t="n">
        <v>46093</v>
      </c>
      <c r="H2938" s="127" t="n">
        <v>46094</v>
      </c>
      <c r="I2938" t="inlineStr">
        <is>
          <t>10</t>
        </is>
      </c>
      <c r="J2938" s="38" t="inlineStr">
        <is>
          <t>0-4015</t>
        </is>
      </c>
      <c r="K2938" t="inlineStr">
        <is>
          <t>GAUCHO 1047-6-14GA.- 330'</t>
        </is>
      </c>
      <c r="L2938" t="n">
        <v>1</v>
      </c>
      <c r="M2938" t="n">
        <v>243.09</v>
      </c>
      <c r="N2938" t="inlineStr">
        <is>
          <t>PO:COMMIT</t>
        </is>
      </c>
      <c r="O2938" t="inlineStr">
        <is>
          <t>21265</t>
        </is>
      </c>
      <c r="P2938" t="inlineStr">
        <is>
          <t>WHARTON FEED &amp; SUPPLY LLC</t>
        </is>
      </c>
      <c r="Q2938" s="114" t="n">
        <v>0</v>
      </c>
      <c r="R2938" s="114" t="n">
        <v>0</v>
      </c>
      <c r="S2938" s="114" t="n">
        <v>243.09</v>
      </c>
      <c r="T2938" t="n">
        <v>0</v>
      </c>
    </row>
    <row r="2939">
      <c r="A2939" t="inlineStr">
        <is>
          <t>ttJTrans</t>
        </is>
      </c>
      <c r="B2939" s="38" t="inlineStr">
        <is>
          <t>0-4015</t>
        </is>
      </c>
      <c r="C2939" t="inlineStr">
        <is>
          <t>OC</t>
        </is>
      </c>
      <c r="D2939" t="inlineStr">
        <is>
          <t>MA1010561</t>
        </is>
      </c>
      <c r="E2939" t="inlineStr">
        <is>
          <t>OC</t>
        </is>
      </c>
      <c r="F2939" t="inlineStr">
        <is>
          <t>MA1010561</t>
        </is>
      </c>
      <c r="G2939" s="128" t="n">
        <v>46093</v>
      </c>
      <c r="H2939" s="127" t="n">
        <v>46094</v>
      </c>
      <c r="I2939" t="inlineStr">
        <is>
          <t>1</t>
        </is>
      </c>
      <c r="J2939" s="38" t="inlineStr">
        <is>
          <t>0-4015</t>
        </is>
      </c>
      <c r="K2939" t="inlineStr">
        <is>
          <t>100PC BLACK 11.8" 50LB TENSILE S</t>
        </is>
      </c>
      <c r="L2939" t="n">
        <v>2</v>
      </c>
      <c r="M2939" t="n">
        <v>17.52</v>
      </c>
      <c r="N2939" t="inlineStr">
        <is>
          <t>PO:COMMIT</t>
        </is>
      </c>
      <c r="O2939" t="inlineStr">
        <is>
          <t>21265</t>
        </is>
      </c>
      <c r="P2939" t="inlineStr">
        <is>
          <t>WHARTON FEED &amp; SUPPLY LLC</t>
        </is>
      </c>
      <c r="Q2939" s="114" t="n">
        <v>0</v>
      </c>
      <c r="R2939" s="114" t="n">
        <v>0</v>
      </c>
      <c r="S2939" s="114" t="n">
        <v>17.52</v>
      </c>
      <c r="T2939" t="n">
        <v>0</v>
      </c>
    </row>
    <row r="2940">
      <c r="A2940" t="inlineStr">
        <is>
          <t>ttJTrans</t>
        </is>
      </c>
      <c r="B2940" s="38" t="inlineStr">
        <is>
          <t>0-4015</t>
        </is>
      </c>
      <c r="C2940" t="inlineStr">
        <is>
          <t>OC</t>
        </is>
      </c>
      <c r="D2940" t="inlineStr">
        <is>
          <t>MA1010600</t>
        </is>
      </c>
      <c r="E2940" t="inlineStr">
        <is>
          <t>OC</t>
        </is>
      </c>
      <c r="F2940" t="inlineStr">
        <is>
          <t>MA1010600</t>
        </is>
      </c>
      <c r="G2940" s="128" t="n">
        <v>46097</v>
      </c>
      <c r="H2940" s="127" t="n">
        <v>46098</v>
      </c>
      <c r="I2940" t="inlineStr">
        <is>
          <t>2</t>
        </is>
      </c>
      <c r="J2940" s="38" t="inlineStr">
        <is>
          <t>0-4015</t>
        </is>
      </c>
      <c r="K2940" t="inlineStr">
        <is>
          <t>CHRISNIK TIP MARKERS BLACK</t>
        </is>
      </c>
      <c r="L2940" t="n">
        <v>1</v>
      </c>
      <c r="M2940" t="n">
        <v>27.75</v>
      </c>
      <c r="N2940" t="inlineStr">
        <is>
          <t>PO:COMMIT</t>
        </is>
      </c>
      <c r="O2940" t="inlineStr">
        <is>
          <t>20746</t>
        </is>
      </c>
      <c r="P2940" t="inlineStr">
        <is>
          <t>ALLTERRA CENTRAL, INC</t>
        </is>
      </c>
      <c r="Q2940" s="114" t="n">
        <v>0</v>
      </c>
      <c r="R2940" s="114" t="n">
        <v>0</v>
      </c>
      <c r="S2940" s="114" t="n">
        <v>27.75</v>
      </c>
      <c r="T2940" t="n">
        <v>0</v>
      </c>
    </row>
    <row r="2941">
      <c r="A2941" t="inlineStr">
        <is>
          <t>ttJTrans</t>
        </is>
      </c>
      <c r="B2941" s="38" t="inlineStr">
        <is>
          <t>0-4015</t>
        </is>
      </c>
      <c r="C2941" t="inlineStr">
        <is>
          <t>OC</t>
        </is>
      </c>
      <c r="D2941" t="inlineStr">
        <is>
          <t>MA1010600</t>
        </is>
      </c>
      <c r="E2941" t="inlineStr">
        <is>
          <t>OC</t>
        </is>
      </c>
      <c r="F2941" t="inlineStr">
        <is>
          <t>MA1010600</t>
        </is>
      </c>
      <c r="G2941" s="128" t="n">
        <v>46097</v>
      </c>
      <c r="H2941" s="127" t="n">
        <v>46098</v>
      </c>
      <c r="I2941" t="inlineStr">
        <is>
          <t>1</t>
        </is>
      </c>
      <c r="J2941" s="38" t="inlineStr">
        <is>
          <t>0-4015</t>
        </is>
      </c>
      <c r="K2941" t="inlineStr">
        <is>
          <t>1/2 X2X48 POPLAR LATH STAKES 50 PCS</t>
        </is>
      </c>
      <c r="L2941" t="n">
        <v>5</v>
      </c>
      <c r="M2941" t="n">
        <v>299.32</v>
      </c>
      <c r="N2941" t="inlineStr">
        <is>
          <t>INVOICE:ADJ-COMMIT</t>
        </is>
      </c>
      <c r="O2941" t="inlineStr">
        <is>
          <t>20746</t>
        </is>
      </c>
      <c r="P2941" t="inlineStr">
        <is>
          <t>ALLTERRA CENTRAL, INC</t>
        </is>
      </c>
      <c r="Q2941" s="114" t="n">
        <v>0</v>
      </c>
      <c r="R2941" s="114" t="n">
        <v>0</v>
      </c>
      <c r="S2941" s="114" t="n">
        <v>-299.32</v>
      </c>
      <c r="T2941" t="n">
        <v>0</v>
      </c>
    </row>
    <row r="2942">
      <c r="A2942" t="inlineStr">
        <is>
          <t>ttJTrans</t>
        </is>
      </c>
      <c r="B2942" s="38" t="inlineStr">
        <is>
          <t>0-4015</t>
        </is>
      </c>
      <c r="C2942" t="inlineStr">
        <is>
          <t>OC</t>
        </is>
      </c>
      <c r="D2942" t="inlineStr">
        <is>
          <t>MA1010600</t>
        </is>
      </c>
      <c r="E2942" t="inlineStr">
        <is>
          <t>OC</t>
        </is>
      </c>
      <c r="F2942" t="inlineStr">
        <is>
          <t>MA1010600</t>
        </is>
      </c>
      <c r="G2942" s="128" t="n">
        <v>46097</v>
      </c>
      <c r="H2942" s="127" t="n">
        <v>46098</v>
      </c>
      <c r="I2942" t="inlineStr">
        <is>
          <t>2</t>
        </is>
      </c>
      <c r="J2942" s="38" t="inlineStr">
        <is>
          <t>0-4015</t>
        </is>
      </c>
      <c r="K2942" t="inlineStr">
        <is>
          <t>CHRISNIK TIP MARKERS BLACK</t>
        </is>
      </c>
      <c r="L2942" t="n">
        <v>1</v>
      </c>
      <c r="M2942" t="n">
        <v>27.75</v>
      </c>
      <c r="N2942" t="inlineStr">
        <is>
          <t>INVOICE:ADJ-COMMIT</t>
        </is>
      </c>
      <c r="O2942" t="inlineStr">
        <is>
          <t>20746</t>
        </is>
      </c>
      <c r="P2942" t="inlineStr">
        <is>
          <t>ALLTERRA CENTRAL, INC</t>
        </is>
      </c>
      <c r="Q2942" s="114" t="n">
        <v>0</v>
      </c>
      <c r="R2942" s="114" t="n">
        <v>0</v>
      </c>
      <c r="S2942" s="114" t="n">
        <v>-27.75</v>
      </c>
      <c r="T2942" t="n">
        <v>0</v>
      </c>
    </row>
    <row r="2943">
      <c r="A2943" t="inlineStr">
        <is>
          <t>ttJTrans</t>
        </is>
      </c>
      <c r="B2943" s="38" t="inlineStr">
        <is>
          <t>0-4015</t>
        </is>
      </c>
      <c r="C2943" t="inlineStr">
        <is>
          <t>OC</t>
        </is>
      </c>
      <c r="D2943" t="inlineStr">
        <is>
          <t>MA1010600</t>
        </is>
      </c>
      <c r="E2943" t="inlineStr">
        <is>
          <t>OC</t>
        </is>
      </c>
      <c r="F2943" t="inlineStr">
        <is>
          <t>MA1010600</t>
        </is>
      </c>
      <c r="G2943" s="128" t="n">
        <v>46097</v>
      </c>
      <c r="H2943" s="127" t="n">
        <v>46098</v>
      </c>
      <c r="I2943" t="inlineStr">
        <is>
          <t>1</t>
        </is>
      </c>
      <c r="J2943" s="38" t="inlineStr">
        <is>
          <t>0-4015</t>
        </is>
      </c>
      <c r="K2943" t="inlineStr">
        <is>
          <t>1/2 X2X48 POPLAR LATH STAKES 50 PCS</t>
        </is>
      </c>
      <c r="L2943" t="n">
        <v>5</v>
      </c>
      <c r="M2943" t="n">
        <v>299.32</v>
      </c>
      <c r="N2943" t="inlineStr">
        <is>
          <t>PO:COMMIT</t>
        </is>
      </c>
      <c r="O2943" t="inlineStr">
        <is>
          <t>20746</t>
        </is>
      </c>
      <c r="P2943" t="inlineStr">
        <is>
          <t>ALLTERRA CENTRAL, INC</t>
        </is>
      </c>
      <c r="Q2943" s="114" t="n">
        <v>0</v>
      </c>
      <c r="R2943" s="114" t="n">
        <v>0</v>
      </c>
      <c r="S2943" s="114" t="n">
        <v>299.32</v>
      </c>
      <c r="T2943" t="n">
        <v>0</v>
      </c>
    </row>
    <row r="2944">
      <c r="A2944" t="inlineStr">
        <is>
          <t>ttJTrans</t>
        </is>
      </c>
      <c r="B2944" s="38" t="inlineStr">
        <is>
          <t>0-4015</t>
        </is>
      </c>
      <c r="C2944" t="inlineStr">
        <is>
          <t>OC</t>
        </is>
      </c>
      <c r="D2944" t="inlineStr">
        <is>
          <t>MA1010600</t>
        </is>
      </c>
      <c r="E2944" t="inlineStr">
        <is>
          <t>OC</t>
        </is>
      </c>
      <c r="F2944" t="inlineStr">
        <is>
          <t>MA1010600</t>
        </is>
      </c>
      <c r="G2944" s="128" t="n">
        <v>46097</v>
      </c>
      <c r="H2944" s="127" t="n">
        <v>46121</v>
      </c>
      <c r="I2944" t="inlineStr">
        <is>
          <t>2</t>
        </is>
      </c>
      <c r="J2944" s="38" t="inlineStr">
        <is>
          <t>0-4015</t>
        </is>
      </c>
      <c r="K2944" t="inlineStr">
        <is>
          <t>CHRISNIK TIP MARKERS BLACK</t>
        </is>
      </c>
      <c r="L2944" t="n">
        <v>1</v>
      </c>
      <c r="M2944" t="n">
        <v>27.75</v>
      </c>
      <c r="N2944" t="inlineStr">
        <is>
          <t>INVOICE</t>
        </is>
      </c>
      <c r="O2944" t="inlineStr">
        <is>
          <t>20746</t>
        </is>
      </c>
      <c r="P2944" t="inlineStr">
        <is>
          <t>ALLTERRA CENTRAL, INC</t>
        </is>
      </c>
      <c r="Q2944" s="114" t="n">
        <v>0</v>
      </c>
      <c r="R2944" s="114" t="n">
        <v>0</v>
      </c>
      <c r="S2944" s="114" t="n">
        <v>0</v>
      </c>
      <c r="T2944" t="n">
        <v>0</v>
      </c>
    </row>
    <row r="2945">
      <c r="A2945" t="inlineStr">
        <is>
          <t>ttJTrans</t>
        </is>
      </c>
      <c r="B2945" s="38" t="inlineStr">
        <is>
          <t>0-4015</t>
        </is>
      </c>
      <c r="C2945" t="inlineStr">
        <is>
          <t>OC</t>
        </is>
      </c>
      <c r="D2945" t="inlineStr">
        <is>
          <t>MA1010600</t>
        </is>
      </c>
      <c r="E2945" t="inlineStr">
        <is>
          <t>OC</t>
        </is>
      </c>
      <c r="F2945" t="inlineStr">
        <is>
          <t>MA1010600</t>
        </is>
      </c>
      <c r="G2945" s="128" t="n">
        <v>46097</v>
      </c>
      <c r="H2945" s="127" t="n">
        <v>46121</v>
      </c>
      <c r="I2945" t="inlineStr">
        <is>
          <t>1</t>
        </is>
      </c>
      <c r="J2945" s="38" t="inlineStr">
        <is>
          <t>0-4015</t>
        </is>
      </c>
      <c r="K2945" t="inlineStr">
        <is>
          <t>1/2 X2X48 POPLAR LATH STAKES 50 PCS</t>
        </is>
      </c>
      <c r="L2945" t="n">
        <v>5</v>
      </c>
      <c r="M2945" t="n">
        <v>299.32</v>
      </c>
      <c r="N2945" t="inlineStr">
        <is>
          <t>INVOICE</t>
        </is>
      </c>
      <c r="O2945" t="inlineStr">
        <is>
          <t>20746</t>
        </is>
      </c>
      <c r="P2945" t="inlineStr">
        <is>
          <t>ALLTERRA CENTRAL, INC</t>
        </is>
      </c>
      <c r="Q2945" s="114" t="n">
        <v>0</v>
      </c>
      <c r="R2945" s="114" t="n">
        <v>0</v>
      </c>
      <c r="S2945" s="114" t="n">
        <v>0</v>
      </c>
      <c r="T2945" t="n">
        <v>0</v>
      </c>
    </row>
    <row r="2946">
      <c r="A2946" t="inlineStr">
        <is>
          <t>ttJTrans</t>
        </is>
      </c>
      <c r="B2946" s="38" t="inlineStr">
        <is>
          <t>0-4015</t>
        </is>
      </c>
      <c r="C2946" t="inlineStr">
        <is>
          <t>OC</t>
        </is>
      </c>
      <c r="E2946" t="inlineStr">
        <is>
          <t>OC</t>
        </is>
      </c>
      <c r="G2946" s="128" t="inlineStr"/>
      <c r="H2946" s="127" t="n">
        <v>46113</v>
      </c>
      <c r="J2946" s="38" t="inlineStr">
        <is>
          <t>0-4015</t>
        </is>
      </c>
      <c r="K2946" t="inlineStr">
        <is>
          <t>Fencing Supplies T-post Wire Fencing Approved by Eugene</t>
        </is>
      </c>
      <c r="L2946" t="n">
        <v>0</v>
      </c>
      <c r="M2946" t="n">
        <v>0</v>
      </c>
      <c r="O2946" t="inlineStr">
        <is>
          <t>21265</t>
        </is>
      </c>
      <c r="P2946" t="inlineStr">
        <is>
          <t>WHARTON FEED &amp; SUPPLY LLC</t>
        </is>
      </c>
      <c r="Q2946" s="114" t="n">
        <v>0</v>
      </c>
      <c r="R2946" s="114" t="n">
        <v>404.54</v>
      </c>
      <c r="S2946" s="114" t="n">
        <v>0</v>
      </c>
      <c r="T2946" t="n">
        <v>0</v>
      </c>
    </row>
    <row r="2947">
      <c r="A2947" t="inlineStr">
        <is>
          <t>ttJTrans</t>
        </is>
      </c>
      <c r="B2947" s="38" t="inlineStr">
        <is>
          <t>0-4015</t>
        </is>
      </c>
      <c r="C2947" t="inlineStr">
        <is>
          <t>OC</t>
        </is>
      </c>
      <c r="E2947" t="inlineStr">
        <is>
          <t>OC</t>
        </is>
      </c>
      <c r="G2947" s="128" t="inlineStr"/>
      <c r="H2947" s="127" t="n">
        <v>46113</v>
      </c>
      <c r="J2947" s="38" t="inlineStr">
        <is>
          <t>0-4015</t>
        </is>
      </c>
      <c r="K2947" t="inlineStr">
        <is>
          <t>Fencing Supplies T-post Wire Fencing Approved by Eugene</t>
        </is>
      </c>
      <c r="L2947" t="n">
        <v>0</v>
      </c>
      <c r="M2947" t="n">
        <v>0</v>
      </c>
      <c r="O2947" t="inlineStr">
        <is>
          <t>21265</t>
        </is>
      </c>
      <c r="P2947" t="inlineStr">
        <is>
          <t>WHARTON FEED &amp; SUPPLY LLC</t>
        </is>
      </c>
      <c r="Q2947" s="114" t="n">
        <v>0</v>
      </c>
      <c r="R2947" s="114" t="n">
        <v>232.5</v>
      </c>
      <c r="S2947" s="114" t="n">
        <v>0</v>
      </c>
      <c r="T2947" t="n">
        <v>0</v>
      </c>
    </row>
    <row r="2948">
      <c r="A2948" t="inlineStr">
        <is>
          <t>ttJTrans</t>
        </is>
      </c>
      <c r="B2948" s="38" t="inlineStr">
        <is>
          <t>0-4015</t>
        </is>
      </c>
      <c r="C2948" t="inlineStr">
        <is>
          <t>OC</t>
        </is>
      </c>
      <c r="E2948" t="inlineStr">
        <is>
          <t>OC</t>
        </is>
      </c>
      <c r="G2948" s="128" t="inlineStr"/>
      <c r="H2948" s="127" t="n">
        <v>46121</v>
      </c>
      <c r="J2948" s="38" t="inlineStr">
        <is>
          <t>0-4015</t>
        </is>
      </c>
      <c r="K2948" t="inlineStr">
        <is>
          <t>POPLAR LATH STAKE 50 PCS/ CHISEL TIP BLACK MARKERS</t>
        </is>
      </c>
      <c r="L2948" t="n">
        <v>0</v>
      </c>
      <c r="M2948" t="n">
        <v>0</v>
      </c>
      <c r="O2948" t="inlineStr">
        <is>
          <t>20746</t>
        </is>
      </c>
      <c r="P2948" t="inlineStr">
        <is>
          <t>ALLTERRA CENTRAL, INC</t>
        </is>
      </c>
      <c r="Q2948" s="114" t="n">
        <v>0</v>
      </c>
      <c r="R2948" s="114" t="n">
        <v>318.97</v>
      </c>
      <c r="S2948" s="114" t="n">
        <v>0</v>
      </c>
      <c r="T2948" t="n">
        <v>0</v>
      </c>
    </row>
    <row r="2949">
      <c r="A2949" t="inlineStr">
        <is>
          <t>ttJTrans</t>
        </is>
      </c>
      <c r="B2949" s="38" t="inlineStr">
        <is>
          <t>0-4015</t>
        </is>
      </c>
      <c r="C2949" t="inlineStr">
        <is>
          <t>SU</t>
        </is>
      </c>
      <c r="D2949" t="inlineStr">
        <is>
          <t>SO1000241</t>
        </is>
      </c>
      <c r="E2949" t="inlineStr">
        <is>
          <t>SU</t>
        </is>
      </c>
      <c r="F2949" t="inlineStr">
        <is>
          <t>SO1000241</t>
        </is>
      </c>
      <c r="G2949" s="128" t="n">
        <v>45964</v>
      </c>
      <c r="H2949" s="127" t="n">
        <v>45965</v>
      </c>
      <c r="I2949" t="inlineStr">
        <is>
          <t>1</t>
        </is>
      </c>
      <c r="J2949" s="38" t="inlineStr">
        <is>
          <t>0-4015</t>
        </is>
      </c>
      <c r="K2949" t="inlineStr">
        <is>
          <t>SURVEY</t>
        </is>
      </c>
      <c r="L2949" t="n">
        <v>1</v>
      </c>
      <c r="M2949" t="n">
        <v>28288.75</v>
      </c>
      <c r="N2949" t="inlineStr">
        <is>
          <t>CERTIFICATE</t>
        </is>
      </c>
      <c r="O2949" t="inlineStr">
        <is>
          <t>20047</t>
        </is>
      </c>
      <c r="P2949" t="inlineStr">
        <is>
          <t>FGS-SURVEYORS</t>
        </is>
      </c>
      <c r="Q2949" s="114" t="n">
        <v>0</v>
      </c>
      <c r="R2949" s="114" t="n">
        <v>0</v>
      </c>
      <c r="S2949" s="114" t="n">
        <v>-28288.75</v>
      </c>
      <c r="T2949" t="n">
        <v>0</v>
      </c>
    </row>
    <row r="2950">
      <c r="A2950" t="inlineStr">
        <is>
          <t>ttJTrans</t>
        </is>
      </c>
      <c r="B2950" s="38" t="inlineStr">
        <is>
          <t>0-4015</t>
        </is>
      </c>
      <c r="C2950" t="inlineStr">
        <is>
          <t>SU</t>
        </is>
      </c>
      <c r="D2950" t="inlineStr">
        <is>
          <t>SO1000241</t>
        </is>
      </c>
      <c r="E2950" t="inlineStr">
        <is>
          <t>SU</t>
        </is>
      </c>
      <c r="F2950" t="inlineStr">
        <is>
          <t>SO1000241</t>
        </is>
      </c>
      <c r="G2950" s="128" t="n">
        <v>45964</v>
      </c>
      <c r="H2950" s="127" t="n">
        <v>45965</v>
      </c>
      <c r="I2950" t="inlineStr">
        <is>
          <t>1</t>
        </is>
      </c>
      <c r="J2950" s="38" t="inlineStr">
        <is>
          <t>0-4015</t>
        </is>
      </c>
      <c r="K2950" t="inlineStr">
        <is>
          <t>SURVEY</t>
        </is>
      </c>
      <c r="L2950" t="n">
        <v>1</v>
      </c>
      <c r="M2950" t="n">
        <v>28288.75</v>
      </c>
      <c r="N2950" t="inlineStr">
        <is>
          <t>PO:COMMIT</t>
        </is>
      </c>
      <c r="O2950" t="inlineStr">
        <is>
          <t>20047</t>
        </is>
      </c>
      <c r="P2950" t="inlineStr">
        <is>
          <t>FGS-SURVEYORS</t>
        </is>
      </c>
      <c r="Q2950" s="114" t="n">
        <v>0</v>
      </c>
      <c r="R2950" s="114" t="n">
        <v>0</v>
      </c>
      <c r="S2950" s="114" t="n">
        <v>28288.75</v>
      </c>
      <c r="T2950" t="n">
        <v>0</v>
      </c>
    </row>
    <row r="2951">
      <c r="A2951" t="inlineStr">
        <is>
          <t>ttJTrans</t>
        </is>
      </c>
      <c r="B2951" s="38" t="inlineStr">
        <is>
          <t>0-4015</t>
        </is>
      </c>
      <c r="C2951" t="inlineStr">
        <is>
          <t>SU</t>
        </is>
      </c>
      <c r="E2951" t="inlineStr">
        <is>
          <t>SU</t>
        </is>
      </c>
      <c r="G2951" s="128" t="inlineStr"/>
      <c r="H2951" s="127" t="n">
        <v>46112</v>
      </c>
      <c r="J2951" s="38" t="inlineStr">
        <is>
          <t>0-4015</t>
        </is>
      </c>
      <c r="K2951" t="inlineStr">
        <is>
          <t>SURVEY</t>
        </is>
      </c>
      <c r="L2951" t="n">
        <v>0</v>
      </c>
      <c r="M2951" t="n">
        <v>0</v>
      </c>
      <c r="O2951" t="inlineStr">
        <is>
          <t>20047</t>
        </is>
      </c>
      <c r="Q2951" s="114" t="n">
        <v>0</v>
      </c>
      <c r="R2951" s="114" t="n">
        <v>26500</v>
      </c>
      <c r="S2951" s="114" t="n">
        <v>0</v>
      </c>
      <c r="T2951" t="n">
        <v>0</v>
      </c>
    </row>
    <row r="2952">
      <c r="A2952" t="inlineStr">
        <is>
          <t>ttJTrans</t>
        </is>
      </c>
      <c r="B2952" s="38" t="inlineStr">
        <is>
          <t>0-4015</t>
        </is>
      </c>
      <c r="C2952" t="inlineStr">
        <is>
          <t>SU</t>
        </is>
      </c>
      <c r="E2952" t="inlineStr">
        <is>
          <t>SU</t>
        </is>
      </c>
      <c r="G2952" s="128" t="inlineStr"/>
      <c r="H2952" s="127" t="n">
        <v>46129</v>
      </c>
      <c r="J2952" s="38" t="inlineStr">
        <is>
          <t>0-4015</t>
        </is>
      </c>
      <c r="K2952" t="inlineStr">
        <is>
          <t>25-4005 MARCH USE TAX ADJ</t>
        </is>
      </c>
      <c r="L2952" t="n">
        <v>0</v>
      </c>
      <c r="M2952" t="n">
        <v>0</v>
      </c>
      <c r="Q2952" s="114" t="n">
        <v>0</v>
      </c>
      <c r="R2952" s="114" t="n">
        <v>1788.75</v>
      </c>
      <c r="S2952" s="114" t="n">
        <v>0</v>
      </c>
      <c r="T2952" t="n">
        <v>0</v>
      </c>
    </row>
    <row r="2953">
      <c r="A2953" t="inlineStr">
        <is>
          <t>ttJTrans</t>
        </is>
      </c>
      <c r="B2953" s="38" t="inlineStr">
        <is>
          <t>0-4015-01</t>
        </is>
      </c>
      <c r="C2953" t="inlineStr">
        <is>
          <t>LA</t>
        </is>
      </c>
      <c r="E2953" t="inlineStr">
        <is>
          <t>LA</t>
        </is>
      </c>
      <c r="G2953" s="128" t="inlineStr"/>
      <c r="H2953" s="127" t="n">
        <v>46142</v>
      </c>
      <c r="J2953" s="38" t="inlineStr">
        <is>
          <t>0-4015-01</t>
        </is>
      </c>
      <c r="K2953" t="inlineStr">
        <is>
          <t>PR P0COST 000528 (PR) Summary</t>
        </is>
      </c>
      <c r="L2953" t="n">
        <v>0</v>
      </c>
      <c r="M2953" t="n">
        <v>0</v>
      </c>
      <c r="Q2953" s="114" t="n">
        <v>0</v>
      </c>
      <c r="R2953" s="114" t="n">
        <v>399.4</v>
      </c>
      <c r="S2953" s="114" t="n">
        <v>0</v>
      </c>
      <c r="T2953" t="n">
        <v>5</v>
      </c>
    </row>
    <row r="2954">
      <c r="A2954" t="inlineStr">
        <is>
          <t>ttJTrans</t>
        </is>
      </c>
      <c r="B2954" s="38" t="inlineStr">
        <is>
          <t>0-4015-01</t>
        </is>
      </c>
      <c r="C2954" t="inlineStr">
        <is>
          <t>LA</t>
        </is>
      </c>
      <c r="E2954" t="inlineStr">
        <is>
          <t>LA</t>
        </is>
      </c>
      <c r="G2954" s="128" t="inlineStr"/>
      <c r="H2954" s="127" t="n">
        <v>46142</v>
      </c>
      <c r="J2954" s="38" t="inlineStr">
        <is>
          <t>0-4015-01</t>
        </is>
      </c>
      <c r="K2954" t="inlineStr">
        <is>
          <t>PR P0COST 000528 (PR) Summary</t>
        </is>
      </c>
      <c r="L2954" t="n">
        <v>0</v>
      </c>
      <c r="M2954" t="n">
        <v>0</v>
      </c>
      <c r="Q2954" s="114" t="n">
        <v>0</v>
      </c>
      <c r="R2954" s="114" t="n">
        <v>653.55</v>
      </c>
      <c r="S2954" s="114" t="n">
        <v>0</v>
      </c>
      <c r="T2954" t="n">
        <v>0</v>
      </c>
    </row>
    <row r="2955">
      <c r="A2955" t="inlineStr">
        <is>
          <t>ttJTrans</t>
        </is>
      </c>
      <c r="B2955" s="38" t="inlineStr">
        <is>
          <t>0-4015-01</t>
        </is>
      </c>
      <c r="C2955" t="inlineStr">
        <is>
          <t>LA</t>
        </is>
      </c>
      <c r="E2955" t="inlineStr">
        <is>
          <t>LA</t>
        </is>
      </c>
      <c r="G2955" s="128" t="inlineStr"/>
      <c r="H2955" s="127" t="n">
        <v>46150</v>
      </c>
      <c r="J2955" s="38" t="inlineStr">
        <is>
          <t>0-4015-01</t>
        </is>
      </c>
      <c r="K2955" t="inlineStr">
        <is>
          <t>COST CODE TRANSFER 25-4005</t>
        </is>
      </c>
      <c r="L2955" t="n">
        <v>0</v>
      </c>
      <c r="M2955" t="n">
        <v>0</v>
      </c>
      <c r="Q2955" s="114" t="n">
        <v>0</v>
      </c>
      <c r="R2955" s="114" t="n">
        <v>41790.32</v>
      </c>
      <c r="S2955" s="114" t="n">
        <v>0</v>
      </c>
      <c r="T2955" t="n">
        <v>600</v>
      </c>
    </row>
    <row r="2956">
      <c r="A2956" t="inlineStr">
        <is>
          <t>ttJTrans</t>
        </is>
      </c>
      <c r="B2956" s="38" t="inlineStr">
        <is>
          <t>0-4015-01</t>
        </is>
      </c>
      <c r="C2956" t="inlineStr">
        <is>
          <t>OC</t>
        </is>
      </c>
      <c r="D2956" t="inlineStr">
        <is>
          <t>MA1010930</t>
        </is>
      </c>
      <c r="E2956" t="inlineStr">
        <is>
          <t>OC</t>
        </is>
      </c>
      <c r="F2956" t="inlineStr">
        <is>
          <t>MA1010930</t>
        </is>
      </c>
      <c r="G2956" s="128" t="n">
        <v>46113</v>
      </c>
      <c r="H2956" s="127" t="n">
        <v>46127</v>
      </c>
      <c r="I2956" t="inlineStr">
        <is>
          <t>3</t>
        </is>
      </c>
      <c r="J2956" s="38" t="inlineStr">
        <is>
          <t>0-4015-01</t>
        </is>
      </c>
      <c r="K2956" t="inlineStr">
        <is>
          <t>Construction Flo Green Paint</t>
        </is>
      </c>
      <c r="L2956" t="n">
        <v>1</v>
      </c>
      <c r="M2956" t="n">
        <v>62.66</v>
      </c>
      <c r="N2956" t="inlineStr">
        <is>
          <t>INVOICE</t>
        </is>
      </c>
      <c r="O2956" t="inlineStr">
        <is>
          <t>20746</t>
        </is>
      </c>
      <c r="P2956" t="inlineStr">
        <is>
          <t>ALLTERRA CENTRAL, INC</t>
        </is>
      </c>
      <c r="Q2956" s="114" t="n">
        <v>0</v>
      </c>
      <c r="R2956" s="114" t="n">
        <v>0</v>
      </c>
      <c r="S2956" s="114" t="n">
        <v>0</v>
      </c>
      <c r="T2956" t="n">
        <v>0</v>
      </c>
    </row>
    <row r="2957">
      <c r="A2957" t="inlineStr">
        <is>
          <t>ttJTrans</t>
        </is>
      </c>
      <c r="B2957" s="38" t="inlineStr">
        <is>
          <t>0-4015-01</t>
        </is>
      </c>
      <c r="C2957" t="inlineStr">
        <is>
          <t>OC</t>
        </is>
      </c>
      <c r="D2957" t="inlineStr">
        <is>
          <t>MA1010930</t>
        </is>
      </c>
      <c r="E2957" t="inlineStr">
        <is>
          <t>OC</t>
        </is>
      </c>
      <c r="F2957" t="inlineStr">
        <is>
          <t>MA1010930</t>
        </is>
      </c>
      <c r="G2957" s="128" t="n">
        <v>46113</v>
      </c>
      <c r="H2957" s="127" t="n">
        <v>46127</v>
      </c>
      <c r="I2957" t="inlineStr">
        <is>
          <t>2</t>
        </is>
      </c>
      <c r="J2957" s="38" t="inlineStr">
        <is>
          <t>0-4015-01</t>
        </is>
      </c>
      <c r="K2957" t="inlineStr">
        <is>
          <t>Construction Flo Orange Paint</t>
        </is>
      </c>
      <c r="L2957" t="n">
        <v>5</v>
      </c>
      <c r="M2957" t="n">
        <v>313.29</v>
      </c>
      <c r="N2957" t="inlineStr">
        <is>
          <t>INVOICE</t>
        </is>
      </c>
      <c r="O2957" t="inlineStr">
        <is>
          <t>20746</t>
        </is>
      </c>
      <c r="P2957" t="inlineStr">
        <is>
          <t>ALLTERRA CENTRAL, INC</t>
        </is>
      </c>
      <c r="Q2957" s="114" t="n">
        <v>0</v>
      </c>
      <c r="R2957" s="114" t="n">
        <v>0</v>
      </c>
      <c r="S2957" s="114" t="n">
        <v>0</v>
      </c>
      <c r="T2957" t="n">
        <v>0</v>
      </c>
    </row>
    <row r="2958">
      <c r="A2958" t="inlineStr">
        <is>
          <t>ttJTrans</t>
        </is>
      </c>
      <c r="B2958" s="38" t="inlineStr">
        <is>
          <t>0-4015-01</t>
        </is>
      </c>
      <c r="C2958" t="inlineStr">
        <is>
          <t>OC</t>
        </is>
      </c>
      <c r="D2958" t="inlineStr">
        <is>
          <t>MA1010930</t>
        </is>
      </c>
      <c r="E2958" t="inlineStr">
        <is>
          <t>OC</t>
        </is>
      </c>
      <c r="F2958" t="inlineStr">
        <is>
          <t>MA1010930</t>
        </is>
      </c>
      <c r="G2958" s="128" t="n">
        <v>46113</v>
      </c>
      <c r="H2958" s="127" t="n">
        <v>46127</v>
      </c>
      <c r="I2958" t="inlineStr">
        <is>
          <t>4</t>
        </is>
      </c>
      <c r="J2958" s="38" t="inlineStr">
        <is>
          <t>0-4015-01</t>
        </is>
      </c>
      <c r="K2958" t="inlineStr">
        <is>
          <t>FLAGGING, TEXAS PINK GLO</t>
        </is>
      </c>
      <c r="L2958" t="n">
        <v>1</v>
      </c>
      <c r="M2958" t="n">
        <v>26.47</v>
      </c>
      <c r="N2958" t="inlineStr">
        <is>
          <t>INVOICE</t>
        </is>
      </c>
      <c r="O2958" t="inlineStr">
        <is>
          <t>20746</t>
        </is>
      </c>
      <c r="P2958" t="inlineStr">
        <is>
          <t>ALLTERRA CENTRAL, INC</t>
        </is>
      </c>
      <c r="Q2958" s="114" t="n">
        <v>0</v>
      </c>
      <c r="R2958" s="114" t="n">
        <v>0</v>
      </c>
      <c r="S2958" s="114" t="n">
        <v>0</v>
      </c>
      <c r="T2958" t="n">
        <v>0</v>
      </c>
    </row>
    <row r="2959">
      <c r="A2959" t="inlineStr">
        <is>
          <t>ttJTrans</t>
        </is>
      </c>
      <c r="B2959" s="38" t="inlineStr">
        <is>
          <t>0-4015-01</t>
        </is>
      </c>
      <c r="C2959" t="inlineStr">
        <is>
          <t>OC</t>
        </is>
      </c>
      <c r="D2959" t="inlineStr">
        <is>
          <t>MA1010930</t>
        </is>
      </c>
      <c r="E2959" t="inlineStr">
        <is>
          <t>OC</t>
        </is>
      </c>
      <c r="F2959" t="inlineStr">
        <is>
          <t>MA1010930</t>
        </is>
      </c>
      <c r="G2959" s="128" t="n">
        <v>46113</v>
      </c>
      <c r="H2959" s="127" t="n">
        <v>46127</v>
      </c>
      <c r="I2959" t="inlineStr">
        <is>
          <t>1</t>
        </is>
      </c>
      <c r="J2959" s="38" t="inlineStr">
        <is>
          <t>0-4015-01</t>
        </is>
      </c>
      <c r="K2959" t="inlineStr">
        <is>
          <t>½ x 1-1/4 x 36 POPLAR LATH pcs</t>
        </is>
      </c>
      <c r="L2959" t="n">
        <v>10</v>
      </c>
      <c r="M2959" t="n">
        <v>587.36</v>
      </c>
      <c r="N2959" t="inlineStr">
        <is>
          <t>INVOICE</t>
        </is>
      </c>
      <c r="O2959" t="inlineStr">
        <is>
          <t>20746</t>
        </is>
      </c>
      <c r="P2959" t="inlineStr">
        <is>
          <t>ALLTERRA CENTRAL, INC</t>
        </is>
      </c>
      <c r="Q2959" s="114" t="n">
        <v>0</v>
      </c>
      <c r="R2959" s="114" t="n">
        <v>0</v>
      </c>
      <c r="S2959" s="114" t="n">
        <v>0</v>
      </c>
      <c r="T2959" t="n">
        <v>0</v>
      </c>
    </row>
    <row r="2960">
      <c r="A2960" t="inlineStr">
        <is>
          <t>ttJTrans</t>
        </is>
      </c>
      <c r="B2960" s="38" t="inlineStr">
        <is>
          <t>0-4015-01</t>
        </is>
      </c>
      <c r="C2960" t="inlineStr">
        <is>
          <t>OC</t>
        </is>
      </c>
      <c r="D2960" t="inlineStr">
        <is>
          <t>MA1010930</t>
        </is>
      </c>
      <c r="E2960" t="inlineStr">
        <is>
          <t>OC</t>
        </is>
      </c>
      <c r="F2960" t="inlineStr">
        <is>
          <t>MA1010930</t>
        </is>
      </c>
      <c r="G2960" s="128" t="n">
        <v>46113</v>
      </c>
      <c r="H2960" s="127" t="n">
        <v>46113</v>
      </c>
      <c r="I2960" t="inlineStr">
        <is>
          <t>3</t>
        </is>
      </c>
      <c r="J2960" s="38" t="inlineStr">
        <is>
          <t>0-4015-01</t>
        </is>
      </c>
      <c r="K2960" t="inlineStr">
        <is>
          <t>Construction Flo Green Paint</t>
        </is>
      </c>
      <c r="L2960" t="n">
        <v>1</v>
      </c>
      <c r="M2960" t="n">
        <v>62.66</v>
      </c>
      <c r="N2960" t="inlineStr">
        <is>
          <t>PO:COMMIT</t>
        </is>
      </c>
      <c r="O2960" t="inlineStr">
        <is>
          <t>20746</t>
        </is>
      </c>
      <c r="P2960" t="inlineStr">
        <is>
          <t>ALLTERRA CENTRAL, INC</t>
        </is>
      </c>
      <c r="Q2960" s="114" t="n">
        <v>0</v>
      </c>
      <c r="R2960" s="114" t="n">
        <v>0</v>
      </c>
      <c r="S2960" s="114" t="n">
        <v>62.66</v>
      </c>
      <c r="T2960" t="n">
        <v>0</v>
      </c>
    </row>
    <row r="2961">
      <c r="A2961" t="inlineStr">
        <is>
          <t>ttJTrans</t>
        </is>
      </c>
      <c r="B2961" s="38" t="inlineStr">
        <is>
          <t>0-4015-01</t>
        </is>
      </c>
      <c r="C2961" t="inlineStr">
        <is>
          <t>OC</t>
        </is>
      </c>
      <c r="D2961" t="inlineStr">
        <is>
          <t>MA1010930</t>
        </is>
      </c>
      <c r="E2961" t="inlineStr">
        <is>
          <t>OC</t>
        </is>
      </c>
      <c r="F2961" t="inlineStr">
        <is>
          <t>MA1010930</t>
        </is>
      </c>
      <c r="G2961" s="128" t="n">
        <v>46113</v>
      </c>
      <c r="H2961" s="127" t="n">
        <v>46113</v>
      </c>
      <c r="I2961" t="inlineStr">
        <is>
          <t>1</t>
        </is>
      </c>
      <c r="J2961" s="38" t="inlineStr">
        <is>
          <t>0-4015-01</t>
        </is>
      </c>
      <c r="K2961" t="inlineStr">
        <is>
          <t>½ x 1-1/4 x 36 POPLAR LATH pcs</t>
        </is>
      </c>
      <c r="L2961" t="n">
        <v>10</v>
      </c>
      <c r="M2961" t="n">
        <v>587.36</v>
      </c>
      <c r="N2961" t="inlineStr">
        <is>
          <t>PO:COMMIT</t>
        </is>
      </c>
      <c r="O2961" t="inlineStr">
        <is>
          <t>20746</t>
        </is>
      </c>
      <c r="P2961" t="inlineStr">
        <is>
          <t>ALLTERRA CENTRAL, INC</t>
        </is>
      </c>
      <c r="Q2961" s="114" t="n">
        <v>0</v>
      </c>
      <c r="R2961" s="114" t="n">
        <v>0</v>
      </c>
      <c r="S2961" s="114" t="n">
        <v>587.36</v>
      </c>
      <c r="T2961" t="n">
        <v>0</v>
      </c>
    </row>
    <row r="2962">
      <c r="A2962" t="inlineStr">
        <is>
          <t>ttJTrans</t>
        </is>
      </c>
      <c r="B2962" s="38" t="inlineStr">
        <is>
          <t>0-4015-01</t>
        </is>
      </c>
      <c r="C2962" t="inlineStr">
        <is>
          <t>OC</t>
        </is>
      </c>
      <c r="D2962" t="inlineStr">
        <is>
          <t>MA1010930</t>
        </is>
      </c>
      <c r="E2962" t="inlineStr">
        <is>
          <t>OC</t>
        </is>
      </c>
      <c r="F2962" t="inlineStr">
        <is>
          <t>MA1010930</t>
        </is>
      </c>
      <c r="G2962" s="128" t="n">
        <v>46113</v>
      </c>
      <c r="H2962" s="127" t="n">
        <v>46113</v>
      </c>
      <c r="I2962" t="inlineStr">
        <is>
          <t>2</t>
        </is>
      </c>
      <c r="J2962" s="38" t="inlineStr">
        <is>
          <t>0-4015-01</t>
        </is>
      </c>
      <c r="K2962" t="inlineStr">
        <is>
          <t>Construction Flo Orange Paint</t>
        </is>
      </c>
      <c r="L2962" t="n">
        <v>5</v>
      </c>
      <c r="M2962" t="n">
        <v>313.29</v>
      </c>
      <c r="N2962" t="inlineStr">
        <is>
          <t>PO:COMMIT</t>
        </is>
      </c>
      <c r="O2962" t="inlineStr">
        <is>
          <t>20746</t>
        </is>
      </c>
      <c r="P2962" t="inlineStr">
        <is>
          <t>ALLTERRA CENTRAL, INC</t>
        </is>
      </c>
      <c r="Q2962" s="114" t="n">
        <v>0</v>
      </c>
      <c r="R2962" s="114" t="n">
        <v>0</v>
      </c>
      <c r="S2962" s="114" t="n">
        <v>313.29</v>
      </c>
      <c r="T2962" t="n">
        <v>0</v>
      </c>
    </row>
    <row r="2963">
      <c r="A2963" t="inlineStr">
        <is>
          <t>ttJTrans</t>
        </is>
      </c>
      <c r="B2963" s="38" t="inlineStr">
        <is>
          <t>0-4015-01</t>
        </is>
      </c>
      <c r="C2963" t="inlineStr">
        <is>
          <t>OC</t>
        </is>
      </c>
      <c r="D2963" t="inlineStr">
        <is>
          <t>MA1010930</t>
        </is>
      </c>
      <c r="E2963" t="inlineStr">
        <is>
          <t>OC</t>
        </is>
      </c>
      <c r="F2963" t="inlineStr">
        <is>
          <t>MA1010930</t>
        </is>
      </c>
      <c r="G2963" s="128" t="n">
        <v>46113</v>
      </c>
      <c r="H2963" s="127" t="n">
        <v>46113</v>
      </c>
      <c r="I2963" t="inlineStr">
        <is>
          <t>1</t>
        </is>
      </c>
      <c r="J2963" s="38" t="inlineStr">
        <is>
          <t>0-4015-01</t>
        </is>
      </c>
      <c r="K2963" t="inlineStr">
        <is>
          <t>½ x 1-1/4 x 36 POPLAR LATH pcs</t>
        </is>
      </c>
      <c r="L2963" t="n">
        <v>10</v>
      </c>
      <c r="M2963" t="n">
        <v>587.36</v>
      </c>
      <c r="N2963" t="inlineStr">
        <is>
          <t>INVOICE:ADJ-COMMIT</t>
        </is>
      </c>
      <c r="O2963" t="inlineStr">
        <is>
          <t>20746</t>
        </is>
      </c>
      <c r="P2963" t="inlineStr">
        <is>
          <t>ALLTERRA CENTRAL, INC</t>
        </is>
      </c>
      <c r="Q2963" s="114" t="n">
        <v>0</v>
      </c>
      <c r="R2963" s="114" t="n">
        <v>0</v>
      </c>
      <c r="S2963" s="114" t="n">
        <v>-587.36</v>
      </c>
      <c r="T2963" t="n">
        <v>0</v>
      </c>
    </row>
    <row r="2964">
      <c r="A2964" t="inlineStr">
        <is>
          <t>ttJTrans</t>
        </is>
      </c>
      <c r="B2964" s="38" t="inlineStr">
        <is>
          <t>0-4015-01</t>
        </is>
      </c>
      <c r="C2964" t="inlineStr">
        <is>
          <t>OC</t>
        </is>
      </c>
      <c r="D2964" t="inlineStr">
        <is>
          <t>MA1010930</t>
        </is>
      </c>
      <c r="E2964" t="inlineStr">
        <is>
          <t>OC</t>
        </is>
      </c>
      <c r="F2964" t="inlineStr">
        <is>
          <t>MA1010930</t>
        </is>
      </c>
      <c r="G2964" s="128" t="n">
        <v>46113</v>
      </c>
      <c r="H2964" s="127" t="n">
        <v>46113</v>
      </c>
      <c r="I2964" t="inlineStr">
        <is>
          <t>4</t>
        </is>
      </c>
      <c r="J2964" s="38" t="inlineStr">
        <is>
          <t>0-4015-01</t>
        </is>
      </c>
      <c r="K2964" t="inlineStr">
        <is>
          <t>FLAGGING, TEXAS PINK GLO</t>
        </is>
      </c>
      <c r="L2964" t="n">
        <v>1</v>
      </c>
      <c r="M2964" t="n">
        <v>26.47</v>
      </c>
      <c r="N2964" t="inlineStr">
        <is>
          <t>INVOICE:ADJ-COMMIT</t>
        </is>
      </c>
      <c r="O2964" t="inlineStr">
        <is>
          <t>20746</t>
        </is>
      </c>
      <c r="P2964" t="inlineStr">
        <is>
          <t>ALLTERRA CENTRAL, INC</t>
        </is>
      </c>
      <c r="Q2964" s="114" t="n">
        <v>0</v>
      </c>
      <c r="R2964" s="114" t="n">
        <v>0</v>
      </c>
      <c r="S2964" s="114" t="n">
        <v>-26.47</v>
      </c>
      <c r="T2964" t="n">
        <v>0</v>
      </c>
    </row>
    <row r="2965">
      <c r="A2965" t="inlineStr">
        <is>
          <t>ttJTrans</t>
        </is>
      </c>
      <c r="B2965" s="38" t="inlineStr">
        <is>
          <t>0-4015-01</t>
        </is>
      </c>
      <c r="C2965" t="inlineStr">
        <is>
          <t>OC</t>
        </is>
      </c>
      <c r="D2965" t="inlineStr">
        <is>
          <t>MA1010930</t>
        </is>
      </c>
      <c r="E2965" t="inlineStr">
        <is>
          <t>OC</t>
        </is>
      </c>
      <c r="F2965" t="inlineStr">
        <is>
          <t>MA1010930</t>
        </is>
      </c>
      <c r="G2965" s="128" t="n">
        <v>46113</v>
      </c>
      <c r="H2965" s="127" t="n">
        <v>46113</v>
      </c>
      <c r="I2965" t="inlineStr">
        <is>
          <t>3</t>
        </is>
      </c>
      <c r="J2965" s="38" t="inlineStr">
        <is>
          <t>0-4015-01</t>
        </is>
      </c>
      <c r="K2965" t="inlineStr">
        <is>
          <t>Construction Flo Green Paint</t>
        </is>
      </c>
      <c r="L2965" t="n">
        <v>1</v>
      </c>
      <c r="M2965" t="n">
        <v>62.66</v>
      </c>
      <c r="N2965" t="inlineStr">
        <is>
          <t>INVOICE:ADJ-COMMIT</t>
        </is>
      </c>
      <c r="O2965" t="inlineStr">
        <is>
          <t>20746</t>
        </is>
      </c>
      <c r="P2965" t="inlineStr">
        <is>
          <t>ALLTERRA CENTRAL, INC</t>
        </is>
      </c>
      <c r="Q2965" s="114" t="n">
        <v>0</v>
      </c>
      <c r="R2965" s="114" t="n">
        <v>0</v>
      </c>
      <c r="S2965" s="114" t="n">
        <v>-62.66</v>
      </c>
      <c r="T2965" t="n">
        <v>0</v>
      </c>
    </row>
    <row r="2966">
      <c r="A2966" t="inlineStr">
        <is>
          <t>ttJTrans</t>
        </is>
      </c>
      <c r="B2966" s="38" t="inlineStr">
        <is>
          <t>0-4015-01</t>
        </is>
      </c>
      <c r="C2966" t="inlineStr">
        <is>
          <t>OC</t>
        </is>
      </c>
      <c r="D2966" t="inlineStr">
        <is>
          <t>MA1010930</t>
        </is>
      </c>
      <c r="E2966" t="inlineStr">
        <is>
          <t>OC</t>
        </is>
      </c>
      <c r="F2966" t="inlineStr">
        <is>
          <t>MA1010930</t>
        </is>
      </c>
      <c r="G2966" s="128" t="n">
        <v>46113</v>
      </c>
      <c r="H2966" s="127" t="n">
        <v>46113</v>
      </c>
      <c r="I2966" t="inlineStr">
        <is>
          <t>2</t>
        </is>
      </c>
      <c r="J2966" s="38" t="inlineStr">
        <is>
          <t>0-4015-01</t>
        </is>
      </c>
      <c r="K2966" t="inlineStr">
        <is>
          <t>Construction Flo Orange Paint</t>
        </is>
      </c>
      <c r="L2966" t="n">
        <v>5</v>
      </c>
      <c r="M2966" t="n">
        <v>313.29</v>
      </c>
      <c r="N2966" t="inlineStr">
        <is>
          <t>INVOICE:ADJ-COMMIT</t>
        </is>
      </c>
      <c r="O2966" t="inlineStr">
        <is>
          <t>20746</t>
        </is>
      </c>
      <c r="P2966" t="inlineStr">
        <is>
          <t>ALLTERRA CENTRAL, INC</t>
        </is>
      </c>
      <c r="Q2966" s="114" t="n">
        <v>0</v>
      </c>
      <c r="R2966" s="114" t="n">
        <v>0</v>
      </c>
      <c r="S2966" s="114" t="n">
        <v>-313.29</v>
      </c>
      <c r="T2966" t="n">
        <v>0</v>
      </c>
    </row>
    <row r="2967">
      <c r="A2967" t="inlineStr">
        <is>
          <t>ttJTrans</t>
        </is>
      </c>
      <c r="B2967" s="38" t="inlineStr">
        <is>
          <t>0-4015-01</t>
        </is>
      </c>
      <c r="C2967" t="inlineStr">
        <is>
          <t>OC</t>
        </is>
      </c>
      <c r="D2967" t="inlineStr">
        <is>
          <t>MA1010930</t>
        </is>
      </c>
      <c r="E2967" t="inlineStr">
        <is>
          <t>OC</t>
        </is>
      </c>
      <c r="F2967" t="inlineStr">
        <is>
          <t>MA1010930</t>
        </is>
      </c>
      <c r="G2967" s="128" t="n">
        <v>46113</v>
      </c>
      <c r="H2967" s="127" t="n">
        <v>46113</v>
      </c>
      <c r="I2967" t="inlineStr">
        <is>
          <t>4</t>
        </is>
      </c>
      <c r="J2967" s="38" t="inlineStr">
        <is>
          <t>0-4015-01</t>
        </is>
      </c>
      <c r="K2967" t="inlineStr">
        <is>
          <t>FLAGGING, TEXAS PINK GLO</t>
        </is>
      </c>
      <c r="L2967" t="n">
        <v>1</v>
      </c>
      <c r="M2967" t="n">
        <v>26.47</v>
      </c>
      <c r="N2967" t="inlineStr">
        <is>
          <t>PO:COMMIT</t>
        </is>
      </c>
      <c r="O2967" t="inlineStr">
        <is>
          <t>20746</t>
        </is>
      </c>
      <c r="P2967" t="inlineStr">
        <is>
          <t>ALLTERRA CENTRAL, INC</t>
        </is>
      </c>
      <c r="Q2967" s="114" t="n">
        <v>0</v>
      </c>
      <c r="R2967" s="114" t="n">
        <v>0</v>
      </c>
      <c r="S2967" s="114" t="n">
        <v>26.47</v>
      </c>
      <c r="T2967" t="n">
        <v>0</v>
      </c>
    </row>
    <row r="2968">
      <c r="A2968" t="inlineStr">
        <is>
          <t>ttJTrans</t>
        </is>
      </c>
      <c r="B2968" s="38" t="inlineStr">
        <is>
          <t>0-4015-01</t>
        </is>
      </c>
      <c r="C2968" t="inlineStr">
        <is>
          <t>OC</t>
        </is>
      </c>
      <c r="D2968" t="inlineStr">
        <is>
          <t>MA1010945</t>
        </is>
      </c>
      <c r="E2968" t="inlineStr">
        <is>
          <t>OC</t>
        </is>
      </c>
      <c r="F2968" t="inlineStr">
        <is>
          <t>MA1010945</t>
        </is>
      </c>
      <c r="G2968" s="128" t="n">
        <v>46113</v>
      </c>
      <c r="H2968" s="127" t="n">
        <v>46114</v>
      </c>
      <c r="I2968" t="inlineStr">
        <is>
          <t>2</t>
        </is>
      </c>
      <c r="J2968" s="38" t="inlineStr">
        <is>
          <t>0-4015-01</t>
        </is>
      </c>
      <c r="K2968" t="inlineStr">
        <is>
          <t>PULUZ Suction Cup Mount for Gopro Car Mount,</t>
        </is>
      </c>
      <c r="L2968" t="n">
        <v>1</v>
      </c>
      <c r="M2968" t="n">
        <v>11.09</v>
      </c>
      <c r="N2968" t="inlineStr">
        <is>
          <t>PO:COMMIT</t>
        </is>
      </c>
      <c r="O2968" t="inlineStr">
        <is>
          <t>20395</t>
        </is>
      </c>
      <c r="P2968" t="inlineStr">
        <is>
          <t>AMAZON.COM SERVICES LLC</t>
        </is>
      </c>
      <c r="Q2968" s="114" t="n">
        <v>0</v>
      </c>
      <c r="R2968" s="114" t="n">
        <v>0</v>
      </c>
      <c r="S2968" s="114" t="n">
        <v>11.09</v>
      </c>
      <c r="T2968" t="n">
        <v>0</v>
      </c>
    </row>
    <row r="2969">
      <c r="A2969" t="inlineStr">
        <is>
          <t>ttJTrans</t>
        </is>
      </c>
      <c r="B2969" s="38" t="inlineStr">
        <is>
          <t>0-4015-01</t>
        </is>
      </c>
      <c r="C2969" t="inlineStr">
        <is>
          <t>OC</t>
        </is>
      </c>
      <c r="D2969" t="inlineStr">
        <is>
          <t>MA1010945</t>
        </is>
      </c>
      <c r="E2969" t="inlineStr">
        <is>
          <t>OC</t>
        </is>
      </c>
      <c r="F2969" t="inlineStr">
        <is>
          <t>MA1010945</t>
        </is>
      </c>
      <c r="G2969" s="128" t="n">
        <v>46113</v>
      </c>
      <c r="H2969" s="127" t="n">
        <v>46114</v>
      </c>
      <c r="I2969" t="inlineStr">
        <is>
          <t>1</t>
        </is>
      </c>
      <c r="J2969" s="38" t="inlineStr">
        <is>
          <t>0-4015-01</t>
        </is>
      </c>
      <c r="K2969" t="inlineStr">
        <is>
          <t>GoPro Hero Ecommerce Packaging - Compact</t>
        </is>
      </c>
      <c r="L2969" t="n">
        <v>1</v>
      </c>
      <c r="M2969" t="n">
        <v>226.43</v>
      </c>
      <c r="N2969" t="inlineStr">
        <is>
          <t>INVOICE:ADJ-COMMIT</t>
        </is>
      </c>
      <c r="O2969" t="inlineStr">
        <is>
          <t>20395</t>
        </is>
      </c>
      <c r="P2969" t="inlineStr">
        <is>
          <t>AMAZON.COM SERVICES LLC</t>
        </is>
      </c>
      <c r="Q2969" s="114" t="n">
        <v>0</v>
      </c>
      <c r="R2969" s="114" t="n">
        <v>0</v>
      </c>
      <c r="S2969" s="114" t="n">
        <v>-226.43</v>
      </c>
      <c r="T2969" t="n">
        <v>0</v>
      </c>
    </row>
    <row r="2970">
      <c r="A2970" t="inlineStr">
        <is>
          <t>ttJTrans</t>
        </is>
      </c>
      <c r="B2970" s="38" t="inlineStr">
        <is>
          <t>0-4015-01</t>
        </is>
      </c>
      <c r="C2970" t="inlineStr">
        <is>
          <t>OC</t>
        </is>
      </c>
      <c r="D2970" t="inlineStr">
        <is>
          <t>MA1010945</t>
        </is>
      </c>
      <c r="E2970" t="inlineStr">
        <is>
          <t>OC</t>
        </is>
      </c>
      <c r="F2970" t="inlineStr">
        <is>
          <t>MA1010945</t>
        </is>
      </c>
      <c r="G2970" s="128" t="n">
        <v>46113</v>
      </c>
      <c r="H2970" s="127" t="n">
        <v>46114</v>
      </c>
      <c r="I2970" t="inlineStr">
        <is>
          <t>2</t>
        </is>
      </c>
      <c r="J2970" s="38" t="inlineStr">
        <is>
          <t>0-4015-01</t>
        </is>
      </c>
      <c r="K2970" t="inlineStr">
        <is>
          <t>PULUZ Suction Cup Mount for Gopro Car Mount,</t>
        </is>
      </c>
      <c r="L2970" t="n">
        <v>1</v>
      </c>
      <c r="M2970" t="n">
        <v>11.09</v>
      </c>
      <c r="N2970" t="inlineStr">
        <is>
          <t>INVOICE:ADJ-COMMIT</t>
        </is>
      </c>
      <c r="O2970" t="inlineStr">
        <is>
          <t>20395</t>
        </is>
      </c>
      <c r="P2970" t="inlineStr">
        <is>
          <t>AMAZON.COM SERVICES LLC</t>
        </is>
      </c>
      <c r="Q2970" s="114" t="n">
        <v>0</v>
      </c>
      <c r="R2970" s="114" t="n">
        <v>0</v>
      </c>
      <c r="S2970" s="114" t="n">
        <v>-11.09</v>
      </c>
      <c r="T2970" t="n">
        <v>0</v>
      </c>
    </row>
    <row r="2971">
      <c r="A2971" t="inlineStr">
        <is>
          <t>ttJTrans</t>
        </is>
      </c>
      <c r="B2971" s="38" t="inlineStr">
        <is>
          <t>0-4015-01</t>
        </is>
      </c>
      <c r="C2971" t="inlineStr">
        <is>
          <t>OC</t>
        </is>
      </c>
      <c r="D2971" t="inlineStr">
        <is>
          <t>MA1010945</t>
        </is>
      </c>
      <c r="E2971" t="inlineStr">
        <is>
          <t>OC</t>
        </is>
      </c>
      <c r="F2971" t="inlineStr">
        <is>
          <t>MA1010945</t>
        </is>
      </c>
      <c r="G2971" s="128" t="n">
        <v>46113</v>
      </c>
      <c r="H2971" s="127" t="n">
        <v>46114</v>
      </c>
      <c r="I2971" t="inlineStr">
        <is>
          <t>1</t>
        </is>
      </c>
      <c r="J2971" s="38" t="inlineStr">
        <is>
          <t>0-4015-01</t>
        </is>
      </c>
      <c r="K2971" t="inlineStr">
        <is>
          <t>GoPro Hero Ecommerce Packaging - Compact</t>
        </is>
      </c>
      <c r="L2971" t="n">
        <v>1</v>
      </c>
      <c r="M2971" t="n">
        <v>226.43</v>
      </c>
      <c r="N2971" t="inlineStr">
        <is>
          <t>PO:COMMIT</t>
        </is>
      </c>
      <c r="O2971" t="inlineStr">
        <is>
          <t>20395</t>
        </is>
      </c>
      <c r="P2971" t="inlineStr">
        <is>
          <t>AMAZON.COM SERVICES LLC</t>
        </is>
      </c>
      <c r="Q2971" s="114" t="n">
        <v>0</v>
      </c>
      <c r="R2971" s="114" t="n">
        <v>0</v>
      </c>
      <c r="S2971" s="114" t="n">
        <v>226.43</v>
      </c>
      <c r="T2971" t="n">
        <v>0</v>
      </c>
    </row>
    <row r="2972">
      <c r="A2972" t="inlineStr">
        <is>
          <t>ttJTrans</t>
        </is>
      </c>
      <c r="B2972" s="38" t="inlineStr">
        <is>
          <t>0-4015-01</t>
        </is>
      </c>
      <c r="C2972" t="inlineStr">
        <is>
          <t>OC</t>
        </is>
      </c>
      <c r="D2972" t="inlineStr">
        <is>
          <t>MA1010945</t>
        </is>
      </c>
      <c r="E2972" t="inlineStr">
        <is>
          <t>OC</t>
        </is>
      </c>
      <c r="F2972" t="inlineStr">
        <is>
          <t>MA1010945</t>
        </is>
      </c>
      <c r="G2972" s="128" t="n">
        <v>46113</v>
      </c>
      <c r="H2972" s="127" t="n">
        <v>46154</v>
      </c>
      <c r="I2972" t="inlineStr">
        <is>
          <t>1</t>
        </is>
      </c>
      <c r="J2972" s="38" t="inlineStr">
        <is>
          <t>0-4015-01</t>
        </is>
      </c>
      <c r="K2972" t="inlineStr">
        <is>
          <t>GoPro Hero Ecommerce Packaging - Compact</t>
        </is>
      </c>
      <c r="L2972" t="n">
        <v>1</v>
      </c>
      <c r="M2972" t="n">
        <v>226.43</v>
      </c>
      <c r="N2972" t="inlineStr">
        <is>
          <t>INVOICE</t>
        </is>
      </c>
      <c r="O2972" t="inlineStr">
        <is>
          <t>20395</t>
        </is>
      </c>
      <c r="P2972" t="inlineStr">
        <is>
          <t>AMAZON.COM SERVICES LLC</t>
        </is>
      </c>
      <c r="Q2972" s="114" t="n">
        <v>0</v>
      </c>
      <c r="R2972" s="114" t="n">
        <v>0</v>
      </c>
      <c r="S2972" s="114" t="n">
        <v>0</v>
      </c>
      <c r="T2972" t="n">
        <v>0</v>
      </c>
    </row>
    <row r="2973">
      <c r="A2973" t="inlineStr">
        <is>
          <t>ttJTrans</t>
        </is>
      </c>
      <c r="B2973" s="38" t="inlineStr">
        <is>
          <t>0-4015-01</t>
        </is>
      </c>
      <c r="C2973" t="inlineStr">
        <is>
          <t>OC</t>
        </is>
      </c>
      <c r="D2973" t="inlineStr">
        <is>
          <t>MA1010945</t>
        </is>
      </c>
      <c r="E2973" t="inlineStr">
        <is>
          <t>OC</t>
        </is>
      </c>
      <c r="F2973" t="inlineStr">
        <is>
          <t>MA1010945</t>
        </is>
      </c>
      <c r="G2973" s="128" t="n">
        <v>46113</v>
      </c>
      <c r="H2973" s="127" t="n">
        <v>46154</v>
      </c>
      <c r="I2973" t="inlineStr">
        <is>
          <t>2</t>
        </is>
      </c>
      <c r="J2973" s="38" t="inlineStr">
        <is>
          <t>0-4015-01</t>
        </is>
      </c>
      <c r="K2973" t="inlineStr">
        <is>
          <t>PULUZ Suction Cup Mount for Gopro Car Mount,</t>
        </is>
      </c>
      <c r="L2973" t="n">
        <v>1</v>
      </c>
      <c r="M2973" t="n">
        <v>11.09</v>
      </c>
      <c r="N2973" t="inlineStr">
        <is>
          <t>INVOICE</t>
        </is>
      </c>
      <c r="O2973" t="inlineStr">
        <is>
          <t>20395</t>
        </is>
      </c>
      <c r="P2973" t="inlineStr">
        <is>
          <t>AMAZON.COM SERVICES LLC</t>
        </is>
      </c>
      <c r="Q2973" s="114" t="n">
        <v>0</v>
      </c>
      <c r="R2973" s="114" t="n">
        <v>0</v>
      </c>
      <c r="S2973" s="114" t="n">
        <v>0</v>
      </c>
      <c r="T2973" t="n">
        <v>0</v>
      </c>
    </row>
    <row r="2974">
      <c r="A2974" t="inlineStr">
        <is>
          <t>ttJTrans</t>
        </is>
      </c>
      <c r="B2974" s="38" t="inlineStr">
        <is>
          <t>0-4015-01</t>
        </is>
      </c>
      <c r="C2974" t="inlineStr">
        <is>
          <t>OC</t>
        </is>
      </c>
      <c r="E2974" t="inlineStr">
        <is>
          <t>OC</t>
        </is>
      </c>
      <c r="G2974" s="128" t="inlineStr"/>
      <c r="H2974" s="127" t="n">
        <v>46121</v>
      </c>
      <c r="J2974" s="38" t="inlineStr">
        <is>
          <t>0-4015-01</t>
        </is>
      </c>
      <c r="K2974" t="inlineStr">
        <is>
          <t>POPULAR LATH/ ORANGE PAINT/ GREEN PAINT/ FLAGGING TEXAS PINK GLO</t>
        </is>
      </c>
      <c r="L2974" t="n">
        <v>0</v>
      </c>
      <c r="M2974" t="n">
        <v>0</v>
      </c>
      <c r="O2974" t="inlineStr">
        <is>
          <t>20746</t>
        </is>
      </c>
      <c r="P2974" t="inlineStr">
        <is>
          <t>ALLTERRA CENTRAL, INC</t>
        </is>
      </c>
      <c r="Q2974" s="114" t="n">
        <v>0</v>
      </c>
      <c r="R2974" s="114" t="n">
        <v>965.25</v>
      </c>
      <c r="S2974" s="114" t="n">
        <v>0</v>
      </c>
      <c r="T2974" t="n">
        <v>0</v>
      </c>
    </row>
    <row r="2975">
      <c r="A2975" t="inlineStr">
        <is>
          <t>ttJTrans</t>
        </is>
      </c>
      <c r="B2975" s="38" t="inlineStr">
        <is>
          <t>0-4015-01</t>
        </is>
      </c>
      <c r="C2975" t="inlineStr">
        <is>
          <t>OC</t>
        </is>
      </c>
      <c r="E2975" t="inlineStr">
        <is>
          <t>OC</t>
        </is>
      </c>
      <c r="G2975" s="128" t="inlineStr"/>
      <c r="H2975" s="127" t="n">
        <v>46153</v>
      </c>
      <c r="J2975" s="38" t="inlineStr">
        <is>
          <t>0-4015-01</t>
        </is>
      </c>
      <c r="K2975" t="inlineStr">
        <is>
          <t>COMPACT WATERPROOF CAMERA / SUCTION CUP MOUNT</t>
        </is>
      </c>
      <c r="L2975" t="n">
        <v>0</v>
      </c>
      <c r="M2975" t="n">
        <v>0</v>
      </c>
      <c r="O2975" t="inlineStr">
        <is>
          <t>20395</t>
        </is>
      </c>
      <c r="P2975" t="inlineStr">
        <is>
          <t>AMAZON.COM SERVICES LLC</t>
        </is>
      </c>
      <c r="Q2975" s="114" t="n">
        <v>0</v>
      </c>
      <c r="R2975" s="114" t="n">
        <v>231.63</v>
      </c>
      <c r="S2975" s="114" t="n">
        <v>0</v>
      </c>
      <c r="T2975" t="n">
        <v>0</v>
      </c>
    </row>
    <row r="2976">
      <c r="A2976" t="inlineStr">
        <is>
          <t>ttJTrans</t>
        </is>
      </c>
      <c r="B2976" s="38" t="inlineStr">
        <is>
          <t>0-4016</t>
        </is>
      </c>
      <c r="C2976" t="inlineStr">
        <is>
          <t>SU</t>
        </is>
      </c>
      <c r="D2976" t="inlineStr">
        <is>
          <t>SO1000214</t>
        </is>
      </c>
      <c r="E2976" t="inlineStr">
        <is>
          <t>SU</t>
        </is>
      </c>
      <c r="F2976" t="inlineStr">
        <is>
          <t>SO1000214</t>
        </is>
      </c>
      <c r="G2976" s="128" t="n">
        <v>45936</v>
      </c>
      <c r="H2976" s="127" t="n">
        <v>45958</v>
      </c>
      <c r="I2976" t="inlineStr">
        <is>
          <t>1</t>
        </is>
      </c>
      <c r="J2976" s="38" t="inlineStr">
        <is>
          <t>0-4016</t>
        </is>
      </c>
      <c r="K2976" t="inlineStr">
        <is>
          <t>PERMITTING</t>
        </is>
      </c>
      <c r="L2976" t="n">
        <v>1</v>
      </c>
      <c r="M2976" t="n">
        <v>64797.25</v>
      </c>
      <c r="N2976" t="inlineStr">
        <is>
          <t>PO:COMMIT</t>
        </is>
      </c>
      <c r="O2976" t="inlineStr">
        <is>
          <t>12043</t>
        </is>
      </c>
      <c r="P2976" t="inlineStr">
        <is>
          <t>SCHOEFFLER ENERGY GROUP INC</t>
        </is>
      </c>
      <c r="Q2976" s="114" t="n">
        <v>0</v>
      </c>
      <c r="R2976" s="114" t="n">
        <v>0</v>
      </c>
      <c r="S2976" s="114" t="n">
        <v>64797.25</v>
      </c>
      <c r="T2976" t="n">
        <v>0</v>
      </c>
    </row>
    <row r="2977">
      <c r="A2977" t="inlineStr">
        <is>
          <t>ttJTrans</t>
        </is>
      </c>
      <c r="B2977" s="38" t="inlineStr">
        <is>
          <t>0-4016</t>
        </is>
      </c>
      <c r="C2977" t="inlineStr">
        <is>
          <t>SU</t>
        </is>
      </c>
      <c r="D2977" t="inlineStr">
        <is>
          <t>SO1000214</t>
        </is>
      </c>
      <c r="E2977" t="inlineStr">
        <is>
          <t>SU</t>
        </is>
      </c>
      <c r="F2977" t="inlineStr">
        <is>
          <t>SO1000214</t>
        </is>
      </c>
      <c r="G2977" s="128" t="n">
        <v>45936</v>
      </c>
      <c r="H2977" s="127" t="n">
        <v>45958</v>
      </c>
      <c r="I2977" t="inlineStr">
        <is>
          <t>1</t>
        </is>
      </c>
      <c r="J2977" s="38" t="inlineStr">
        <is>
          <t>0-4016</t>
        </is>
      </c>
      <c r="K2977" t="inlineStr">
        <is>
          <t>PERMITTING</t>
        </is>
      </c>
      <c r="L2977" t="n">
        <v>1</v>
      </c>
      <c r="M2977" t="n">
        <v>64797.25</v>
      </c>
      <c r="N2977" t="inlineStr">
        <is>
          <t>CERTIFICATE</t>
        </is>
      </c>
      <c r="O2977" t="inlineStr">
        <is>
          <t>12043</t>
        </is>
      </c>
      <c r="P2977" t="inlineStr">
        <is>
          <t>SCHOEFFLER ENERGY GROUP INC</t>
        </is>
      </c>
      <c r="Q2977" s="114" t="n">
        <v>0</v>
      </c>
      <c r="R2977" s="114" t="n">
        <v>0</v>
      </c>
      <c r="S2977" s="114" t="n">
        <v>-1617.26</v>
      </c>
      <c r="T2977" t="n">
        <v>0</v>
      </c>
    </row>
    <row r="2978">
      <c r="A2978" t="inlineStr">
        <is>
          <t>ttJTrans</t>
        </is>
      </c>
      <c r="B2978" s="38" t="inlineStr">
        <is>
          <t>0-4016</t>
        </is>
      </c>
      <c r="C2978" t="inlineStr">
        <is>
          <t>SU</t>
        </is>
      </c>
      <c r="D2978" t="inlineStr">
        <is>
          <t>SO1000214</t>
        </is>
      </c>
      <c r="E2978" t="inlineStr">
        <is>
          <t>SU</t>
        </is>
      </c>
      <c r="F2978" t="inlineStr">
        <is>
          <t>SO1000214</t>
        </is>
      </c>
      <c r="G2978" s="128" t="n">
        <v>45936</v>
      </c>
      <c r="H2978" s="127" t="n">
        <v>45958</v>
      </c>
      <c r="I2978" t="inlineStr">
        <is>
          <t>1</t>
        </is>
      </c>
      <c r="J2978" s="38" t="inlineStr">
        <is>
          <t>0-4016</t>
        </is>
      </c>
      <c r="K2978" t="inlineStr">
        <is>
          <t>PERMITTING</t>
        </is>
      </c>
      <c r="L2978" t="n">
        <v>1</v>
      </c>
      <c r="M2978" t="n">
        <v>64797.25</v>
      </c>
      <c r="N2978" t="inlineStr">
        <is>
          <t>CERTIFICATE</t>
        </is>
      </c>
      <c r="O2978" t="inlineStr">
        <is>
          <t>12043</t>
        </is>
      </c>
      <c r="P2978" t="inlineStr">
        <is>
          <t>SCHOEFFLER ENERGY GROUP INC</t>
        </is>
      </c>
      <c r="Q2978" s="114" t="n">
        <v>0</v>
      </c>
      <c r="R2978" s="114" t="n">
        <v>0</v>
      </c>
      <c r="S2978" s="114" t="n">
        <v>-680.53</v>
      </c>
      <c r="T2978" t="n">
        <v>0</v>
      </c>
    </row>
    <row r="2979">
      <c r="A2979" t="inlineStr">
        <is>
          <t>ttJTrans</t>
        </is>
      </c>
      <c r="B2979" s="38" t="inlineStr">
        <is>
          <t>0-4016</t>
        </is>
      </c>
      <c r="C2979" t="inlineStr">
        <is>
          <t>SU</t>
        </is>
      </c>
      <c r="D2979" t="inlineStr">
        <is>
          <t>SO1000214</t>
        </is>
      </c>
      <c r="E2979" t="inlineStr">
        <is>
          <t>SU</t>
        </is>
      </c>
      <c r="F2979" t="inlineStr">
        <is>
          <t>SO1000214</t>
        </is>
      </c>
      <c r="G2979" s="128" t="n">
        <v>45936</v>
      </c>
      <c r="H2979" s="127" t="n">
        <v>45958</v>
      </c>
      <c r="I2979" t="inlineStr">
        <is>
          <t>1</t>
        </is>
      </c>
      <c r="J2979" s="38" t="inlineStr">
        <is>
          <t>0-4016</t>
        </is>
      </c>
      <c r="K2979" t="inlineStr">
        <is>
          <t>PERMITTING</t>
        </is>
      </c>
      <c r="L2979" t="n">
        <v>1</v>
      </c>
      <c r="M2979" t="n">
        <v>64797.25</v>
      </c>
      <c r="N2979" t="inlineStr">
        <is>
          <t>CERTIFICATE</t>
        </is>
      </c>
      <c r="O2979" t="inlineStr">
        <is>
          <t>12043</t>
        </is>
      </c>
      <c r="P2979" t="inlineStr">
        <is>
          <t>SCHOEFFLER ENERGY GROUP INC</t>
        </is>
      </c>
      <c r="Q2979" s="114" t="n">
        <v>0</v>
      </c>
      <c r="R2979" s="114" t="n">
        <v>0</v>
      </c>
      <c r="S2979" s="114" t="n">
        <v>-2305.8</v>
      </c>
      <c r="T2979" t="n">
        <v>0</v>
      </c>
    </row>
    <row r="2980">
      <c r="A2980" t="inlineStr">
        <is>
          <t>ttJTrans</t>
        </is>
      </c>
      <c r="B2980" s="38" t="inlineStr">
        <is>
          <t>0-4016</t>
        </is>
      </c>
      <c r="C2980" t="inlineStr">
        <is>
          <t>SU</t>
        </is>
      </c>
      <c r="D2980" t="inlineStr">
        <is>
          <t>SO1000214</t>
        </is>
      </c>
      <c r="E2980" t="inlineStr">
        <is>
          <t>SU</t>
        </is>
      </c>
      <c r="F2980" t="inlineStr">
        <is>
          <t>SO1000214</t>
        </is>
      </c>
      <c r="G2980" s="128" t="n">
        <v>45936</v>
      </c>
      <c r="H2980" s="127" t="n">
        <v>45958</v>
      </c>
      <c r="I2980" t="inlineStr">
        <is>
          <t>1</t>
        </is>
      </c>
      <c r="J2980" s="38" t="inlineStr">
        <is>
          <t>0-4016</t>
        </is>
      </c>
      <c r="K2980" t="inlineStr">
        <is>
          <t>PERMITTING</t>
        </is>
      </c>
      <c r="L2980" t="n">
        <v>1</v>
      </c>
      <c r="M2980" t="n">
        <v>64797.25</v>
      </c>
      <c r="N2980" t="inlineStr">
        <is>
          <t>CERTIFICATE</t>
        </is>
      </c>
      <c r="O2980" t="inlineStr">
        <is>
          <t>12043</t>
        </is>
      </c>
      <c r="P2980" t="inlineStr">
        <is>
          <t>SCHOEFFLER ENERGY GROUP INC</t>
        </is>
      </c>
      <c r="Q2980" s="114" t="n">
        <v>0</v>
      </c>
      <c r="R2980" s="114" t="n">
        <v>0</v>
      </c>
      <c r="S2980" s="114" t="n">
        <v>-1008.79</v>
      </c>
      <c r="T2980" t="n">
        <v>0</v>
      </c>
    </row>
    <row r="2981">
      <c r="A2981" t="inlineStr">
        <is>
          <t>ttJTrans</t>
        </is>
      </c>
      <c r="B2981" s="38" t="inlineStr">
        <is>
          <t>0-4016</t>
        </is>
      </c>
      <c r="C2981" t="inlineStr">
        <is>
          <t>SU</t>
        </is>
      </c>
      <c r="D2981" t="inlineStr">
        <is>
          <t>SO1000214</t>
        </is>
      </c>
      <c r="E2981" t="inlineStr">
        <is>
          <t>SU</t>
        </is>
      </c>
      <c r="F2981" t="inlineStr">
        <is>
          <t>SO1000214</t>
        </is>
      </c>
      <c r="G2981" s="128" t="n">
        <v>45936</v>
      </c>
      <c r="H2981" s="127" t="n">
        <v>45958</v>
      </c>
      <c r="I2981" t="inlineStr">
        <is>
          <t>1</t>
        </is>
      </c>
      <c r="J2981" s="38" t="inlineStr">
        <is>
          <t>0-4016</t>
        </is>
      </c>
      <c r="K2981" t="inlineStr">
        <is>
          <t>PERMITTING</t>
        </is>
      </c>
      <c r="L2981" t="n">
        <v>1</v>
      </c>
      <c r="M2981" t="n">
        <v>64797.25</v>
      </c>
      <c r="N2981" t="inlineStr">
        <is>
          <t>CERTIFICATE</t>
        </is>
      </c>
      <c r="O2981" t="inlineStr">
        <is>
          <t>12043</t>
        </is>
      </c>
      <c r="P2981" t="inlineStr">
        <is>
          <t>SCHOEFFLER ENERGY GROUP INC</t>
        </is>
      </c>
      <c r="Q2981" s="114" t="n">
        <v>0</v>
      </c>
      <c r="R2981" s="114" t="n">
        <v>0</v>
      </c>
      <c r="S2981" s="114" t="n">
        <v>-2513.96</v>
      </c>
      <c r="T2981" t="n">
        <v>0</v>
      </c>
    </row>
    <row r="2982">
      <c r="A2982" t="inlineStr">
        <is>
          <t>ttJTrans</t>
        </is>
      </c>
      <c r="B2982" s="38" t="inlineStr">
        <is>
          <t>0-4016</t>
        </is>
      </c>
      <c r="C2982" t="inlineStr">
        <is>
          <t>SU</t>
        </is>
      </c>
      <c r="D2982" t="inlineStr">
        <is>
          <t>SO1000214</t>
        </is>
      </c>
      <c r="E2982" t="inlineStr">
        <is>
          <t>SU</t>
        </is>
      </c>
      <c r="F2982" t="inlineStr">
        <is>
          <t>SO1000214</t>
        </is>
      </c>
      <c r="G2982" s="128" t="n">
        <v>45936</v>
      </c>
      <c r="H2982" s="127" t="n">
        <v>45958</v>
      </c>
      <c r="I2982" t="inlineStr">
        <is>
          <t>1</t>
        </is>
      </c>
      <c r="J2982" s="38" t="inlineStr">
        <is>
          <t>0-4016</t>
        </is>
      </c>
      <c r="K2982" t="inlineStr">
        <is>
          <t>PERMITTING</t>
        </is>
      </c>
      <c r="L2982" t="n">
        <v>1</v>
      </c>
      <c r="M2982" t="n">
        <v>64797.25</v>
      </c>
      <c r="N2982" t="inlineStr">
        <is>
          <t>CERTIFICATE</t>
        </is>
      </c>
      <c r="O2982" t="inlineStr">
        <is>
          <t>12043</t>
        </is>
      </c>
      <c r="P2982" t="inlineStr">
        <is>
          <t>SCHOEFFLER ENERGY GROUP INC</t>
        </is>
      </c>
      <c r="Q2982" s="114" t="n">
        <v>0</v>
      </c>
      <c r="R2982" s="114" t="n">
        <v>0</v>
      </c>
      <c r="S2982" s="114" t="n">
        <v>-1393.09</v>
      </c>
      <c r="T2982" t="n">
        <v>0</v>
      </c>
    </row>
    <row r="2983">
      <c r="A2983" t="inlineStr">
        <is>
          <t>ttJTrans</t>
        </is>
      </c>
      <c r="B2983" s="38" t="inlineStr">
        <is>
          <t>0-4016</t>
        </is>
      </c>
      <c r="C2983" t="inlineStr">
        <is>
          <t>SU</t>
        </is>
      </c>
      <c r="D2983" t="inlineStr">
        <is>
          <t>SO1000214</t>
        </is>
      </c>
      <c r="E2983" t="inlineStr">
        <is>
          <t>SU</t>
        </is>
      </c>
      <c r="F2983" t="inlineStr">
        <is>
          <t>SO1000214</t>
        </is>
      </c>
      <c r="G2983" s="128" t="n">
        <v>45936</v>
      </c>
      <c r="H2983" s="127" t="n">
        <v>45958</v>
      </c>
      <c r="I2983" t="inlineStr">
        <is>
          <t>1</t>
        </is>
      </c>
      <c r="J2983" s="38" t="inlineStr">
        <is>
          <t>0-4016</t>
        </is>
      </c>
      <c r="K2983" t="inlineStr">
        <is>
          <t>PERMITTING</t>
        </is>
      </c>
      <c r="L2983" t="n">
        <v>1</v>
      </c>
      <c r="M2983" t="n">
        <v>64797.25</v>
      </c>
      <c r="N2983" t="inlineStr">
        <is>
          <t>CERTIFICATE</t>
        </is>
      </c>
      <c r="O2983" t="inlineStr">
        <is>
          <t>12043</t>
        </is>
      </c>
      <c r="P2983" t="inlineStr">
        <is>
          <t>SCHOEFFLER ENERGY GROUP INC</t>
        </is>
      </c>
      <c r="Q2983" s="114" t="n">
        <v>0</v>
      </c>
      <c r="R2983" s="114" t="n">
        <v>0</v>
      </c>
      <c r="S2983" s="114" t="n">
        <v>-576.45</v>
      </c>
      <c r="T2983" t="n">
        <v>0</v>
      </c>
    </row>
    <row r="2984">
      <c r="A2984" t="inlineStr">
        <is>
          <t>ttJTrans</t>
        </is>
      </c>
      <c r="B2984" s="38" t="inlineStr">
        <is>
          <t>0-4016</t>
        </is>
      </c>
      <c r="C2984" t="inlineStr">
        <is>
          <t>SU</t>
        </is>
      </c>
      <c r="D2984" t="inlineStr">
        <is>
          <t>SO1000214</t>
        </is>
      </c>
      <c r="E2984" t="inlineStr">
        <is>
          <t>SU</t>
        </is>
      </c>
      <c r="F2984" t="inlineStr">
        <is>
          <t>SO1000214</t>
        </is>
      </c>
      <c r="G2984" s="128" t="n">
        <v>45936</v>
      </c>
      <c r="H2984" s="127" t="n">
        <v>45958</v>
      </c>
      <c r="I2984" t="inlineStr">
        <is>
          <t>1</t>
        </is>
      </c>
      <c r="J2984" s="38" t="inlineStr">
        <is>
          <t>0-4016</t>
        </is>
      </c>
      <c r="K2984" t="inlineStr">
        <is>
          <t>PERMITTING</t>
        </is>
      </c>
      <c r="L2984" t="n">
        <v>1</v>
      </c>
      <c r="M2984" t="n">
        <v>64797.25</v>
      </c>
      <c r="N2984" t="inlineStr">
        <is>
          <t>CERTIFICATE</t>
        </is>
      </c>
      <c r="O2984" t="inlineStr">
        <is>
          <t>12043</t>
        </is>
      </c>
      <c r="P2984" t="inlineStr">
        <is>
          <t>SCHOEFFLER ENERGY GROUP INC</t>
        </is>
      </c>
      <c r="Q2984" s="114" t="n">
        <v>0</v>
      </c>
      <c r="R2984" s="114" t="n">
        <v>0</v>
      </c>
      <c r="S2984" s="114" t="n">
        <v>-4499.51</v>
      </c>
      <c r="T2984" t="n">
        <v>0</v>
      </c>
    </row>
    <row r="2985">
      <c r="A2985" t="inlineStr">
        <is>
          <t>ttJTrans</t>
        </is>
      </c>
      <c r="B2985" s="38" t="inlineStr">
        <is>
          <t>0-4016</t>
        </is>
      </c>
      <c r="C2985" t="inlineStr">
        <is>
          <t>SU</t>
        </is>
      </c>
      <c r="D2985" t="inlineStr">
        <is>
          <t>SO1000214</t>
        </is>
      </c>
      <c r="E2985" t="inlineStr">
        <is>
          <t>SU</t>
        </is>
      </c>
      <c r="F2985" t="inlineStr">
        <is>
          <t>SO1000214</t>
        </is>
      </c>
      <c r="G2985" s="128" t="n">
        <v>45936</v>
      </c>
      <c r="H2985" s="127" t="n">
        <v>45958</v>
      </c>
      <c r="I2985" t="inlineStr">
        <is>
          <t>1</t>
        </is>
      </c>
      <c r="J2985" s="38" t="inlineStr">
        <is>
          <t>0-4016</t>
        </is>
      </c>
      <c r="K2985" t="inlineStr">
        <is>
          <t>PERMITTING</t>
        </is>
      </c>
      <c r="L2985" t="n">
        <v>1</v>
      </c>
      <c r="M2985" t="n">
        <v>64797.25</v>
      </c>
      <c r="N2985" t="inlineStr">
        <is>
          <t>CERTIFICATE</t>
        </is>
      </c>
      <c r="O2985" t="inlineStr">
        <is>
          <t>12043</t>
        </is>
      </c>
      <c r="P2985" t="inlineStr">
        <is>
          <t>SCHOEFFLER ENERGY GROUP INC</t>
        </is>
      </c>
      <c r="Q2985" s="114" t="n">
        <v>0</v>
      </c>
      <c r="R2985" s="114" t="n">
        <v>0</v>
      </c>
      <c r="S2985" s="114" t="n">
        <v>-2193.71</v>
      </c>
      <c r="T2985" t="n">
        <v>0</v>
      </c>
    </row>
    <row r="2986">
      <c r="A2986" t="inlineStr">
        <is>
          <t>ttJTrans</t>
        </is>
      </c>
      <c r="B2986" s="38" t="inlineStr">
        <is>
          <t>0-4016</t>
        </is>
      </c>
      <c r="C2986" t="inlineStr">
        <is>
          <t>SU</t>
        </is>
      </c>
      <c r="D2986" t="inlineStr">
        <is>
          <t>SO1000214</t>
        </is>
      </c>
      <c r="E2986" t="inlineStr">
        <is>
          <t>SU</t>
        </is>
      </c>
      <c r="F2986" t="inlineStr">
        <is>
          <t>SO1000214</t>
        </is>
      </c>
      <c r="G2986" s="128" t="n">
        <v>45936</v>
      </c>
      <c r="H2986" s="127" t="n">
        <v>45958</v>
      </c>
      <c r="I2986" t="inlineStr">
        <is>
          <t>1</t>
        </is>
      </c>
      <c r="J2986" s="38" t="inlineStr">
        <is>
          <t>0-4016</t>
        </is>
      </c>
      <c r="K2986" t="inlineStr">
        <is>
          <t>PERMITTING</t>
        </is>
      </c>
      <c r="L2986" t="n">
        <v>1</v>
      </c>
      <c r="M2986" t="n">
        <v>64797.25</v>
      </c>
      <c r="N2986" t="inlineStr">
        <is>
          <t>CERTIFICATE</t>
        </is>
      </c>
      <c r="O2986" t="inlineStr">
        <is>
          <t>12043</t>
        </is>
      </c>
      <c r="P2986" t="inlineStr">
        <is>
          <t>SCHOEFFLER ENERGY GROUP INC</t>
        </is>
      </c>
      <c r="Q2986" s="114" t="n">
        <v>0</v>
      </c>
      <c r="R2986" s="114" t="n">
        <v>0</v>
      </c>
      <c r="S2986" s="114" t="n">
        <v>-2921.6</v>
      </c>
      <c r="T2986" t="n">
        <v>0</v>
      </c>
    </row>
    <row r="2987">
      <c r="A2987" t="inlineStr">
        <is>
          <t>ttJTrans</t>
        </is>
      </c>
      <c r="B2987" s="38" t="inlineStr">
        <is>
          <t>0-4016</t>
        </is>
      </c>
      <c r="C2987" t="inlineStr">
        <is>
          <t>SU</t>
        </is>
      </c>
      <c r="D2987" t="inlineStr">
        <is>
          <t>SO1000214</t>
        </is>
      </c>
      <c r="E2987" t="inlineStr">
        <is>
          <t>SU</t>
        </is>
      </c>
      <c r="F2987" t="inlineStr">
        <is>
          <t>SO1000214</t>
        </is>
      </c>
      <c r="G2987" s="128" t="n">
        <v>45936</v>
      </c>
      <c r="H2987" s="127" t="n">
        <v>45958</v>
      </c>
      <c r="I2987" t="inlineStr">
        <is>
          <t>1</t>
        </is>
      </c>
      <c r="J2987" s="38" t="inlineStr">
        <is>
          <t>0-4016</t>
        </is>
      </c>
      <c r="K2987" t="inlineStr">
        <is>
          <t>PERMITTING</t>
        </is>
      </c>
      <c r="L2987" t="n">
        <v>1</v>
      </c>
      <c r="M2987" t="n">
        <v>64797.25</v>
      </c>
      <c r="N2987" t="inlineStr">
        <is>
          <t>CERTIFICATE</t>
        </is>
      </c>
      <c r="O2987" t="inlineStr">
        <is>
          <t>12043</t>
        </is>
      </c>
      <c r="P2987" t="inlineStr">
        <is>
          <t>SCHOEFFLER ENERGY GROUP INC</t>
        </is>
      </c>
      <c r="Q2987" s="114" t="n">
        <v>0</v>
      </c>
      <c r="R2987" s="114" t="n">
        <v>0</v>
      </c>
      <c r="S2987" s="114" t="n">
        <v>-1665.3</v>
      </c>
      <c r="T2987" t="n">
        <v>0</v>
      </c>
    </row>
    <row r="2988">
      <c r="A2988" t="inlineStr">
        <is>
          <t>ttJTrans</t>
        </is>
      </c>
      <c r="B2988" s="38" t="inlineStr">
        <is>
          <t>2-4004</t>
        </is>
      </c>
      <c r="C2988" t="inlineStr">
        <is>
          <t>SU</t>
        </is>
      </c>
      <c r="D2988" t="inlineStr">
        <is>
          <t>SO1000249</t>
        </is>
      </c>
      <c r="E2988" t="inlineStr">
        <is>
          <t>SU</t>
        </is>
      </c>
      <c r="F2988" t="inlineStr">
        <is>
          <t>SO1000249</t>
        </is>
      </c>
      <c r="G2988" s="128" t="n">
        <v>46098</v>
      </c>
      <c r="H2988" s="127" t="n">
        <v>46104</v>
      </c>
      <c r="I2988" t="inlineStr">
        <is>
          <t>2</t>
        </is>
      </c>
      <c r="J2988" s="38" t="inlineStr">
        <is>
          <t>2-4004</t>
        </is>
      </c>
      <c r="K2988" t="inlineStr">
        <is>
          <t>INCREASE AMOUNT PER MEGAN REDFIELD</t>
        </is>
      </c>
      <c r="L2988" t="n">
        <v>1</v>
      </c>
      <c r="M2988" t="n">
        <v>462331.05</v>
      </c>
      <c r="N2988" t="inlineStr">
        <is>
          <t>CERTIFICATE</t>
        </is>
      </c>
      <c r="O2988" t="inlineStr">
        <is>
          <t>21204</t>
        </is>
      </c>
      <c r="P2988" t="inlineStr">
        <is>
          <t>SIEMENS ENERGY, INC.</t>
        </is>
      </c>
      <c r="Q2988" s="114" t="n">
        <v>0</v>
      </c>
      <c r="R2988" s="114" t="n">
        <v>0</v>
      </c>
      <c r="S2988" s="114" t="n">
        <v>-462331.05</v>
      </c>
      <c r="T2988" t="n">
        <v>0</v>
      </c>
    </row>
    <row r="2989">
      <c r="A2989" t="inlineStr">
        <is>
          <t>ttJTrans</t>
        </is>
      </c>
      <c r="B2989" s="38" t="inlineStr">
        <is>
          <t>2-4004</t>
        </is>
      </c>
      <c r="C2989" t="inlineStr">
        <is>
          <t>SU</t>
        </is>
      </c>
      <c r="D2989" t="inlineStr">
        <is>
          <t>SO1000249</t>
        </is>
      </c>
      <c r="E2989" t="inlineStr">
        <is>
          <t>SU</t>
        </is>
      </c>
      <c r="F2989" t="inlineStr">
        <is>
          <t>SO1000249</t>
        </is>
      </c>
      <c r="G2989" s="128" t="n">
        <v>45971</v>
      </c>
      <c r="H2989" s="127" t="n">
        <v>46005</v>
      </c>
      <c r="I2989" t="inlineStr">
        <is>
          <t>1</t>
        </is>
      </c>
      <c r="J2989" s="38" t="inlineStr">
        <is>
          <t>2-4004</t>
        </is>
      </c>
      <c r="K2989" t="inlineStr">
        <is>
          <t>BREAKER RESERVATION</t>
        </is>
      </c>
      <c r="L2989" t="n">
        <v>1</v>
      </c>
      <c r="M2989" t="n">
        <v>463540.53</v>
      </c>
      <c r="N2989" t="inlineStr">
        <is>
          <t>PO:COMMIT</t>
        </is>
      </c>
      <c r="O2989" t="inlineStr">
        <is>
          <t>21204</t>
        </is>
      </c>
      <c r="P2989" t="inlineStr">
        <is>
          <t>SIEMENS ENERGY, INC.</t>
        </is>
      </c>
      <c r="Q2989" s="114" t="n">
        <v>0</v>
      </c>
      <c r="R2989" s="114" t="n">
        <v>0</v>
      </c>
      <c r="S2989" s="114" t="n">
        <v>463540.53</v>
      </c>
      <c r="T2989" t="n">
        <v>0</v>
      </c>
    </row>
    <row r="2990">
      <c r="A2990" t="inlineStr">
        <is>
          <t>ttJTrans</t>
        </is>
      </c>
      <c r="B2990" s="38" t="inlineStr">
        <is>
          <t>2-4004</t>
        </is>
      </c>
      <c r="C2990" t="inlineStr">
        <is>
          <t>SU</t>
        </is>
      </c>
      <c r="D2990" t="inlineStr">
        <is>
          <t>SO1000249</t>
        </is>
      </c>
      <c r="E2990" t="inlineStr">
        <is>
          <t>SU</t>
        </is>
      </c>
      <c r="F2990" t="inlineStr">
        <is>
          <t>SO1000249</t>
        </is>
      </c>
      <c r="G2990" s="128" t="n">
        <v>46098</v>
      </c>
      <c r="H2990" s="127" t="n">
        <v>46104</v>
      </c>
      <c r="I2990" t="inlineStr">
        <is>
          <t>2</t>
        </is>
      </c>
      <c r="J2990" s="38" t="inlineStr">
        <is>
          <t>2-4004</t>
        </is>
      </c>
      <c r="K2990" t="inlineStr">
        <is>
          <t>INCREASE AMOUNT PER MEGAN REDFIELD</t>
        </is>
      </c>
      <c r="L2990" t="n">
        <v>1</v>
      </c>
      <c r="M2990" t="n">
        <v>462331.05</v>
      </c>
      <c r="N2990" t="inlineStr">
        <is>
          <t>PO:COMMIT</t>
        </is>
      </c>
      <c r="O2990" t="inlineStr">
        <is>
          <t>21204</t>
        </is>
      </c>
      <c r="P2990" t="inlineStr">
        <is>
          <t>SIEMENS ENERGY, INC.</t>
        </is>
      </c>
      <c r="Q2990" s="114" t="n">
        <v>0</v>
      </c>
      <c r="R2990" s="114" t="n">
        <v>0</v>
      </c>
      <c r="S2990" s="114" t="n">
        <v>462331.05</v>
      </c>
      <c r="T2990" t="n">
        <v>0</v>
      </c>
    </row>
    <row r="2991">
      <c r="A2991" t="inlineStr">
        <is>
          <t>ttJTrans</t>
        </is>
      </c>
      <c r="B2991" s="38" t="inlineStr">
        <is>
          <t>2-4004</t>
        </is>
      </c>
      <c r="C2991" t="inlineStr">
        <is>
          <t>SU</t>
        </is>
      </c>
      <c r="D2991" t="inlineStr">
        <is>
          <t>SO1000249</t>
        </is>
      </c>
      <c r="E2991" t="inlineStr">
        <is>
          <t>SU</t>
        </is>
      </c>
      <c r="F2991" t="inlineStr">
        <is>
          <t>SO1000249</t>
        </is>
      </c>
      <c r="G2991" s="128" t="n">
        <v>45971</v>
      </c>
      <c r="H2991" s="127" t="n">
        <v>46005</v>
      </c>
      <c r="I2991" t="inlineStr">
        <is>
          <t>1</t>
        </is>
      </c>
      <c r="J2991" s="38" t="inlineStr">
        <is>
          <t>2-4004</t>
        </is>
      </c>
      <c r="K2991" t="inlineStr">
        <is>
          <t>BREAKER RESERVATION</t>
        </is>
      </c>
      <c r="L2991" t="n">
        <v>1</v>
      </c>
      <c r="M2991" t="n">
        <v>463540.53</v>
      </c>
      <c r="N2991" t="inlineStr">
        <is>
          <t>CERTIFICATE</t>
        </is>
      </c>
      <c r="O2991" t="inlineStr">
        <is>
          <t>21204</t>
        </is>
      </c>
      <c r="P2991" t="inlineStr">
        <is>
          <t>SIEMENS ENERGY, INC.</t>
        </is>
      </c>
      <c r="Q2991" s="114" t="n">
        <v>0</v>
      </c>
      <c r="R2991" s="114" t="n">
        <v>0</v>
      </c>
      <c r="S2991" s="114" t="n">
        <v>-332423.63</v>
      </c>
      <c r="T2991" t="n">
        <v>0</v>
      </c>
    </row>
    <row r="2992">
      <c r="A2992" t="inlineStr">
        <is>
          <t>ttJTrans</t>
        </is>
      </c>
      <c r="B2992" s="38" t="inlineStr">
        <is>
          <t>2-4004</t>
        </is>
      </c>
      <c r="C2992" t="inlineStr">
        <is>
          <t>SU</t>
        </is>
      </c>
      <c r="D2992" t="inlineStr">
        <is>
          <t>SO1000249</t>
        </is>
      </c>
      <c r="E2992" t="inlineStr">
        <is>
          <t>SU</t>
        </is>
      </c>
      <c r="F2992" t="inlineStr">
        <is>
          <t>SO1000249</t>
        </is>
      </c>
      <c r="G2992" s="128" t="n">
        <v>45971</v>
      </c>
      <c r="H2992" s="127" t="n">
        <v>46005</v>
      </c>
      <c r="I2992" t="inlineStr">
        <is>
          <t>1</t>
        </is>
      </c>
      <c r="J2992" s="38" t="inlineStr">
        <is>
          <t>2-4004</t>
        </is>
      </c>
      <c r="K2992" t="inlineStr">
        <is>
          <t>BREAKER RESERVATION</t>
        </is>
      </c>
      <c r="L2992" t="n">
        <v>1</v>
      </c>
      <c r="M2992" t="n">
        <v>463540.53</v>
      </c>
      <c r="N2992" t="inlineStr">
        <is>
          <t>CERTIFICATE</t>
        </is>
      </c>
      <c r="O2992" t="inlineStr">
        <is>
          <t>21204</t>
        </is>
      </c>
      <c r="P2992" t="inlineStr">
        <is>
          <t>SIEMENS ENERGY, INC.</t>
        </is>
      </c>
      <c r="Q2992" s="114" t="n">
        <v>0</v>
      </c>
      <c r="R2992" s="114" t="n">
        <v>0</v>
      </c>
      <c r="S2992" s="114" t="n">
        <v>-131116.9</v>
      </c>
      <c r="T2992" t="n">
        <v>0</v>
      </c>
    </row>
    <row r="2993">
      <c r="A2993" t="inlineStr">
        <is>
          <t>ttJTrans</t>
        </is>
      </c>
      <c r="B2993" s="38" t="inlineStr">
        <is>
          <t>2-4004</t>
        </is>
      </c>
      <c r="C2993" t="inlineStr">
        <is>
          <t>SU</t>
        </is>
      </c>
      <c r="D2993" t="inlineStr">
        <is>
          <t>SO1000249</t>
        </is>
      </c>
      <c r="E2993" t="inlineStr">
        <is>
          <t>SU</t>
        </is>
      </c>
      <c r="F2993" t="inlineStr">
        <is>
          <t>SO1000249</t>
        </is>
      </c>
      <c r="G2993" s="128" t="n">
        <v>46108</v>
      </c>
      <c r="H2993" s="127" t="n">
        <v>46113</v>
      </c>
      <c r="I2993" t="inlineStr">
        <is>
          <t>3</t>
        </is>
      </c>
      <c r="J2993" s="38" t="inlineStr">
        <is>
          <t>2-4004</t>
        </is>
      </c>
      <c r="K2993" t="inlineStr">
        <is>
          <t>ENGINEERING</t>
        </is>
      </c>
      <c r="L2993" t="n">
        <v>1</v>
      </c>
      <c r="M2993" t="n">
        <v>9344114.119999999</v>
      </c>
      <c r="N2993" t="inlineStr">
        <is>
          <t>PO:COMMIT</t>
        </is>
      </c>
      <c r="O2993" t="inlineStr">
        <is>
          <t>21204</t>
        </is>
      </c>
      <c r="P2993" t="inlineStr">
        <is>
          <t>SIEMENS ENERGY, INC.</t>
        </is>
      </c>
      <c r="Q2993" s="114" t="n">
        <v>0</v>
      </c>
      <c r="R2993" s="114" t="n">
        <v>0</v>
      </c>
      <c r="S2993" s="114" t="n">
        <v>9344114.119999999</v>
      </c>
      <c r="T2993" t="n">
        <v>0</v>
      </c>
    </row>
    <row r="2994">
      <c r="A2994" t="inlineStr">
        <is>
          <t>ttJTrans</t>
        </is>
      </c>
      <c r="B2994" s="38" t="inlineStr">
        <is>
          <t>0-4016</t>
        </is>
      </c>
      <c r="C2994" t="inlineStr">
        <is>
          <t>SU</t>
        </is>
      </c>
      <c r="E2994" t="inlineStr">
        <is>
          <t>SU</t>
        </is>
      </c>
      <c r="G2994" s="128" t="inlineStr"/>
      <c r="H2994" s="127" t="n">
        <v>45963</v>
      </c>
      <c r="J2994" s="38" t="inlineStr">
        <is>
          <t>0-4016</t>
        </is>
      </c>
      <c r="K2994" t="inlineStr">
        <is>
          <t>PERMITTING</t>
        </is>
      </c>
      <c r="L2994" t="n">
        <v>0</v>
      </c>
      <c r="M2994" t="n">
        <v>0</v>
      </c>
      <c r="O2994" t="inlineStr">
        <is>
          <t>12043</t>
        </is>
      </c>
      <c r="P2994" t="inlineStr">
        <is>
          <t>SCHOEFFLER ENERGY GROUP INC</t>
        </is>
      </c>
      <c r="Q2994" s="114" t="n">
        <v>0</v>
      </c>
      <c r="R2994" s="114" t="n">
        <v>637.5</v>
      </c>
      <c r="S2994" s="114" t="n">
        <v>0</v>
      </c>
      <c r="T2994" t="n">
        <v>0</v>
      </c>
    </row>
    <row r="2995">
      <c r="A2995" t="inlineStr">
        <is>
          <t>ttJTrans</t>
        </is>
      </c>
      <c r="B2995" s="38" t="inlineStr">
        <is>
          <t>0-4016</t>
        </is>
      </c>
      <c r="C2995" t="inlineStr">
        <is>
          <t>SU</t>
        </is>
      </c>
      <c r="E2995" t="inlineStr">
        <is>
          <t>SU</t>
        </is>
      </c>
      <c r="G2995" s="128" t="inlineStr"/>
      <c r="H2995" s="127" t="n">
        <v>45984</v>
      </c>
      <c r="J2995" s="38" t="inlineStr">
        <is>
          <t>0-4016</t>
        </is>
      </c>
      <c r="K2995" t="inlineStr">
        <is>
          <t>PERMITTING</t>
        </is>
      </c>
      <c r="L2995" t="n">
        <v>0</v>
      </c>
      <c r="M2995" t="n">
        <v>0</v>
      </c>
      <c r="O2995" t="inlineStr">
        <is>
          <t>12043</t>
        </is>
      </c>
      <c r="P2995" t="inlineStr">
        <is>
          <t>SCHOEFFLER ENERGY GROUP INC</t>
        </is>
      </c>
      <c r="Q2995" s="114" t="n">
        <v>0</v>
      </c>
      <c r="R2995" s="114" t="n">
        <v>1515</v>
      </c>
      <c r="S2995" s="114" t="n">
        <v>0</v>
      </c>
      <c r="T2995" t="n">
        <v>0</v>
      </c>
    </row>
    <row r="2996">
      <c r="A2996" t="inlineStr">
        <is>
          <t>ttJTrans</t>
        </is>
      </c>
      <c r="B2996" s="38" t="inlineStr">
        <is>
          <t>0-4016</t>
        </is>
      </c>
      <c r="C2996" t="inlineStr">
        <is>
          <t>SU</t>
        </is>
      </c>
      <c r="E2996" t="inlineStr">
        <is>
          <t>SU</t>
        </is>
      </c>
      <c r="G2996" s="128" t="inlineStr"/>
      <c r="H2996" s="127" t="n">
        <v>45992</v>
      </c>
      <c r="J2996" s="38" t="inlineStr">
        <is>
          <t>0-4016</t>
        </is>
      </c>
      <c r="K2996" t="inlineStr">
        <is>
          <t>PERMITTING</t>
        </is>
      </c>
      <c r="L2996" t="n">
        <v>0</v>
      </c>
      <c r="M2996" t="n">
        <v>0</v>
      </c>
      <c r="O2996" t="inlineStr">
        <is>
          <t>12043</t>
        </is>
      </c>
      <c r="P2996" t="inlineStr">
        <is>
          <t>SCHOEFFLER ENERGY GROUP INC</t>
        </is>
      </c>
      <c r="Q2996" s="114" t="n">
        <v>0</v>
      </c>
      <c r="R2996" s="114" t="n">
        <v>945</v>
      </c>
      <c r="S2996" s="114" t="n">
        <v>0</v>
      </c>
      <c r="T2996" t="n">
        <v>0</v>
      </c>
    </row>
    <row r="2997">
      <c r="A2997" t="inlineStr">
        <is>
          <t>ttJTrans</t>
        </is>
      </c>
      <c r="B2997" s="38" t="inlineStr">
        <is>
          <t>2-4004</t>
        </is>
      </c>
      <c r="C2997" t="inlineStr">
        <is>
          <t>SU</t>
        </is>
      </c>
      <c r="E2997" t="inlineStr">
        <is>
          <t>SU</t>
        </is>
      </c>
      <c r="G2997" s="128" t="inlineStr"/>
      <c r="H2997" s="127" t="n">
        <v>46007</v>
      </c>
      <c r="J2997" s="38" t="inlineStr">
        <is>
          <t>2-4004</t>
        </is>
      </c>
      <c r="K2997" t="inlineStr">
        <is>
          <t>BREAKER RESERVATION</t>
        </is>
      </c>
      <c r="L2997" t="n">
        <v>0</v>
      </c>
      <c r="M2997" t="n">
        <v>0</v>
      </c>
      <c r="O2997" t="inlineStr">
        <is>
          <t>21204</t>
        </is>
      </c>
      <c r="P2997" t="inlineStr">
        <is>
          <t>SIEMENS ENERGY, INC.</t>
        </is>
      </c>
      <c r="Q2997" s="114" t="n">
        <v>0</v>
      </c>
      <c r="R2997" s="114" t="n">
        <v>311403.86</v>
      </c>
      <c r="S2997" s="114" t="n">
        <v>0</v>
      </c>
      <c r="T2997" t="n">
        <v>0</v>
      </c>
    </row>
    <row r="2998">
      <c r="A2998" t="inlineStr">
        <is>
          <t>ttJTrans</t>
        </is>
      </c>
      <c r="B2998" s="38" t="inlineStr">
        <is>
          <t>0-4016</t>
        </is>
      </c>
      <c r="C2998" t="inlineStr">
        <is>
          <t>SU</t>
        </is>
      </c>
      <c r="E2998" t="inlineStr">
        <is>
          <t>SU</t>
        </is>
      </c>
      <c r="G2998" s="128" t="inlineStr"/>
      <c r="H2998" s="127" t="n">
        <v>46000</v>
      </c>
      <c r="J2998" s="38" t="inlineStr">
        <is>
          <t>0-4016</t>
        </is>
      </c>
      <c r="K2998" t="inlineStr">
        <is>
          <t>PERMITTING</t>
        </is>
      </c>
      <c r="L2998" t="n">
        <v>0</v>
      </c>
      <c r="M2998" t="n">
        <v>0</v>
      </c>
      <c r="O2998" t="inlineStr">
        <is>
          <t>12043</t>
        </is>
      </c>
      <c r="P2998" t="inlineStr">
        <is>
          <t>SCHOEFFLER ENERGY GROUP INC</t>
        </is>
      </c>
      <c r="Q2998" s="114" t="n">
        <v>0</v>
      </c>
      <c r="R2998" s="114" t="n">
        <v>540</v>
      </c>
      <c r="S2998" s="114" t="n">
        <v>0</v>
      </c>
      <c r="T2998" t="n">
        <v>0</v>
      </c>
    </row>
    <row r="2999">
      <c r="A2999" t="inlineStr">
        <is>
          <t>ttJTrans</t>
        </is>
      </c>
      <c r="B2999" s="38" t="inlineStr">
        <is>
          <t>2-4004</t>
        </is>
      </c>
      <c r="C2999" t="inlineStr">
        <is>
          <t>SU</t>
        </is>
      </c>
      <c r="E2999" t="inlineStr">
        <is>
          <t>SU</t>
        </is>
      </c>
      <c r="G2999" s="128" t="inlineStr"/>
      <c r="H2999" s="127" t="n">
        <v>46007</v>
      </c>
      <c r="J2999" s="38" t="inlineStr">
        <is>
          <t>2-4004</t>
        </is>
      </c>
      <c r="K2999" t="inlineStr">
        <is>
          <t>BREAKER RESERVATION</t>
        </is>
      </c>
      <c r="L2999" t="n">
        <v>0</v>
      </c>
      <c r="M2999" t="n">
        <v>0</v>
      </c>
      <c r="O2999" t="inlineStr">
        <is>
          <t>21204</t>
        </is>
      </c>
      <c r="P2999" t="inlineStr">
        <is>
          <t>SIEMENS ENERGY, INC.</t>
        </is>
      </c>
      <c r="Q2999" s="114" t="n">
        <v>0</v>
      </c>
      <c r="R2999" s="114" t="n">
        <v>122826.14</v>
      </c>
      <c r="S2999" s="114" t="n">
        <v>0</v>
      </c>
      <c r="T2999" t="n">
        <v>0</v>
      </c>
    </row>
    <row r="3000">
      <c r="A3000" t="inlineStr">
        <is>
          <t>ttJTrans</t>
        </is>
      </c>
      <c r="B3000" s="38" t="inlineStr">
        <is>
          <t>0-4016</t>
        </is>
      </c>
      <c r="C3000" t="inlineStr">
        <is>
          <t>SU</t>
        </is>
      </c>
      <c r="E3000" t="inlineStr">
        <is>
          <t>SU</t>
        </is>
      </c>
      <c r="G3000" s="128" t="inlineStr"/>
      <c r="H3000" s="127" t="n">
        <v>46043</v>
      </c>
      <c r="J3000" s="38" t="inlineStr">
        <is>
          <t>0-4016</t>
        </is>
      </c>
      <c r="K3000" t="inlineStr">
        <is>
          <t>PERMITTING</t>
        </is>
      </c>
      <c r="L3000" t="n">
        <v>0</v>
      </c>
      <c r="M3000" t="n">
        <v>0</v>
      </c>
      <c r="O3000" t="inlineStr">
        <is>
          <t>12043</t>
        </is>
      </c>
      <c r="P3000" t="inlineStr">
        <is>
          <t>SCHOEFFLER ENERGY GROUP INC</t>
        </is>
      </c>
      <c r="Q3000" s="114" t="n">
        <v>0</v>
      </c>
      <c r="R3000" s="114" t="n">
        <v>2160</v>
      </c>
      <c r="S3000" s="114" t="n">
        <v>0</v>
      </c>
      <c r="T3000" t="n">
        <v>0</v>
      </c>
    </row>
    <row r="3001">
      <c r="A3001" t="inlineStr">
        <is>
          <t>ttJTrans</t>
        </is>
      </c>
      <c r="B3001" s="38" t="inlineStr">
        <is>
          <t>0-4016</t>
        </is>
      </c>
      <c r="C3001" t="inlineStr">
        <is>
          <t>SU</t>
        </is>
      </c>
      <c r="E3001" t="inlineStr">
        <is>
          <t>SU</t>
        </is>
      </c>
      <c r="G3001" s="128" t="inlineStr"/>
      <c r="H3001" s="127" t="n">
        <v>46077</v>
      </c>
      <c r="J3001" s="38" t="inlineStr">
        <is>
          <t>0-4016</t>
        </is>
      </c>
      <c r="K3001" t="inlineStr">
        <is>
          <t>PERMITTING</t>
        </is>
      </c>
      <c r="L3001" t="n">
        <v>0</v>
      </c>
      <c r="M3001" t="n">
        <v>0</v>
      </c>
      <c r="O3001" t="inlineStr">
        <is>
          <t>12043</t>
        </is>
      </c>
      <c r="P3001" t="inlineStr">
        <is>
          <t>SCHOEFFLER ENERGY GROUP INC</t>
        </is>
      </c>
      <c r="Q3001" s="114" t="n">
        <v>0</v>
      </c>
      <c r="R3001" s="114" t="n">
        <v>2736.86</v>
      </c>
      <c r="S3001" s="114" t="n">
        <v>0</v>
      </c>
      <c r="T3001" t="n">
        <v>0</v>
      </c>
    </row>
    <row r="3002">
      <c r="A3002" t="inlineStr">
        <is>
          <t>ttJTrans</t>
        </is>
      </c>
      <c r="B3002" s="38" t="inlineStr">
        <is>
          <t>0-4016</t>
        </is>
      </c>
      <c r="C3002" t="inlineStr">
        <is>
          <t>SU</t>
        </is>
      </c>
      <c r="E3002" t="inlineStr">
        <is>
          <t>SU</t>
        </is>
      </c>
      <c r="G3002" s="128" t="inlineStr"/>
      <c r="H3002" s="127" t="n">
        <v>46077</v>
      </c>
      <c r="J3002" s="38" t="inlineStr">
        <is>
          <t>0-4016</t>
        </is>
      </c>
      <c r="K3002" t="inlineStr">
        <is>
          <t>PERMITTING</t>
        </is>
      </c>
      <c r="L3002" t="n">
        <v>0</v>
      </c>
      <c r="M3002" t="n">
        <v>0</v>
      </c>
      <c r="O3002" t="inlineStr">
        <is>
          <t>12043</t>
        </is>
      </c>
      <c r="P3002" t="inlineStr">
        <is>
          <t>SCHOEFFLER ENERGY GROUP INC</t>
        </is>
      </c>
      <c r="Q3002" s="114" t="n">
        <v>0</v>
      </c>
      <c r="R3002" s="114" t="n">
        <v>4215</v>
      </c>
      <c r="S3002" s="114" t="n">
        <v>0</v>
      </c>
      <c r="T3002" t="n">
        <v>0</v>
      </c>
    </row>
    <row r="3003">
      <c r="A3003" t="inlineStr">
        <is>
          <t>ttJTrans</t>
        </is>
      </c>
      <c r="B3003" s="38" t="inlineStr">
        <is>
          <t>0-4016</t>
        </is>
      </c>
      <c r="C3003" t="inlineStr">
        <is>
          <t>SU</t>
        </is>
      </c>
      <c r="E3003" t="inlineStr">
        <is>
          <t>SU</t>
        </is>
      </c>
      <c r="G3003" s="128" t="inlineStr"/>
      <c r="H3003" s="127" t="n">
        <v>46055</v>
      </c>
      <c r="J3003" s="38" t="inlineStr">
        <is>
          <t>0-4016</t>
        </is>
      </c>
      <c r="K3003" t="inlineStr">
        <is>
          <t>PERMITTING</t>
        </is>
      </c>
      <c r="L3003" t="n">
        <v>0</v>
      </c>
      <c r="M3003" t="n">
        <v>0</v>
      </c>
      <c r="O3003" t="inlineStr">
        <is>
          <t>12043</t>
        </is>
      </c>
      <c r="P3003" t="inlineStr">
        <is>
          <t>SCHOEFFLER ENERGY GROUP INC</t>
        </is>
      </c>
      <c r="Q3003" s="114" t="n">
        <v>0</v>
      </c>
      <c r="R3003" s="114" t="n">
        <v>2055</v>
      </c>
      <c r="S3003" s="114" t="n">
        <v>0</v>
      </c>
      <c r="T3003" t="n">
        <v>0</v>
      </c>
    </row>
    <row r="3004">
      <c r="A3004" t="inlineStr">
        <is>
          <t>ttJTrans</t>
        </is>
      </c>
      <c r="B3004" s="38" t="inlineStr">
        <is>
          <t>0-4016</t>
        </is>
      </c>
      <c r="C3004" t="inlineStr">
        <is>
          <t>SU</t>
        </is>
      </c>
      <c r="E3004" t="inlineStr">
        <is>
          <t>SU</t>
        </is>
      </c>
      <c r="G3004" s="128" t="inlineStr"/>
      <c r="H3004" s="127" t="n">
        <v>46077</v>
      </c>
      <c r="J3004" s="38" t="inlineStr">
        <is>
          <t>0-4016</t>
        </is>
      </c>
      <c r="K3004" t="inlineStr">
        <is>
          <t>PERMITTING</t>
        </is>
      </c>
      <c r="L3004" t="n">
        <v>0</v>
      </c>
      <c r="M3004" t="n">
        <v>0</v>
      </c>
      <c r="O3004" t="inlineStr">
        <is>
          <t>12043</t>
        </is>
      </c>
      <c r="P3004" t="inlineStr">
        <is>
          <t>SCHOEFFLER ENERGY GROUP INC</t>
        </is>
      </c>
      <c r="Q3004" s="114" t="n">
        <v>0</v>
      </c>
      <c r="R3004" s="114" t="n">
        <v>1560</v>
      </c>
      <c r="S3004" s="114" t="n">
        <v>0</v>
      </c>
      <c r="T3004" t="n">
        <v>0</v>
      </c>
    </row>
    <row r="3005">
      <c r="A3005" t="inlineStr">
        <is>
          <t>ttJTrans</t>
        </is>
      </c>
      <c r="B3005" s="38" t="inlineStr">
        <is>
          <t>2-4004</t>
        </is>
      </c>
      <c r="C3005" t="inlineStr">
        <is>
          <t>SU</t>
        </is>
      </c>
      <c r="E3005" t="inlineStr">
        <is>
          <t>SU</t>
        </is>
      </c>
      <c r="G3005" s="128" t="inlineStr"/>
      <c r="H3005" s="127" t="n">
        <v>46098</v>
      </c>
      <c r="J3005" s="38" t="inlineStr">
        <is>
          <t>2-4004</t>
        </is>
      </c>
      <c r="K3005" t="inlineStr">
        <is>
          <t>INCREASE AMOUNT PER MEGAN REDFIELD</t>
        </is>
      </c>
      <c r="L3005" t="n">
        <v>0</v>
      </c>
      <c r="M3005" t="n">
        <v>0</v>
      </c>
      <c r="O3005" t="inlineStr">
        <is>
          <t>21204</t>
        </is>
      </c>
      <c r="P3005" t="inlineStr">
        <is>
          <t>SIEMENS ENERGY, INC.</t>
        </is>
      </c>
      <c r="Q3005" s="114" t="n">
        <v>0</v>
      </c>
      <c r="R3005" s="114" t="n">
        <v>433097</v>
      </c>
      <c r="S3005" s="114" t="n">
        <v>0</v>
      </c>
      <c r="T3005" t="n">
        <v>0</v>
      </c>
    </row>
    <row r="3006">
      <c r="A3006" t="inlineStr">
        <is>
          <t>ttJTrans</t>
        </is>
      </c>
      <c r="B3006" s="38" t="inlineStr">
        <is>
          <t>0-4016</t>
        </is>
      </c>
      <c r="C3006" t="inlineStr">
        <is>
          <t>SU</t>
        </is>
      </c>
      <c r="E3006" t="inlineStr">
        <is>
          <t>SU</t>
        </is>
      </c>
      <c r="G3006" s="128" t="inlineStr"/>
      <c r="H3006" s="127" t="n">
        <v>46128</v>
      </c>
      <c r="J3006" s="38" t="inlineStr">
        <is>
          <t>0-4016</t>
        </is>
      </c>
      <c r="K3006" t="inlineStr">
        <is>
          <t>PERMITTING</t>
        </is>
      </c>
      <c r="L3006" t="n">
        <v>0</v>
      </c>
      <c r="M3006" t="n">
        <v>0</v>
      </c>
      <c r="O3006" t="inlineStr">
        <is>
          <t>12043</t>
        </is>
      </c>
      <c r="P3006" t="inlineStr">
        <is>
          <t>SCHOEFFLER ENERGY GROUP INC</t>
        </is>
      </c>
      <c r="Q3006" s="114" t="n">
        <v>0</v>
      </c>
      <c r="R3006" s="114" t="n">
        <v>1305</v>
      </c>
      <c r="S3006" s="114" t="n">
        <v>0</v>
      </c>
      <c r="T3006" t="n">
        <v>0</v>
      </c>
    </row>
    <row r="3007">
      <c r="A3007" t="inlineStr">
        <is>
          <t>ttJTrans</t>
        </is>
      </c>
      <c r="B3007" s="38" t="inlineStr">
        <is>
          <t>0-4016</t>
        </is>
      </c>
      <c r="C3007" t="inlineStr">
        <is>
          <t>SU</t>
        </is>
      </c>
      <c r="E3007" t="inlineStr">
        <is>
          <t>SU</t>
        </is>
      </c>
      <c r="G3007" s="128" t="inlineStr"/>
      <c r="H3007" s="127" t="n">
        <v>46128</v>
      </c>
      <c r="J3007" s="38" t="inlineStr">
        <is>
          <t>0-4016</t>
        </is>
      </c>
      <c r="K3007" t="inlineStr">
        <is>
          <t>PERMITTING</t>
        </is>
      </c>
      <c r="L3007" t="n">
        <v>0</v>
      </c>
      <c r="M3007" t="n">
        <v>0</v>
      </c>
      <c r="O3007" t="inlineStr">
        <is>
          <t>12043</t>
        </is>
      </c>
      <c r="P3007" t="inlineStr">
        <is>
          <t>SCHOEFFLER ENERGY GROUP INC</t>
        </is>
      </c>
      <c r="Q3007" s="114" t="n">
        <v>0</v>
      </c>
      <c r="R3007" s="114" t="n">
        <v>2355</v>
      </c>
      <c r="S3007" s="114" t="n">
        <v>0</v>
      </c>
      <c r="T3007" t="n">
        <v>0</v>
      </c>
    </row>
    <row r="3008">
      <c r="A3008" t="inlineStr">
        <is>
          <t>ttJTrans</t>
        </is>
      </c>
      <c r="B3008" s="38" t="inlineStr">
        <is>
          <t>0-4017</t>
        </is>
      </c>
      <c r="C3008" t="inlineStr">
        <is>
          <t>OC</t>
        </is>
      </c>
      <c r="D3008" t="inlineStr">
        <is>
          <t>MA1010545</t>
        </is>
      </c>
      <c r="E3008" t="inlineStr">
        <is>
          <t>OC</t>
        </is>
      </c>
      <c r="F3008" t="inlineStr">
        <is>
          <t>MA1010545</t>
        </is>
      </c>
      <c r="G3008" s="128" t="n">
        <v>46092</v>
      </c>
      <c r="H3008" s="127" t="n">
        <v>46162</v>
      </c>
      <c r="I3008" t="inlineStr">
        <is>
          <t>1</t>
        </is>
      </c>
      <c r="J3008" s="38" t="inlineStr">
        <is>
          <t>0-4017</t>
        </is>
      </c>
      <c r="K3008" t="inlineStr">
        <is>
          <t>Water: $0.03 per gallon(monthly reading</t>
        </is>
      </c>
      <c r="L3008" t="n">
        <v>1</v>
      </c>
      <c r="M3008" t="n">
        <v>22200</v>
      </c>
      <c r="N3008" t="inlineStr">
        <is>
          <t>INVOICE</t>
        </is>
      </c>
      <c r="O3008" t="inlineStr">
        <is>
          <t>21358</t>
        </is>
      </c>
      <c r="P3008" t="inlineStr">
        <is>
          <t>TEXAS GULF COAST AGGREGATES, LLC</t>
        </is>
      </c>
      <c r="Q3008" s="114" t="n">
        <v>0</v>
      </c>
      <c r="R3008" s="114" t="n">
        <v>0</v>
      </c>
      <c r="S3008" s="114" t="n">
        <v>0</v>
      </c>
      <c r="T3008" t="n">
        <v>0</v>
      </c>
    </row>
    <row r="3009">
      <c r="A3009" t="inlineStr">
        <is>
          <t>ttJTrans</t>
        </is>
      </c>
      <c r="B3009" s="38" t="inlineStr">
        <is>
          <t>0-4017</t>
        </is>
      </c>
      <c r="C3009" t="inlineStr">
        <is>
          <t>OC</t>
        </is>
      </c>
      <c r="D3009" t="inlineStr">
        <is>
          <t>MA1010545</t>
        </is>
      </c>
      <c r="E3009" t="inlineStr">
        <is>
          <t>OC</t>
        </is>
      </c>
      <c r="F3009" t="inlineStr">
        <is>
          <t>MA1010545</t>
        </is>
      </c>
      <c r="G3009" s="128" t="n">
        <v>46092</v>
      </c>
      <c r="H3009" s="127" t="n">
        <v>46093</v>
      </c>
      <c r="I3009" t="inlineStr">
        <is>
          <t>1</t>
        </is>
      </c>
      <c r="J3009" s="38" t="inlineStr">
        <is>
          <t>0-4017</t>
        </is>
      </c>
      <c r="K3009" t="inlineStr">
        <is>
          <t>Water: $0.03 per gallon(monthly reading</t>
        </is>
      </c>
      <c r="L3009" t="n">
        <v>1</v>
      </c>
      <c r="M3009" t="n">
        <v>22200</v>
      </c>
      <c r="N3009" t="inlineStr">
        <is>
          <t>INVOICE:ADJ-COMMIT</t>
        </is>
      </c>
      <c r="O3009" t="inlineStr">
        <is>
          <t>21358</t>
        </is>
      </c>
      <c r="P3009" t="inlineStr">
        <is>
          <t>TEXAS GULF COAST AGGREGATES, LLC</t>
        </is>
      </c>
      <c r="Q3009" s="114" t="n">
        <v>0</v>
      </c>
      <c r="R3009" s="114" t="n">
        <v>0</v>
      </c>
      <c r="S3009" s="114" t="n">
        <v>-871.45</v>
      </c>
      <c r="T3009" t="n">
        <v>0</v>
      </c>
    </row>
    <row r="3010">
      <c r="A3010" t="inlineStr">
        <is>
          <t>ttJTrans</t>
        </is>
      </c>
      <c r="B3010" s="38" t="inlineStr">
        <is>
          <t>0-4017</t>
        </is>
      </c>
      <c r="C3010" t="inlineStr">
        <is>
          <t>OC</t>
        </is>
      </c>
      <c r="D3010" t="inlineStr">
        <is>
          <t>MA1010545</t>
        </is>
      </c>
      <c r="E3010" t="inlineStr">
        <is>
          <t>OC</t>
        </is>
      </c>
      <c r="F3010" t="inlineStr">
        <is>
          <t>MA1010545</t>
        </is>
      </c>
      <c r="G3010" s="128" t="n">
        <v>46092</v>
      </c>
      <c r="H3010" s="127" t="n">
        <v>46093</v>
      </c>
      <c r="I3010" t="inlineStr">
        <is>
          <t>1</t>
        </is>
      </c>
      <c r="J3010" s="38" t="inlineStr">
        <is>
          <t>0-4017</t>
        </is>
      </c>
      <c r="K3010" t="inlineStr">
        <is>
          <t>Water: $0.03 per gallon(monthly reading</t>
        </is>
      </c>
      <c r="L3010" t="n">
        <v>1</v>
      </c>
      <c r="M3010" t="n">
        <v>22200</v>
      </c>
      <c r="N3010" t="inlineStr">
        <is>
          <t>PO:COMMIT</t>
        </is>
      </c>
      <c r="O3010" t="inlineStr">
        <is>
          <t>21358</t>
        </is>
      </c>
      <c r="P3010" t="inlineStr">
        <is>
          <t>TEXAS GULF COAST AGGREGATES, LLC</t>
        </is>
      </c>
      <c r="Q3010" s="114" t="n">
        <v>0</v>
      </c>
      <c r="R3010" s="114" t="n">
        <v>0</v>
      </c>
      <c r="S3010" s="114" t="n">
        <v>22200</v>
      </c>
      <c r="T3010" t="n">
        <v>0</v>
      </c>
    </row>
    <row r="3011">
      <c r="A3011" t="inlineStr">
        <is>
          <t>ttJTrans</t>
        </is>
      </c>
      <c r="B3011" s="38" t="inlineStr">
        <is>
          <t>0-4017</t>
        </is>
      </c>
      <c r="C3011" t="inlineStr">
        <is>
          <t>OC</t>
        </is>
      </c>
      <c r="E3011" t="inlineStr">
        <is>
          <t>OC</t>
        </is>
      </c>
      <c r="G3011" s="128" t="inlineStr"/>
      <c r="H3011" s="127" t="n">
        <v>46159</v>
      </c>
      <c r="J3011" s="38" t="inlineStr">
        <is>
          <t>0-4017</t>
        </is>
      </c>
      <c r="K3011" t="inlineStr">
        <is>
          <t>WATER FOR UTILITY TAKEN ON 3/12/26- 5/4/26</t>
        </is>
      </c>
      <c r="L3011" t="n">
        <v>0</v>
      </c>
      <c r="M3011" t="n">
        <v>0</v>
      </c>
      <c r="O3011" t="inlineStr">
        <is>
          <t>21358</t>
        </is>
      </c>
      <c r="P3011" t="inlineStr">
        <is>
          <t>TEXAS GULF COAST AGGREGATES, LLC</t>
        </is>
      </c>
      <c r="Q3011" s="114" t="n">
        <v>0</v>
      </c>
      <c r="R3011" s="114" t="n">
        <v>849.86</v>
      </c>
      <c r="S3011" s="114" t="n">
        <v>0</v>
      </c>
      <c r="T3011" t="n">
        <v>0</v>
      </c>
    </row>
    <row r="3012">
      <c r="A3012" t="inlineStr">
        <is>
          <t>ttJTrans</t>
        </is>
      </c>
      <c r="B3012" s="38" t="inlineStr">
        <is>
          <t>0-4018</t>
        </is>
      </c>
      <c r="C3012" t="inlineStr">
        <is>
          <t>OC</t>
        </is>
      </c>
      <c r="E3012" t="inlineStr">
        <is>
          <t>OC</t>
        </is>
      </c>
      <c r="G3012" s="128" t="inlineStr"/>
      <c r="H3012" s="127" t="n">
        <v>46027</v>
      </c>
      <c r="J3012" s="38" t="inlineStr">
        <is>
          <t>0-4018</t>
        </is>
      </c>
      <c r="K3012" t="inlineStr">
        <is>
          <t>TRAVEL K BELTRAM 11/15/25</t>
        </is>
      </c>
      <c r="L3012" t="n">
        <v>0</v>
      </c>
      <c r="M3012" t="n">
        <v>0</v>
      </c>
      <c r="O3012" t="inlineStr">
        <is>
          <t>20542</t>
        </is>
      </c>
      <c r="P3012" t="inlineStr">
        <is>
          <t>CORPORATE TRAVELER</t>
        </is>
      </c>
      <c r="Q3012" s="114" t="n">
        <v>0</v>
      </c>
      <c r="R3012" s="114" t="n">
        <v>295.27</v>
      </c>
      <c r="S3012" s="114" t="n">
        <v>0</v>
      </c>
      <c r="T3012" t="n">
        <v>0</v>
      </c>
    </row>
    <row r="3013">
      <c r="A3013" t="inlineStr">
        <is>
          <t>ttJTrans</t>
        </is>
      </c>
      <c r="B3013" s="38" t="inlineStr">
        <is>
          <t>0-4018</t>
        </is>
      </c>
      <c r="C3013" t="inlineStr">
        <is>
          <t>OC</t>
        </is>
      </c>
      <c r="E3013" t="inlineStr">
        <is>
          <t>OC</t>
        </is>
      </c>
      <c r="G3013" s="128" t="inlineStr"/>
      <c r="H3013" s="127" t="n">
        <v>46035</v>
      </c>
      <c r="J3013" s="38" t="inlineStr">
        <is>
          <t>0-4018</t>
        </is>
      </c>
      <c r="K3013" t="inlineStr">
        <is>
          <t>TRAVEL M BRIDGES 1/12/26</t>
        </is>
      </c>
      <c r="L3013" t="n">
        <v>0</v>
      </c>
      <c r="M3013" t="n">
        <v>0</v>
      </c>
      <c r="O3013" t="inlineStr">
        <is>
          <t>20542</t>
        </is>
      </c>
      <c r="P3013" t="inlineStr">
        <is>
          <t>CORPORATE TRAVELER</t>
        </is>
      </c>
      <c r="Q3013" s="114" t="n">
        <v>0</v>
      </c>
      <c r="R3013" s="114" t="n">
        <v>705.5</v>
      </c>
      <c r="S3013" s="114" t="n">
        <v>0</v>
      </c>
      <c r="T3013" t="n">
        <v>0</v>
      </c>
    </row>
    <row r="3014">
      <c r="A3014" t="inlineStr">
        <is>
          <t>ttJTrans</t>
        </is>
      </c>
      <c r="B3014" s="38" t="inlineStr">
        <is>
          <t>0-4018</t>
        </is>
      </c>
      <c r="C3014" t="inlineStr">
        <is>
          <t>OC</t>
        </is>
      </c>
      <c r="E3014" t="inlineStr">
        <is>
          <t>OC</t>
        </is>
      </c>
      <c r="G3014" s="128" t="inlineStr"/>
      <c r="H3014" s="127" t="n">
        <v>46052</v>
      </c>
      <c r="J3014" s="38" t="inlineStr">
        <is>
          <t>0-4018</t>
        </is>
      </c>
      <c r="K3014" t="inlineStr">
        <is>
          <t>TRAVEL M BRIDGES 1/12/26</t>
        </is>
      </c>
      <c r="L3014" t="n">
        <v>0</v>
      </c>
      <c r="M3014" t="n">
        <v>0</v>
      </c>
      <c r="O3014" t="inlineStr">
        <is>
          <t>20542</t>
        </is>
      </c>
      <c r="P3014" t="inlineStr">
        <is>
          <t>CORPORATE TRAVELER</t>
        </is>
      </c>
      <c r="Q3014" s="114" t="n">
        <v>0</v>
      </c>
      <c r="R3014" s="114" t="n">
        <v>464.45</v>
      </c>
      <c r="S3014" s="114" t="n">
        <v>0</v>
      </c>
      <c r="T3014" t="n">
        <v>0</v>
      </c>
    </row>
    <row r="3015">
      <c r="A3015" t="inlineStr">
        <is>
          <t>ttJTrans</t>
        </is>
      </c>
      <c r="B3015" s="38" t="inlineStr">
        <is>
          <t>0-4018</t>
        </is>
      </c>
      <c r="C3015" t="inlineStr">
        <is>
          <t>OC</t>
        </is>
      </c>
      <c r="E3015" t="inlineStr">
        <is>
          <t>OC</t>
        </is>
      </c>
      <c r="G3015" s="128" t="inlineStr"/>
      <c r="H3015" s="127" t="n">
        <v>46071</v>
      </c>
      <c r="J3015" s="38" t="inlineStr">
        <is>
          <t>0-4018</t>
        </is>
      </c>
      <c r="K3015" t="inlineStr">
        <is>
          <t>TRAVEL W PARKER 2/5/26</t>
        </is>
      </c>
      <c r="L3015" t="n">
        <v>0</v>
      </c>
      <c r="M3015" t="n">
        <v>0</v>
      </c>
      <c r="O3015" t="inlineStr">
        <is>
          <t>20542</t>
        </is>
      </c>
      <c r="P3015" t="inlineStr">
        <is>
          <t>CORPORATE TRAVELER</t>
        </is>
      </c>
      <c r="Q3015" s="114" t="n">
        <v>0</v>
      </c>
      <c r="R3015" s="114" t="n">
        <v>169.64</v>
      </c>
      <c r="S3015" s="114" t="n">
        <v>0</v>
      </c>
      <c r="T3015" t="n">
        <v>0</v>
      </c>
    </row>
    <row r="3016">
      <c r="A3016" t="inlineStr">
        <is>
          <t>ttJTrans</t>
        </is>
      </c>
      <c r="B3016" s="38" t="inlineStr">
        <is>
          <t>0-4018</t>
        </is>
      </c>
      <c r="C3016" t="inlineStr">
        <is>
          <t>OC</t>
        </is>
      </c>
      <c r="E3016" t="inlineStr">
        <is>
          <t>OC</t>
        </is>
      </c>
      <c r="G3016" s="128" t="inlineStr"/>
      <c r="H3016" s="127" t="n">
        <v>46071</v>
      </c>
      <c r="J3016" s="38" t="inlineStr">
        <is>
          <t>0-4018</t>
        </is>
      </c>
      <c r="K3016" t="inlineStr">
        <is>
          <t>TRAVEL W PARKER 2/2/26</t>
        </is>
      </c>
      <c r="L3016" t="n">
        <v>0</v>
      </c>
      <c r="M3016" t="n">
        <v>0</v>
      </c>
      <c r="O3016" t="inlineStr">
        <is>
          <t>20542</t>
        </is>
      </c>
      <c r="P3016" t="inlineStr">
        <is>
          <t>CORPORATE TRAVELER</t>
        </is>
      </c>
      <c r="Q3016" s="114" t="n">
        <v>0</v>
      </c>
      <c r="R3016" s="114" t="n">
        <v>461.54</v>
      </c>
      <c r="S3016" s="114" t="n">
        <v>0</v>
      </c>
      <c r="T3016" t="n">
        <v>0</v>
      </c>
    </row>
    <row r="3017">
      <c r="A3017" t="inlineStr">
        <is>
          <t>ttJTrans</t>
        </is>
      </c>
      <c r="B3017" s="38" t="inlineStr">
        <is>
          <t>0-4018</t>
        </is>
      </c>
      <c r="C3017" t="inlineStr">
        <is>
          <t>OC</t>
        </is>
      </c>
      <c r="E3017" t="inlineStr">
        <is>
          <t>OC</t>
        </is>
      </c>
      <c r="G3017" s="128" t="inlineStr"/>
      <c r="H3017" s="127" t="n">
        <v>46058</v>
      </c>
      <c r="J3017" s="38" t="inlineStr">
        <is>
          <t>0-4018</t>
        </is>
      </c>
      <c r="K3017" t="inlineStr">
        <is>
          <t>TRAVEL M GONZALEZ 2/1/26</t>
        </is>
      </c>
      <c r="L3017" t="n">
        <v>0</v>
      </c>
      <c r="M3017" t="n">
        <v>0</v>
      </c>
      <c r="O3017" t="inlineStr">
        <is>
          <t>20542</t>
        </is>
      </c>
      <c r="P3017" t="inlineStr">
        <is>
          <t>CORPORATE TRAVELER</t>
        </is>
      </c>
      <c r="Q3017" s="114" t="n">
        <v>0</v>
      </c>
      <c r="R3017" s="114" t="n">
        <v>20.1</v>
      </c>
      <c r="S3017" s="114" t="n">
        <v>0</v>
      </c>
      <c r="T3017" t="n">
        <v>0</v>
      </c>
    </row>
    <row r="3018">
      <c r="A3018" t="inlineStr">
        <is>
          <t>ttJTrans</t>
        </is>
      </c>
      <c r="B3018" s="38" t="inlineStr">
        <is>
          <t>0-4018</t>
        </is>
      </c>
      <c r="C3018" t="inlineStr">
        <is>
          <t>OC</t>
        </is>
      </c>
      <c r="E3018" t="inlineStr">
        <is>
          <t>OC</t>
        </is>
      </c>
      <c r="G3018" s="128" t="inlineStr"/>
      <c r="H3018" s="127" t="n">
        <v>46071</v>
      </c>
      <c r="J3018" s="38" t="inlineStr">
        <is>
          <t>0-4018</t>
        </is>
      </c>
      <c r="K3018" t="inlineStr">
        <is>
          <t>TRAVEL M GONZALEZ 2/1/26</t>
        </is>
      </c>
      <c r="L3018" t="n">
        <v>0</v>
      </c>
      <c r="M3018" t="n">
        <v>0</v>
      </c>
      <c r="O3018" t="inlineStr">
        <is>
          <t>20542</t>
        </is>
      </c>
      <c r="P3018" t="inlineStr">
        <is>
          <t>CORPORATE TRAVELER</t>
        </is>
      </c>
      <c r="Q3018" s="114" t="n">
        <v>0</v>
      </c>
      <c r="R3018" s="114" t="n">
        <v>595.97</v>
      </c>
      <c r="S3018" s="114" t="n">
        <v>0</v>
      </c>
      <c r="T3018" t="n">
        <v>0</v>
      </c>
    </row>
    <row r="3019">
      <c r="A3019" t="inlineStr">
        <is>
          <t>ttJTrans</t>
        </is>
      </c>
      <c r="B3019" s="38" t="inlineStr">
        <is>
          <t>0-4018</t>
        </is>
      </c>
      <c r="C3019" t="inlineStr">
        <is>
          <t>OC</t>
        </is>
      </c>
      <c r="E3019" t="inlineStr">
        <is>
          <t>OC</t>
        </is>
      </c>
      <c r="G3019" s="128" t="inlineStr"/>
      <c r="H3019" s="127" t="n">
        <v>46071</v>
      </c>
      <c r="J3019" s="38" t="inlineStr">
        <is>
          <t>0-4018</t>
        </is>
      </c>
      <c r="K3019" t="inlineStr">
        <is>
          <t>TRAVEL J RION 2/19/26</t>
        </is>
      </c>
      <c r="L3019" t="n">
        <v>0</v>
      </c>
      <c r="M3019" t="n">
        <v>0</v>
      </c>
      <c r="O3019" t="inlineStr">
        <is>
          <t>20542</t>
        </is>
      </c>
      <c r="P3019" t="inlineStr">
        <is>
          <t>CORPORATE TRAVELER</t>
        </is>
      </c>
      <c r="Q3019" s="114" t="n">
        <v>0</v>
      </c>
      <c r="R3019" s="114" t="n">
        <v>20.1</v>
      </c>
      <c r="S3019" s="114" t="n">
        <v>0</v>
      </c>
      <c r="T3019" t="n">
        <v>0</v>
      </c>
    </row>
    <row r="3020">
      <c r="A3020" t="inlineStr">
        <is>
          <t>ttJTrans</t>
        </is>
      </c>
      <c r="B3020" s="38" t="inlineStr">
        <is>
          <t>0-4018</t>
        </is>
      </c>
      <c r="C3020" t="inlineStr">
        <is>
          <t>OC</t>
        </is>
      </c>
      <c r="E3020" t="inlineStr">
        <is>
          <t>OC</t>
        </is>
      </c>
      <c r="G3020" s="128" t="inlineStr"/>
      <c r="H3020" s="127" t="n">
        <v>46078</v>
      </c>
      <c r="J3020" s="38" t="inlineStr">
        <is>
          <t>0-4018</t>
        </is>
      </c>
      <c r="K3020" t="inlineStr">
        <is>
          <t>TRAVEL J RION 2/26/26</t>
        </is>
      </c>
      <c r="L3020" t="n">
        <v>0</v>
      </c>
      <c r="M3020" t="n">
        <v>0</v>
      </c>
      <c r="O3020" t="inlineStr">
        <is>
          <t>20542</t>
        </is>
      </c>
      <c r="P3020" t="inlineStr">
        <is>
          <t>CORPORATE TRAVELER</t>
        </is>
      </c>
      <c r="Q3020" s="114" t="n">
        <v>0</v>
      </c>
      <c r="R3020" s="114" t="n">
        <v>20.1</v>
      </c>
      <c r="S3020" s="114" t="n">
        <v>0</v>
      </c>
      <c r="T3020" t="n">
        <v>0</v>
      </c>
    </row>
    <row r="3021">
      <c r="A3021" t="inlineStr">
        <is>
          <t>ttJTrans</t>
        </is>
      </c>
      <c r="B3021" s="38" t="inlineStr">
        <is>
          <t>0-4018</t>
        </is>
      </c>
      <c r="C3021" t="inlineStr">
        <is>
          <t>OC</t>
        </is>
      </c>
      <c r="E3021" t="inlineStr">
        <is>
          <t>OC</t>
        </is>
      </c>
      <c r="G3021" s="128" t="inlineStr"/>
      <c r="H3021" s="127" t="n">
        <v>46078</v>
      </c>
      <c r="J3021" s="38" t="inlineStr">
        <is>
          <t>0-4018</t>
        </is>
      </c>
      <c r="K3021" t="inlineStr">
        <is>
          <t>TRAVEL J STEELMAN 2/26/26</t>
        </is>
      </c>
      <c r="L3021" t="n">
        <v>0</v>
      </c>
      <c r="M3021" t="n">
        <v>0</v>
      </c>
      <c r="O3021" t="inlineStr">
        <is>
          <t>20542</t>
        </is>
      </c>
      <c r="P3021" t="inlineStr">
        <is>
          <t>CORPORATE TRAVELER</t>
        </is>
      </c>
      <c r="Q3021" s="114" t="n">
        <v>0</v>
      </c>
      <c r="R3021" s="114" t="n">
        <v>21.46</v>
      </c>
      <c r="S3021" s="114" t="n">
        <v>0</v>
      </c>
      <c r="T3021" t="n">
        <v>0</v>
      </c>
    </row>
    <row r="3022">
      <c r="A3022" t="inlineStr">
        <is>
          <t>ttJTrans</t>
        </is>
      </c>
      <c r="B3022" s="38" t="inlineStr">
        <is>
          <t>0-4018</t>
        </is>
      </c>
      <c r="C3022" t="inlineStr">
        <is>
          <t>OC</t>
        </is>
      </c>
      <c r="E3022" t="inlineStr">
        <is>
          <t>OC</t>
        </is>
      </c>
      <c r="G3022" s="128" t="inlineStr"/>
      <c r="H3022" s="127" t="n">
        <v>46078</v>
      </c>
      <c r="J3022" s="38" t="inlineStr">
        <is>
          <t>0-4018</t>
        </is>
      </c>
      <c r="K3022" t="inlineStr">
        <is>
          <t>ADAM TRAHAN EXPENSE REPORT</t>
        </is>
      </c>
      <c r="L3022" t="n">
        <v>0</v>
      </c>
      <c r="M3022" t="n">
        <v>0</v>
      </c>
      <c r="O3022" t="inlineStr">
        <is>
          <t>16913</t>
        </is>
      </c>
      <c r="P3022" t="inlineStr">
        <is>
          <t>TRAHAN, ADAM M.</t>
        </is>
      </c>
      <c r="Q3022" s="114" t="n">
        <v>0</v>
      </c>
      <c r="R3022" s="114" t="n">
        <v>2075</v>
      </c>
      <c r="S3022" s="114" t="n">
        <v>0</v>
      </c>
      <c r="T3022" t="n">
        <v>0</v>
      </c>
    </row>
    <row r="3023">
      <c r="A3023" t="inlineStr">
        <is>
          <t>ttJTrans</t>
        </is>
      </c>
      <c r="B3023" s="38" t="inlineStr">
        <is>
          <t>0-4018</t>
        </is>
      </c>
      <c r="C3023" t="inlineStr">
        <is>
          <t>OC</t>
        </is>
      </c>
      <c r="E3023" t="inlineStr">
        <is>
          <t>OC</t>
        </is>
      </c>
      <c r="G3023" s="128" t="inlineStr"/>
      <c r="H3023" s="127" t="n">
        <v>46093</v>
      </c>
      <c r="J3023" s="38" t="inlineStr">
        <is>
          <t>0-4018</t>
        </is>
      </c>
      <c r="K3023" t="inlineStr">
        <is>
          <t>TRAVEL E URBINA 3/9/26</t>
        </is>
      </c>
      <c r="L3023" t="n">
        <v>0</v>
      </c>
      <c r="M3023" t="n">
        <v>0</v>
      </c>
      <c r="O3023" t="inlineStr">
        <is>
          <t>20542</t>
        </is>
      </c>
      <c r="P3023" t="inlineStr">
        <is>
          <t>CORPORATE TRAVELER</t>
        </is>
      </c>
      <c r="Q3023" s="114" t="n">
        <v>0</v>
      </c>
      <c r="R3023" s="114" t="n">
        <v>20.1</v>
      </c>
      <c r="S3023" s="114" t="n">
        <v>0</v>
      </c>
      <c r="T3023" t="n">
        <v>0</v>
      </c>
    </row>
    <row r="3024">
      <c r="A3024" t="inlineStr">
        <is>
          <t>ttJTrans</t>
        </is>
      </c>
      <c r="B3024" s="38" t="inlineStr">
        <is>
          <t>0-4018</t>
        </is>
      </c>
      <c r="C3024" t="inlineStr">
        <is>
          <t>OC</t>
        </is>
      </c>
      <c r="E3024" t="inlineStr">
        <is>
          <t>OC</t>
        </is>
      </c>
      <c r="G3024" s="128" t="inlineStr"/>
      <c r="H3024" s="127" t="n">
        <v>46093</v>
      </c>
      <c r="J3024" s="38" t="inlineStr">
        <is>
          <t>0-4018</t>
        </is>
      </c>
      <c r="K3024" t="inlineStr">
        <is>
          <t>TRAVEL E URBINA 2/26/26</t>
        </is>
      </c>
      <c r="L3024" t="n">
        <v>0</v>
      </c>
      <c r="M3024" t="n">
        <v>0</v>
      </c>
      <c r="O3024" t="inlineStr">
        <is>
          <t>20542</t>
        </is>
      </c>
      <c r="P3024" t="inlineStr">
        <is>
          <t>CORPORATE TRAVELER</t>
        </is>
      </c>
      <c r="Q3024" s="114" t="n">
        <v>0</v>
      </c>
      <c r="R3024" s="114" t="n">
        <v>283.95</v>
      </c>
      <c r="S3024" s="114" t="n">
        <v>0</v>
      </c>
      <c r="T3024" t="n">
        <v>0</v>
      </c>
    </row>
    <row r="3025">
      <c r="A3025" t="inlineStr">
        <is>
          <t>ttJTrans</t>
        </is>
      </c>
      <c r="B3025" s="38" t="inlineStr">
        <is>
          <t>0-4018</t>
        </is>
      </c>
      <c r="C3025" t="inlineStr">
        <is>
          <t>OC</t>
        </is>
      </c>
      <c r="E3025" t="inlineStr">
        <is>
          <t>OC</t>
        </is>
      </c>
      <c r="G3025" s="128" t="inlineStr"/>
      <c r="H3025" s="127" t="n">
        <v>46093</v>
      </c>
      <c r="J3025" s="38" t="inlineStr">
        <is>
          <t>0-4018</t>
        </is>
      </c>
      <c r="K3025" t="inlineStr">
        <is>
          <t>TRAVEL D DENNISON 2/2/26</t>
        </is>
      </c>
      <c r="L3025" t="n">
        <v>0</v>
      </c>
      <c r="M3025" t="n">
        <v>0</v>
      </c>
      <c r="O3025" t="inlineStr">
        <is>
          <t>20542</t>
        </is>
      </c>
      <c r="P3025" t="inlineStr">
        <is>
          <t>CORPORATE TRAVELER</t>
        </is>
      </c>
      <c r="Q3025" s="114" t="n">
        <v>0</v>
      </c>
      <c r="R3025" s="114" t="n">
        <v>20.1</v>
      </c>
      <c r="S3025" s="114" t="n">
        <v>0</v>
      </c>
      <c r="T3025" t="n">
        <v>0</v>
      </c>
    </row>
    <row r="3026">
      <c r="A3026" t="inlineStr">
        <is>
          <t>ttJTrans</t>
        </is>
      </c>
      <c r="B3026" s="38" t="inlineStr">
        <is>
          <t>0-4018</t>
        </is>
      </c>
      <c r="C3026" t="inlineStr">
        <is>
          <t>OC</t>
        </is>
      </c>
      <c r="E3026" t="inlineStr">
        <is>
          <t>OC</t>
        </is>
      </c>
      <c r="G3026" s="128" t="inlineStr"/>
      <c r="H3026" s="127" t="n">
        <v>46105</v>
      </c>
      <c r="J3026" s="38" t="inlineStr">
        <is>
          <t>0-4018</t>
        </is>
      </c>
      <c r="K3026" t="inlineStr">
        <is>
          <t>25-4001 FEB USE TAX ADJ</t>
        </is>
      </c>
      <c r="L3026" t="n">
        <v>0</v>
      </c>
      <c r="M3026" t="n">
        <v>0</v>
      </c>
      <c r="Q3026" s="114" t="n">
        <v>0</v>
      </c>
      <c r="R3026" s="114" t="n">
        <v>-1.36</v>
      </c>
      <c r="S3026" s="114" t="n">
        <v>0</v>
      </c>
      <c r="T3026" t="n">
        <v>0</v>
      </c>
    </row>
    <row r="3027">
      <c r="A3027" t="inlineStr">
        <is>
          <t>ttJTrans</t>
        </is>
      </c>
      <c r="B3027" s="38" t="inlineStr">
        <is>
          <t>0-4018</t>
        </is>
      </c>
      <c r="C3027" t="inlineStr">
        <is>
          <t>OC</t>
        </is>
      </c>
      <c r="E3027" t="inlineStr">
        <is>
          <t>OC</t>
        </is>
      </c>
      <c r="G3027" s="128" t="inlineStr"/>
      <c r="H3027" s="127" t="n">
        <v>46084</v>
      </c>
      <c r="J3027" s="38" t="inlineStr">
        <is>
          <t>0-4018</t>
        </is>
      </c>
      <c r="K3027" t="inlineStr">
        <is>
          <t>TRAVEL L COOLEY 2/26/26</t>
        </is>
      </c>
      <c r="L3027" t="n">
        <v>0</v>
      </c>
      <c r="M3027" t="n">
        <v>0</v>
      </c>
      <c r="O3027" t="inlineStr">
        <is>
          <t>20542</t>
        </is>
      </c>
      <c r="P3027" t="inlineStr">
        <is>
          <t>CORPORATE TRAVELER</t>
        </is>
      </c>
      <c r="Q3027" s="114" t="n">
        <v>0</v>
      </c>
      <c r="R3027" s="114" t="n">
        <v>20.1</v>
      </c>
      <c r="S3027" s="114" t="n">
        <v>0</v>
      </c>
      <c r="T3027" t="n">
        <v>0</v>
      </c>
    </row>
    <row r="3028">
      <c r="A3028" t="inlineStr">
        <is>
          <t>ttJTrans</t>
        </is>
      </c>
      <c r="B3028" s="38" t="inlineStr">
        <is>
          <t>0-4018</t>
        </is>
      </c>
      <c r="C3028" t="inlineStr">
        <is>
          <t>OC</t>
        </is>
      </c>
      <c r="E3028" t="inlineStr">
        <is>
          <t>OC</t>
        </is>
      </c>
      <c r="G3028" s="128" t="inlineStr"/>
      <c r="H3028" s="127" t="n">
        <v>46084</v>
      </c>
      <c r="J3028" s="38" t="inlineStr">
        <is>
          <t>0-4018</t>
        </is>
      </c>
      <c r="K3028" t="inlineStr">
        <is>
          <t>TRAVEL E URBINA 2/26/26</t>
        </is>
      </c>
      <c r="L3028" t="n">
        <v>0</v>
      </c>
      <c r="M3028" t="n">
        <v>0</v>
      </c>
      <c r="O3028" t="inlineStr">
        <is>
          <t>20542</t>
        </is>
      </c>
      <c r="P3028" t="inlineStr">
        <is>
          <t>CORPORATE TRAVELER</t>
        </is>
      </c>
      <c r="Q3028" s="114" t="n">
        <v>0</v>
      </c>
      <c r="R3028" s="114" t="n">
        <v>20.1</v>
      </c>
      <c r="S3028" s="114" t="n">
        <v>0</v>
      </c>
      <c r="T3028" t="n">
        <v>0</v>
      </c>
    </row>
    <row r="3029">
      <c r="A3029" t="inlineStr">
        <is>
          <t>ttJTrans</t>
        </is>
      </c>
      <c r="B3029" s="38" t="inlineStr">
        <is>
          <t>0-4018</t>
        </is>
      </c>
      <c r="C3029" t="inlineStr">
        <is>
          <t>OC</t>
        </is>
      </c>
      <c r="E3029" t="inlineStr">
        <is>
          <t>OC</t>
        </is>
      </c>
      <c r="G3029" s="128" t="inlineStr"/>
      <c r="H3029" s="127" t="n">
        <v>46086</v>
      </c>
      <c r="J3029" s="38" t="inlineStr">
        <is>
          <t>0-4018</t>
        </is>
      </c>
      <c r="K3029" t="inlineStr">
        <is>
          <t>BRYAN MCCURLEY EXPENSE REPORT</t>
        </is>
      </c>
      <c r="L3029" t="n">
        <v>0</v>
      </c>
      <c r="M3029" t="n">
        <v>0</v>
      </c>
      <c r="O3029" t="inlineStr">
        <is>
          <t>20331</t>
        </is>
      </c>
      <c r="P3029" t="inlineStr">
        <is>
          <t>MCCURLEY, MARCUS BRYAN</t>
        </is>
      </c>
      <c r="Q3029" s="114" t="n">
        <v>0</v>
      </c>
      <c r="R3029" s="114" t="n">
        <v>453.98</v>
      </c>
      <c r="S3029" s="114" t="n">
        <v>0</v>
      </c>
      <c r="T3029" t="n">
        <v>0</v>
      </c>
    </row>
    <row r="3030">
      <c r="A3030" t="inlineStr">
        <is>
          <t>ttJTrans</t>
        </is>
      </c>
      <c r="B3030" s="38" t="inlineStr">
        <is>
          <t>0-4018</t>
        </is>
      </c>
      <c r="C3030" t="inlineStr">
        <is>
          <t>OC</t>
        </is>
      </c>
      <c r="E3030" t="inlineStr">
        <is>
          <t>OC</t>
        </is>
      </c>
      <c r="G3030" s="128" t="inlineStr"/>
      <c r="H3030" s="127" t="n">
        <v>46105</v>
      </c>
      <c r="J3030" s="38" t="inlineStr">
        <is>
          <t>0-4018</t>
        </is>
      </c>
      <c r="K3030" t="inlineStr">
        <is>
          <t>TRAVEL J BARTLES 3/9/26</t>
        </is>
      </c>
      <c r="L3030" t="n">
        <v>0</v>
      </c>
      <c r="M3030" t="n">
        <v>0</v>
      </c>
      <c r="O3030" t="inlineStr">
        <is>
          <t>20542</t>
        </is>
      </c>
      <c r="P3030" t="inlineStr">
        <is>
          <t>CORPORATE TRAVELER</t>
        </is>
      </c>
      <c r="Q3030" s="114" t="n">
        <v>0</v>
      </c>
      <c r="R3030" s="114" t="n">
        <v>629.45</v>
      </c>
      <c r="S3030" s="114" t="n">
        <v>0</v>
      </c>
      <c r="T3030" t="n">
        <v>0</v>
      </c>
    </row>
    <row r="3031">
      <c r="A3031" t="inlineStr">
        <is>
          <t>ttJTrans</t>
        </is>
      </c>
      <c r="B3031" s="38" t="inlineStr">
        <is>
          <t>0-4018</t>
        </is>
      </c>
      <c r="C3031" t="inlineStr">
        <is>
          <t>OC</t>
        </is>
      </c>
      <c r="E3031" t="inlineStr">
        <is>
          <t>OC</t>
        </is>
      </c>
      <c r="G3031" s="128" t="inlineStr"/>
      <c r="H3031" s="127" t="n">
        <v>46098</v>
      </c>
      <c r="J3031" s="38" t="inlineStr">
        <is>
          <t>0-4018</t>
        </is>
      </c>
      <c r="K3031" t="inlineStr">
        <is>
          <t>TRAVEL J BARTLES 3/12/26</t>
        </is>
      </c>
      <c r="L3031" t="n">
        <v>0</v>
      </c>
      <c r="M3031" t="n">
        <v>0</v>
      </c>
      <c r="O3031" t="inlineStr">
        <is>
          <t>20542</t>
        </is>
      </c>
      <c r="P3031" t="inlineStr">
        <is>
          <t>CORPORATE TRAVELER</t>
        </is>
      </c>
      <c r="Q3031" s="114" t="n">
        <v>0</v>
      </c>
      <c r="R3031" s="114" t="n">
        <v>246.71</v>
      </c>
      <c r="S3031" s="114" t="n">
        <v>0</v>
      </c>
      <c r="T3031" t="n">
        <v>0</v>
      </c>
    </row>
    <row r="3032">
      <c r="A3032" t="inlineStr">
        <is>
          <t>ttJTrans</t>
        </is>
      </c>
      <c r="B3032" s="38" t="inlineStr">
        <is>
          <t>0-4018</t>
        </is>
      </c>
      <c r="C3032" t="inlineStr">
        <is>
          <t>OC</t>
        </is>
      </c>
      <c r="E3032" t="inlineStr">
        <is>
          <t>OC</t>
        </is>
      </c>
      <c r="G3032" s="128" t="inlineStr"/>
      <c r="H3032" s="127" t="n">
        <v>46098</v>
      </c>
      <c r="J3032" s="38" t="inlineStr">
        <is>
          <t>0-4018</t>
        </is>
      </c>
      <c r="K3032" t="inlineStr">
        <is>
          <t>TRAVEL D DENNISON 2/2/26</t>
        </is>
      </c>
      <c r="L3032" t="n">
        <v>0</v>
      </c>
      <c r="M3032" t="n">
        <v>0</v>
      </c>
      <c r="O3032" t="inlineStr">
        <is>
          <t>20542</t>
        </is>
      </c>
      <c r="P3032" t="inlineStr">
        <is>
          <t>CORPORATE TRAVELER</t>
        </is>
      </c>
      <c r="Q3032" s="114" t="n">
        <v>0</v>
      </c>
      <c r="R3032" s="114" t="n">
        <v>618.9</v>
      </c>
      <c r="S3032" s="114" t="n">
        <v>0</v>
      </c>
      <c r="T3032" t="n">
        <v>0</v>
      </c>
    </row>
    <row r="3033">
      <c r="A3033" t="inlineStr">
        <is>
          <t>ttJTrans</t>
        </is>
      </c>
      <c r="B3033" s="38" t="inlineStr">
        <is>
          <t>0-4018</t>
        </is>
      </c>
      <c r="C3033" t="inlineStr">
        <is>
          <t>OC</t>
        </is>
      </c>
      <c r="E3033" t="inlineStr">
        <is>
          <t>OC</t>
        </is>
      </c>
      <c r="G3033" s="128" t="inlineStr"/>
      <c r="H3033" s="127" t="n">
        <v>46098</v>
      </c>
      <c r="J3033" s="38" t="inlineStr">
        <is>
          <t>0-4018</t>
        </is>
      </c>
      <c r="K3033" t="inlineStr">
        <is>
          <t>TRAVEL M MCCURLEY 3/11/26</t>
        </is>
      </c>
      <c r="L3033" t="n">
        <v>0</v>
      </c>
      <c r="M3033" t="n">
        <v>0</v>
      </c>
      <c r="O3033" t="inlineStr">
        <is>
          <t>20542</t>
        </is>
      </c>
      <c r="P3033" t="inlineStr">
        <is>
          <t>CORPORATE TRAVELER</t>
        </is>
      </c>
      <c r="Q3033" s="114" t="n">
        <v>0</v>
      </c>
      <c r="R3033" s="114" t="n">
        <v>20.1</v>
      </c>
      <c r="S3033" s="114" t="n">
        <v>0</v>
      </c>
      <c r="T3033" t="n">
        <v>0</v>
      </c>
    </row>
    <row r="3034">
      <c r="A3034" t="inlineStr">
        <is>
          <t>ttJTrans</t>
        </is>
      </c>
      <c r="B3034" s="38" t="inlineStr">
        <is>
          <t>0-4018</t>
        </is>
      </c>
      <c r="C3034" t="inlineStr">
        <is>
          <t>OC</t>
        </is>
      </c>
      <c r="E3034" t="inlineStr">
        <is>
          <t>OC</t>
        </is>
      </c>
      <c r="G3034" s="128" t="inlineStr"/>
      <c r="H3034" s="127" t="n">
        <v>46098</v>
      </c>
      <c r="J3034" s="38" t="inlineStr">
        <is>
          <t>0-4018</t>
        </is>
      </c>
      <c r="K3034" t="inlineStr">
        <is>
          <t>TRAVEL D HOPKINS 3/15/26</t>
        </is>
      </c>
      <c r="L3034" t="n">
        <v>0</v>
      </c>
      <c r="M3034" t="n">
        <v>0</v>
      </c>
      <c r="O3034" t="inlineStr">
        <is>
          <t>20542</t>
        </is>
      </c>
      <c r="P3034" t="inlineStr">
        <is>
          <t>CORPORATE TRAVELER</t>
        </is>
      </c>
      <c r="Q3034" s="114" t="n">
        <v>0</v>
      </c>
      <c r="R3034" s="114" t="n">
        <v>20.1</v>
      </c>
      <c r="S3034" s="114" t="n">
        <v>0</v>
      </c>
      <c r="T3034" t="n">
        <v>0</v>
      </c>
    </row>
    <row r="3035">
      <c r="A3035" t="inlineStr">
        <is>
          <t>ttJTrans</t>
        </is>
      </c>
      <c r="B3035" s="38" t="inlineStr">
        <is>
          <t>0-4018</t>
        </is>
      </c>
      <c r="C3035" t="inlineStr">
        <is>
          <t>OC</t>
        </is>
      </c>
      <c r="E3035" t="inlineStr">
        <is>
          <t>OC</t>
        </is>
      </c>
      <c r="G3035" s="128" t="inlineStr"/>
      <c r="H3035" s="127" t="n">
        <v>46098</v>
      </c>
      <c r="J3035" s="38" t="inlineStr">
        <is>
          <t>0-4018</t>
        </is>
      </c>
      <c r="K3035" t="inlineStr">
        <is>
          <t>TRAVEL L BIVENS 3/16/26</t>
        </is>
      </c>
      <c r="L3035" t="n">
        <v>0</v>
      </c>
      <c r="M3035" t="n">
        <v>0</v>
      </c>
      <c r="O3035" t="inlineStr">
        <is>
          <t>20542</t>
        </is>
      </c>
      <c r="P3035" t="inlineStr">
        <is>
          <t>CORPORATE TRAVELER</t>
        </is>
      </c>
      <c r="Q3035" s="114" t="n">
        <v>0</v>
      </c>
      <c r="R3035" s="114" t="n">
        <v>20.1</v>
      </c>
      <c r="S3035" s="114" t="n">
        <v>0</v>
      </c>
      <c r="T3035" t="n">
        <v>0</v>
      </c>
    </row>
    <row r="3036">
      <c r="A3036" t="inlineStr">
        <is>
          <t>ttJTrans</t>
        </is>
      </c>
      <c r="B3036" s="38" t="inlineStr">
        <is>
          <t>0-4018</t>
        </is>
      </c>
      <c r="C3036" t="inlineStr">
        <is>
          <t>OC</t>
        </is>
      </c>
      <c r="E3036" t="inlineStr">
        <is>
          <t>OC</t>
        </is>
      </c>
      <c r="G3036" s="128" t="inlineStr"/>
      <c r="H3036" s="127" t="n">
        <v>46098</v>
      </c>
      <c r="J3036" s="38" t="inlineStr">
        <is>
          <t>0-4018</t>
        </is>
      </c>
      <c r="K3036" t="inlineStr">
        <is>
          <t>TRAVEL R FIGUEROA 3/9/26</t>
        </is>
      </c>
      <c r="L3036" t="n">
        <v>0</v>
      </c>
      <c r="M3036" t="n">
        <v>0</v>
      </c>
      <c r="O3036" t="inlineStr">
        <is>
          <t>20542</t>
        </is>
      </c>
      <c r="P3036" t="inlineStr">
        <is>
          <t>CORPORATE TRAVELER</t>
        </is>
      </c>
      <c r="Q3036" s="114" t="n">
        <v>0</v>
      </c>
      <c r="R3036" s="114" t="n">
        <v>20.1</v>
      </c>
      <c r="S3036" s="114" t="n">
        <v>0</v>
      </c>
      <c r="T3036" t="n">
        <v>0</v>
      </c>
    </row>
    <row r="3037">
      <c r="A3037" t="inlineStr">
        <is>
          <t>ttJTrans</t>
        </is>
      </c>
      <c r="B3037" s="38" t="inlineStr">
        <is>
          <t>0-4018</t>
        </is>
      </c>
      <c r="C3037" t="inlineStr">
        <is>
          <t>OC</t>
        </is>
      </c>
      <c r="E3037" t="inlineStr">
        <is>
          <t>OC</t>
        </is>
      </c>
      <c r="G3037" s="128" t="inlineStr"/>
      <c r="H3037" s="127" t="n">
        <v>46098</v>
      </c>
      <c r="J3037" s="38" t="inlineStr">
        <is>
          <t>0-4018</t>
        </is>
      </c>
      <c r="K3037" t="inlineStr">
        <is>
          <t>TRAVEL M DUHON 3/9/26</t>
        </is>
      </c>
      <c r="L3037" t="n">
        <v>0</v>
      </c>
      <c r="M3037" t="n">
        <v>0</v>
      </c>
      <c r="O3037" t="inlineStr">
        <is>
          <t>20542</t>
        </is>
      </c>
      <c r="P3037" t="inlineStr">
        <is>
          <t>CORPORATE TRAVELER</t>
        </is>
      </c>
      <c r="Q3037" s="114" t="n">
        <v>0</v>
      </c>
      <c r="R3037" s="114" t="n">
        <v>40.2</v>
      </c>
      <c r="S3037" s="114" t="n">
        <v>0</v>
      </c>
      <c r="T3037" t="n">
        <v>0</v>
      </c>
    </row>
    <row r="3038">
      <c r="A3038" t="inlineStr">
        <is>
          <t>ttJTrans</t>
        </is>
      </c>
      <c r="B3038" s="38" t="inlineStr">
        <is>
          <t>0-4018</t>
        </is>
      </c>
      <c r="C3038" t="inlineStr">
        <is>
          <t>OC</t>
        </is>
      </c>
      <c r="E3038" t="inlineStr">
        <is>
          <t>OC</t>
        </is>
      </c>
      <c r="G3038" s="128" t="inlineStr"/>
      <c r="H3038" s="127" t="n">
        <v>46105</v>
      </c>
      <c r="J3038" s="38" t="inlineStr">
        <is>
          <t>0-4018</t>
        </is>
      </c>
      <c r="K3038" t="inlineStr">
        <is>
          <t>TRAVEL J JULIAN 3/31/26</t>
        </is>
      </c>
      <c r="L3038" t="n">
        <v>0</v>
      </c>
      <c r="M3038" t="n">
        <v>0</v>
      </c>
      <c r="O3038" t="inlineStr">
        <is>
          <t>20542</t>
        </is>
      </c>
      <c r="P3038" t="inlineStr">
        <is>
          <t>CORPORATE TRAVELER</t>
        </is>
      </c>
      <c r="Q3038" s="114" t="n">
        <v>0</v>
      </c>
      <c r="R3038" s="114" t="n">
        <v>20.1</v>
      </c>
      <c r="S3038" s="114" t="n">
        <v>0</v>
      </c>
      <c r="T3038" t="n">
        <v>0</v>
      </c>
    </row>
    <row r="3039">
      <c r="A3039" t="inlineStr">
        <is>
          <t>ttJTrans</t>
        </is>
      </c>
      <c r="B3039" s="38" t="inlineStr">
        <is>
          <t>0-4018</t>
        </is>
      </c>
      <c r="C3039" t="inlineStr">
        <is>
          <t>OC</t>
        </is>
      </c>
      <c r="E3039" t="inlineStr">
        <is>
          <t>OC</t>
        </is>
      </c>
      <c r="G3039" s="128" t="inlineStr"/>
      <c r="H3039" s="127" t="n">
        <v>46105</v>
      </c>
      <c r="J3039" s="38" t="inlineStr">
        <is>
          <t>0-4018</t>
        </is>
      </c>
      <c r="K3039" t="inlineStr">
        <is>
          <t>TRAVEL J STEELMAN 3/10/26</t>
        </is>
      </c>
      <c r="L3039" t="n">
        <v>0</v>
      </c>
      <c r="M3039" t="n">
        <v>0</v>
      </c>
      <c r="O3039" t="inlineStr">
        <is>
          <t>20542</t>
        </is>
      </c>
      <c r="P3039" t="inlineStr">
        <is>
          <t>CORPORATE TRAVELER</t>
        </is>
      </c>
      <c r="Q3039" s="114" t="n">
        <v>0</v>
      </c>
      <c r="R3039" s="114" t="n">
        <v>40.2</v>
      </c>
      <c r="S3039" s="114" t="n">
        <v>0</v>
      </c>
      <c r="T3039" t="n">
        <v>0</v>
      </c>
    </row>
    <row r="3040">
      <c r="A3040" t="inlineStr">
        <is>
          <t>ttJTrans</t>
        </is>
      </c>
      <c r="B3040" s="38" t="inlineStr">
        <is>
          <t>0-4018</t>
        </is>
      </c>
      <c r="C3040" t="inlineStr">
        <is>
          <t>OC</t>
        </is>
      </c>
      <c r="E3040" t="inlineStr">
        <is>
          <t>OC</t>
        </is>
      </c>
      <c r="G3040" s="128" t="inlineStr"/>
      <c r="H3040" s="127" t="n">
        <v>46105</v>
      </c>
      <c r="J3040" s="38" t="inlineStr">
        <is>
          <t>0-4018</t>
        </is>
      </c>
      <c r="K3040" t="inlineStr">
        <is>
          <t>TRAVEL D SALDANA 3/17/26</t>
        </is>
      </c>
      <c r="L3040" t="n">
        <v>0</v>
      </c>
      <c r="M3040" t="n">
        <v>0</v>
      </c>
      <c r="O3040" t="inlineStr">
        <is>
          <t>20542</t>
        </is>
      </c>
      <c r="P3040" t="inlineStr">
        <is>
          <t>CORPORATE TRAVELER</t>
        </is>
      </c>
      <c r="Q3040" s="114" t="n">
        <v>0</v>
      </c>
      <c r="R3040" s="114" t="n">
        <v>20.1</v>
      </c>
      <c r="S3040" s="114" t="n">
        <v>0</v>
      </c>
      <c r="T3040" t="n">
        <v>0</v>
      </c>
    </row>
    <row r="3041">
      <c r="A3041" t="inlineStr">
        <is>
          <t>ttJTrans</t>
        </is>
      </c>
      <c r="B3041" s="38" t="inlineStr">
        <is>
          <t>0-4018</t>
        </is>
      </c>
      <c r="C3041" t="inlineStr">
        <is>
          <t>OC</t>
        </is>
      </c>
      <c r="E3041" t="inlineStr">
        <is>
          <t>OC</t>
        </is>
      </c>
      <c r="G3041" s="128" t="inlineStr"/>
      <c r="H3041" s="127" t="n">
        <v>46105</v>
      </c>
      <c r="J3041" s="38" t="inlineStr">
        <is>
          <t>0-4018</t>
        </is>
      </c>
      <c r="K3041" t="inlineStr">
        <is>
          <t>TRAVEL D HOPKINS 3/15/26</t>
        </is>
      </c>
      <c r="L3041" t="n">
        <v>0</v>
      </c>
      <c r="M3041" t="n">
        <v>0</v>
      </c>
      <c r="O3041" t="inlineStr">
        <is>
          <t>20542</t>
        </is>
      </c>
      <c r="P3041" t="inlineStr">
        <is>
          <t>CORPORATE TRAVELER</t>
        </is>
      </c>
      <c r="Q3041" s="114" t="n">
        <v>0</v>
      </c>
      <c r="R3041" s="114" t="n">
        <v>303.82</v>
      </c>
      <c r="S3041" s="114" t="n">
        <v>0</v>
      </c>
      <c r="T3041" t="n">
        <v>0</v>
      </c>
    </row>
    <row r="3042">
      <c r="A3042" t="inlineStr">
        <is>
          <t>ttJTrans</t>
        </is>
      </c>
      <c r="B3042" s="38" t="inlineStr">
        <is>
          <t>0-4018</t>
        </is>
      </c>
      <c r="C3042" t="inlineStr">
        <is>
          <t>OC</t>
        </is>
      </c>
      <c r="E3042" t="inlineStr">
        <is>
          <t>OC</t>
        </is>
      </c>
      <c r="G3042" s="128" t="inlineStr"/>
      <c r="H3042" s="127" t="n">
        <v>46105</v>
      </c>
      <c r="J3042" s="38" t="inlineStr">
        <is>
          <t>0-4018</t>
        </is>
      </c>
      <c r="K3042" t="inlineStr">
        <is>
          <t>TRAVEL M MCCURLEY 3/11/26</t>
        </is>
      </c>
      <c r="L3042" t="n">
        <v>0</v>
      </c>
      <c r="M3042" t="n">
        <v>0</v>
      </c>
      <c r="O3042" t="inlineStr">
        <is>
          <t>20542</t>
        </is>
      </c>
      <c r="P3042" t="inlineStr">
        <is>
          <t>CORPORATE TRAVELER</t>
        </is>
      </c>
      <c r="Q3042" s="114" t="n">
        <v>0</v>
      </c>
      <c r="R3042" s="114" t="n">
        <v>149.45</v>
      </c>
      <c r="S3042" s="114" t="n">
        <v>0</v>
      </c>
      <c r="T3042" t="n">
        <v>0</v>
      </c>
    </row>
    <row r="3043">
      <c r="A3043" t="inlineStr">
        <is>
          <t>ttJTrans</t>
        </is>
      </c>
      <c r="B3043" s="38" t="inlineStr">
        <is>
          <t>0-4018</t>
        </is>
      </c>
      <c r="C3043" t="inlineStr">
        <is>
          <t>OC</t>
        </is>
      </c>
      <c r="E3043" t="inlineStr">
        <is>
          <t>OC</t>
        </is>
      </c>
      <c r="G3043" s="128" t="inlineStr"/>
      <c r="H3043" s="127" t="n">
        <v>46105</v>
      </c>
      <c r="J3043" s="38" t="inlineStr">
        <is>
          <t>0-4018</t>
        </is>
      </c>
      <c r="K3043" t="inlineStr">
        <is>
          <t>TRAVEL J BARTLES 3/16/26</t>
        </is>
      </c>
      <c r="L3043" t="n">
        <v>0</v>
      </c>
      <c r="M3043" t="n">
        <v>0</v>
      </c>
      <c r="O3043" t="inlineStr">
        <is>
          <t>20542</t>
        </is>
      </c>
      <c r="P3043" t="inlineStr">
        <is>
          <t>CORPORATE TRAVELER</t>
        </is>
      </c>
      <c r="Q3043" s="114" t="n">
        <v>0</v>
      </c>
      <c r="R3043" s="114" t="n">
        <v>937.5599999999999</v>
      </c>
      <c r="S3043" s="114" t="n">
        <v>0</v>
      </c>
      <c r="T3043" t="n">
        <v>0</v>
      </c>
    </row>
    <row r="3044">
      <c r="A3044" t="inlineStr">
        <is>
          <t>ttJTrans</t>
        </is>
      </c>
      <c r="B3044" s="38" t="inlineStr">
        <is>
          <t>0-4018</t>
        </is>
      </c>
      <c r="C3044" t="inlineStr">
        <is>
          <t>OC</t>
        </is>
      </c>
      <c r="E3044" t="inlineStr">
        <is>
          <t>OC</t>
        </is>
      </c>
      <c r="G3044" s="128" t="inlineStr"/>
      <c r="H3044" s="127" t="n">
        <v>46105</v>
      </c>
      <c r="J3044" s="38" t="inlineStr">
        <is>
          <t>0-4018</t>
        </is>
      </c>
      <c r="K3044" t="inlineStr">
        <is>
          <t>TRAVEL J RION 3/9/26</t>
        </is>
      </c>
      <c r="L3044" t="n">
        <v>0</v>
      </c>
      <c r="M3044" t="n">
        <v>0</v>
      </c>
      <c r="O3044" t="inlineStr">
        <is>
          <t>20542</t>
        </is>
      </c>
      <c r="P3044" t="inlineStr">
        <is>
          <t>CORPORATE TRAVELER</t>
        </is>
      </c>
      <c r="Q3044" s="114" t="n">
        <v>0</v>
      </c>
      <c r="R3044" s="114" t="n">
        <v>491.07</v>
      </c>
      <c r="S3044" s="114" t="n">
        <v>0</v>
      </c>
      <c r="T3044" t="n">
        <v>0</v>
      </c>
    </row>
    <row r="3045">
      <c r="A3045" t="inlineStr">
        <is>
          <t>ttJTrans</t>
        </is>
      </c>
      <c r="B3045" s="38" t="inlineStr">
        <is>
          <t>0-4018</t>
        </is>
      </c>
      <c r="C3045" t="inlineStr">
        <is>
          <t>OC</t>
        </is>
      </c>
      <c r="E3045" t="inlineStr">
        <is>
          <t>OC</t>
        </is>
      </c>
      <c r="G3045" s="128" t="inlineStr"/>
      <c r="H3045" s="127" t="n">
        <v>46105</v>
      </c>
      <c r="J3045" s="38" t="inlineStr">
        <is>
          <t>0-4018</t>
        </is>
      </c>
      <c r="K3045" t="inlineStr">
        <is>
          <t>TRAVEL R FIGUEROA 3/9/26</t>
        </is>
      </c>
      <c r="L3045" t="n">
        <v>0</v>
      </c>
      <c r="M3045" t="n">
        <v>0</v>
      </c>
      <c r="O3045" t="inlineStr">
        <is>
          <t>20542</t>
        </is>
      </c>
      <c r="P3045" t="inlineStr">
        <is>
          <t>CORPORATE TRAVELER</t>
        </is>
      </c>
      <c r="Q3045" s="114" t="n">
        <v>0</v>
      </c>
      <c r="R3045" s="114" t="n">
        <v>440.43</v>
      </c>
      <c r="S3045" s="114" t="n">
        <v>0</v>
      </c>
      <c r="T3045" t="n">
        <v>0</v>
      </c>
    </row>
    <row r="3046">
      <c r="A3046" t="inlineStr">
        <is>
          <t>ttJTrans</t>
        </is>
      </c>
      <c r="B3046" s="38" t="inlineStr">
        <is>
          <t>0-4018</t>
        </is>
      </c>
      <c r="C3046" t="inlineStr">
        <is>
          <t>OC</t>
        </is>
      </c>
      <c r="E3046" t="inlineStr">
        <is>
          <t>OC</t>
        </is>
      </c>
      <c r="G3046" s="128" t="inlineStr"/>
      <c r="H3046" s="127" t="n">
        <v>46105</v>
      </c>
      <c r="J3046" s="38" t="inlineStr">
        <is>
          <t>0-4018</t>
        </is>
      </c>
      <c r="K3046" t="inlineStr">
        <is>
          <t>TRAVEL G BIGLER 3/15/26</t>
        </is>
      </c>
      <c r="L3046" t="n">
        <v>0</v>
      </c>
      <c r="M3046" t="n">
        <v>0</v>
      </c>
      <c r="O3046" t="inlineStr">
        <is>
          <t>20542</t>
        </is>
      </c>
      <c r="P3046" t="inlineStr">
        <is>
          <t>CORPORATE TRAVELER</t>
        </is>
      </c>
      <c r="Q3046" s="114" t="n">
        <v>0</v>
      </c>
      <c r="R3046" s="114" t="n">
        <v>640.75</v>
      </c>
      <c r="S3046" s="114" t="n">
        <v>0</v>
      </c>
      <c r="T3046" t="n">
        <v>0</v>
      </c>
    </row>
    <row r="3047">
      <c r="A3047" t="inlineStr">
        <is>
          <t>ttJTrans</t>
        </is>
      </c>
      <c r="B3047" s="38" t="inlineStr">
        <is>
          <t>0-4018</t>
        </is>
      </c>
      <c r="C3047" t="inlineStr">
        <is>
          <t>OC</t>
        </is>
      </c>
      <c r="E3047" t="inlineStr">
        <is>
          <t>OC</t>
        </is>
      </c>
      <c r="G3047" s="128" t="inlineStr"/>
      <c r="H3047" s="127" t="n">
        <v>46105</v>
      </c>
      <c r="J3047" s="38" t="inlineStr">
        <is>
          <t>0-4018</t>
        </is>
      </c>
      <c r="K3047" t="inlineStr">
        <is>
          <t>TRAVEL D SALDANA 3/18/26</t>
        </is>
      </c>
      <c r="L3047" t="n">
        <v>0</v>
      </c>
      <c r="M3047" t="n">
        <v>0</v>
      </c>
      <c r="O3047" t="inlineStr">
        <is>
          <t>20542</t>
        </is>
      </c>
      <c r="P3047" t="inlineStr">
        <is>
          <t>CORPORATE TRAVELER</t>
        </is>
      </c>
      <c r="Q3047" s="114" t="n">
        <v>0</v>
      </c>
      <c r="R3047" s="114" t="n">
        <v>440.39</v>
      </c>
      <c r="S3047" s="114" t="n">
        <v>0</v>
      </c>
      <c r="T3047" t="n">
        <v>0</v>
      </c>
    </row>
    <row r="3048">
      <c r="A3048" t="inlineStr">
        <is>
          <t>ttJTrans</t>
        </is>
      </c>
      <c r="B3048" s="38" t="inlineStr">
        <is>
          <t>0-4018</t>
        </is>
      </c>
      <c r="C3048" t="inlineStr">
        <is>
          <t>OC</t>
        </is>
      </c>
      <c r="E3048" t="inlineStr">
        <is>
          <t>OC</t>
        </is>
      </c>
      <c r="G3048" s="128" t="inlineStr"/>
      <c r="H3048" s="127" t="n">
        <v>46105</v>
      </c>
      <c r="J3048" s="38" t="inlineStr">
        <is>
          <t>0-4018</t>
        </is>
      </c>
      <c r="K3048" t="inlineStr">
        <is>
          <t>TRAVEL M DUHON 3/9/26</t>
        </is>
      </c>
      <c r="L3048" t="n">
        <v>0</v>
      </c>
      <c r="M3048" t="n">
        <v>0</v>
      </c>
      <c r="O3048" t="inlineStr">
        <is>
          <t>20542</t>
        </is>
      </c>
      <c r="P3048" t="inlineStr">
        <is>
          <t>CORPORATE TRAVELER</t>
        </is>
      </c>
      <c r="Q3048" s="114" t="n">
        <v>0</v>
      </c>
      <c r="R3048" s="114" t="n">
        <v>133.95</v>
      </c>
      <c r="S3048" s="114" t="n">
        <v>0</v>
      </c>
      <c r="T3048" t="n">
        <v>0</v>
      </c>
    </row>
    <row r="3049">
      <c r="A3049" t="inlineStr">
        <is>
          <t>ttJTrans</t>
        </is>
      </c>
      <c r="B3049" s="38" t="inlineStr">
        <is>
          <t>0-4018</t>
        </is>
      </c>
      <c r="C3049" t="inlineStr">
        <is>
          <t>OC</t>
        </is>
      </c>
      <c r="E3049" t="inlineStr">
        <is>
          <t>OC</t>
        </is>
      </c>
      <c r="G3049" s="128" t="inlineStr"/>
      <c r="H3049" s="127" t="n">
        <v>46105</v>
      </c>
      <c r="J3049" s="38" t="inlineStr">
        <is>
          <t>0-4018</t>
        </is>
      </c>
      <c r="K3049" t="inlineStr">
        <is>
          <t>TRAVEL L BIVENS 3/9/26</t>
        </is>
      </c>
      <c r="L3049" t="n">
        <v>0</v>
      </c>
      <c r="M3049" t="n">
        <v>0</v>
      </c>
      <c r="O3049" t="inlineStr">
        <is>
          <t>20542</t>
        </is>
      </c>
      <c r="P3049" t="inlineStr">
        <is>
          <t>CORPORATE TRAVELER</t>
        </is>
      </c>
      <c r="Q3049" s="114" t="n">
        <v>0</v>
      </c>
      <c r="R3049" s="114" t="n">
        <v>432.32</v>
      </c>
      <c r="S3049" s="114" t="n">
        <v>0</v>
      </c>
      <c r="T3049" t="n">
        <v>0</v>
      </c>
    </row>
    <row r="3050">
      <c r="A3050" t="inlineStr">
        <is>
          <t>ttJTrans</t>
        </is>
      </c>
      <c r="B3050" s="38" t="inlineStr">
        <is>
          <t>0-4018</t>
        </is>
      </c>
      <c r="C3050" t="inlineStr">
        <is>
          <t>OC</t>
        </is>
      </c>
      <c r="E3050" t="inlineStr">
        <is>
          <t>OC</t>
        </is>
      </c>
      <c r="G3050" s="128" t="inlineStr"/>
      <c r="H3050" s="127" t="n">
        <v>46105</v>
      </c>
      <c r="J3050" s="38" t="inlineStr">
        <is>
          <t>0-4018</t>
        </is>
      </c>
      <c r="K3050" t="inlineStr">
        <is>
          <t>TRAVEL A TREPAGNIER 3/30/26</t>
        </is>
      </c>
      <c r="L3050" t="n">
        <v>0</v>
      </c>
      <c r="M3050" t="n">
        <v>0</v>
      </c>
      <c r="O3050" t="inlineStr">
        <is>
          <t>20542</t>
        </is>
      </c>
      <c r="P3050" t="inlineStr">
        <is>
          <t>CORPORATE TRAVELER</t>
        </is>
      </c>
      <c r="Q3050" s="114" t="n">
        <v>0</v>
      </c>
      <c r="R3050" s="114" t="n">
        <v>988.3200000000001</v>
      </c>
      <c r="S3050" s="114" t="n">
        <v>0</v>
      </c>
      <c r="T3050" t="n">
        <v>0</v>
      </c>
    </row>
    <row r="3051">
      <c r="A3051" t="inlineStr">
        <is>
          <t>ttJTrans</t>
        </is>
      </c>
      <c r="B3051" s="38" t="inlineStr">
        <is>
          <t>0-4018</t>
        </is>
      </c>
      <c r="C3051" t="inlineStr">
        <is>
          <t>OC</t>
        </is>
      </c>
      <c r="E3051" t="inlineStr">
        <is>
          <t>OC</t>
        </is>
      </c>
      <c r="G3051" s="128" t="inlineStr"/>
      <c r="H3051" s="127" t="n">
        <v>46112</v>
      </c>
      <c r="J3051" s="38" t="inlineStr">
        <is>
          <t>0-4018</t>
        </is>
      </c>
      <c r="K3051" t="inlineStr">
        <is>
          <t>TRAVEL J RION 3/31/26</t>
        </is>
      </c>
      <c r="L3051" t="n">
        <v>0</v>
      </c>
      <c r="M3051" t="n">
        <v>0</v>
      </c>
      <c r="O3051" t="inlineStr">
        <is>
          <t>20542</t>
        </is>
      </c>
      <c r="P3051" t="inlineStr">
        <is>
          <t>CORPORATE TRAVELER</t>
        </is>
      </c>
      <c r="Q3051" s="114" t="n">
        <v>0</v>
      </c>
      <c r="R3051" s="114" t="n">
        <v>794.34</v>
      </c>
      <c r="S3051" s="114" t="n">
        <v>0</v>
      </c>
      <c r="T3051" t="n">
        <v>0</v>
      </c>
    </row>
    <row r="3052">
      <c r="A3052" t="inlineStr">
        <is>
          <t>ttJTrans</t>
        </is>
      </c>
      <c r="B3052" s="38" t="inlineStr">
        <is>
          <t>0-4018</t>
        </is>
      </c>
      <c r="C3052" t="inlineStr">
        <is>
          <t>OC</t>
        </is>
      </c>
      <c r="E3052" t="inlineStr">
        <is>
          <t>OC</t>
        </is>
      </c>
      <c r="G3052" s="128" t="inlineStr"/>
      <c r="H3052" s="127" t="n">
        <v>46112</v>
      </c>
      <c r="J3052" s="38" t="inlineStr">
        <is>
          <t>0-4018</t>
        </is>
      </c>
      <c r="K3052" t="inlineStr">
        <is>
          <t>TRAVEL A TREPAGNIER 3/30/26</t>
        </is>
      </c>
      <c r="L3052" t="n">
        <v>0</v>
      </c>
      <c r="M3052" t="n">
        <v>0</v>
      </c>
      <c r="O3052" t="inlineStr">
        <is>
          <t>20542</t>
        </is>
      </c>
      <c r="P3052" t="inlineStr">
        <is>
          <t>CORPORATE TRAVELER</t>
        </is>
      </c>
      <c r="Q3052" s="114" t="n">
        <v>0</v>
      </c>
      <c r="R3052" s="114" t="n">
        <v>442.37</v>
      </c>
      <c r="S3052" s="114" t="n">
        <v>0</v>
      </c>
      <c r="T3052" t="n">
        <v>0</v>
      </c>
    </row>
    <row r="3053">
      <c r="A3053" t="inlineStr">
        <is>
          <t>ttJTrans</t>
        </is>
      </c>
      <c r="B3053" s="38" t="inlineStr">
        <is>
          <t>0-4018</t>
        </is>
      </c>
      <c r="C3053" t="inlineStr">
        <is>
          <t>OC</t>
        </is>
      </c>
      <c r="E3053" t="inlineStr">
        <is>
          <t>OC</t>
        </is>
      </c>
      <c r="G3053" s="128" t="inlineStr"/>
      <c r="H3053" s="127" t="n">
        <v>46112</v>
      </c>
      <c r="J3053" s="38" t="inlineStr">
        <is>
          <t>0-4018</t>
        </is>
      </c>
      <c r="K3053" t="inlineStr">
        <is>
          <t>TRAVEL L BIVENS 3/16/26</t>
        </is>
      </c>
      <c r="L3053" t="n">
        <v>0</v>
      </c>
      <c r="M3053" t="n">
        <v>0</v>
      </c>
      <c r="O3053" t="inlineStr">
        <is>
          <t>20542</t>
        </is>
      </c>
      <c r="P3053" t="inlineStr">
        <is>
          <t>CORPORATE TRAVELER</t>
        </is>
      </c>
      <c r="Q3053" s="114" t="n">
        <v>0</v>
      </c>
      <c r="R3053" s="114" t="n">
        <v>407.93</v>
      </c>
      <c r="S3053" s="114" t="n">
        <v>0</v>
      </c>
      <c r="T3053" t="n">
        <v>0</v>
      </c>
    </row>
    <row r="3054">
      <c r="A3054" t="inlineStr">
        <is>
          <t>ttJTrans</t>
        </is>
      </c>
      <c r="B3054" s="38" t="inlineStr">
        <is>
          <t>0-4018</t>
        </is>
      </c>
      <c r="C3054" t="inlineStr">
        <is>
          <t>OC</t>
        </is>
      </c>
      <c r="E3054" t="inlineStr">
        <is>
          <t>OC</t>
        </is>
      </c>
      <c r="G3054" s="128" t="inlineStr"/>
      <c r="H3054" s="127" t="n">
        <v>46112</v>
      </c>
      <c r="J3054" s="38" t="inlineStr">
        <is>
          <t>0-4018</t>
        </is>
      </c>
      <c r="K3054" t="inlineStr">
        <is>
          <t>TRAVEL D SALDANA 3/17/26</t>
        </is>
      </c>
      <c r="L3054" t="n">
        <v>0</v>
      </c>
      <c r="M3054" t="n">
        <v>0</v>
      </c>
      <c r="O3054" t="inlineStr">
        <is>
          <t>20542</t>
        </is>
      </c>
      <c r="P3054" t="inlineStr">
        <is>
          <t>CORPORATE TRAVELER</t>
        </is>
      </c>
      <c r="Q3054" s="114" t="n">
        <v>0</v>
      </c>
      <c r="R3054" s="114" t="n">
        <v>137.57</v>
      </c>
      <c r="S3054" s="114" t="n">
        <v>0</v>
      </c>
      <c r="T3054" t="n">
        <v>0</v>
      </c>
    </row>
    <row r="3055">
      <c r="A3055" t="inlineStr">
        <is>
          <t>ttJTrans</t>
        </is>
      </c>
      <c r="B3055" s="38" t="inlineStr">
        <is>
          <t>0-4018</t>
        </is>
      </c>
      <c r="C3055" t="inlineStr">
        <is>
          <t>OC</t>
        </is>
      </c>
      <c r="E3055" t="inlineStr">
        <is>
          <t>OC</t>
        </is>
      </c>
      <c r="G3055" s="128" t="inlineStr"/>
      <c r="H3055" s="127" t="n">
        <v>46112</v>
      </c>
      <c r="J3055" s="38" t="inlineStr">
        <is>
          <t>0-4018</t>
        </is>
      </c>
      <c r="K3055" t="inlineStr">
        <is>
          <t>TRAVEL D HOPKINS 3/15/26</t>
        </is>
      </c>
      <c r="L3055" t="n">
        <v>0</v>
      </c>
      <c r="M3055" t="n">
        <v>0</v>
      </c>
      <c r="O3055" t="inlineStr">
        <is>
          <t>20542</t>
        </is>
      </c>
      <c r="P3055" t="inlineStr">
        <is>
          <t>CORPORATE TRAVELER</t>
        </is>
      </c>
      <c r="Q3055" s="114" t="n">
        <v>0</v>
      </c>
      <c r="R3055" s="114" t="n">
        <v>794.4400000000001</v>
      </c>
      <c r="S3055" s="114" t="n">
        <v>0</v>
      </c>
      <c r="T3055" t="n">
        <v>0</v>
      </c>
    </row>
    <row r="3056">
      <c r="A3056" t="inlineStr">
        <is>
          <t>ttJTrans</t>
        </is>
      </c>
      <c r="B3056" s="38" t="inlineStr">
        <is>
          <t>0-4018</t>
        </is>
      </c>
      <c r="C3056" t="inlineStr">
        <is>
          <t>OC</t>
        </is>
      </c>
      <c r="E3056" t="inlineStr">
        <is>
          <t>OC</t>
        </is>
      </c>
      <c r="G3056" s="128" t="inlineStr"/>
      <c r="H3056" s="127" t="n">
        <v>46112</v>
      </c>
      <c r="J3056" s="38" t="inlineStr">
        <is>
          <t>0-4018</t>
        </is>
      </c>
      <c r="K3056" t="inlineStr">
        <is>
          <t>TRAVEL M DUHON 3/10/26</t>
        </is>
      </c>
      <c r="L3056" t="n">
        <v>0</v>
      </c>
      <c r="M3056" t="n">
        <v>0</v>
      </c>
      <c r="O3056" t="inlineStr">
        <is>
          <t>20542</t>
        </is>
      </c>
      <c r="P3056" t="inlineStr">
        <is>
          <t>CORPORATE TRAVELER</t>
        </is>
      </c>
      <c r="Q3056" s="114" t="n">
        <v>0</v>
      </c>
      <c r="R3056" s="114" t="n">
        <v>215.59</v>
      </c>
      <c r="S3056" s="114" t="n">
        <v>0</v>
      </c>
      <c r="T3056" t="n">
        <v>0</v>
      </c>
    </row>
    <row r="3057">
      <c r="A3057" t="inlineStr">
        <is>
          <t>ttJTrans</t>
        </is>
      </c>
      <c r="B3057" s="38" t="inlineStr">
        <is>
          <t>0-4018</t>
        </is>
      </c>
      <c r="C3057" t="inlineStr">
        <is>
          <t>OC</t>
        </is>
      </c>
      <c r="E3057" t="inlineStr">
        <is>
          <t>OC</t>
        </is>
      </c>
      <c r="G3057" s="128" t="inlineStr"/>
      <c r="H3057" s="127" t="n">
        <v>46112</v>
      </c>
      <c r="J3057" s="38" t="inlineStr">
        <is>
          <t>0-4018</t>
        </is>
      </c>
      <c r="K3057" t="inlineStr">
        <is>
          <t>TRAVEL E URBINA 3/9/26</t>
        </is>
      </c>
      <c r="L3057" t="n">
        <v>0</v>
      </c>
      <c r="M3057" t="n">
        <v>0</v>
      </c>
      <c r="O3057" t="inlineStr">
        <is>
          <t>20542</t>
        </is>
      </c>
      <c r="P3057" t="inlineStr">
        <is>
          <t>CORPORATE TRAVELER</t>
        </is>
      </c>
      <c r="Q3057" s="114" t="n">
        <v>0</v>
      </c>
      <c r="R3057" s="114" t="n">
        <v>1107.67</v>
      </c>
      <c r="S3057" s="114" t="n">
        <v>0</v>
      </c>
      <c r="T3057" t="n">
        <v>0</v>
      </c>
    </row>
    <row r="3058">
      <c r="A3058" t="inlineStr">
        <is>
          <t>ttJTrans</t>
        </is>
      </c>
      <c r="B3058" s="38" t="inlineStr">
        <is>
          <t>0-4018</t>
        </is>
      </c>
      <c r="C3058" t="inlineStr">
        <is>
          <t>OC</t>
        </is>
      </c>
      <c r="E3058" t="inlineStr">
        <is>
          <t>OC</t>
        </is>
      </c>
      <c r="G3058" s="128" t="inlineStr"/>
      <c r="H3058" s="127" t="n">
        <v>46112</v>
      </c>
      <c r="J3058" s="38" t="inlineStr">
        <is>
          <t>0-4018</t>
        </is>
      </c>
      <c r="K3058" t="inlineStr">
        <is>
          <t>TRAVEL A TREPAGNIER 3/16/26</t>
        </is>
      </c>
      <c r="L3058" t="n">
        <v>0</v>
      </c>
      <c r="M3058" t="n">
        <v>0</v>
      </c>
      <c r="O3058" t="inlineStr">
        <is>
          <t>20542</t>
        </is>
      </c>
      <c r="P3058" t="inlineStr">
        <is>
          <t>CORPORATE TRAVELER</t>
        </is>
      </c>
      <c r="Q3058" s="114" t="n">
        <v>0</v>
      </c>
      <c r="R3058" s="114" t="n">
        <v>216.26</v>
      </c>
      <c r="S3058" s="114" t="n">
        <v>0</v>
      </c>
      <c r="T3058" t="n">
        <v>0</v>
      </c>
    </row>
    <row r="3059">
      <c r="A3059" t="inlineStr">
        <is>
          <t>ttJTrans</t>
        </is>
      </c>
      <c r="B3059" s="38" t="inlineStr">
        <is>
          <t>0-4018</t>
        </is>
      </c>
      <c r="C3059" t="inlineStr">
        <is>
          <t>OC</t>
        </is>
      </c>
      <c r="E3059" t="inlineStr">
        <is>
          <t>OC</t>
        </is>
      </c>
      <c r="G3059" s="128" t="inlineStr"/>
      <c r="H3059" s="127" t="n">
        <v>46112</v>
      </c>
      <c r="J3059" s="38" t="inlineStr">
        <is>
          <t>0-4018</t>
        </is>
      </c>
      <c r="K3059" t="inlineStr">
        <is>
          <t>TRAVEL L BIVENS 3/30/26</t>
        </is>
      </c>
      <c r="L3059" t="n">
        <v>0</v>
      </c>
      <c r="M3059" t="n">
        <v>0</v>
      </c>
      <c r="O3059" t="inlineStr">
        <is>
          <t>20542</t>
        </is>
      </c>
      <c r="P3059" t="inlineStr">
        <is>
          <t>CORPORATE TRAVELER</t>
        </is>
      </c>
      <c r="Q3059" s="114" t="n">
        <v>0</v>
      </c>
      <c r="R3059" s="114" t="n">
        <v>853.59</v>
      </c>
      <c r="S3059" s="114" t="n">
        <v>0</v>
      </c>
      <c r="T3059" t="n">
        <v>0</v>
      </c>
    </row>
    <row r="3060">
      <c r="A3060" t="inlineStr">
        <is>
          <t>ttJTrans</t>
        </is>
      </c>
      <c r="B3060" s="38" t="inlineStr">
        <is>
          <t>0-4018</t>
        </is>
      </c>
      <c r="C3060" t="inlineStr">
        <is>
          <t>OC</t>
        </is>
      </c>
      <c r="E3060" t="inlineStr">
        <is>
          <t>OC</t>
        </is>
      </c>
      <c r="G3060" s="128" t="inlineStr"/>
      <c r="H3060" s="127" t="n">
        <v>46113</v>
      </c>
      <c r="J3060" s="38" t="inlineStr">
        <is>
          <t>0-4018</t>
        </is>
      </c>
      <c r="K3060" t="inlineStr">
        <is>
          <t>CAR RENTAL J BARTLES 3/9/26</t>
        </is>
      </c>
      <c r="L3060" t="n">
        <v>0</v>
      </c>
      <c r="M3060" t="n">
        <v>0</v>
      </c>
      <c r="O3060" t="inlineStr">
        <is>
          <t>18873</t>
        </is>
      </c>
      <c r="P3060" t="inlineStr">
        <is>
          <t>EAN SERVICES, LLC</t>
        </is>
      </c>
      <c r="Q3060" s="114" t="n">
        <v>0</v>
      </c>
      <c r="R3060" s="114" t="n">
        <v>420.71</v>
      </c>
      <c r="S3060" s="114" t="n">
        <v>0</v>
      </c>
      <c r="T3060" t="n">
        <v>0</v>
      </c>
    </row>
    <row r="3061">
      <c r="A3061" t="inlineStr">
        <is>
          <t>ttJTrans</t>
        </is>
      </c>
      <c r="B3061" s="38" t="inlineStr">
        <is>
          <t>0-4018</t>
        </is>
      </c>
      <c r="C3061" t="inlineStr">
        <is>
          <t>OC</t>
        </is>
      </c>
      <c r="E3061" t="inlineStr">
        <is>
          <t>OC</t>
        </is>
      </c>
      <c r="G3061" s="128" t="inlineStr"/>
      <c r="H3061" s="127" t="n">
        <v>46113</v>
      </c>
      <c r="J3061" s="38" t="inlineStr">
        <is>
          <t>0-4018</t>
        </is>
      </c>
      <c r="K3061" t="inlineStr">
        <is>
          <t>CAR RENTALG BIGLER 3/15/26</t>
        </is>
      </c>
      <c r="L3061" t="n">
        <v>0</v>
      </c>
      <c r="M3061" t="n">
        <v>0</v>
      </c>
      <c r="O3061" t="inlineStr">
        <is>
          <t>18873</t>
        </is>
      </c>
      <c r="P3061" t="inlineStr">
        <is>
          <t>EAN SERVICES, LLC</t>
        </is>
      </c>
      <c r="Q3061" s="114" t="n">
        <v>0</v>
      </c>
      <c r="R3061" s="114" t="n">
        <v>673.02</v>
      </c>
      <c r="S3061" s="114" t="n">
        <v>0</v>
      </c>
      <c r="T3061" t="n">
        <v>0</v>
      </c>
    </row>
    <row r="3062">
      <c r="A3062" t="inlineStr">
        <is>
          <t>ttJTrans</t>
        </is>
      </c>
      <c r="B3062" s="38" t="inlineStr">
        <is>
          <t>0-4018</t>
        </is>
      </c>
      <c r="C3062" t="inlineStr">
        <is>
          <t>OC</t>
        </is>
      </c>
      <c r="E3062" t="inlineStr">
        <is>
          <t>OC</t>
        </is>
      </c>
      <c r="G3062" s="128" t="inlineStr"/>
      <c r="H3062" s="127" t="n">
        <v>46120</v>
      </c>
      <c r="J3062" s="38" t="inlineStr">
        <is>
          <t>0-4018</t>
        </is>
      </c>
      <c r="K3062" t="inlineStr">
        <is>
          <t>TRAVEL A TREPAGNIER 4/1/26</t>
        </is>
      </c>
      <c r="L3062" t="n">
        <v>0</v>
      </c>
      <c r="M3062" t="n">
        <v>0</v>
      </c>
      <c r="O3062" t="inlineStr">
        <is>
          <t>20542</t>
        </is>
      </c>
      <c r="P3062" t="inlineStr">
        <is>
          <t>CORPORATE TRAVELER</t>
        </is>
      </c>
      <c r="Q3062" s="114" t="n">
        <v>0</v>
      </c>
      <c r="R3062" s="114" t="n">
        <v>20.1</v>
      </c>
      <c r="S3062" s="114" t="n">
        <v>0</v>
      </c>
      <c r="T3062" t="n">
        <v>0</v>
      </c>
    </row>
    <row r="3063">
      <c r="A3063" t="inlineStr">
        <is>
          <t>ttJTrans</t>
        </is>
      </c>
      <c r="B3063" s="38" t="inlineStr">
        <is>
          <t>0-4018</t>
        </is>
      </c>
      <c r="C3063" t="inlineStr">
        <is>
          <t>OC</t>
        </is>
      </c>
      <c r="E3063" t="inlineStr">
        <is>
          <t>OC</t>
        </is>
      </c>
      <c r="G3063" s="128" t="inlineStr"/>
      <c r="H3063" s="127" t="n">
        <v>46120</v>
      </c>
      <c r="J3063" s="38" t="inlineStr">
        <is>
          <t>0-4018</t>
        </is>
      </c>
      <c r="K3063" t="inlineStr">
        <is>
          <t>TRAVEL A TREPAGNIER 4/1/26</t>
        </is>
      </c>
      <c r="L3063" t="n">
        <v>0</v>
      </c>
      <c r="M3063" t="n">
        <v>0</v>
      </c>
      <c r="O3063" t="inlineStr">
        <is>
          <t>20542</t>
        </is>
      </c>
      <c r="P3063" t="inlineStr">
        <is>
          <t>CORPORATE TRAVELER</t>
        </is>
      </c>
      <c r="Q3063" s="114" t="n">
        <v>0</v>
      </c>
      <c r="R3063" s="114" t="n">
        <v>82.12</v>
      </c>
      <c r="S3063" s="114" t="n">
        <v>0</v>
      </c>
      <c r="T3063" t="n">
        <v>0</v>
      </c>
    </row>
    <row r="3064">
      <c r="A3064" t="inlineStr">
        <is>
          <t>ttJTrans</t>
        </is>
      </c>
      <c r="B3064" s="38" t="inlineStr">
        <is>
          <t>0-4018</t>
        </is>
      </c>
      <c r="C3064" t="inlineStr">
        <is>
          <t>OC</t>
        </is>
      </c>
      <c r="E3064" t="inlineStr">
        <is>
          <t>OC</t>
        </is>
      </c>
      <c r="G3064" s="128" t="inlineStr"/>
      <c r="H3064" s="127" t="n">
        <v>46120</v>
      </c>
      <c r="J3064" s="38" t="inlineStr">
        <is>
          <t>0-4018</t>
        </is>
      </c>
      <c r="K3064" t="inlineStr">
        <is>
          <t>JAMES BARTLES EXPENSE REPORTS</t>
        </is>
      </c>
      <c r="L3064" t="n">
        <v>0</v>
      </c>
      <c r="M3064" t="n">
        <v>0</v>
      </c>
      <c r="O3064" t="inlineStr">
        <is>
          <t>19449</t>
        </is>
      </c>
      <c r="P3064" t="inlineStr">
        <is>
          <t>BARTLES, JAMES E.</t>
        </is>
      </c>
      <c r="Q3064" s="114" t="n">
        <v>0</v>
      </c>
      <c r="R3064" s="114" t="n">
        <v>266.72</v>
      </c>
      <c r="S3064" s="114" t="n">
        <v>0</v>
      </c>
      <c r="T3064" t="n">
        <v>0</v>
      </c>
    </row>
    <row r="3065">
      <c r="A3065" t="inlineStr">
        <is>
          <t>ttJTrans</t>
        </is>
      </c>
      <c r="B3065" s="38" t="inlineStr">
        <is>
          <t>0-4018</t>
        </is>
      </c>
      <c r="C3065" t="inlineStr">
        <is>
          <t>OC</t>
        </is>
      </c>
      <c r="E3065" t="inlineStr">
        <is>
          <t>OC</t>
        </is>
      </c>
      <c r="G3065" s="128" t="inlineStr"/>
      <c r="H3065" s="127" t="n">
        <v>46127</v>
      </c>
      <c r="J3065" s="38" t="inlineStr">
        <is>
          <t>0-4018</t>
        </is>
      </c>
      <c r="K3065" t="inlineStr">
        <is>
          <t>TRAVEL P WARE 4/22/26</t>
        </is>
      </c>
      <c r="L3065" t="n">
        <v>0</v>
      </c>
      <c r="M3065" t="n">
        <v>0</v>
      </c>
      <c r="O3065" t="inlineStr">
        <is>
          <t>20542</t>
        </is>
      </c>
      <c r="P3065" t="inlineStr">
        <is>
          <t>CORPORATE TRAVELER</t>
        </is>
      </c>
      <c r="Q3065" s="114" t="n">
        <v>0</v>
      </c>
      <c r="R3065" s="114" t="n">
        <v>583.6900000000001</v>
      </c>
      <c r="S3065" s="114" t="n">
        <v>0</v>
      </c>
      <c r="T3065" t="n">
        <v>0</v>
      </c>
    </row>
    <row r="3066">
      <c r="A3066" t="inlineStr">
        <is>
          <t>ttJTrans</t>
        </is>
      </c>
      <c r="B3066" s="38" t="inlineStr">
        <is>
          <t>0-4018</t>
        </is>
      </c>
      <c r="C3066" t="inlineStr">
        <is>
          <t>OC</t>
        </is>
      </c>
      <c r="E3066" t="inlineStr">
        <is>
          <t>OC</t>
        </is>
      </c>
      <c r="G3066" s="128" t="inlineStr"/>
      <c r="H3066" s="127" t="n">
        <v>46127</v>
      </c>
      <c r="J3066" s="38" t="inlineStr">
        <is>
          <t>0-4018</t>
        </is>
      </c>
      <c r="K3066" t="inlineStr">
        <is>
          <t>TRAVEL W TREPAGNIER 4/1/26</t>
        </is>
      </c>
      <c r="L3066" t="n">
        <v>0</v>
      </c>
      <c r="M3066" t="n">
        <v>0</v>
      </c>
      <c r="O3066" t="inlineStr">
        <is>
          <t>20542</t>
        </is>
      </c>
      <c r="P3066" t="inlineStr">
        <is>
          <t>CORPORATE TRAVELER</t>
        </is>
      </c>
      <c r="Q3066" s="114" t="n">
        <v>0</v>
      </c>
      <c r="R3066" s="114" t="n">
        <v>114.42</v>
      </c>
      <c r="S3066" s="114" t="n">
        <v>0</v>
      </c>
      <c r="T3066" t="n">
        <v>0</v>
      </c>
    </row>
    <row r="3067">
      <c r="A3067" t="inlineStr">
        <is>
          <t>ttJTrans</t>
        </is>
      </c>
      <c r="B3067" s="38" t="inlineStr">
        <is>
          <t>0-4018</t>
        </is>
      </c>
      <c r="C3067" t="inlineStr">
        <is>
          <t>OC</t>
        </is>
      </c>
      <c r="E3067" t="inlineStr">
        <is>
          <t>OC</t>
        </is>
      </c>
      <c r="G3067" s="128" t="inlineStr"/>
      <c r="H3067" s="127" t="n">
        <v>46127</v>
      </c>
      <c r="J3067" s="38" t="inlineStr">
        <is>
          <t>0-4018</t>
        </is>
      </c>
      <c r="K3067" t="inlineStr">
        <is>
          <t>TRAVEL J RION 3/31/26</t>
        </is>
      </c>
      <c r="L3067" t="n">
        <v>0</v>
      </c>
      <c r="M3067" t="n">
        <v>0</v>
      </c>
      <c r="O3067" t="inlineStr">
        <is>
          <t>20542</t>
        </is>
      </c>
      <c r="P3067" t="inlineStr">
        <is>
          <t>CORPORATE TRAVELER</t>
        </is>
      </c>
      <c r="Q3067" s="114" t="n">
        <v>0</v>
      </c>
      <c r="R3067" s="114" t="n">
        <v>437.08</v>
      </c>
      <c r="S3067" s="114" t="n">
        <v>0</v>
      </c>
      <c r="T3067" t="n">
        <v>0</v>
      </c>
    </row>
    <row r="3068">
      <c r="A3068" t="inlineStr">
        <is>
          <t>ttJTrans</t>
        </is>
      </c>
      <c r="B3068" s="38" t="inlineStr">
        <is>
          <t>0-4018</t>
        </is>
      </c>
      <c r="C3068" t="inlineStr">
        <is>
          <t>OC</t>
        </is>
      </c>
      <c r="E3068" t="inlineStr">
        <is>
          <t>OC</t>
        </is>
      </c>
      <c r="G3068" s="128" t="inlineStr"/>
      <c r="H3068" s="127" t="n">
        <v>46127</v>
      </c>
      <c r="J3068" s="38" t="inlineStr">
        <is>
          <t>0-4018</t>
        </is>
      </c>
      <c r="K3068" t="inlineStr">
        <is>
          <t>TRAVEL L BIVENS 3/30/26</t>
        </is>
      </c>
      <c r="L3068" t="n">
        <v>0</v>
      </c>
      <c r="M3068" t="n">
        <v>0</v>
      </c>
      <c r="O3068" t="inlineStr">
        <is>
          <t>20542</t>
        </is>
      </c>
      <c r="P3068" t="inlineStr">
        <is>
          <t>CORPORATE TRAVELER</t>
        </is>
      </c>
      <c r="Q3068" s="114" t="n">
        <v>0</v>
      </c>
      <c r="R3068" s="114" t="n">
        <v>140.74</v>
      </c>
      <c r="S3068" s="114" t="n">
        <v>0</v>
      </c>
      <c r="T3068" t="n">
        <v>0</v>
      </c>
    </row>
    <row r="3069">
      <c r="A3069" t="inlineStr">
        <is>
          <t>ttJTrans</t>
        </is>
      </c>
      <c r="B3069" s="38" t="inlineStr">
        <is>
          <t>0-4018</t>
        </is>
      </c>
      <c r="C3069" t="inlineStr">
        <is>
          <t>OC</t>
        </is>
      </c>
      <c r="E3069" t="inlineStr">
        <is>
          <t>OC</t>
        </is>
      </c>
      <c r="G3069" s="128" t="inlineStr"/>
      <c r="H3069" s="127" t="n">
        <v>46127</v>
      </c>
      <c r="J3069" s="38" t="inlineStr">
        <is>
          <t>0-4018</t>
        </is>
      </c>
      <c r="K3069" t="inlineStr">
        <is>
          <t>TRAVEL J JULIAN 3/31/26</t>
        </is>
      </c>
      <c r="L3069" t="n">
        <v>0</v>
      </c>
      <c r="M3069" t="n">
        <v>0</v>
      </c>
      <c r="O3069" t="inlineStr">
        <is>
          <t>20542</t>
        </is>
      </c>
      <c r="P3069" t="inlineStr">
        <is>
          <t>CORPORATE TRAVELER</t>
        </is>
      </c>
      <c r="Q3069" s="114" t="n">
        <v>0</v>
      </c>
      <c r="R3069" s="114" t="n">
        <v>123.67</v>
      </c>
      <c r="S3069" s="114" t="n">
        <v>0</v>
      </c>
      <c r="T3069" t="n">
        <v>0</v>
      </c>
    </row>
    <row r="3070">
      <c r="A3070" t="inlineStr">
        <is>
          <t>ttJTrans</t>
        </is>
      </c>
      <c r="B3070" s="38" t="inlineStr">
        <is>
          <t>0-4018</t>
        </is>
      </c>
      <c r="C3070" t="inlineStr">
        <is>
          <t>OC</t>
        </is>
      </c>
      <c r="E3070" t="inlineStr">
        <is>
          <t>OC</t>
        </is>
      </c>
      <c r="G3070" s="128" t="inlineStr"/>
      <c r="H3070" s="127" t="n">
        <v>46127</v>
      </c>
      <c r="J3070" s="38" t="inlineStr">
        <is>
          <t>0-4018</t>
        </is>
      </c>
      <c r="K3070" t="inlineStr">
        <is>
          <t>TRAVEL L BIVENS 4/7/26</t>
        </is>
      </c>
      <c r="L3070" t="n">
        <v>0</v>
      </c>
      <c r="M3070" t="n">
        <v>0</v>
      </c>
      <c r="O3070" t="inlineStr">
        <is>
          <t>20542</t>
        </is>
      </c>
      <c r="P3070" t="inlineStr">
        <is>
          <t>CORPORATE TRAVELER</t>
        </is>
      </c>
      <c r="Q3070" s="114" t="n">
        <v>0</v>
      </c>
      <c r="R3070" s="114" t="n">
        <v>20.1</v>
      </c>
      <c r="S3070" s="114" t="n">
        <v>0</v>
      </c>
      <c r="T3070" t="n">
        <v>0</v>
      </c>
    </row>
    <row r="3071">
      <c r="A3071" t="inlineStr">
        <is>
          <t>ttJTrans</t>
        </is>
      </c>
      <c r="B3071" s="38" t="inlineStr">
        <is>
          <t>0-4018</t>
        </is>
      </c>
      <c r="C3071" t="inlineStr">
        <is>
          <t>OC</t>
        </is>
      </c>
      <c r="E3071" t="inlineStr">
        <is>
          <t>OC</t>
        </is>
      </c>
      <c r="G3071" s="128" t="inlineStr"/>
      <c r="H3071" s="127" t="n">
        <v>46122</v>
      </c>
      <c r="J3071" s="38" t="inlineStr">
        <is>
          <t>0-4018</t>
        </is>
      </c>
      <c r="K3071" t="inlineStr">
        <is>
          <t>ANDREAU TREPAGNIER EXPENSE REPORT</t>
        </is>
      </c>
      <c r="L3071" t="n">
        <v>0</v>
      </c>
      <c r="M3071" t="n">
        <v>0</v>
      </c>
      <c r="O3071" t="inlineStr">
        <is>
          <t>13733</t>
        </is>
      </c>
      <c r="P3071" t="inlineStr">
        <is>
          <t>TREPAGNIER, ANDREAU P.</t>
        </is>
      </c>
      <c r="Q3071" s="114" t="n">
        <v>0</v>
      </c>
      <c r="R3071" s="114" t="n">
        <v>9</v>
      </c>
      <c r="S3071" s="114" t="n">
        <v>0</v>
      </c>
      <c r="T3071" t="n">
        <v>0</v>
      </c>
    </row>
    <row r="3072">
      <c r="A3072" t="inlineStr">
        <is>
          <t>ttJTrans</t>
        </is>
      </c>
      <c r="B3072" s="38" t="inlineStr">
        <is>
          <t>0-4018</t>
        </is>
      </c>
      <c r="C3072" t="inlineStr">
        <is>
          <t>OC</t>
        </is>
      </c>
      <c r="E3072" t="inlineStr">
        <is>
          <t>OC</t>
        </is>
      </c>
      <c r="G3072" s="128" t="inlineStr"/>
      <c r="H3072" s="127" t="n">
        <v>46122</v>
      </c>
      <c r="J3072" s="38" t="inlineStr">
        <is>
          <t>0-4018</t>
        </is>
      </c>
      <c r="K3072" t="inlineStr">
        <is>
          <t>ANDREAU TREPAGNIER EXPENSE REPORT</t>
        </is>
      </c>
      <c r="L3072" t="n">
        <v>0</v>
      </c>
      <c r="M3072" t="n">
        <v>0</v>
      </c>
      <c r="O3072" t="inlineStr">
        <is>
          <t>13733</t>
        </is>
      </c>
      <c r="P3072" t="inlineStr">
        <is>
          <t>TREPAGNIER, ANDREAU P.</t>
        </is>
      </c>
      <c r="Q3072" s="114" t="n">
        <v>0</v>
      </c>
      <c r="R3072" s="114" t="n">
        <v>182.55</v>
      </c>
      <c r="S3072" s="114" t="n">
        <v>0</v>
      </c>
      <c r="T3072" t="n">
        <v>0</v>
      </c>
    </row>
    <row r="3073">
      <c r="A3073" t="inlineStr">
        <is>
          <t>ttJTrans</t>
        </is>
      </c>
      <c r="B3073" s="38" t="inlineStr">
        <is>
          <t>0-4018</t>
        </is>
      </c>
      <c r="C3073" t="inlineStr">
        <is>
          <t>OC</t>
        </is>
      </c>
      <c r="E3073" t="inlineStr">
        <is>
          <t>OC</t>
        </is>
      </c>
      <c r="G3073" s="128" t="inlineStr"/>
      <c r="H3073" s="127" t="n">
        <v>46135</v>
      </c>
      <c r="J3073" s="38" t="inlineStr">
        <is>
          <t>0-4018</t>
        </is>
      </c>
      <c r="K3073" t="inlineStr">
        <is>
          <t>TRAVEL S SMITH 5/4/26</t>
        </is>
      </c>
      <c r="L3073" t="n">
        <v>0</v>
      </c>
      <c r="M3073" t="n">
        <v>0</v>
      </c>
      <c r="O3073" t="inlineStr">
        <is>
          <t>20542</t>
        </is>
      </c>
      <c r="P3073" t="inlineStr">
        <is>
          <t>CORPORATE TRAVELER</t>
        </is>
      </c>
      <c r="Q3073" s="114" t="n">
        <v>0</v>
      </c>
      <c r="R3073" s="114" t="n">
        <v>636.1900000000001</v>
      </c>
      <c r="S3073" s="114" t="n">
        <v>0</v>
      </c>
      <c r="T3073" t="n">
        <v>0</v>
      </c>
    </row>
    <row r="3074">
      <c r="A3074" t="inlineStr">
        <is>
          <t>ttJTrans</t>
        </is>
      </c>
      <c r="B3074" s="38" t="inlineStr">
        <is>
          <t>0-4018</t>
        </is>
      </c>
      <c r="C3074" t="inlineStr">
        <is>
          <t>OC</t>
        </is>
      </c>
      <c r="E3074" t="inlineStr">
        <is>
          <t>OC</t>
        </is>
      </c>
      <c r="G3074" s="128" t="inlineStr"/>
      <c r="H3074" s="127" t="n">
        <v>46135</v>
      </c>
      <c r="J3074" s="38" t="inlineStr">
        <is>
          <t>0-4018</t>
        </is>
      </c>
      <c r="K3074" t="inlineStr">
        <is>
          <t>TRAVEL L BIVENS 4/22/26</t>
        </is>
      </c>
      <c r="L3074" t="n">
        <v>0</v>
      </c>
      <c r="M3074" t="n">
        <v>0</v>
      </c>
      <c r="O3074" t="inlineStr">
        <is>
          <t>20542</t>
        </is>
      </c>
      <c r="P3074" t="inlineStr">
        <is>
          <t>CORPORATE TRAVELER</t>
        </is>
      </c>
      <c r="Q3074" s="114" t="n">
        <v>0</v>
      </c>
      <c r="R3074" s="114" t="n">
        <v>20.1</v>
      </c>
      <c r="S3074" s="114" t="n">
        <v>0</v>
      </c>
      <c r="T3074" t="n">
        <v>0</v>
      </c>
    </row>
    <row r="3075">
      <c r="A3075" t="inlineStr">
        <is>
          <t>ttJTrans</t>
        </is>
      </c>
      <c r="B3075" s="38" t="inlineStr">
        <is>
          <t>0-4018</t>
        </is>
      </c>
      <c r="C3075" t="inlineStr">
        <is>
          <t>OC</t>
        </is>
      </c>
      <c r="E3075" t="inlineStr">
        <is>
          <t>OC</t>
        </is>
      </c>
      <c r="G3075" s="128" t="inlineStr"/>
      <c r="H3075" s="127" t="n">
        <v>46135</v>
      </c>
      <c r="J3075" s="38" t="inlineStr">
        <is>
          <t>0-4018</t>
        </is>
      </c>
      <c r="K3075" t="inlineStr">
        <is>
          <t>TRAVEL L BIVENS 4/7/26</t>
        </is>
      </c>
      <c r="L3075" t="n">
        <v>0</v>
      </c>
      <c r="M3075" t="n">
        <v>0</v>
      </c>
      <c r="O3075" t="inlineStr">
        <is>
          <t>20542</t>
        </is>
      </c>
      <c r="P3075" t="inlineStr">
        <is>
          <t>CORPORATE TRAVELER</t>
        </is>
      </c>
      <c r="Q3075" s="114" t="n">
        <v>0</v>
      </c>
      <c r="R3075" s="114" t="n">
        <v>416.33</v>
      </c>
      <c r="S3075" s="114" t="n">
        <v>0</v>
      </c>
      <c r="T3075" t="n">
        <v>0</v>
      </c>
    </row>
    <row r="3076">
      <c r="A3076" t="inlineStr">
        <is>
          <t>ttJTrans</t>
        </is>
      </c>
      <c r="B3076" s="38" t="inlineStr">
        <is>
          <t>0-4018</t>
        </is>
      </c>
      <c r="C3076" t="inlineStr">
        <is>
          <t>OC</t>
        </is>
      </c>
      <c r="E3076" t="inlineStr">
        <is>
          <t>OC</t>
        </is>
      </c>
      <c r="G3076" s="128" t="inlineStr"/>
      <c r="H3076" s="127" t="n">
        <v>46142</v>
      </c>
      <c r="J3076" s="38" t="inlineStr">
        <is>
          <t>0-4018</t>
        </is>
      </c>
      <c r="K3076" t="inlineStr">
        <is>
          <t>TRAVEL P WARE 4/22/26</t>
        </is>
      </c>
      <c r="L3076" t="n">
        <v>0</v>
      </c>
      <c r="M3076" t="n">
        <v>0</v>
      </c>
      <c r="O3076" t="inlineStr">
        <is>
          <t>20542</t>
        </is>
      </c>
      <c r="P3076" t="inlineStr">
        <is>
          <t>CORPORATE TRAVELER</t>
        </is>
      </c>
      <c r="Q3076" s="114" t="n">
        <v>0</v>
      </c>
      <c r="R3076" s="114" t="n">
        <v>339.36</v>
      </c>
      <c r="S3076" s="114" t="n">
        <v>0</v>
      </c>
      <c r="T3076" t="n">
        <v>0</v>
      </c>
    </row>
    <row r="3077">
      <c r="A3077" t="inlineStr">
        <is>
          <t>ttJTrans</t>
        </is>
      </c>
      <c r="B3077" s="38" t="inlineStr">
        <is>
          <t>0-4018</t>
        </is>
      </c>
      <c r="C3077" t="inlineStr">
        <is>
          <t>OC</t>
        </is>
      </c>
      <c r="E3077" t="inlineStr">
        <is>
          <t>OC</t>
        </is>
      </c>
      <c r="G3077" s="128" t="inlineStr"/>
      <c r="H3077" s="127" t="n">
        <v>46142</v>
      </c>
      <c r="J3077" s="38" t="inlineStr">
        <is>
          <t>0-4018</t>
        </is>
      </c>
      <c r="K3077" t="inlineStr">
        <is>
          <t>TRAVEL D SALDANA 4/22/26</t>
        </is>
      </c>
      <c r="L3077" t="n">
        <v>0</v>
      </c>
      <c r="M3077" t="n">
        <v>0</v>
      </c>
      <c r="O3077" t="inlineStr">
        <is>
          <t>20542</t>
        </is>
      </c>
      <c r="P3077" t="inlineStr">
        <is>
          <t>CORPORATE TRAVELER</t>
        </is>
      </c>
      <c r="Q3077" s="114" t="n">
        <v>0</v>
      </c>
      <c r="R3077" s="114" t="n">
        <v>390.14</v>
      </c>
      <c r="S3077" s="114" t="n">
        <v>0</v>
      </c>
      <c r="T3077" t="n">
        <v>0</v>
      </c>
    </row>
    <row r="3078">
      <c r="A3078" t="inlineStr">
        <is>
          <t>ttJTrans</t>
        </is>
      </c>
      <c r="B3078" s="38" t="inlineStr">
        <is>
          <t>0-4018</t>
        </is>
      </c>
      <c r="C3078" t="inlineStr">
        <is>
          <t>OC</t>
        </is>
      </c>
      <c r="E3078" t="inlineStr">
        <is>
          <t>OC</t>
        </is>
      </c>
      <c r="G3078" s="128" t="inlineStr"/>
      <c r="H3078" s="127" t="n">
        <v>46142</v>
      </c>
      <c r="J3078" s="38" t="inlineStr">
        <is>
          <t>0-4018</t>
        </is>
      </c>
      <c r="K3078" t="inlineStr">
        <is>
          <t>TRAVEL D SALDANA 4/22/26</t>
        </is>
      </c>
      <c r="L3078" t="n">
        <v>0</v>
      </c>
      <c r="M3078" t="n">
        <v>0</v>
      </c>
      <c r="O3078" t="inlineStr">
        <is>
          <t>20542</t>
        </is>
      </c>
      <c r="P3078" t="inlineStr">
        <is>
          <t>CORPORATE TRAVELER</t>
        </is>
      </c>
      <c r="Q3078" s="114" t="n">
        <v>0</v>
      </c>
      <c r="R3078" s="114" t="n">
        <v>559.99</v>
      </c>
      <c r="S3078" s="114" t="n">
        <v>0</v>
      </c>
      <c r="T3078" t="n">
        <v>0</v>
      </c>
    </row>
    <row r="3079">
      <c r="A3079" t="inlineStr">
        <is>
          <t>ttJTrans</t>
        </is>
      </c>
      <c r="B3079" s="38" t="inlineStr">
        <is>
          <t>0-4018</t>
        </is>
      </c>
      <c r="C3079" t="inlineStr">
        <is>
          <t>OC</t>
        </is>
      </c>
      <c r="E3079" t="inlineStr">
        <is>
          <t>OC</t>
        </is>
      </c>
      <c r="G3079" s="128" t="inlineStr"/>
      <c r="H3079" s="127" t="n">
        <v>46142</v>
      </c>
      <c r="J3079" s="38" t="inlineStr">
        <is>
          <t>0-4018</t>
        </is>
      </c>
      <c r="K3079" t="inlineStr">
        <is>
          <t>TRAVEL L BARTLES 5/4/26</t>
        </is>
      </c>
      <c r="L3079" t="n">
        <v>0</v>
      </c>
      <c r="M3079" t="n">
        <v>0</v>
      </c>
      <c r="O3079" t="inlineStr">
        <is>
          <t>20542</t>
        </is>
      </c>
      <c r="P3079" t="inlineStr">
        <is>
          <t>CORPORATE TRAVELER</t>
        </is>
      </c>
      <c r="Q3079" s="114" t="n">
        <v>0</v>
      </c>
      <c r="R3079" s="114" t="n">
        <v>1046.65</v>
      </c>
      <c r="S3079" s="114" t="n">
        <v>0</v>
      </c>
      <c r="T3079" t="n">
        <v>0</v>
      </c>
    </row>
    <row r="3080">
      <c r="A3080" t="inlineStr">
        <is>
          <t>ttJTrans</t>
        </is>
      </c>
      <c r="B3080" s="38" t="inlineStr">
        <is>
          <t>0-4018</t>
        </is>
      </c>
      <c r="C3080" t="inlineStr">
        <is>
          <t>OC</t>
        </is>
      </c>
      <c r="E3080" t="inlineStr">
        <is>
          <t>OC</t>
        </is>
      </c>
      <c r="G3080" s="128" t="inlineStr"/>
      <c r="H3080" s="127" t="n">
        <v>46156</v>
      </c>
      <c r="J3080" s="38" t="inlineStr">
        <is>
          <t>0-4018</t>
        </is>
      </c>
      <c r="K3080" t="inlineStr">
        <is>
          <t>USFC-I30842095 LATORRENCE BIVENS 05/10/2026</t>
        </is>
      </c>
      <c r="L3080" t="n">
        <v>0</v>
      </c>
      <c r="M3080" t="n">
        <v>0</v>
      </c>
      <c r="O3080" t="inlineStr">
        <is>
          <t>20542</t>
        </is>
      </c>
      <c r="P3080" t="inlineStr">
        <is>
          <t>CORPORATE TRAVELER</t>
        </is>
      </c>
      <c r="Q3080" s="114" t="n">
        <v>0</v>
      </c>
      <c r="R3080" s="114" t="n">
        <v>3.69</v>
      </c>
      <c r="S3080" s="114" t="n">
        <v>0</v>
      </c>
      <c r="T3080" t="n">
        <v>0</v>
      </c>
    </row>
    <row r="3081">
      <c r="A3081" t="inlineStr">
        <is>
          <t>ttJTrans</t>
        </is>
      </c>
      <c r="B3081" s="38" t="inlineStr">
        <is>
          <t>0-4018</t>
        </is>
      </c>
      <c r="C3081" t="inlineStr">
        <is>
          <t>OC</t>
        </is>
      </c>
      <c r="E3081" t="inlineStr">
        <is>
          <t>OC</t>
        </is>
      </c>
      <c r="G3081" s="128" t="inlineStr"/>
      <c r="H3081" s="127" t="n">
        <v>46161</v>
      </c>
      <c r="J3081" s="38" t="inlineStr">
        <is>
          <t>0-4018</t>
        </is>
      </c>
      <c r="K3081" t="inlineStr">
        <is>
          <t>USFC-I30872405 SAMUEL WAYNE SMITH 05/04/2026</t>
        </is>
      </c>
      <c r="L3081" t="n">
        <v>0</v>
      </c>
      <c r="M3081" t="n">
        <v>0</v>
      </c>
      <c r="O3081" t="inlineStr">
        <is>
          <t>20542</t>
        </is>
      </c>
      <c r="P3081" t="inlineStr">
        <is>
          <t>CORPORATE TRAVELER</t>
        </is>
      </c>
      <c r="Q3081" s="114" t="n">
        <v>0</v>
      </c>
      <c r="R3081" s="114" t="n">
        <v>2.14</v>
      </c>
      <c r="S3081" s="114" t="n">
        <v>0</v>
      </c>
      <c r="T3081" t="n">
        <v>0</v>
      </c>
    </row>
    <row r="3082">
      <c r="A3082" t="inlineStr">
        <is>
          <t>ttJTrans</t>
        </is>
      </c>
      <c r="B3082" s="38" t="inlineStr">
        <is>
          <t>0-4018</t>
        </is>
      </c>
      <c r="C3082" t="inlineStr">
        <is>
          <t>OC</t>
        </is>
      </c>
      <c r="E3082" t="inlineStr">
        <is>
          <t>OC</t>
        </is>
      </c>
      <c r="G3082" s="128" t="inlineStr"/>
      <c r="H3082" s="127" t="n">
        <v>46156</v>
      </c>
      <c r="J3082" s="38" t="inlineStr">
        <is>
          <t>0-4018</t>
        </is>
      </c>
      <c r="K3082" t="inlineStr">
        <is>
          <t>USFC-I30791267 LATORRENCE BIVENS 04/28/2026</t>
        </is>
      </c>
      <c r="L3082" t="n">
        <v>0</v>
      </c>
      <c r="M3082" t="n">
        <v>0</v>
      </c>
      <c r="O3082" t="inlineStr">
        <is>
          <t>20542</t>
        </is>
      </c>
      <c r="P3082" t="inlineStr">
        <is>
          <t>CORPORATE TRAVELER</t>
        </is>
      </c>
      <c r="Q3082" s="114" t="n">
        <v>0</v>
      </c>
      <c r="R3082" s="114" t="n">
        <v>373.9</v>
      </c>
      <c r="S3082" s="114" t="n">
        <v>0</v>
      </c>
      <c r="T3082" t="n">
        <v>0</v>
      </c>
    </row>
    <row r="3083">
      <c r="A3083" t="inlineStr">
        <is>
          <t>ttJTrans</t>
        </is>
      </c>
      <c r="B3083" s="38" t="inlineStr">
        <is>
          <t>0-4018</t>
        </is>
      </c>
      <c r="C3083" t="inlineStr">
        <is>
          <t>OC</t>
        </is>
      </c>
      <c r="E3083" t="inlineStr">
        <is>
          <t>OC</t>
        </is>
      </c>
      <c r="G3083" s="128" t="inlineStr"/>
      <c r="H3083" s="127" t="n">
        <v>46156</v>
      </c>
      <c r="J3083" s="38" t="inlineStr">
        <is>
          <t>0-4018</t>
        </is>
      </c>
      <c r="K3083" t="inlineStr">
        <is>
          <t>USFC-I30846549 Andreau Trepagnier 05/10/2027</t>
        </is>
      </c>
      <c r="L3083" t="n">
        <v>0</v>
      </c>
      <c r="M3083" t="n">
        <v>0</v>
      </c>
      <c r="O3083" t="inlineStr">
        <is>
          <t>20542</t>
        </is>
      </c>
      <c r="P3083" t="inlineStr">
        <is>
          <t>CORPORATE TRAVELER</t>
        </is>
      </c>
      <c r="Q3083" s="114" t="n">
        <v>0</v>
      </c>
      <c r="R3083" s="114" t="n">
        <v>0.1</v>
      </c>
      <c r="S3083" s="114" t="n">
        <v>0</v>
      </c>
      <c r="T3083" t="n">
        <v>0</v>
      </c>
    </row>
    <row r="3084">
      <c r="A3084" t="inlineStr">
        <is>
          <t>ttJTrans</t>
        </is>
      </c>
      <c r="B3084" s="38" t="inlineStr">
        <is>
          <t>0-4018</t>
        </is>
      </c>
      <c r="C3084" t="inlineStr">
        <is>
          <t>OC</t>
        </is>
      </c>
      <c r="E3084" t="inlineStr">
        <is>
          <t>OC</t>
        </is>
      </c>
      <c r="G3084" s="128" t="inlineStr"/>
      <c r="H3084" s="127" t="n">
        <v>46156</v>
      </c>
      <c r="J3084" s="38" t="inlineStr">
        <is>
          <t>0-4018</t>
        </is>
      </c>
      <c r="K3084" t="inlineStr">
        <is>
          <t>USFC-I30842095 LATORRENCE BIVENS 05/10/2026</t>
        </is>
      </c>
      <c r="L3084" t="n">
        <v>0</v>
      </c>
      <c r="M3084" t="n">
        <v>0</v>
      </c>
      <c r="O3084" t="inlineStr">
        <is>
          <t>20542</t>
        </is>
      </c>
      <c r="P3084" t="inlineStr">
        <is>
          <t>CORPORATE TRAVELER</t>
        </is>
      </c>
      <c r="Q3084" s="114" t="n">
        <v>0</v>
      </c>
      <c r="R3084" s="114" t="n">
        <v>373.4</v>
      </c>
      <c r="S3084" s="114" t="n">
        <v>0</v>
      </c>
      <c r="T3084" t="n">
        <v>0</v>
      </c>
    </row>
    <row r="3085">
      <c r="A3085" t="inlineStr">
        <is>
          <t>ttJTrans</t>
        </is>
      </c>
      <c r="B3085" s="38" t="inlineStr">
        <is>
          <t>0-4018</t>
        </is>
      </c>
      <c r="C3085" t="inlineStr">
        <is>
          <t>OC</t>
        </is>
      </c>
      <c r="E3085" t="inlineStr">
        <is>
          <t>OC</t>
        </is>
      </c>
      <c r="G3085" s="128" t="inlineStr"/>
      <c r="H3085" s="127" t="n">
        <v>46156</v>
      </c>
      <c r="J3085" s="38" t="inlineStr">
        <is>
          <t>0-4018</t>
        </is>
      </c>
      <c r="K3085" t="inlineStr">
        <is>
          <t>USFC-I30846549 Andreau Trepagnier 05/10/2027</t>
        </is>
      </c>
      <c r="L3085" t="n">
        <v>0</v>
      </c>
      <c r="M3085" t="n">
        <v>0</v>
      </c>
      <c r="O3085" t="inlineStr">
        <is>
          <t>20542</t>
        </is>
      </c>
      <c r="P3085" t="inlineStr">
        <is>
          <t>CORPORATE TRAVELER</t>
        </is>
      </c>
      <c r="Q3085" s="114" t="n">
        <v>0</v>
      </c>
      <c r="R3085" s="114" t="n">
        <v>20</v>
      </c>
      <c r="S3085" s="114" t="n">
        <v>0</v>
      </c>
      <c r="T3085" t="n">
        <v>0</v>
      </c>
    </row>
    <row r="3086">
      <c r="A3086" t="inlineStr">
        <is>
          <t>ttJTrans</t>
        </is>
      </c>
      <c r="B3086" s="38" t="inlineStr">
        <is>
          <t>0-4018</t>
        </is>
      </c>
      <c r="C3086" t="inlineStr">
        <is>
          <t>OC</t>
        </is>
      </c>
      <c r="E3086" t="inlineStr">
        <is>
          <t>OC</t>
        </is>
      </c>
      <c r="G3086" s="128" t="inlineStr"/>
      <c r="H3086" s="127" t="n">
        <v>46156</v>
      </c>
      <c r="J3086" s="38" t="inlineStr">
        <is>
          <t>0-4018</t>
        </is>
      </c>
      <c r="K3086" t="inlineStr">
        <is>
          <t>USFC-I30842095 LATORRENCE BIVENS 05/10/2026</t>
        </is>
      </c>
      <c r="L3086" t="n">
        <v>0</v>
      </c>
      <c r="M3086" t="n">
        <v>0</v>
      </c>
      <c r="O3086" t="inlineStr">
        <is>
          <t>20542</t>
        </is>
      </c>
      <c r="P3086" t="inlineStr">
        <is>
          <t>CORPORATE TRAVELER</t>
        </is>
      </c>
      <c r="Q3086" s="114" t="n">
        <v>0</v>
      </c>
      <c r="R3086" s="114" t="n">
        <v>10</v>
      </c>
      <c r="S3086" s="114" t="n">
        <v>0</v>
      </c>
      <c r="T3086" t="n">
        <v>0</v>
      </c>
    </row>
    <row r="3087">
      <c r="A3087" t="inlineStr">
        <is>
          <t>ttJTrans</t>
        </is>
      </c>
      <c r="B3087" s="38" t="inlineStr">
        <is>
          <t>0-4018</t>
        </is>
      </c>
      <c r="C3087" t="inlineStr">
        <is>
          <t>OC</t>
        </is>
      </c>
      <c r="E3087" t="inlineStr">
        <is>
          <t>OC</t>
        </is>
      </c>
      <c r="G3087" s="128" t="inlineStr"/>
      <c r="H3087" s="127" t="n">
        <v>46156</v>
      </c>
      <c r="J3087" s="38" t="inlineStr">
        <is>
          <t>0-4018</t>
        </is>
      </c>
      <c r="K3087" t="inlineStr">
        <is>
          <t>USFC-I30842095 LATORRENCE BIVENS 05/10/2026</t>
        </is>
      </c>
      <c r="L3087" t="n">
        <v>0</v>
      </c>
      <c r="M3087" t="n">
        <v>0</v>
      </c>
      <c r="O3087" t="inlineStr">
        <is>
          <t>20542</t>
        </is>
      </c>
      <c r="P3087" t="inlineStr">
        <is>
          <t>CORPORATE TRAVELER</t>
        </is>
      </c>
      <c r="Q3087" s="114" t="n">
        <v>0</v>
      </c>
      <c r="R3087" s="114" t="n">
        <v>355.5</v>
      </c>
      <c r="S3087" s="114" t="n">
        <v>0</v>
      </c>
      <c r="T3087" t="n">
        <v>0</v>
      </c>
    </row>
    <row r="3088">
      <c r="A3088" t="inlineStr">
        <is>
          <t>ttJTrans</t>
        </is>
      </c>
      <c r="B3088" s="38" t="inlineStr">
        <is>
          <t>0-4018</t>
        </is>
      </c>
      <c r="C3088" t="inlineStr">
        <is>
          <t>OC</t>
        </is>
      </c>
      <c r="E3088" t="inlineStr">
        <is>
          <t>OC</t>
        </is>
      </c>
      <c r="G3088" s="128" t="inlineStr"/>
      <c r="H3088" s="127" t="n">
        <v>46156</v>
      </c>
      <c r="J3088" s="38" t="inlineStr">
        <is>
          <t>0-4018</t>
        </is>
      </c>
      <c r="K3088" t="inlineStr">
        <is>
          <t>USFC-I30839257 Andreau Trepagnier 05/08/2026</t>
        </is>
      </c>
      <c r="L3088" t="n">
        <v>0</v>
      </c>
      <c r="M3088" t="n">
        <v>0</v>
      </c>
      <c r="O3088" t="inlineStr">
        <is>
          <t>20542</t>
        </is>
      </c>
      <c r="P3088" t="inlineStr">
        <is>
          <t>CORPORATE TRAVELER</t>
        </is>
      </c>
      <c r="Q3088" s="114" t="n">
        <v>0</v>
      </c>
      <c r="R3088" s="114" t="n">
        <v>20</v>
      </c>
      <c r="S3088" s="114" t="n">
        <v>0</v>
      </c>
      <c r="T3088" t="n">
        <v>0</v>
      </c>
    </row>
    <row r="3089">
      <c r="A3089" t="inlineStr">
        <is>
          <t>ttJTrans</t>
        </is>
      </c>
      <c r="B3089" s="38" t="inlineStr">
        <is>
          <t>0-4018</t>
        </is>
      </c>
      <c r="C3089" t="inlineStr">
        <is>
          <t>OC</t>
        </is>
      </c>
      <c r="E3089" t="inlineStr">
        <is>
          <t>OC</t>
        </is>
      </c>
      <c r="G3089" s="128" t="inlineStr"/>
      <c r="H3089" s="127" t="n">
        <v>46156</v>
      </c>
      <c r="J3089" s="38" t="inlineStr">
        <is>
          <t>0-4018</t>
        </is>
      </c>
      <c r="K3089" t="inlineStr">
        <is>
          <t>USFC-I30839257 Andreau Trepagnier 05/08/2026</t>
        </is>
      </c>
      <c r="L3089" t="n">
        <v>0</v>
      </c>
      <c r="M3089" t="n">
        <v>0</v>
      </c>
      <c r="O3089" t="inlineStr">
        <is>
          <t>20542</t>
        </is>
      </c>
      <c r="P3089" t="inlineStr">
        <is>
          <t>CORPORATE TRAVELER</t>
        </is>
      </c>
      <c r="Q3089" s="114" t="n">
        <v>0</v>
      </c>
      <c r="R3089" s="114" t="n">
        <v>0.1</v>
      </c>
      <c r="S3089" s="114" t="n">
        <v>0</v>
      </c>
      <c r="T3089" t="n">
        <v>0</v>
      </c>
    </row>
    <row r="3090">
      <c r="A3090" t="inlineStr">
        <is>
          <t>ttJTrans</t>
        </is>
      </c>
      <c r="B3090" s="38" t="inlineStr">
        <is>
          <t>0-4018</t>
        </is>
      </c>
      <c r="C3090" t="inlineStr">
        <is>
          <t>OC</t>
        </is>
      </c>
      <c r="E3090" t="inlineStr">
        <is>
          <t>OC</t>
        </is>
      </c>
      <c r="G3090" s="128" t="inlineStr"/>
      <c r="H3090" s="127" t="n">
        <v>46156</v>
      </c>
      <c r="J3090" s="38" t="inlineStr">
        <is>
          <t>0-4018</t>
        </is>
      </c>
      <c r="K3090" t="inlineStr">
        <is>
          <t>USFC-I30775554 Andreau Trepagnier 05/04/2026</t>
        </is>
      </c>
      <c r="L3090" t="n">
        <v>0</v>
      </c>
      <c r="M3090" t="n">
        <v>0</v>
      </c>
      <c r="O3090" t="inlineStr">
        <is>
          <t>20542</t>
        </is>
      </c>
      <c r="P3090" t="inlineStr">
        <is>
          <t>CORPORATE TRAVELER</t>
        </is>
      </c>
      <c r="Q3090" s="114" t="n">
        <v>0</v>
      </c>
      <c r="R3090" s="114" t="n">
        <v>0.1</v>
      </c>
      <c r="S3090" s="114" t="n">
        <v>0</v>
      </c>
      <c r="T3090" t="n">
        <v>0</v>
      </c>
    </row>
    <row r="3091">
      <c r="A3091" t="inlineStr">
        <is>
          <t>ttJTrans</t>
        </is>
      </c>
      <c r="B3091" s="38" t="inlineStr">
        <is>
          <t>0-4018</t>
        </is>
      </c>
      <c r="C3091" t="inlineStr">
        <is>
          <t>OC</t>
        </is>
      </c>
      <c r="E3091" t="inlineStr">
        <is>
          <t>OC</t>
        </is>
      </c>
      <c r="G3091" s="128" t="inlineStr"/>
      <c r="H3091" s="127" t="n">
        <v>46156</v>
      </c>
      <c r="J3091" s="38" t="inlineStr">
        <is>
          <t>0-4018</t>
        </is>
      </c>
      <c r="K3091" t="inlineStr">
        <is>
          <t>USFC-I30775554 Andreau Trepagnier 05/04/2026</t>
        </is>
      </c>
      <c r="L3091" t="n">
        <v>0</v>
      </c>
      <c r="M3091" t="n">
        <v>0</v>
      </c>
      <c r="O3091" t="inlineStr">
        <is>
          <t>20542</t>
        </is>
      </c>
      <c r="P3091" t="inlineStr">
        <is>
          <t>CORPORATE TRAVELER</t>
        </is>
      </c>
      <c r="Q3091" s="114" t="n">
        <v>0</v>
      </c>
      <c r="R3091" s="114" t="n">
        <v>20</v>
      </c>
      <c r="S3091" s="114" t="n">
        <v>0</v>
      </c>
      <c r="T3091" t="n">
        <v>0</v>
      </c>
    </row>
    <row r="3092">
      <c r="A3092" t="inlineStr">
        <is>
          <t>ttJTrans</t>
        </is>
      </c>
      <c r="B3092" s="38" t="inlineStr">
        <is>
          <t>0-4018</t>
        </is>
      </c>
      <c r="C3092" t="inlineStr">
        <is>
          <t>OC</t>
        </is>
      </c>
      <c r="E3092" t="inlineStr">
        <is>
          <t>OC</t>
        </is>
      </c>
      <c r="G3092" s="128" t="inlineStr"/>
      <c r="H3092" s="127" t="n">
        <v>46156</v>
      </c>
      <c r="J3092" s="38" t="inlineStr">
        <is>
          <t>0-4018</t>
        </is>
      </c>
      <c r="K3092" t="inlineStr">
        <is>
          <t>USFC-I30833819 PHILLIP R WARE 05/10/2026</t>
        </is>
      </c>
      <c r="L3092" t="n">
        <v>0</v>
      </c>
      <c r="M3092" t="n">
        <v>0</v>
      </c>
      <c r="O3092" t="inlineStr">
        <is>
          <t>20542</t>
        </is>
      </c>
      <c r="P3092" t="inlineStr">
        <is>
          <t>CORPORATE TRAVELER</t>
        </is>
      </c>
      <c r="Q3092" s="114" t="n">
        <v>0</v>
      </c>
      <c r="R3092" s="114" t="n">
        <v>10</v>
      </c>
      <c r="S3092" s="114" t="n">
        <v>0</v>
      </c>
      <c r="T3092" t="n">
        <v>0</v>
      </c>
    </row>
    <row r="3093">
      <c r="A3093" t="inlineStr">
        <is>
          <t>ttJTrans</t>
        </is>
      </c>
      <c r="B3093" s="38" t="inlineStr">
        <is>
          <t>0-4018</t>
        </is>
      </c>
      <c r="C3093" t="inlineStr">
        <is>
          <t>OC</t>
        </is>
      </c>
      <c r="E3093" t="inlineStr">
        <is>
          <t>OC</t>
        </is>
      </c>
      <c r="G3093" s="128" t="inlineStr"/>
      <c r="H3093" s="127" t="n">
        <v>46156</v>
      </c>
      <c r="J3093" s="38" t="inlineStr">
        <is>
          <t>0-4018</t>
        </is>
      </c>
      <c r="K3093" t="inlineStr">
        <is>
          <t>USFC-I30833819 PHILLIP R WARE 05/10/2026</t>
        </is>
      </c>
      <c r="L3093" t="n">
        <v>0</v>
      </c>
      <c r="M3093" t="n">
        <v>0</v>
      </c>
      <c r="O3093" t="inlineStr">
        <is>
          <t>20542</t>
        </is>
      </c>
      <c r="P3093" t="inlineStr">
        <is>
          <t>CORPORATE TRAVELER</t>
        </is>
      </c>
      <c r="Q3093" s="114" t="n">
        <v>0</v>
      </c>
      <c r="R3093" s="114" t="n">
        <v>1124.8</v>
      </c>
      <c r="S3093" s="114" t="n">
        <v>0</v>
      </c>
      <c r="T3093" t="n">
        <v>0</v>
      </c>
    </row>
    <row r="3094">
      <c r="A3094" t="inlineStr">
        <is>
          <t>ttJTrans</t>
        </is>
      </c>
      <c r="B3094" s="38" t="inlineStr">
        <is>
          <t>0-4018</t>
        </is>
      </c>
      <c r="C3094" t="inlineStr">
        <is>
          <t>OC</t>
        </is>
      </c>
      <c r="E3094" t="inlineStr">
        <is>
          <t>OC</t>
        </is>
      </c>
      <c r="G3094" s="128" t="inlineStr"/>
      <c r="H3094" s="127" t="n">
        <v>46161</v>
      </c>
      <c r="J3094" s="38" t="inlineStr">
        <is>
          <t>0-4018</t>
        </is>
      </c>
      <c r="K3094" t="inlineStr">
        <is>
          <t>USFC-I30872634 John Steelman 05/04/2026</t>
        </is>
      </c>
      <c r="L3094" t="n">
        <v>0</v>
      </c>
      <c r="M3094" t="n">
        <v>0</v>
      </c>
      <c r="O3094" t="inlineStr">
        <is>
          <t>20542</t>
        </is>
      </c>
      <c r="P3094" t="inlineStr">
        <is>
          <t>CORPORATE TRAVELER</t>
        </is>
      </c>
      <c r="Q3094" s="114" t="n">
        <v>0</v>
      </c>
      <c r="R3094" s="114" t="n">
        <v>360.09</v>
      </c>
      <c r="S3094" s="114" t="n">
        <v>0</v>
      </c>
      <c r="T3094" t="n">
        <v>0</v>
      </c>
    </row>
    <row r="3095">
      <c r="A3095" t="inlineStr">
        <is>
          <t>ttJTrans</t>
        </is>
      </c>
      <c r="B3095" s="38" t="inlineStr">
        <is>
          <t>0-4018</t>
        </is>
      </c>
      <c r="C3095" t="inlineStr">
        <is>
          <t>OC</t>
        </is>
      </c>
      <c r="E3095" t="inlineStr">
        <is>
          <t>OC</t>
        </is>
      </c>
      <c r="G3095" s="128" t="inlineStr"/>
      <c r="H3095" s="127" t="n">
        <v>46161</v>
      </c>
      <c r="J3095" s="38" t="inlineStr">
        <is>
          <t>0-4018</t>
        </is>
      </c>
      <c r="K3095" t="inlineStr">
        <is>
          <t>USFC-I30873004 Andreau Trepagnier 05/04/2026</t>
        </is>
      </c>
      <c r="L3095" t="n">
        <v>0</v>
      </c>
      <c r="M3095" t="n">
        <v>0</v>
      </c>
      <c r="O3095" t="inlineStr">
        <is>
          <t>20542</t>
        </is>
      </c>
      <c r="P3095" t="inlineStr">
        <is>
          <t>CORPORATE TRAVELER</t>
        </is>
      </c>
      <c r="Q3095" s="114" t="n">
        <v>0</v>
      </c>
      <c r="R3095" s="114" t="n">
        <v>516.03</v>
      </c>
      <c r="S3095" s="114" t="n">
        <v>0</v>
      </c>
      <c r="T3095" t="n">
        <v>0</v>
      </c>
    </row>
    <row r="3096">
      <c r="A3096" t="inlineStr">
        <is>
          <t>ttJTrans</t>
        </is>
      </c>
      <c r="B3096" s="38" t="inlineStr">
        <is>
          <t>0-4018</t>
        </is>
      </c>
      <c r="C3096" t="inlineStr">
        <is>
          <t>OC</t>
        </is>
      </c>
      <c r="E3096" t="inlineStr">
        <is>
          <t>OC</t>
        </is>
      </c>
      <c r="G3096" s="128" t="inlineStr"/>
      <c r="H3096" s="127" t="n">
        <v>46161</v>
      </c>
      <c r="J3096" s="38" t="inlineStr">
        <is>
          <t>0-4018</t>
        </is>
      </c>
      <c r="K3096" t="inlineStr">
        <is>
          <t>USFC-I30873432 Andreau Trepagnier 05/08/2026</t>
        </is>
      </c>
      <c r="L3096" t="n">
        <v>0</v>
      </c>
      <c r="M3096" t="n">
        <v>0</v>
      </c>
      <c r="O3096" t="inlineStr">
        <is>
          <t>20542</t>
        </is>
      </c>
      <c r="P3096" t="inlineStr">
        <is>
          <t>CORPORATE TRAVELER</t>
        </is>
      </c>
      <c r="Q3096" s="114" t="n">
        <v>0</v>
      </c>
      <c r="R3096" s="114" t="n">
        <v>0.63</v>
      </c>
      <c r="S3096" s="114" t="n">
        <v>0</v>
      </c>
      <c r="T3096" t="n">
        <v>0</v>
      </c>
    </row>
    <row r="3097">
      <c r="A3097" t="inlineStr">
        <is>
          <t>ttJTrans</t>
        </is>
      </c>
      <c r="B3097" s="38" t="inlineStr">
        <is>
          <t>0-4018</t>
        </is>
      </c>
      <c r="C3097" t="inlineStr">
        <is>
          <t>OC</t>
        </is>
      </c>
      <c r="E3097" t="inlineStr">
        <is>
          <t>OC</t>
        </is>
      </c>
      <c r="G3097" s="128" t="inlineStr"/>
      <c r="H3097" s="127" t="n">
        <v>46161</v>
      </c>
      <c r="J3097" s="38" t="inlineStr">
        <is>
          <t>0-4018</t>
        </is>
      </c>
      <c r="K3097" t="inlineStr">
        <is>
          <t>USFC-I30875404 SAMUEL WAYNE SMITH 05/18/2026</t>
        </is>
      </c>
      <c r="L3097" t="n">
        <v>0</v>
      </c>
      <c r="M3097" t="n">
        <v>0</v>
      </c>
      <c r="O3097" t="inlineStr">
        <is>
          <t>20542</t>
        </is>
      </c>
      <c r="P3097" t="inlineStr">
        <is>
          <t>CORPORATE TRAVELER</t>
        </is>
      </c>
      <c r="Q3097" s="114" t="n">
        <v>0</v>
      </c>
      <c r="R3097" s="114" t="n">
        <v>20</v>
      </c>
      <c r="S3097" s="114" t="n">
        <v>0</v>
      </c>
      <c r="T3097" t="n">
        <v>0</v>
      </c>
    </row>
    <row r="3098">
      <c r="A3098" t="inlineStr">
        <is>
          <t>ttJTrans</t>
        </is>
      </c>
      <c r="B3098" s="38" t="inlineStr">
        <is>
          <t>0-4018</t>
        </is>
      </c>
      <c r="C3098" t="inlineStr">
        <is>
          <t>OC</t>
        </is>
      </c>
      <c r="E3098" t="inlineStr">
        <is>
          <t>OC</t>
        </is>
      </c>
      <c r="G3098" s="128" t="inlineStr"/>
      <c r="H3098" s="127" t="n">
        <v>46161</v>
      </c>
      <c r="J3098" s="38" t="inlineStr">
        <is>
          <t>0-4018</t>
        </is>
      </c>
      <c r="K3098" t="inlineStr">
        <is>
          <t>USFC-I30875404 SAMUEL WAYNE SMITH 05/18/2026</t>
        </is>
      </c>
      <c r="L3098" t="n">
        <v>0</v>
      </c>
      <c r="M3098" t="n">
        <v>0</v>
      </c>
      <c r="O3098" t="inlineStr">
        <is>
          <t>20542</t>
        </is>
      </c>
      <c r="P3098" t="inlineStr">
        <is>
          <t>CORPORATE TRAVELER</t>
        </is>
      </c>
      <c r="Q3098" s="114" t="n">
        <v>0</v>
      </c>
      <c r="R3098" s="114" t="n">
        <v>10</v>
      </c>
      <c r="S3098" s="114" t="n">
        <v>0</v>
      </c>
      <c r="T3098" t="n">
        <v>0</v>
      </c>
    </row>
    <row r="3099">
      <c r="A3099" t="inlineStr">
        <is>
          <t>ttJTrans</t>
        </is>
      </c>
      <c r="B3099" s="38" t="inlineStr">
        <is>
          <t>0-4018</t>
        </is>
      </c>
      <c r="C3099" t="inlineStr">
        <is>
          <t>OC</t>
        </is>
      </c>
      <c r="E3099" t="inlineStr">
        <is>
          <t>OC</t>
        </is>
      </c>
      <c r="G3099" s="128" t="inlineStr"/>
      <c r="H3099" s="127" t="n">
        <v>46161</v>
      </c>
      <c r="J3099" s="38" t="inlineStr">
        <is>
          <t>0-4018</t>
        </is>
      </c>
      <c r="K3099" t="inlineStr">
        <is>
          <t>USFC-I30875404 SAMUEL WAYNE SMITH 05/18/2026</t>
        </is>
      </c>
      <c r="L3099" t="n">
        <v>0</v>
      </c>
      <c r="M3099" t="n">
        <v>0</v>
      </c>
      <c r="O3099" t="inlineStr">
        <is>
          <t>20542</t>
        </is>
      </c>
      <c r="P3099" t="inlineStr">
        <is>
          <t>CORPORATE TRAVELER</t>
        </is>
      </c>
      <c r="Q3099" s="114" t="n">
        <v>0</v>
      </c>
      <c r="R3099" s="114" t="n">
        <v>764.21</v>
      </c>
      <c r="S3099" s="114" t="n">
        <v>0</v>
      </c>
      <c r="T3099" t="n">
        <v>0</v>
      </c>
    </row>
    <row r="3100">
      <c r="A3100" t="inlineStr">
        <is>
          <t>ttJTrans</t>
        </is>
      </c>
      <c r="B3100" s="38" t="inlineStr">
        <is>
          <t>0-4018</t>
        </is>
      </c>
      <c r="C3100" t="inlineStr">
        <is>
          <t>OC</t>
        </is>
      </c>
      <c r="E3100" t="inlineStr">
        <is>
          <t>OC</t>
        </is>
      </c>
      <c r="G3100" s="128" t="inlineStr"/>
      <c r="H3100" s="127" t="n">
        <v>46161</v>
      </c>
      <c r="J3100" s="38" t="inlineStr">
        <is>
          <t>0-4018</t>
        </is>
      </c>
      <c r="K3100" t="inlineStr">
        <is>
          <t>USFC-I30873004 Andreau Trepagnier 05/04/2026</t>
        </is>
      </c>
      <c r="L3100" t="n">
        <v>0</v>
      </c>
      <c r="M3100" t="n">
        <v>0</v>
      </c>
      <c r="O3100" t="inlineStr">
        <is>
          <t>20542</t>
        </is>
      </c>
      <c r="P3100" t="inlineStr">
        <is>
          <t>CORPORATE TRAVELER</t>
        </is>
      </c>
      <c r="Q3100" s="114" t="n">
        <v>0</v>
      </c>
      <c r="R3100" s="114" t="n">
        <v>2.58</v>
      </c>
      <c r="S3100" s="114" t="n">
        <v>0</v>
      </c>
      <c r="T3100" t="n">
        <v>0</v>
      </c>
    </row>
    <row r="3101">
      <c r="A3101" t="inlineStr">
        <is>
          <t>ttJTrans</t>
        </is>
      </c>
      <c r="B3101" s="38" t="inlineStr">
        <is>
          <t>0-4018</t>
        </is>
      </c>
      <c r="C3101" t="inlineStr">
        <is>
          <t>OC</t>
        </is>
      </c>
      <c r="E3101" t="inlineStr">
        <is>
          <t>OC</t>
        </is>
      </c>
      <c r="G3101" s="128" t="inlineStr"/>
      <c r="H3101" s="127" t="n">
        <v>46149</v>
      </c>
      <c r="J3101" s="38" t="inlineStr">
        <is>
          <t>0-4018</t>
        </is>
      </c>
      <c r="K3101" t="inlineStr">
        <is>
          <t>USFC-I30754610 John Steelman 05/04/2026</t>
        </is>
      </c>
      <c r="L3101" t="n">
        <v>0</v>
      </c>
      <c r="M3101" t="n">
        <v>0</v>
      </c>
      <c r="O3101" t="inlineStr">
        <is>
          <t>20542</t>
        </is>
      </c>
      <c r="P3101" t="inlineStr">
        <is>
          <t>CORPORATE TRAVELER</t>
        </is>
      </c>
      <c r="Q3101" s="114" t="n">
        <v>0</v>
      </c>
      <c r="R3101" s="114" t="n">
        <v>0.1</v>
      </c>
      <c r="S3101" s="114" t="n">
        <v>0</v>
      </c>
      <c r="T3101" t="n">
        <v>0</v>
      </c>
    </row>
    <row r="3102">
      <c r="A3102" t="inlineStr">
        <is>
          <t>ttJTrans</t>
        </is>
      </c>
      <c r="B3102" s="38" t="inlineStr">
        <is>
          <t>0-4018</t>
        </is>
      </c>
      <c r="C3102" t="inlineStr">
        <is>
          <t>OC</t>
        </is>
      </c>
      <c r="E3102" t="inlineStr">
        <is>
          <t>OC</t>
        </is>
      </c>
      <c r="G3102" s="128" t="inlineStr"/>
      <c r="H3102" s="127" t="n">
        <v>46149</v>
      </c>
      <c r="J3102" s="38" t="inlineStr">
        <is>
          <t>0-4018</t>
        </is>
      </c>
      <c r="K3102" t="inlineStr">
        <is>
          <t>USFC-I30675912 JESSIE DEAN RION 05/04/2026</t>
        </is>
      </c>
      <c r="L3102" t="n">
        <v>0</v>
      </c>
      <c r="M3102" t="n">
        <v>0</v>
      </c>
      <c r="O3102" t="inlineStr">
        <is>
          <t>20542</t>
        </is>
      </c>
      <c r="P3102" t="inlineStr">
        <is>
          <t>CORPORATE TRAVELER</t>
        </is>
      </c>
      <c r="Q3102" s="114" t="n">
        <v>0</v>
      </c>
      <c r="R3102" s="114" t="n">
        <v>815.51</v>
      </c>
      <c r="S3102" s="114" t="n">
        <v>0</v>
      </c>
      <c r="T3102" t="n">
        <v>0</v>
      </c>
    </row>
    <row r="3103">
      <c r="A3103" t="inlineStr">
        <is>
          <t>ttJTrans</t>
        </is>
      </c>
      <c r="B3103" s="38" t="inlineStr">
        <is>
          <t>0-4018</t>
        </is>
      </c>
      <c r="C3103" t="inlineStr">
        <is>
          <t>OC</t>
        </is>
      </c>
      <c r="E3103" t="inlineStr">
        <is>
          <t>OC</t>
        </is>
      </c>
      <c r="G3103" s="128" t="inlineStr"/>
      <c r="H3103" s="127" t="n">
        <v>46149</v>
      </c>
      <c r="J3103" s="38" t="inlineStr">
        <is>
          <t>0-4018</t>
        </is>
      </c>
      <c r="K3103" t="inlineStr">
        <is>
          <t>USFC-I30675912 JESSIE DEAN RION 05/04/2026</t>
        </is>
      </c>
      <c r="L3103" t="n">
        <v>0</v>
      </c>
      <c r="M3103" t="n">
        <v>0</v>
      </c>
      <c r="O3103" t="inlineStr">
        <is>
          <t>20542</t>
        </is>
      </c>
      <c r="P3103" t="inlineStr">
        <is>
          <t>CORPORATE TRAVELER</t>
        </is>
      </c>
      <c r="Q3103" s="114" t="n">
        <v>0</v>
      </c>
      <c r="R3103" s="114" t="n">
        <v>4.23</v>
      </c>
      <c r="S3103" s="114" t="n">
        <v>0</v>
      </c>
      <c r="T3103" t="n">
        <v>0</v>
      </c>
    </row>
    <row r="3104">
      <c r="A3104" t="inlineStr">
        <is>
          <t>ttJTrans</t>
        </is>
      </c>
      <c r="B3104" s="38" t="inlineStr">
        <is>
          <t>0-4018</t>
        </is>
      </c>
      <c r="C3104" t="inlineStr">
        <is>
          <t>OC</t>
        </is>
      </c>
      <c r="E3104" t="inlineStr">
        <is>
          <t>OC</t>
        </is>
      </c>
      <c r="G3104" s="128" t="inlineStr"/>
      <c r="H3104" s="127" t="n">
        <v>46149</v>
      </c>
      <c r="J3104" s="38" t="inlineStr">
        <is>
          <t>0-4018</t>
        </is>
      </c>
      <c r="K3104" t="inlineStr">
        <is>
          <t>USFC-I30665155 LOYD BARTLES 05/11/2026</t>
        </is>
      </c>
      <c r="L3104" t="n">
        <v>0</v>
      </c>
      <c r="M3104" t="n">
        <v>0</v>
      </c>
      <c r="O3104" t="inlineStr">
        <is>
          <t>20542</t>
        </is>
      </c>
      <c r="P3104" t="inlineStr">
        <is>
          <t>CORPORATE TRAVELER</t>
        </is>
      </c>
      <c r="Q3104" s="114" t="n">
        <v>0</v>
      </c>
      <c r="R3104" s="114" t="n">
        <v>823.34</v>
      </c>
      <c r="S3104" s="114" t="n">
        <v>0</v>
      </c>
      <c r="T3104" t="n">
        <v>0</v>
      </c>
    </row>
    <row r="3105">
      <c r="A3105" t="inlineStr">
        <is>
          <t>ttJTrans</t>
        </is>
      </c>
      <c r="B3105" s="38" t="inlineStr">
        <is>
          <t>0-4018</t>
        </is>
      </c>
      <c r="C3105" t="inlineStr">
        <is>
          <t>OC</t>
        </is>
      </c>
      <c r="E3105" t="inlineStr">
        <is>
          <t>OC</t>
        </is>
      </c>
      <c r="G3105" s="128" t="inlineStr"/>
      <c r="H3105" s="127" t="n">
        <v>46149</v>
      </c>
      <c r="J3105" s="38" t="inlineStr">
        <is>
          <t>0-4018</t>
        </is>
      </c>
      <c r="K3105" t="inlineStr">
        <is>
          <t>USFC-I30665155 LOYD BARTLES 05/11/2026</t>
        </is>
      </c>
      <c r="L3105" t="n">
        <v>0</v>
      </c>
      <c r="M3105" t="n">
        <v>0</v>
      </c>
      <c r="O3105" t="inlineStr">
        <is>
          <t>20542</t>
        </is>
      </c>
      <c r="P3105" t="inlineStr">
        <is>
          <t>CORPORATE TRAVELER</t>
        </is>
      </c>
      <c r="Q3105" s="114" t="n">
        <v>0</v>
      </c>
      <c r="R3105" s="114" t="n">
        <v>10</v>
      </c>
      <c r="S3105" s="114" t="n">
        <v>0</v>
      </c>
      <c r="T3105" t="n">
        <v>0</v>
      </c>
    </row>
    <row r="3106">
      <c r="A3106" t="inlineStr">
        <is>
          <t>ttJTrans</t>
        </is>
      </c>
      <c r="B3106" s="38" t="inlineStr">
        <is>
          <t>0-4018</t>
        </is>
      </c>
      <c r="C3106" t="inlineStr">
        <is>
          <t>OC</t>
        </is>
      </c>
      <c r="E3106" t="inlineStr">
        <is>
          <t>OC</t>
        </is>
      </c>
      <c r="G3106" s="128" t="inlineStr"/>
      <c r="H3106" s="127" t="n">
        <v>46149</v>
      </c>
      <c r="J3106" s="38" t="inlineStr">
        <is>
          <t>0-4018</t>
        </is>
      </c>
      <c r="K3106" t="inlineStr">
        <is>
          <t>USFC-I30665155 LOYD BARTLES 05/11/2026</t>
        </is>
      </c>
      <c r="L3106" t="n">
        <v>0</v>
      </c>
      <c r="M3106" t="n">
        <v>0</v>
      </c>
      <c r="O3106" t="inlineStr">
        <is>
          <t>20542</t>
        </is>
      </c>
      <c r="P3106" t="inlineStr">
        <is>
          <t>CORPORATE TRAVELER</t>
        </is>
      </c>
      <c r="Q3106" s="114" t="n">
        <v>0</v>
      </c>
      <c r="R3106" s="114" t="n">
        <v>20</v>
      </c>
      <c r="S3106" s="114" t="n">
        <v>0</v>
      </c>
      <c r="T3106" t="n">
        <v>0</v>
      </c>
    </row>
    <row r="3107">
      <c r="A3107" t="inlineStr">
        <is>
          <t>ttJTrans</t>
        </is>
      </c>
      <c r="B3107" s="38" t="inlineStr">
        <is>
          <t>0-4018</t>
        </is>
      </c>
      <c r="C3107" t="inlineStr">
        <is>
          <t>OC</t>
        </is>
      </c>
      <c r="E3107" t="inlineStr">
        <is>
          <t>OC</t>
        </is>
      </c>
      <c r="G3107" s="128" t="inlineStr"/>
      <c r="H3107" s="127" t="n">
        <v>46149</v>
      </c>
      <c r="J3107" s="38" t="inlineStr">
        <is>
          <t>0-4018</t>
        </is>
      </c>
      <c r="K3107" t="inlineStr">
        <is>
          <t>USFC-I30675912 JESSIE DEAN RION 05/04/2026</t>
        </is>
      </c>
      <c r="L3107" t="n">
        <v>0</v>
      </c>
      <c r="M3107" t="n">
        <v>0</v>
      </c>
      <c r="O3107" t="inlineStr">
        <is>
          <t>20542</t>
        </is>
      </c>
      <c r="P3107" t="inlineStr">
        <is>
          <t>CORPORATE TRAVELER</t>
        </is>
      </c>
      <c r="Q3107" s="114" t="n">
        <v>0</v>
      </c>
      <c r="R3107" s="114" t="n">
        <v>10</v>
      </c>
      <c r="S3107" s="114" t="n">
        <v>0</v>
      </c>
      <c r="T3107" t="n">
        <v>0</v>
      </c>
    </row>
    <row r="3108">
      <c r="A3108" t="inlineStr">
        <is>
          <t>ttJTrans</t>
        </is>
      </c>
      <c r="B3108" s="38" t="inlineStr">
        <is>
          <t>0-4018</t>
        </is>
      </c>
      <c r="C3108" t="inlineStr">
        <is>
          <t>OC</t>
        </is>
      </c>
      <c r="E3108" t="inlineStr">
        <is>
          <t>OC</t>
        </is>
      </c>
      <c r="G3108" s="128" t="inlineStr"/>
      <c r="H3108" s="127" t="n">
        <v>46149</v>
      </c>
      <c r="J3108" s="38" t="inlineStr">
        <is>
          <t>0-4018</t>
        </is>
      </c>
      <c r="K3108" t="inlineStr">
        <is>
          <t>USFC-I30675912 JESSIE DEAN RION 05/04/2026</t>
        </is>
      </c>
      <c r="L3108" t="n">
        <v>0</v>
      </c>
      <c r="M3108" t="n">
        <v>0</v>
      </c>
      <c r="O3108" t="inlineStr">
        <is>
          <t>20542</t>
        </is>
      </c>
      <c r="P3108" t="inlineStr">
        <is>
          <t>CORPORATE TRAVELER</t>
        </is>
      </c>
      <c r="Q3108" s="114" t="n">
        <v>0</v>
      </c>
      <c r="R3108" s="114" t="n">
        <v>20</v>
      </c>
      <c r="S3108" s="114" t="n">
        <v>0</v>
      </c>
      <c r="T3108" t="n">
        <v>0</v>
      </c>
    </row>
    <row r="3109">
      <c r="A3109" t="inlineStr">
        <is>
          <t>ttJTrans</t>
        </is>
      </c>
      <c r="B3109" s="38" t="inlineStr">
        <is>
          <t>0-4018</t>
        </is>
      </c>
      <c r="C3109" t="inlineStr">
        <is>
          <t>OC</t>
        </is>
      </c>
      <c r="E3109" t="inlineStr">
        <is>
          <t>OC</t>
        </is>
      </c>
      <c r="G3109" s="128" t="inlineStr"/>
      <c r="H3109" s="127" t="n">
        <v>46147</v>
      </c>
      <c r="J3109" s="38" t="inlineStr">
        <is>
          <t>0-4018</t>
        </is>
      </c>
      <c r="K3109" t="inlineStr">
        <is>
          <t>CAR RENTAL J RION 3/31/26</t>
        </is>
      </c>
      <c r="L3109" t="n">
        <v>0</v>
      </c>
      <c r="M3109" t="n">
        <v>0</v>
      </c>
      <c r="O3109" t="inlineStr">
        <is>
          <t>18873</t>
        </is>
      </c>
      <c r="P3109" t="inlineStr">
        <is>
          <t>EAN SERVICES, LLC</t>
        </is>
      </c>
      <c r="Q3109" s="114" t="n">
        <v>0</v>
      </c>
      <c r="R3109" s="114" t="n">
        <v>369.15</v>
      </c>
      <c r="S3109" s="114" t="n">
        <v>0</v>
      </c>
      <c r="T3109" t="n">
        <v>0</v>
      </c>
    </row>
    <row r="3110">
      <c r="A3110" t="inlineStr">
        <is>
          <t>ttJTrans</t>
        </is>
      </c>
      <c r="B3110" s="38" t="inlineStr">
        <is>
          <t>0-4018</t>
        </is>
      </c>
      <c r="C3110" t="inlineStr">
        <is>
          <t>OC</t>
        </is>
      </c>
      <c r="E3110" t="inlineStr">
        <is>
          <t>OC</t>
        </is>
      </c>
      <c r="G3110" s="128" t="inlineStr"/>
      <c r="H3110" s="127" t="n">
        <v>46147</v>
      </c>
      <c r="J3110" s="38" t="inlineStr">
        <is>
          <t>0-4018</t>
        </is>
      </c>
      <c r="K3110" t="inlineStr">
        <is>
          <t>CAR RENTAL A TREPAGNIER 4/1/26</t>
        </is>
      </c>
      <c r="L3110" t="n">
        <v>0</v>
      </c>
      <c r="M3110" t="n">
        <v>0</v>
      </c>
      <c r="O3110" t="inlineStr">
        <is>
          <t>18873</t>
        </is>
      </c>
      <c r="P3110" t="inlineStr">
        <is>
          <t>EAN SERVICES, LLC</t>
        </is>
      </c>
      <c r="Q3110" s="114" t="n">
        <v>0</v>
      </c>
      <c r="R3110" s="114" t="n">
        <v>283.63</v>
      </c>
      <c r="S3110" s="114" t="n">
        <v>0</v>
      </c>
      <c r="T3110" t="n">
        <v>0</v>
      </c>
    </row>
    <row r="3111">
      <c r="A3111" t="inlineStr">
        <is>
          <t>ttJTrans</t>
        </is>
      </c>
      <c r="B3111" s="38" t="inlineStr">
        <is>
          <t>0-4018</t>
        </is>
      </c>
      <c r="C3111" t="inlineStr">
        <is>
          <t>OC</t>
        </is>
      </c>
      <c r="E3111" t="inlineStr">
        <is>
          <t>OC</t>
        </is>
      </c>
      <c r="G3111" s="128" t="inlineStr"/>
      <c r="H3111" s="127" t="n">
        <v>46147</v>
      </c>
      <c r="J3111" s="38" t="inlineStr">
        <is>
          <t>0-4018</t>
        </is>
      </c>
      <c r="K3111" t="inlineStr">
        <is>
          <t>COMDATA 4/27/26 (LB) WHATABURGER  168 4/23/26</t>
        </is>
      </c>
      <c r="L3111" t="n">
        <v>0</v>
      </c>
      <c r="M3111" t="n">
        <v>0</v>
      </c>
      <c r="O3111" t="inlineStr">
        <is>
          <t>2300</t>
        </is>
      </c>
      <c r="Q3111" s="114" t="n">
        <v>0</v>
      </c>
      <c r="R3111" s="114" t="n">
        <v>10.95</v>
      </c>
      <c r="S3111" s="114" t="n">
        <v>0</v>
      </c>
      <c r="T3111" t="n">
        <v>0</v>
      </c>
    </row>
    <row r="3112">
      <c r="A3112" t="inlineStr">
        <is>
          <t>ttJTrans</t>
        </is>
      </c>
      <c r="B3112" s="38" t="inlineStr">
        <is>
          <t>0-4018</t>
        </is>
      </c>
      <c r="C3112" t="inlineStr">
        <is>
          <t>OC</t>
        </is>
      </c>
      <c r="E3112" t="inlineStr">
        <is>
          <t>OC</t>
        </is>
      </c>
      <c r="G3112" s="128" t="inlineStr"/>
      <c r="H3112" s="127" t="n">
        <v>46147</v>
      </c>
      <c r="J3112" s="38" t="inlineStr">
        <is>
          <t>0-4018</t>
        </is>
      </c>
      <c r="K3112" t="inlineStr">
        <is>
          <t>COMDATA 4/27/26 (LB) UBER   *TRIP 4/23/26</t>
        </is>
      </c>
      <c r="L3112" t="n">
        <v>0</v>
      </c>
      <c r="M3112" t="n">
        <v>0</v>
      </c>
      <c r="O3112" t="inlineStr">
        <is>
          <t>2300</t>
        </is>
      </c>
      <c r="Q3112" s="114" t="n">
        <v>0</v>
      </c>
      <c r="R3112" s="114" t="n">
        <v>55.96</v>
      </c>
      <c r="S3112" s="114" t="n">
        <v>0</v>
      </c>
      <c r="T3112" t="n">
        <v>0</v>
      </c>
    </row>
    <row r="3113">
      <c r="A3113" t="inlineStr">
        <is>
          <t>ttJTrans</t>
        </is>
      </c>
      <c r="B3113" s="38" t="inlineStr">
        <is>
          <t>0-4018</t>
        </is>
      </c>
      <c r="C3113" t="inlineStr">
        <is>
          <t>OC</t>
        </is>
      </c>
      <c r="E3113" t="inlineStr">
        <is>
          <t>OC</t>
        </is>
      </c>
      <c r="G3113" s="128" t="inlineStr"/>
      <c r="H3113" s="127" t="n">
        <v>46149</v>
      </c>
      <c r="J3113" s="38" t="inlineStr">
        <is>
          <t>0-4018</t>
        </is>
      </c>
      <c r="K3113" t="inlineStr">
        <is>
          <t>USFC-I30754610 John Steelman 05/04/2026</t>
        </is>
      </c>
      <c r="L3113" t="n">
        <v>0</v>
      </c>
      <c r="M3113" t="n">
        <v>0</v>
      </c>
      <c r="O3113" t="inlineStr">
        <is>
          <t>20542</t>
        </is>
      </c>
      <c r="P3113" t="inlineStr">
        <is>
          <t>CORPORATE TRAVELER</t>
        </is>
      </c>
      <c r="Q3113" s="114" t="n">
        <v>0</v>
      </c>
      <c r="R3113" s="114" t="n">
        <v>20</v>
      </c>
      <c r="S3113" s="114" t="n">
        <v>0</v>
      </c>
      <c r="T3113" t="n">
        <v>0</v>
      </c>
    </row>
    <row r="3114">
      <c r="A3114" t="inlineStr">
        <is>
          <t>ttJTrans</t>
        </is>
      </c>
      <c r="B3114" s="38" t="inlineStr">
        <is>
          <t>0-4018</t>
        </is>
      </c>
      <c r="C3114" t="inlineStr">
        <is>
          <t>OC</t>
        </is>
      </c>
      <c r="E3114" t="inlineStr">
        <is>
          <t>OC</t>
        </is>
      </c>
      <c r="G3114" s="128" t="inlineStr"/>
      <c r="H3114" s="127" t="n">
        <v>46149</v>
      </c>
      <c r="J3114" s="38" t="inlineStr">
        <is>
          <t>0-4018</t>
        </is>
      </c>
      <c r="K3114" t="inlineStr">
        <is>
          <t>USFC-I30749708 ALEXIS PACHECO GONZALEZ 05/04/2026</t>
        </is>
      </c>
      <c r="L3114" t="n">
        <v>0</v>
      </c>
      <c r="M3114" t="n">
        <v>0</v>
      </c>
      <c r="O3114" t="inlineStr">
        <is>
          <t>20542</t>
        </is>
      </c>
      <c r="P3114" t="inlineStr">
        <is>
          <t>CORPORATE TRAVELER</t>
        </is>
      </c>
      <c r="Q3114" s="114" t="n">
        <v>0</v>
      </c>
      <c r="R3114" s="114" t="n">
        <v>0.1</v>
      </c>
      <c r="S3114" s="114" t="n">
        <v>0</v>
      </c>
      <c r="T3114" t="n">
        <v>0</v>
      </c>
    </row>
    <row r="3115">
      <c r="A3115" t="inlineStr">
        <is>
          <t>ttJTrans</t>
        </is>
      </c>
      <c r="B3115" s="38" t="inlineStr">
        <is>
          <t>0-4018</t>
        </is>
      </c>
      <c r="C3115" t="inlineStr">
        <is>
          <t>OC</t>
        </is>
      </c>
      <c r="E3115" t="inlineStr">
        <is>
          <t>OC</t>
        </is>
      </c>
      <c r="G3115" s="128" t="inlineStr"/>
      <c r="H3115" s="127" t="n">
        <v>46149</v>
      </c>
      <c r="J3115" s="38" t="inlineStr">
        <is>
          <t>0-4018</t>
        </is>
      </c>
      <c r="K3115" t="inlineStr">
        <is>
          <t>USFC-I30678811 WILLIAM MATTHEWS 05/04/2026</t>
        </is>
      </c>
      <c r="L3115" t="n">
        <v>0</v>
      </c>
      <c r="M3115" t="n">
        <v>0</v>
      </c>
      <c r="O3115" t="inlineStr">
        <is>
          <t>20542</t>
        </is>
      </c>
      <c r="P3115" t="inlineStr">
        <is>
          <t>CORPORATE TRAVELER</t>
        </is>
      </c>
      <c r="Q3115" s="114" t="n">
        <v>0</v>
      </c>
      <c r="R3115" s="114" t="n">
        <v>7.78</v>
      </c>
      <c r="S3115" s="114" t="n">
        <v>0</v>
      </c>
      <c r="T3115" t="n">
        <v>0</v>
      </c>
    </row>
    <row r="3116">
      <c r="A3116" t="inlineStr">
        <is>
          <t>ttJTrans</t>
        </is>
      </c>
      <c r="B3116" s="38" t="inlineStr">
        <is>
          <t>0-4018</t>
        </is>
      </c>
      <c r="C3116" t="inlineStr">
        <is>
          <t>OC</t>
        </is>
      </c>
      <c r="E3116" t="inlineStr">
        <is>
          <t>OC</t>
        </is>
      </c>
      <c r="G3116" s="128" t="inlineStr"/>
      <c r="H3116" s="127" t="n">
        <v>46149</v>
      </c>
      <c r="J3116" s="38" t="inlineStr">
        <is>
          <t>0-4018</t>
        </is>
      </c>
      <c r="K3116" t="inlineStr">
        <is>
          <t>USFC-I30662391 LOYD BARTLES 05/04/2026</t>
        </is>
      </c>
      <c r="L3116" t="n">
        <v>0</v>
      </c>
      <c r="M3116" t="n">
        <v>0</v>
      </c>
      <c r="O3116" t="inlineStr">
        <is>
          <t>20542</t>
        </is>
      </c>
      <c r="P3116" t="inlineStr">
        <is>
          <t>CORPORATE TRAVELER</t>
        </is>
      </c>
      <c r="Q3116" s="114" t="n">
        <v>0</v>
      </c>
      <c r="R3116" s="114" t="n">
        <v>-1011.44</v>
      </c>
      <c r="S3116" s="114" t="n">
        <v>0</v>
      </c>
      <c r="T3116" t="n">
        <v>0</v>
      </c>
    </row>
    <row r="3117">
      <c r="A3117" t="inlineStr">
        <is>
          <t>ttJTrans</t>
        </is>
      </c>
      <c r="B3117" s="38" t="inlineStr">
        <is>
          <t>0-4018</t>
        </is>
      </c>
      <c r="C3117" t="inlineStr">
        <is>
          <t>OC</t>
        </is>
      </c>
      <c r="E3117" t="inlineStr">
        <is>
          <t>OC</t>
        </is>
      </c>
      <c r="G3117" s="128" t="inlineStr"/>
      <c r="H3117" s="127" t="n">
        <v>46149</v>
      </c>
      <c r="J3117" s="38" t="inlineStr">
        <is>
          <t>0-4018</t>
        </is>
      </c>
      <c r="K3117" t="inlineStr">
        <is>
          <t>USFC-I30662391 LOYD BARTLES 05/04/2026</t>
        </is>
      </c>
      <c r="L3117" t="n">
        <v>0</v>
      </c>
      <c r="M3117" t="n">
        <v>0</v>
      </c>
      <c r="O3117" t="inlineStr">
        <is>
          <t>20542</t>
        </is>
      </c>
      <c r="P3117" t="inlineStr">
        <is>
          <t>CORPORATE TRAVELER</t>
        </is>
      </c>
      <c r="Q3117" s="114" t="n">
        <v>0</v>
      </c>
      <c r="R3117" s="114" t="n">
        <v>-5.06</v>
      </c>
      <c r="S3117" s="114" t="n">
        <v>0</v>
      </c>
      <c r="T3117" t="n">
        <v>0</v>
      </c>
    </row>
    <row r="3118">
      <c r="A3118" t="inlineStr">
        <is>
          <t>ttJTrans</t>
        </is>
      </c>
      <c r="B3118" s="38" t="inlineStr">
        <is>
          <t>0-4018</t>
        </is>
      </c>
      <c r="C3118" t="inlineStr">
        <is>
          <t>OC</t>
        </is>
      </c>
      <c r="E3118" t="inlineStr">
        <is>
          <t>OC</t>
        </is>
      </c>
      <c r="G3118" s="128" t="inlineStr"/>
      <c r="H3118" s="127" t="n">
        <v>46149</v>
      </c>
      <c r="J3118" s="38" t="inlineStr">
        <is>
          <t>0-4018</t>
        </is>
      </c>
      <c r="K3118" t="inlineStr">
        <is>
          <t>USFC-I30665155 LOYD BARTLES 05/11/2026</t>
        </is>
      </c>
      <c r="L3118" t="n">
        <v>0</v>
      </c>
      <c r="M3118" t="n">
        <v>0</v>
      </c>
      <c r="O3118" t="inlineStr">
        <is>
          <t>20542</t>
        </is>
      </c>
      <c r="P3118" t="inlineStr">
        <is>
          <t>CORPORATE TRAVELER</t>
        </is>
      </c>
      <c r="Q3118" s="114" t="n">
        <v>0</v>
      </c>
      <c r="R3118" s="114" t="n">
        <v>4.27</v>
      </c>
      <c r="S3118" s="114" t="n">
        <v>0</v>
      </c>
      <c r="T3118" t="n">
        <v>0</v>
      </c>
    </row>
    <row r="3119">
      <c r="A3119" t="inlineStr">
        <is>
          <t>ttJTrans</t>
        </is>
      </c>
      <c r="B3119" s="38" t="inlineStr">
        <is>
          <t>0-4018</t>
        </is>
      </c>
      <c r="C3119" t="inlineStr">
        <is>
          <t>OC</t>
        </is>
      </c>
      <c r="E3119" t="inlineStr">
        <is>
          <t>OC</t>
        </is>
      </c>
      <c r="G3119" s="128" t="inlineStr"/>
      <c r="H3119" s="127" t="n">
        <v>46149</v>
      </c>
      <c r="J3119" s="38" t="inlineStr">
        <is>
          <t>0-4018</t>
        </is>
      </c>
      <c r="K3119" t="inlineStr">
        <is>
          <t>USFC-I30688245 DAMIAN SALDANA 04/22/2026</t>
        </is>
      </c>
      <c r="L3119" t="n">
        <v>0</v>
      </c>
      <c r="M3119" t="n">
        <v>0</v>
      </c>
      <c r="O3119" t="inlineStr">
        <is>
          <t>20542</t>
        </is>
      </c>
      <c r="P3119" t="inlineStr">
        <is>
          <t>CORPORATE TRAVELER</t>
        </is>
      </c>
      <c r="Q3119" s="114" t="n">
        <v>0</v>
      </c>
      <c r="R3119" s="114" t="n">
        <v>158.25</v>
      </c>
      <c r="S3119" s="114" t="n">
        <v>0</v>
      </c>
      <c r="T3119" t="n">
        <v>0</v>
      </c>
    </row>
    <row r="3120">
      <c r="A3120" t="inlineStr">
        <is>
          <t>ttJTrans</t>
        </is>
      </c>
      <c r="B3120" s="38" t="inlineStr">
        <is>
          <t>0-4018</t>
        </is>
      </c>
      <c r="C3120" t="inlineStr">
        <is>
          <t>OC</t>
        </is>
      </c>
      <c r="E3120" t="inlineStr">
        <is>
          <t>OC</t>
        </is>
      </c>
      <c r="G3120" s="128" t="inlineStr"/>
      <c r="H3120" s="127" t="n">
        <v>46149</v>
      </c>
      <c r="J3120" s="38" t="inlineStr">
        <is>
          <t>0-4018</t>
        </is>
      </c>
      <c r="K3120" t="inlineStr">
        <is>
          <t>USFC-I30688245 DAMIAN SALDANA 04/22/2026</t>
        </is>
      </c>
      <c r="L3120" t="n">
        <v>0</v>
      </c>
      <c r="M3120" t="n">
        <v>0</v>
      </c>
      <c r="O3120" t="inlineStr">
        <is>
          <t>20542</t>
        </is>
      </c>
      <c r="P3120" t="inlineStr">
        <is>
          <t>CORPORATE TRAVELER</t>
        </is>
      </c>
      <c r="Q3120" s="114" t="n">
        <v>0</v>
      </c>
      <c r="R3120" s="114" t="n">
        <v>0.79</v>
      </c>
      <c r="S3120" s="114" t="n">
        <v>0</v>
      </c>
      <c r="T3120" t="n">
        <v>0</v>
      </c>
    </row>
    <row r="3121">
      <c r="A3121" t="inlineStr">
        <is>
          <t>ttJTrans</t>
        </is>
      </c>
      <c r="B3121" s="38" t="inlineStr">
        <is>
          <t>0-4018</t>
        </is>
      </c>
      <c r="C3121" t="inlineStr">
        <is>
          <t>OC</t>
        </is>
      </c>
      <c r="E3121" t="inlineStr">
        <is>
          <t>OC</t>
        </is>
      </c>
      <c r="G3121" s="128" t="inlineStr"/>
      <c r="H3121" s="127" t="n">
        <v>46149</v>
      </c>
      <c r="J3121" s="38" t="inlineStr">
        <is>
          <t>0-4018</t>
        </is>
      </c>
      <c r="K3121" t="inlineStr">
        <is>
          <t>USFC-I30678811 WILLIAM MATTHEWS 05/04/2026</t>
        </is>
      </c>
      <c r="L3121" t="n">
        <v>0</v>
      </c>
      <c r="M3121" t="n">
        <v>0</v>
      </c>
      <c r="O3121" t="inlineStr">
        <is>
          <t>20542</t>
        </is>
      </c>
      <c r="P3121" t="inlineStr">
        <is>
          <t>CORPORATE TRAVELER</t>
        </is>
      </c>
      <c r="Q3121" s="114" t="n">
        <v>0</v>
      </c>
      <c r="R3121" s="114" t="n">
        <v>1526.4</v>
      </c>
      <c r="S3121" s="114" t="n">
        <v>0</v>
      </c>
      <c r="T3121" t="n">
        <v>0</v>
      </c>
    </row>
    <row r="3122">
      <c r="A3122" t="inlineStr">
        <is>
          <t>ttJTrans</t>
        </is>
      </c>
      <c r="B3122" s="38" t="inlineStr">
        <is>
          <t>0-4018</t>
        </is>
      </c>
      <c r="C3122" t="inlineStr">
        <is>
          <t>OC</t>
        </is>
      </c>
      <c r="E3122" t="inlineStr">
        <is>
          <t>OC</t>
        </is>
      </c>
      <c r="G3122" s="128" t="inlineStr"/>
      <c r="H3122" s="127" t="n">
        <v>46149</v>
      </c>
      <c r="J3122" s="38" t="inlineStr">
        <is>
          <t>0-4018</t>
        </is>
      </c>
      <c r="K3122" t="inlineStr">
        <is>
          <t>USFC-I30678811 WILLIAM MATTHEWS 05/04/2026</t>
        </is>
      </c>
      <c r="L3122" t="n">
        <v>0</v>
      </c>
      <c r="M3122" t="n">
        <v>0</v>
      </c>
      <c r="O3122" t="inlineStr">
        <is>
          <t>20542</t>
        </is>
      </c>
      <c r="P3122" t="inlineStr">
        <is>
          <t>CORPORATE TRAVELER</t>
        </is>
      </c>
      <c r="Q3122" s="114" t="n">
        <v>0</v>
      </c>
      <c r="R3122" s="114" t="n">
        <v>10</v>
      </c>
      <c r="S3122" s="114" t="n">
        <v>0</v>
      </c>
      <c r="T3122" t="n">
        <v>0</v>
      </c>
    </row>
    <row r="3123">
      <c r="A3123" t="inlineStr">
        <is>
          <t>ttJTrans</t>
        </is>
      </c>
      <c r="B3123" s="38" t="inlineStr">
        <is>
          <t>0-4018</t>
        </is>
      </c>
      <c r="C3123" t="inlineStr">
        <is>
          <t>OC</t>
        </is>
      </c>
      <c r="E3123" t="inlineStr">
        <is>
          <t>OC</t>
        </is>
      </c>
      <c r="G3123" s="128" t="inlineStr"/>
      <c r="H3123" s="127" t="n">
        <v>46149</v>
      </c>
      <c r="J3123" s="38" t="inlineStr">
        <is>
          <t>0-4018</t>
        </is>
      </c>
      <c r="K3123" t="inlineStr">
        <is>
          <t>USFC-I30739125 LATORRENCE BIVENS 05/01/2026</t>
        </is>
      </c>
      <c r="L3123" t="n">
        <v>0</v>
      </c>
      <c r="M3123" t="n">
        <v>0</v>
      </c>
      <c r="O3123" t="inlineStr">
        <is>
          <t>20542</t>
        </is>
      </c>
      <c r="P3123" t="inlineStr">
        <is>
          <t>CORPORATE TRAVELER</t>
        </is>
      </c>
      <c r="Q3123" s="114" t="n">
        <v>0</v>
      </c>
      <c r="R3123" s="114" t="n">
        <v>3.61</v>
      </c>
      <c r="S3123" s="114" t="n">
        <v>0</v>
      </c>
      <c r="T3123" t="n">
        <v>0</v>
      </c>
    </row>
    <row r="3124">
      <c r="A3124" t="inlineStr">
        <is>
          <t>ttJTrans</t>
        </is>
      </c>
      <c r="B3124" s="38" t="inlineStr">
        <is>
          <t>0-4018</t>
        </is>
      </c>
      <c r="C3124" t="inlineStr">
        <is>
          <t>OC</t>
        </is>
      </c>
      <c r="E3124" t="inlineStr">
        <is>
          <t>OC</t>
        </is>
      </c>
      <c r="G3124" s="128" t="inlineStr"/>
      <c r="H3124" s="127" t="n">
        <v>46149</v>
      </c>
      <c r="J3124" s="38" t="inlineStr">
        <is>
          <t>0-4018</t>
        </is>
      </c>
      <c r="K3124" t="inlineStr">
        <is>
          <t>USFC-I30749708 ALEXIS PACHECO GONZALEZ 05/04/2026</t>
        </is>
      </c>
      <c r="L3124" t="n">
        <v>0</v>
      </c>
      <c r="M3124" t="n">
        <v>0</v>
      </c>
      <c r="O3124" t="inlineStr">
        <is>
          <t>20542</t>
        </is>
      </c>
      <c r="P3124" t="inlineStr">
        <is>
          <t>CORPORATE TRAVELER</t>
        </is>
      </c>
      <c r="Q3124" s="114" t="n">
        <v>0</v>
      </c>
      <c r="R3124" s="114" t="n">
        <v>20</v>
      </c>
      <c r="S3124" s="114" t="n">
        <v>0</v>
      </c>
      <c r="T3124" t="n">
        <v>0</v>
      </c>
    </row>
    <row r="3125">
      <c r="A3125" t="inlineStr">
        <is>
          <t>ttJTrans</t>
        </is>
      </c>
      <c r="B3125" s="38" t="inlineStr">
        <is>
          <t>0-4018</t>
        </is>
      </c>
      <c r="C3125" t="inlineStr">
        <is>
          <t>OC</t>
        </is>
      </c>
      <c r="E3125" t="inlineStr">
        <is>
          <t>OC</t>
        </is>
      </c>
      <c r="G3125" s="128" t="inlineStr"/>
      <c r="H3125" s="127" t="n">
        <v>46149</v>
      </c>
      <c r="J3125" s="38" t="inlineStr">
        <is>
          <t>0-4018</t>
        </is>
      </c>
      <c r="K3125" t="inlineStr">
        <is>
          <t>USFC-I30739125 LATORRENCE BIVENS 05/01/2026</t>
        </is>
      </c>
      <c r="L3125" t="n">
        <v>0</v>
      </c>
      <c r="M3125" t="n">
        <v>0</v>
      </c>
      <c r="O3125" t="inlineStr">
        <is>
          <t>20542</t>
        </is>
      </c>
      <c r="P3125" t="inlineStr">
        <is>
          <t>CORPORATE TRAVELER</t>
        </is>
      </c>
      <c r="Q3125" s="114" t="n">
        <v>0</v>
      </c>
      <c r="R3125" s="114" t="n">
        <v>10</v>
      </c>
      <c r="S3125" s="114" t="n">
        <v>0</v>
      </c>
      <c r="T3125" t="n">
        <v>0</v>
      </c>
    </row>
    <row r="3126">
      <c r="A3126" t="inlineStr">
        <is>
          <t>ttJTrans</t>
        </is>
      </c>
      <c r="B3126" s="38" t="inlineStr">
        <is>
          <t>0-4018</t>
        </is>
      </c>
      <c r="C3126" t="inlineStr">
        <is>
          <t>OC</t>
        </is>
      </c>
      <c r="E3126" t="inlineStr">
        <is>
          <t>OC</t>
        </is>
      </c>
      <c r="G3126" s="128" t="inlineStr"/>
      <c r="H3126" s="127" t="n">
        <v>46149</v>
      </c>
      <c r="J3126" s="38" t="inlineStr">
        <is>
          <t>0-4018</t>
        </is>
      </c>
      <c r="K3126" t="inlineStr">
        <is>
          <t>USFC-I30701095 JAMES Estel BARTLES 05/04/2026</t>
        </is>
      </c>
      <c r="L3126" t="n">
        <v>0</v>
      </c>
      <c r="M3126" t="n">
        <v>0</v>
      </c>
      <c r="O3126" t="inlineStr">
        <is>
          <t>20542</t>
        </is>
      </c>
      <c r="P3126" t="inlineStr">
        <is>
          <t>CORPORATE TRAVELER</t>
        </is>
      </c>
      <c r="Q3126" s="114" t="n">
        <v>0</v>
      </c>
      <c r="R3126" s="114" t="n">
        <v>0.1</v>
      </c>
      <c r="S3126" s="114" t="n">
        <v>0</v>
      </c>
      <c r="T3126" t="n">
        <v>0</v>
      </c>
    </row>
    <row r="3127">
      <c r="A3127" t="inlineStr">
        <is>
          <t>ttJTrans</t>
        </is>
      </c>
      <c r="B3127" s="38" t="inlineStr">
        <is>
          <t>0-4018</t>
        </is>
      </c>
      <c r="C3127" t="inlineStr">
        <is>
          <t>OC</t>
        </is>
      </c>
      <c r="E3127" t="inlineStr">
        <is>
          <t>OC</t>
        </is>
      </c>
      <c r="G3127" s="128" t="inlineStr"/>
      <c r="H3127" s="127" t="n">
        <v>46149</v>
      </c>
      <c r="J3127" s="38" t="inlineStr">
        <is>
          <t>0-4018</t>
        </is>
      </c>
      <c r="K3127" t="inlineStr">
        <is>
          <t>USFC-I30739125 LATORRENCE BIVENS 05/01/2026</t>
        </is>
      </c>
      <c r="L3127" t="n">
        <v>0</v>
      </c>
      <c r="M3127" t="n">
        <v>0</v>
      </c>
      <c r="O3127" t="inlineStr">
        <is>
          <t>20542</t>
        </is>
      </c>
      <c r="P3127" t="inlineStr">
        <is>
          <t>CORPORATE TRAVELER</t>
        </is>
      </c>
      <c r="Q3127" s="114" t="n">
        <v>0</v>
      </c>
      <c r="R3127" s="114" t="n">
        <v>711</v>
      </c>
      <c r="S3127" s="114" t="n">
        <v>0</v>
      </c>
      <c r="T3127" t="n">
        <v>0</v>
      </c>
    </row>
    <row r="3128">
      <c r="A3128" t="inlineStr">
        <is>
          <t>ttJTrans</t>
        </is>
      </c>
      <c r="B3128" s="38" t="inlineStr">
        <is>
          <t>0-4018</t>
        </is>
      </c>
      <c r="C3128" t="inlineStr">
        <is>
          <t>OC</t>
        </is>
      </c>
      <c r="E3128" t="inlineStr">
        <is>
          <t>OC</t>
        </is>
      </c>
      <c r="G3128" s="128" t="inlineStr"/>
      <c r="H3128" s="127" t="n">
        <v>46149</v>
      </c>
      <c r="J3128" s="38" t="inlineStr">
        <is>
          <t>0-4018</t>
        </is>
      </c>
      <c r="K3128" t="inlineStr">
        <is>
          <t>USFC-I30738246 LATORRENCE BIVENS 05/04/2026</t>
        </is>
      </c>
      <c r="L3128" t="n">
        <v>0</v>
      </c>
      <c r="M3128" t="n">
        <v>0</v>
      </c>
      <c r="O3128" t="inlineStr">
        <is>
          <t>20542</t>
        </is>
      </c>
      <c r="P3128" t="inlineStr">
        <is>
          <t>CORPORATE TRAVELER</t>
        </is>
      </c>
      <c r="Q3128" s="114" t="n">
        <v>0</v>
      </c>
      <c r="R3128" s="114" t="n">
        <v>0.1</v>
      </c>
      <c r="S3128" s="114" t="n">
        <v>0</v>
      </c>
      <c r="T3128" t="n">
        <v>0</v>
      </c>
    </row>
    <row r="3129">
      <c r="A3129" t="inlineStr">
        <is>
          <t>ttJTrans</t>
        </is>
      </c>
      <c r="B3129" s="38" t="inlineStr">
        <is>
          <t>0-4018</t>
        </is>
      </c>
      <c r="C3129" t="inlineStr">
        <is>
          <t>OC</t>
        </is>
      </c>
      <c r="E3129" t="inlineStr">
        <is>
          <t>OC</t>
        </is>
      </c>
      <c r="G3129" s="128" t="inlineStr"/>
      <c r="H3129" s="127" t="n">
        <v>46149</v>
      </c>
      <c r="J3129" s="38" t="inlineStr">
        <is>
          <t>0-4018</t>
        </is>
      </c>
      <c r="K3129" t="inlineStr">
        <is>
          <t>USFC-I30701095 JAMES Estel BARTLES 05/04/2026</t>
        </is>
      </c>
      <c r="L3129" t="n">
        <v>0</v>
      </c>
      <c r="M3129" t="n">
        <v>0</v>
      </c>
      <c r="O3129" t="inlineStr">
        <is>
          <t>20542</t>
        </is>
      </c>
      <c r="P3129" t="inlineStr">
        <is>
          <t>CORPORATE TRAVELER</t>
        </is>
      </c>
      <c r="Q3129" s="114" t="n">
        <v>0</v>
      </c>
      <c r="R3129" s="114" t="n">
        <v>20</v>
      </c>
      <c r="S3129" s="114" t="n">
        <v>0</v>
      </c>
      <c r="T3129" t="n">
        <v>0</v>
      </c>
    </row>
    <row r="3130">
      <c r="A3130" t="inlineStr">
        <is>
          <t>ttJTrans</t>
        </is>
      </c>
      <c r="B3130" s="38" t="inlineStr">
        <is>
          <t>0-4018</t>
        </is>
      </c>
      <c r="C3130" t="inlineStr">
        <is>
          <t>OC</t>
        </is>
      </c>
      <c r="E3130" t="inlineStr">
        <is>
          <t>OC</t>
        </is>
      </c>
      <c r="G3130" s="128" t="inlineStr"/>
      <c r="H3130" s="127" t="n">
        <v>46149</v>
      </c>
      <c r="J3130" s="38" t="inlineStr">
        <is>
          <t>0-4018</t>
        </is>
      </c>
      <c r="K3130" t="inlineStr">
        <is>
          <t>USFC-I30686785 Andreau Trepagnier 04/28/2026</t>
        </is>
      </c>
      <c r="L3130" t="n">
        <v>0</v>
      </c>
      <c r="M3130" t="n">
        <v>0</v>
      </c>
      <c r="O3130" t="inlineStr">
        <is>
          <t>20542</t>
        </is>
      </c>
      <c r="P3130" t="inlineStr">
        <is>
          <t>CORPORATE TRAVELER</t>
        </is>
      </c>
      <c r="Q3130" s="114" t="n">
        <v>0</v>
      </c>
      <c r="R3130" s="114" t="n">
        <v>0.1</v>
      </c>
      <c r="S3130" s="114" t="n">
        <v>0</v>
      </c>
      <c r="T3130" t="n">
        <v>0</v>
      </c>
    </row>
    <row r="3131">
      <c r="A3131" t="inlineStr">
        <is>
          <t>ttJTrans</t>
        </is>
      </c>
      <c r="B3131" s="38" t="inlineStr">
        <is>
          <t>0-4018</t>
        </is>
      </c>
      <c r="C3131" t="inlineStr">
        <is>
          <t>OC</t>
        </is>
      </c>
      <c r="E3131" t="inlineStr">
        <is>
          <t>OC</t>
        </is>
      </c>
      <c r="G3131" s="128" t="inlineStr"/>
      <c r="H3131" s="127" t="n">
        <v>46149</v>
      </c>
      <c r="J3131" s="38" t="inlineStr">
        <is>
          <t>0-4018</t>
        </is>
      </c>
      <c r="K3131" t="inlineStr">
        <is>
          <t>USFC-I30738246 LATORRENCE BIVENS 05/04/2026</t>
        </is>
      </c>
      <c r="L3131" t="n">
        <v>0</v>
      </c>
      <c r="M3131" t="n">
        <v>0</v>
      </c>
      <c r="O3131" t="inlineStr">
        <is>
          <t>20542</t>
        </is>
      </c>
      <c r="P3131" t="inlineStr">
        <is>
          <t>CORPORATE TRAVELER</t>
        </is>
      </c>
      <c r="Q3131" s="114" t="n">
        <v>0</v>
      </c>
      <c r="R3131" s="114" t="n">
        <v>20</v>
      </c>
      <c r="S3131" s="114" t="n">
        <v>0</v>
      </c>
      <c r="T3131" t="n">
        <v>0</v>
      </c>
    </row>
    <row r="3132">
      <c r="A3132" t="inlineStr">
        <is>
          <t>ttJTrans</t>
        </is>
      </c>
      <c r="B3132" s="38" t="inlineStr">
        <is>
          <t>0-4018</t>
        </is>
      </c>
      <c r="C3132" t="inlineStr">
        <is>
          <t>OC</t>
        </is>
      </c>
      <c r="E3132" t="inlineStr">
        <is>
          <t>OC</t>
        </is>
      </c>
      <c r="G3132" s="128" t="inlineStr"/>
      <c r="H3132" s="127" t="n">
        <v>46149</v>
      </c>
      <c r="J3132" s="38" t="inlineStr">
        <is>
          <t>0-4018</t>
        </is>
      </c>
      <c r="K3132" t="inlineStr">
        <is>
          <t>USFC-I30775554 Andreau Trepagnier 05/04/2026</t>
        </is>
      </c>
      <c r="L3132" t="n">
        <v>0</v>
      </c>
      <c r="M3132" t="n">
        <v>0</v>
      </c>
      <c r="O3132" t="inlineStr">
        <is>
          <t>20542</t>
        </is>
      </c>
      <c r="P3132" t="inlineStr">
        <is>
          <t>CORPORATE TRAVELER</t>
        </is>
      </c>
      <c r="Q3132" s="114" t="n">
        <v>0</v>
      </c>
      <c r="R3132" s="114" t="n">
        <v>0.1</v>
      </c>
      <c r="S3132" s="114" t="n">
        <v>0</v>
      </c>
      <c r="T3132" t="n">
        <v>0</v>
      </c>
    </row>
    <row r="3133">
      <c r="A3133" t="inlineStr">
        <is>
          <t>ttJTrans</t>
        </is>
      </c>
      <c r="B3133" s="38" t="inlineStr">
        <is>
          <t>0-4018</t>
        </is>
      </c>
      <c r="C3133" t="inlineStr">
        <is>
          <t>OC</t>
        </is>
      </c>
      <c r="E3133" t="inlineStr">
        <is>
          <t>OC</t>
        </is>
      </c>
      <c r="G3133" s="128" t="inlineStr"/>
      <c r="H3133" s="127" t="n">
        <v>46149</v>
      </c>
      <c r="J3133" s="38" t="inlineStr">
        <is>
          <t>0-4018</t>
        </is>
      </c>
      <c r="K3133" t="inlineStr">
        <is>
          <t>USFC-I30686785 Andreau Trepagnier 04/28/2026</t>
        </is>
      </c>
      <c r="L3133" t="n">
        <v>0</v>
      </c>
      <c r="M3133" t="n">
        <v>0</v>
      </c>
      <c r="O3133" t="inlineStr">
        <is>
          <t>20542</t>
        </is>
      </c>
      <c r="P3133" t="inlineStr">
        <is>
          <t>CORPORATE TRAVELER</t>
        </is>
      </c>
      <c r="Q3133" s="114" t="n">
        <v>0</v>
      </c>
      <c r="R3133" s="114" t="n">
        <v>20</v>
      </c>
      <c r="S3133" s="114" t="n">
        <v>0</v>
      </c>
      <c r="T3133" t="n">
        <v>0</v>
      </c>
    </row>
    <row r="3134">
      <c r="A3134" t="inlineStr">
        <is>
          <t>ttJTrans</t>
        </is>
      </c>
      <c r="B3134" s="38" t="inlineStr">
        <is>
          <t>0-4018</t>
        </is>
      </c>
      <c r="C3134" t="inlineStr">
        <is>
          <t>OC</t>
        </is>
      </c>
      <c r="E3134" t="inlineStr">
        <is>
          <t>OC</t>
        </is>
      </c>
      <c r="G3134" s="128" t="inlineStr"/>
      <c r="H3134" s="127" t="n">
        <v>46149</v>
      </c>
      <c r="J3134" s="38" t="inlineStr">
        <is>
          <t>0-4018</t>
        </is>
      </c>
      <c r="K3134" t="inlineStr">
        <is>
          <t>USFC-I30775554 Andreau Trepagnier 05/04/2026</t>
        </is>
      </c>
      <c r="L3134" t="n">
        <v>0</v>
      </c>
      <c r="M3134" t="n">
        <v>0</v>
      </c>
      <c r="O3134" t="inlineStr">
        <is>
          <t>20542</t>
        </is>
      </c>
      <c r="P3134" t="inlineStr">
        <is>
          <t>CORPORATE TRAVELER</t>
        </is>
      </c>
      <c r="Q3134" s="114" t="n">
        <v>0</v>
      </c>
      <c r="R3134" s="114" t="n">
        <v>20</v>
      </c>
      <c r="S3134" s="114" t="n">
        <v>0</v>
      </c>
      <c r="T3134" t="n">
        <v>0</v>
      </c>
    </row>
    <row r="3135">
      <c r="A3135" t="inlineStr">
        <is>
          <t>ttJTrans</t>
        </is>
      </c>
      <c r="B3135" s="38" t="inlineStr">
        <is>
          <t>0-4018</t>
        </is>
      </c>
      <c r="C3135" t="inlineStr">
        <is>
          <t>OC</t>
        </is>
      </c>
      <c r="E3135" t="inlineStr">
        <is>
          <t>OC</t>
        </is>
      </c>
      <c r="G3135" s="128" t="inlineStr"/>
      <c r="H3135" s="127" t="n">
        <v>46149</v>
      </c>
      <c r="J3135" s="38" t="inlineStr">
        <is>
          <t>0-4018</t>
        </is>
      </c>
      <c r="K3135" t="inlineStr">
        <is>
          <t>USFC-I30660559 LATORRENCE BIVENS 04/28/2026</t>
        </is>
      </c>
      <c r="L3135" t="n">
        <v>0</v>
      </c>
      <c r="M3135" t="n">
        <v>0</v>
      </c>
      <c r="O3135" t="inlineStr">
        <is>
          <t>20542</t>
        </is>
      </c>
      <c r="P3135" t="inlineStr">
        <is>
          <t>CORPORATE TRAVELER</t>
        </is>
      </c>
      <c r="Q3135" s="114" t="n">
        <v>0</v>
      </c>
      <c r="R3135" s="114" t="n">
        <v>20</v>
      </c>
      <c r="S3135" s="114" t="n">
        <v>0</v>
      </c>
      <c r="T3135" t="n">
        <v>0</v>
      </c>
    </row>
    <row r="3136">
      <c r="A3136" t="inlineStr">
        <is>
          <t>ttJTrans</t>
        </is>
      </c>
      <c r="B3136" s="38" t="inlineStr">
        <is>
          <t>0-4018</t>
        </is>
      </c>
      <c r="C3136" t="inlineStr">
        <is>
          <t>OC</t>
        </is>
      </c>
      <c r="E3136" t="inlineStr">
        <is>
          <t>OC</t>
        </is>
      </c>
      <c r="G3136" s="128" t="inlineStr"/>
      <c r="H3136" s="127" t="n">
        <v>46149</v>
      </c>
      <c r="J3136" s="38" t="inlineStr">
        <is>
          <t>0-4018</t>
        </is>
      </c>
      <c r="K3136" t="inlineStr">
        <is>
          <t>USFC-I30660559 LATORRENCE BIVENS 04/28/2026</t>
        </is>
      </c>
      <c r="L3136" t="n">
        <v>0</v>
      </c>
      <c r="M3136" t="n">
        <v>0</v>
      </c>
      <c r="O3136" t="inlineStr">
        <is>
          <t>20542</t>
        </is>
      </c>
      <c r="P3136" t="inlineStr">
        <is>
          <t>CORPORATE TRAVELER</t>
        </is>
      </c>
      <c r="Q3136" s="114" t="n">
        <v>0</v>
      </c>
      <c r="R3136" s="114" t="n">
        <v>0.1</v>
      </c>
      <c r="S3136" s="114" t="n">
        <v>0</v>
      </c>
      <c r="T3136" t="n">
        <v>0</v>
      </c>
    </row>
    <row r="3137">
      <c r="A3137" t="inlineStr">
        <is>
          <t>ttJTrans</t>
        </is>
      </c>
      <c r="B3137" s="38" t="inlineStr">
        <is>
          <t>0-4018</t>
        </is>
      </c>
      <c r="C3137" t="inlineStr">
        <is>
          <t>OC</t>
        </is>
      </c>
      <c r="E3137" t="inlineStr">
        <is>
          <t>OC</t>
        </is>
      </c>
      <c r="G3137" s="128" t="inlineStr"/>
      <c r="H3137" s="127" t="n">
        <v>46149</v>
      </c>
      <c r="J3137" s="38" t="inlineStr">
        <is>
          <t>0-4018</t>
        </is>
      </c>
      <c r="K3137" t="inlineStr">
        <is>
          <t>USFC-I30689819 LATORRENCE BIVENS 04/22/2026</t>
        </is>
      </c>
      <c r="L3137" t="n">
        <v>0</v>
      </c>
      <c r="M3137" t="n">
        <v>0</v>
      </c>
      <c r="O3137" t="inlineStr">
        <is>
          <t>20542</t>
        </is>
      </c>
      <c r="P3137" t="inlineStr">
        <is>
          <t>CORPORATE TRAVELER</t>
        </is>
      </c>
      <c r="Q3137" s="114" t="n">
        <v>0</v>
      </c>
      <c r="R3137" s="114" t="n">
        <v>1.55</v>
      </c>
      <c r="S3137" s="114" t="n">
        <v>0</v>
      </c>
      <c r="T3137" t="n">
        <v>0</v>
      </c>
    </row>
    <row r="3138">
      <c r="A3138" t="inlineStr">
        <is>
          <t>ttJTrans</t>
        </is>
      </c>
      <c r="B3138" s="38" t="inlineStr">
        <is>
          <t>0-4018</t>
        </is>
      </c>
      <c r="C3138" t="inlineStr">
        <is>
          <t>OC</t>
        </is>
      </c>
      <c r="E3138" t="inlineStr">
        <is>
          <t>OC</t>
        </is>
      </c>
      <c r="G3138" s="128" t="inlineStr"/>
      <c r="H3138" s="127" t="n">
        <v>46149</v>
      </c>
      <c r="J3138" s="38" t="inlineStr">
        <is>
          <t>0-4018</t>
        </is>
      </c>
      <c r="K3138" t="inlineStr">
        <is>
          <t>USFC-I30689819 LATORRENCE BIVENS 04/22/2026</t>
        </is>
      </c>
      <c r="L3138" t="n">
        <v>0</v>
      </c>
      <c r="M3138" t="n">
        <v>0</v>
      </c>
      <c r="O3138" t="inlineStr">
        <is>
          <t>20542</t>
        </is>
      </c>
      <c r="P3138" t="inlineStr">
        <is>
          <t>CORPORATE TRAVELER</t>
        </is>
      </c>
      <c r="Q3138" s="114" t="n">
        <v>0</v>
      </c>
      <c r="R3138" s="114" t="n">
        <v>310.21</v>
      </c>
      <c r="S3138" s="114" t="n">
        <v>0</v>
      </c>
      <c r="T3138" t="n">
        <v>0</v>
      </c>
    </row>
    <row r="3139">
      <c r="A3139" t="inlineStr">
        <is>
          <t>ttJTrans</t>
        </is>
      </c>
      <c r="B3139" s="38" t="inlineStr">
        <is>
          <t>0-4018</t>
        </is>
      </c>
      <c r="C3139" t="inlineStr">
        <is>
          <t>OC</t>
        </is>
      </c>
      <c r="E3139" t="inlineStr">
        <is>
          <t>OC</t>
        </is>
      </c>
      <c r="G3139" s="128" t="inlineStr"/>
      <c r="H3139" s="127" t="n">
        <v>46149</v>
      </c>
      <c r="J3139" s="38" t="inlineStr">
        <is>
          <t>0-4018</t>
        </is>
      </c>
      <c r="K3139" t="inlineStr">
        <is>
          <t>USFC-I30678811 WILLIAM MATTHEWS 05/04/2026</t>
        </is>
      </c>
      <c r="L3139" t="n">
        <v>0</v>
      </c>
      <c r="M3139" t="n">
        <v>0</v>
      </c>
      <c r="O3139" t="inlineStr">
        <is>
          <t>20542</t>
        </is>
      </c>
      <c r="P3139" t="inlineStr">
        <is>
          <t>CORPORATE TRAVELER</t>
        </is>
      </c>
      <c r="Q3139" s="114" t="n">
        <v>0</v>
      </c>
      <c r="R3139" s="114" t="n">
        <v>20</v>
      </c>
      <c r="S3139" s="114" t="n">
        <v>0</v>
      </c>
      <c r="T3139" t="n">
        <v>0</v>
      </c>
    </row>
    <row r="3140">
      <c r="A3140" t="inlineStr">
        <is>
          <t>ttJTrans</t>
        </is>
      </c>
      <c r="B3140" s="38" t="inlineStr">
        <is>
          <t>0-4018</t>
        </is>
      </c>
      <c r="C3140" t="inlineStr">
        <is>
          <t>OC</t>
        </is>
      </c>
      <c r="E3140" t="inlineStr">
        <is>
          <t>OC</t>
        </is>
      </c>
      <c r="G3140" s="128" t="inlineStr"/>
      <c r="H3140" s="127" t="n">
        <v>46156</v>
      </c>
      <c r="J3140" s="38" t="inlineStr">
        <is>
          <t>0-4018</t>
        </is>
      </c>
      <c r="K3140" t="inlineStr">
        <is>
          <t>PHILLIP WARE EXPENSE REPORT</t>
        </is>
      </c>
      <c r="L3140" t="n">
        <v>0</v>
      </c>
      <c r="M3140" t="n">
        <v>0</v>
      </c>
      <c r="O3140" t="inlineStr">
        <is>
          <t>21107</t>
        </is>
      </c>
      <c r="P3140" t="inlineStr">
        <is>
          <t>WARE, PHILLIP R.</t>
        </is>
      </c>
      <c r="Q3140" s="114" t="n">
        <v>0</v>
      </c>
      <c r="R3140" s="114" t="n">
        <v>168.87</v>
      </c>
      <c r="S3140" s="114" t="n">
        <v>0</v>
      </c>
      <c r="T3140" t="n">
        <v>0</v>
      </c>
    </row>
    <row r="3141">
      <c r="A3141" t="inlineStr">
        <is>
          <t>ttJTrans</t>
        </is>
      </c>
      <c r="B3141" s="38" t="inlineStr">
        <is>
          <t>0-4018</t>
        </is>
      </c>
      <c r="C3141" t="inlineStr">
        <is>
          <t>OC</t>
        </is>
      </c>
      <c r="E3141" t="inlineStr">
        <is>
          <t>OC</t>
        </is>
      </c>
      <c r="G3141" s="128" t="inlineStr"/>
      <c r="H3141" s="127" t="n">
        <v>46156</v>
      </c>
      <c r="J3141" s="38" t="inlineStr">
        <is>
          <t>0-4018</t>
        </is>
      </c>
      <c r="K3141" t="inlineStr">
        <is>
          <t>PHILLIP WARE EXPENSE REPORT</t>
        </is>
      </c>
      <c r="L3141" t="n">
        <v>0</v>
      </c>
      <c r="M3141" t="n">
        <v>0</v>
      </c>
      <c r="O3141" t="inlineStr">
        <is>
          <t>21107</t>
        </is>
      </c>
      <c r="P3141" t="inlineStr">
        <is>
          <t>WARE, PHILLIP R.</t>
        </is>
      </c>
      <c r="Q3141" s="114" t="n">
        <v>0</v>
      </c>
      <c r="R3141" s="114" t="n">
        <v>214.38</v>
      </c>
      <c r="S3141" s="114" t="n">
        <v>0</v>
      </c>
      <c r="T3141" t="n">
        <v>0</v>
      </c>
    </row>
    <row r="3142">
      <c r="A3142" t="inlineStr">
        <is>
          <t>ttJTrans</t>
        </is>
      </c>
      <c r="B3142" s="38" t="inlineStr">
        <is>
          <t>0-4018</t>
        </is>
      </c>
      <c r="C3142" t="inlineStr">
        <is>
          <t>OC</t>
        </is>
      </c>
      <c r="E3142" t="inlineStr">
        <is>
          <t>OC</t>
        </is>
      </c>
      <c r="G3142" s="128" t="inlineStr"/>
      <c r="H3142" s="127" t="n">
        <v>46156</v>
      </c>
      <c r="J3142" s="38" t="inlineStr">
        <is>
          <t>0-4018</t>
        </is>
      </c>
      <c r="K3142" t="inlineStr">
        <is>
          <t>USFC-I30833819 PHILLIP R WARE 05/10/2026</t>
        </is>
      </c>
      <c r="L3142" t="n">
        <v>0</v>
      </c>
      <c r="M3142" t="n">
        <v>0</v>
      </c>
      <c r="O3142" t="inlineStr">
        <is>
          <t>20542</t>
        </is>
      </c>
      <c r="P3142" t="inlineStr">
        <is>
          <t>CORPORATE TRAVELER</t>
        </is>
      </c>
      <c r="Q3142" s="114" t="n">
        <v>0</v>
      </c>
      <c r="R3142" s="114" t="n">
        <v>5.77</v>
      </c>
      <c r="S3142" s="114" t="n">
        <v>0</v>
      </c>
      <c r="T3142" t="n">
        <v>0</v>
      </c>
    </row>
    <row r="3143">
      <c r="A3143" t="inlineStr">
        <is>
          <t>ttJTrans</t>
        </is>
      </c>
      <c r="B3143" s="38" t="inlineStr">
        <is>
          <t>0-4018</t>
        </is>
      </c>
      <c r="C3143" t="inlineStr">
        <is>
          <t>OC</t>
        </is>
      </c>
      <c r="E3143" t="inlineStr">
        <is>
          <t>OC</t>
        </is>
      </c>
      <c r="G3143" s="128" t="inlineStr"/>
      <c r="H3143" s="127" t="n">
        <v>46156</v>
      </c>
      <c r="J3143" s="38" t="inlineStr">
        <is>
          <t>0-4018</t>
        </is>
      </c>
      <c r="K3143" t="inlineStr">
        <is>
          <t>USFC-I30833819 PHILLIP R WARE 05/10/2026</t>
        </is>
      </c>
      <c r="L3143" t="n">
        <v>0</v>
      </c>
      <c r="M3143" t="n">
        <v>0</v>
      </c>
      <c r="O3143" t="inlineStr">
        <is>
          <t>20542</t>
        </is>
      </c>
      <c r="P3143" t="inlineStr">
        <is>
          <t>CORPORATE TRAVELER</t>
        </is>
      </c>
      <c r="Q3143" s="114" t="n">
        <v>0</v>
      </c>
      <c r="R3143" s="114" t="n">
        <v>20</v>
      </c>
      <c r="S3143" s="114" t="n">
        <v>0</v>
      </c>
      <c r="T3143" t="n">
        <v>0</v>
      </c>
    </row>
    <row r="3144">
      <c r="A3144" t="inlineStr">
        <is>
          <t>ttJTrans</t>
        </is>
      </c>
      <c r="B3144" s="38" t="inlineStr">
        <is>
          <t>0-4018</t>
        </is>
      </c>
      <c r="C3144" t="inlineStr">
        <is>
          <t>OC</t>
        </is>
      </c>
      <c r="E3144" t="inlineStr">
        <is>
          <t>OC</t>
        </is>
      </c>
      <c r="G3144" s="128" t="inlineStr"/>
      <c r="H3144" s="127" t="n">
        <v>46156</v>
      </c>
      <c r="J3144" s="38" t="inlineStr">
        <is>
          <t>0-4018</t>
        </is>
      </c>
      <c r="K3144" t="inlineStr">
        <is>
          <t>USFC-I30791350 Andreau Trepagnier 04/28/2026</t>
        </is>
      </c>
      <c r="L3144" t="n">
        <v>0</v>
      </c>
      <c r="M3144" t="n">
        <v>0</v>
      </c>
      <c r="O3144" t="inlineStr">
        <is>
          <t>20542</t>
        </is>
      </c>
      <c r="P3144" t="inlineStr">
        <is>
          <t>CORPORATE TRAVELER</t>
        </is>
      </c>
      <c r="Q3144" s="114" t="n">
        <v>0</v>
      </c>
      <c r="R3144" s="114" t="n">
        <v>362.43</v>
      </c>
      <c r="S3144" s="114" t="n">
        <v>0</v>
      </c>
      <c r="T3144" t="n">
        <v>0</v>
      </c>
    </row>
    <row r="3145">
      <c r="A3145" t="inlineStr">
        <is>
          <t>ttJTrans</t>
        </is>
      </c>
      <c r="B3145" s="38" t="inlineStr">
        <is>
          <t>0-4018</t>
        </is>
      </c>
      <c r="C3145" t="inlineStr">
        <is>
          <t>OC</t>
        </is>
      </c>
      <c r="E3145" t="inlineStr">
        <is>
          <t>OC</t>
        </is>
      </c>
      <c r="G3145" s="128" t="inlineStr"/>
      <c r="H3145" s="127" t="n">
        <v>46161</v>
      </c>
      <c r="J3145" s="38" t="inlineStr">
        <is>
          <t>0-4018</t>
        </is>
      </c>
      <c r="K3145" t="inlineStr">
        <is>
          <t>USFC-I30872405 SAMUEL WAYNE SMITH 05/04/2026</t>
        </is>
      </c>
      <c r="L3145" t="n">
        <v>0</v>
      </c>
      <c r="M3145" t="n">
        <v>0</v>
      </c>
      <c r="O3145" t="inlineStr">
        <is>
          <t>20542</t>
        </is>
      </c>
      <c r="P3145" t="inlineStr">
        <is>
          <t>CORPORATE TRAVELER</t>
        </is>
      </c>
      <c r="Q3145" s="114" t="n">
        <v>0</v>
      </c>
      <c r="R3145" s="114" t="n">
        <v>427.46</v>
      </c>
      <c r="S3145" s="114" t="n">
        <v>0</v>
      </c>
      <c r="T3145" t="n">
        <v>0</v>
      </c>
    </row>
    <row r="3146">
      <c r="A3146" t="inlineStr">
        <is>
          <t>ttJTrans</t>
        </is>
      </c>
      <c r="B3146" s="38" t="inlineStr">
        <is>
          <t>0-4018</t>
        </is>
      </c>
      <c r="C3146" t="inlineStr">
        <is>
          <t>OC</t>
        </is>
      </c>
      <c r="E3146" t="inlineStr">
        <is>
          <t>OC</t>
        </is>
      </c>
      <c r="G3146" s="128" t="inlineStr"/>
      <c r="H3146" s="127" t="n">
        <v>46161</v>
      </c>
      <c r="J3146" s="38" t="inlineStr">
        <is>
          <t>0-4018</t>
        </is>
      </c>
      <c r="K3146" t="inlineStr">
        <is>
          <t>USFC-I30871665 WILLIAM MATTHEWS 05/04/2026</t>
        </is>
      </c>
      <c r="L3146" t="n">
        <v>0</v>
      </c>
      <c r="M3146" t="n">
        <v>0</v>
      </c>
      <c r="O3146" t="inlineStr">
        <is>
          <t>20542</t>
        </is>
      </c>
      <c r="P3146" t="inlineStr">
        <is>
          <t>CORPORATE TRAVELER</t>
        </is>
      </c>
      <c r="Q3146" s="114" t="n">
        <v>0</v>
      </c>
      <c r="R3146" s="114" t="n">
        <v>1.97</v>
      </c>
      <c r="S3146" s="114" t="n">
        <v>0</v>
      </c>
      <c r="T3146" t="n">
        <v>0</v>
      </c>
    </row>
    <row r="3147">
      <c r="A3147" t="inlineStr">
        <is>
          <t>ttJTrans</t>
        </is>
      </c>
      <c r="B3147" s="38" t="inlineStr">
        <is>
          <t>0-4018</t>
        </is>
      </c>
      <c r="C3147" t="inlineStr">
        <is>
          <t>OC</t>
        </is>
      </c>
      <c r="E3147" t="inlineStr">
        <is>
          <t>OC</t>
        </is>
      </c>
      <c r="G3147" s="128" t="inlineStr"/>
      <c r="H3147" s="127" t="n">
        <v>46161</v>
      </c>
      <c r="J3147" s="38" t="inlineStr">
        <is>
          <t>0-4018</t>
        </is>
      </c>
      <c r="K3147" t="inlineStr">
        <is>
          <t>USFC-I30871665 WILLIAM MATTHEWS 05/04/2026</t>
        </is>
      </c>
      <c r="L3147" t="n">
        <v>0</v>
      </c>
      <c r="M3147" t="n">
        <v>0</v>
      </c>
      <c r="O3147" t="inlineStr">
        <is>
          <t>20542</t>
        </is>
      </c>
      <c r="P3147" t="inlineStr">
        <is>
          <t>CORPORATE TRAVELER</t>
        </is>
      </c>
      <c r="Q3147" s="114" t="n">
        <v>0</v>
      </c>
      <c r="R3147" s="114" t="n">
        <v>393.18</v>
      </c>
      <c r="S3147" s="114" t="n">
        <v>0</v>
      </c>
      <c r="T3147" t="n">
        <v>0</v>
      </c>
    </row>
    <row r="3148">
      <c r="A3148" t="inlineStr">
        <is>
          <t>ttJTrans</t>
        </is>
      </c>
      <c r="B3148" s="38" t="inlineStr">
        <is>
          <t>0-4018</t>
        </is>
      </c>
      <c r="C3148" t="inlineStr">
        <is>
          <t>OC</t>
        </is>
      </c>
      <c r="E3148" t="inlineStr">
        <is>
          <t>OC</t>
        </is>
      </c>
      <c r="G3148" s="128" t="inlineStr"/>
      <c r="H3148" s="127" t="n">
        <v>46161</v>
      </c>
      <c r="J3148" s="38" t="inlineStr">
        <is>
          <t>0-4018</t>
        </is>
      </c>
      <c r="K3148" t="inlineStr">
        <is>
          <t>USFC-I30871684 JESSIE DEAN RION 05/04/2026</t>
        </is>
      </c>
      <c r="L3148" t="n">
        <v>0</v>
      </c>
      <c r="M3148" t="n">
        <v>0</v>
      </c>
      <c r="O3148" t="inlineStr">
        <is>
          <t>20542</t>
        </is>
      </c>
      <c r="P3148" t="inlineStr">
        <is>
          <t>CORPORATE TRAVELER</t>
        </is>
      </c>
      <c r="Q3148" s="114" t="n">
        <v>0</v>
      </c>
      <c r="R3148" s="114" t="n">
        <v>2.07</v>
      </c>
      <c r="S3148" s="114" t="n">
        <v>0</v>
      </c>
      <c r="T3148" t="n">
        <v>0</v>
      </c>
    </row>
    <row r="3149">
      <c r="A3149" t="inlineStr">
        <is>
          <t>ttJTrans</t>
        </is>
      </c>
      <c r="B3149" s="38" t="inlineStr">
        <is>
          <t>0-4018</t>
        </is>
      </c>
      <c r="C3149" t="inlineStr">
        <is>
          <t>OC</t>
        </is>
      </c>
      <c r="E3149" t="inlineStr">
        <is>
          <t>OC</t>
        </is>
      </c>
      <c r="G3149" s="128" t="inlineStr"/>
      <c r="H3149" s="127" t="n">
        <v>46161</v>
      </c>
      <c r="J3149" s="38" t="inlineStr">
        <is>
          <t>0-4018</t>
        </is>
      </c>
      <c r="K3149" t="inlineStr">
        <is>
          <t>USFC-I30871684 JESSIE DEAN RION 05/04/2026</t>
        </is>
      </c>
      <c r="L3149" t="n">
        <v>0</v>
      </c>
      <c r="M3149" t="n">
        <v>0</v>
      </c>
      <c r="O3149" t="inlineStr">
        <is>
          <t>20542</t>
        </is>
      </c>
      <c r="P3149" t="inlineStr">
        <is>
          <t>CORPORATE TRAVELER</t>
        </is>
      </c>
      <c r="Q3149" s="114" t="n">
        <v>0</v>
      </c>
      <c r="R3149" s="114" t="n">
        <v>414.68</v>
      </c>
      <c r="S3149" s="114" t="n">
        <v>0</v>
      </c>
      <c r="T3149" t="n">
        <v>0</v>
      </c>
    </row>
    <row r="3150">
      <c r="A3150" t="inlineStr">
        <is>
          <t>ttJTrans</t>
        </is>
      </c>
      <c r="B3150" s="38" t="inlineStr">
        <is>
          <t>0-4018</t>
        </is>
      </c>
      <c r="C3150" t="inlineStr">
        <is>
          <t>OC</t>
        </is>
      </c>
      <c r="E3150" t="inlineStr">
        <is>
          <t>OC</t>
        </is>
      </c>
      <c r="G3150" s="128" t="inlineStr"/>
      <c r="H3150" s="127" t="n">
        <v>46161</v>
      </c>
      <c r="J3150" s="38" t="inlineStr">
        <is>
          <t>0-4018</t>
        </is>
      </c>
      <c r="K3150" t="inlineStr">
        <is>
          <t>USFC-I30873076 LATORRENCE BIVENS 05/04/2026</t>
        </is>
      </c>
      <c r="L3150" t="n">
        <v>0</v>
      </c>
      <c r="M3150" t="n">
        <v>0</v>
      </c>
      <c r="O3150" t="inlineStr">
        <is>
          <t>20542</t>
        </is>
      </c>
      <c r="P3150" t="inlineStr">
        <is>
          <t>CORPORATE TRAVELER</t>
        </is>
      </c>
      <c r="Q3150" s="114" t="n">
        <v>0</v>
      </c>
      <c r="R3150" s="114" t="n">
        <v>2.35</v>
      </c>
      <c r="S3150" s="114" t="n">
        <v>0</v>
      </c>
      <c r="T3150" t="n">
        <v>0</v>
      </c>
    </row>
    <row r="3151">
      <c r="A3151" t="inlineStr">
        <is>
          <t>ttJTrans</t>
        </is>
      </c>
      <c r="B3151" s="38" t="inlineStr">
        <is>
          <t>0-4018</t>
        </is>
      </c>
      <c r="C3151" t="inlineStr">
        <is>
          <t>OC</t>
        </is>
      </c>
      <c r="E3151" t="inlineStr">
        <is>
          <t>OC</t>
        </is>
      </c>
      <c r="G3151" s="128" t="inlineStr"/>
      <c r="H3151" s="127" t="n">
        <v>46161</v>
      </c>
      <c r="J3151" s="38" t="inlineStr">
        <is>
          <t>0-4018</t>
        </is>
      </c>
      <c r="K3151" t="inlineStr">
        <is>
          <t>USFC-I30873076 LATORRENCE BIVENS 05/04/2026</t>
        </is>
      </c>
      <c r="L3151" t="n">
        <v>0</v>
      </c>
      <c r="M3151" t="n">
        <v>0</v>
      </c>
      <c r="O3151" t="inlineStr">
        <is>
          <t>20542</t>
        </is>
      </c>
      <c r="P3151" t="inlineStr">
        <is>
          <t>CORPORATE TRAVELER</t>
        </is>
      </c>
      <c r="Q3151" s="114" t="n">
        <v>0</v>
      </c>
      <c r="R3151" s="114" t="n">
        <v>470.56</v>
      </c>
      <c r="S3151" s="114" t="n">
        <v>0</v>
      </c>
      <c r="T3151" t="n">
        <v>0</v>
      </c>
    </row>
    <row r="3152">
      <c r="A3152" t="inlineStr">
        <is>
          <t>ttJTrans</t>
        </is>
      </c>
      <c r="B3152" s="38" t="inlineStr">
        <is>
          <t>0-4018</t>
        </is>
      </c>
      <c r="C3152" t="inlineStr">
        <is>
          <t>OC</t>
        </is>
      </c>
      <c r="E3152" t="inlineStr">
        <is>
          <t>OC</t>
        </is>
      </c>
      <c r="G3152" s="128" t="inlineStr"/>
      <c r="H3152" s="127" t="n">
        <v>46161</v>
      </c>
      <c r="J3152" s="38" t="inlineStr">
        <is>
          <t>0-4018</t>
        </is>
      </c>
      <c r="K3152" t="inlineStr">
        <is>
          <t>USFC-I30872976 JAMES Estel BARTLES 05/04/2026</t>
        </is>
      </c>
      <c r="L3152" t="n">
        <v>0</v>
      </c>
      <c r="M3152" t="n">
        <v>0</v>
      </c>
      <c r="O3152" t="inlineStr">
        <is>
          <t>20542</t>
        </is>
      </c>
      <c r="P3152" t="inlineStr">
        <is>
          <t>CORPORATE TRAVELER</t>
        </is>
      </c>
      <c r="Q3152" s="114" t="n">
        <v>0</v>
      </c>
      <c r="R3152" s="114" t="n">
        <v>2.81</v>
      </c>
      <c r="S3152" s="114" t="n">
        <v>0</v>
      </c>
      <c r="T3152" t="n">
        <v>0</v>
      </c>
    </row>
    <row r="3153">
      <c r="A3153" t="inlineStr">
        <is>
          <t>ttJTrans</t>
        </is>
      </c>
      <c r="B3153" s="38" t="inlineStr">
        <is>
          <t>0-4018</t>
        </is>
      </c>
      <c r="C3153" t="inlineStr">
        <is>
          <t>OC</t>
        </is>
      </c>
      <c r="E3153" t="inlineStr">
        <is>
          <t>OC</t>
        </is>
      </c>
      <c r="G3153" s="128" t="inlineStr"/>
      <c r="H3153" s="127" t="n">
        <v>46161</v>
      </c>
      <c r="J3153" s="38" t="inlineStr">
        <is>
          <t>0-4018</t>
        </is>
      </c>
      <c r="K3153" t="inlineStr">
        <is>
          <t>USFC-I30872976 JAMES Estel BARTLES 05/04/2026</t>
        </is>
      </c>
      <c r="L3153" t="n">
        <v>0</v>
      </c>
      <c r="M3153" t="n">
        <v>0</v>
      </c>
      <c r="O3153" t="inlineStr">
        <is>
          <t>20542</t>
        </is>
      </c>
      <c r="P3153" t="inlineStr">
        <is>
          <t>CORPORATE TRAVELER</t>
        </is>
      </c>
      <c r="Q3153" s="114" t="n">
        <v>0</v>
      </c>
      <c r="R3153" s="114" t="n">
        <v>562.12</v>
      </c>
      <c r="S3153" s="114" t="n">
        <v>0</v>
      </c>
      <c r="T3153" t="n">
        <v>0</v>
      </c>
    </row>
    <row r="3154">
      <c r="A3154" t="inlineStr">
        <is>
          <t>ttJTrans</t>
        </is>
      </c>
      <c r="B3154" s="38" t="inlineStr">
        <is>
          <t>0-4018</t>
        </is>
      </c>
      <c r="C3154" t="inlineStr">
        <is>
          <t>OC</t>
        </is>
      </c>
      <c r="E3154" t="inlineStr">
        <is>
          <t>OC</t>
        </is>
      </c>
      <c r="G3154" s="128" t="inlineStr"/>
      <c r="H3154" s="127" t="n">
        <v>46161</v>
      </c>
      <c r="J3154" s="38" t="inlineStr">
        <is>
          <t>0-4018</t>
        </is>
      </c>
      <c r="K3154" t="inlineStr">
        <is>
          <t>USFC-I30872634 John Steelman 05/04/2026</t>
        </is>
      </c>
      <c r="L3154" t="n">
        <v>0</v>
      </c>
      <c r="M3154" t="n">
        <v>0</v>
      </c>
      <c r="O3154" t="inlineStr">
        <is>
          <t>20542</t>
        </is>
      </c>
      <c r="P3154" t="inlineStr">
        <is>
          <t>CORPORATE TRAVELER</t>
        </is>
      </c>
      <c r="Q3154" s="114" t="n">
        <v>0</v>
      </c>
      <c r="R3154" s="114" t="n">
        <v>1.8</v>
      </c>
      <c r="S3154" s="114" t="n">
        <v>0</v>
      </c>
      <c r="T3154" t="n">
        <v>0</v>
      </c>
    </row>
    <row r="3155">
      <c r="A3155" t="inlineStr">
        <is>
          <t>ttJTrans</t>
        </is>
      </c>
      <c r="B3155" s="38" t="inlineStr">
        <is>
          <t>0-4018</t>
        </is>
      </c>
      <c r="C3155" t="inlineStr">
        <is>
          <t>OC</t>
        </is>
      </c>
      <c r="E3155" t="inlineStr">
        <is>
          <t>OC</t>
        </is>
      </c>
      <c r="G3155" s="128" t="inlineStr"/>
      <c r="H3155" s="127" t="n">
        <v>46161</v>
      </c>
      <c r="J3155" s="38" t="inlineStr">
        <is>
          <t>0-4018</t>
        </is>
      </c>
      <c r="K3155" t="inlineStr">
        <is>
          <t>USFC-I30873432 Andreau Trepagnier 05/08/2026</t>
        </is>
      </c>
      <c r="L3155" t="n">
        <v>0</v>
      </c>
      <c r="M3155" t="n">
        <v>0</v>
      </c>
      <c r="O3155" t="inlineStr">
        <is>
          <t>20542</t>
        </is>
      </c>
      <c r="P3155" t="inlineStr">
        <is>
          <t>CORPORATE TRAVELER</t>
        </is>
      </c>
      <c r="Q3155" s="114" t="n">
        <v>0</v>
      </c>
      <c r="R3155" s="114" t="n">
        <v>125.48</v>
      </c>
      <c r="S3155" s="114" t="n">
        <v>0</v>
      </c>
      <c r="T3155" t="n">
        <v>0</v>
      </c>
    </row>
    <row r="3156">
      <c r="A3156" t="inlineStr">
        <is>
          <t>ttJTrans</t>
        </is>
      </c>
      <c r="B3156" s="38" t="inlineStr">
        <is>
          <t>0-4018</t>
        </is>
      </c>
      <c r="C3156" t="inlineStr">
        <is>
          <t>OC</t>
        </is>
      </c>
      <c r="E3156" t="inlineStr">
        <is>
          <t>OC</t>
        </is>
      </c>
      <c r="G3156" s="128" t="inlineStr"/>
      <c r="H3156" s="127" t="n">
        <v>46161</v>
      </c>
      <c r="J3156" s="38" t="inlineStr">
        <is>
          <t>0-4018</t>
        </is>
      </c>
      <c r="K3156" t="inlineStr">
        <is>
          <t>USFC-I30873042 ALEXIS PACHECO GONZALEZ 05/04/2026</t>
        </is>
      </c>
      <c r="L3156" t="n">
        <v>0</v>
      </c>
      <c r="M3156" t="n">
        <v>0</v>
      </c>
      <c r="O3156" t="inlineStr">
        <is>
          <t>20542</t>
        </is>
      </c>
      <c r="P3156" t="inlineStr">
        <is>
          <t>CORPORATE TRAVELER</t>
        </is>
      </c>
      <c r="Q3156" s="114" t="n">
        <v>0</v>
      </c>
      <c r="R3156" s="114" t="n">
        <v>2.51</v>
      </c>
      <c r="S3156" s="114" t="n">
        <v>0</v>
      </c>
      <c r="T3156" t="n">
        <v>0</v>
      </c>
    </row>
    <row r="3157">
      <c r="A3157" t="inlineStr">
        <is>
          <t>ttJTrans</t>
        </is>
      </c>
      <c r="B3157" s="38" t="inlineStr">
        <is>
          <t>0-4018</t>
        </is>
      </c>
      <c r="C3157" t="inlineStr">
        <is>
          <t>OC</t>
        </is>
      </c>
      <c r="E3157" t="inlineStr">
        <is>
          <t>OC</t>
        </is>
      </c>
      <c r="G3157" s="128" t="inlineStr"/>
      <c r="H3157" s="127" t="n">
        <v>46161</v>
      </c>
      <c r="J3157" s="38" t="inlineStr">
        <is>
          <t>0-4018</t>
        </is>
      </c>
      <c r="K3157" t="inlineStr">
        <is>
          <t>USFC-I30873042 ALEXIS PACHECO GONZALEZ 05/04/2026</t>
        </is>
      </c>
      <c r="L3157" t="n">
        <v>0</v>
      </c>
      <c r="M3157" t="n">
        <v>0</v>
      </c>
      <c r="O3157" t="inlineStr">
        <is>
          <t>20542</t>
        </is>
      </c>
      <c r="P3157" t="inlineStr">
        <is>
          <t>CORPORATE TRAVELER</t>
        </is>
      </c>
      <c r="Q3157" s="114" t="n">
        <v>0</v>
      </c>
      <c r="R3157" s="114" t="n">
        <v>501.27</v>
      </c>
      <c r="S3157" s="114" t="n">
        <v>0</v>
      </c>
      <c r="T3157" t="n">
        <v>0</v>
      </c>
    </row>
    <row r="3158">
      <c r="A3158" t="inlineStr">
        <is>
          <t>ttJTrans</t>
        </is>
      </c>
      <c r="B3158" s="38" t="inlineStr">
        <is>
          <t>0-4018</t>
        </is>
      </c>
      <c r="C3158" t="inlineStr">
        <is>
          <t>OC</t>
        </is>
      </c>
      <c r="E3158" t="inlineStr">
        <is>
          <t>OC</t>
        </is>
      </c>
      <c r="G3158" s="128" t="inlineStr"/>
      <c r="H3158" s="127" t="n">
        <v>46161</v>
      </c>
      <c r="J3158" s="38" t="inlineStr">
        <is>
          <t>0-4018</t>
        </is>
      </c>
      <c r="K3158" t="inlineStr">
        <is>
          <t>USFC-I30872890 LOYD BARTLES 05/04/2026</t>
        </is>
      </c>
      <c r="L3158" t="n">
        <v>0</v>
      </c>
      <c r="M3158" t="n">
        <v>0</v>
      </c>
      <c r="O3158" t="inlineStr">
        <is>
          <t>20542</t>
        </is>
      </c>
      <c r="P3158" t="inlineStr">
        <is>
          <t>CORPORATE TRAVELER</t>
        </is>
      </c>
      <c r="Q3158" s="114" t="n">
        <v>0</v>
      </c>
      <c r="R3158" s="114" t="n">
        <v>2.44</v>
      </c>
      <c r="S3158" s="114" t="n">
        <v>0</v>
      </c>
      <c r="T3158" t="n">
        <v>0</v>
      </c>
    </row>
    <row r="3159">
      <c r="A3159" t="inlineStr">
        <is>
          <t>ttJTrans</t>
        </is>
      </c>
      <c r="B3159" s="38" t="inlineStr">
        <is>
          <t>0-4018</t>
        </is>
      </c>
      <c r="C3159" t="inlineStr">
        <is>
          <t>OC</t>
        </is>
      </c>
      <c r="E3159" t="inlineStr">
        <is>
          <t>OC</t>
        </is>
      </c>
      <c r="G3159" s="128" t="inlineStr"/>
      <c r="H3159" s="127" t="n">
        <v>46161</v>
      </c>
      <c r="J3159" s="38" t="inlineStr">
        <is>
          <t>0-4018</t>
        </is>
      </c>
      <c r="K3159" t="inlineStr">
        <is>
          <t>USFC-I30872890 LOYD BARTLES 05/04/2026</t>
        </is>
      </c>
      <c r="L3159" t="n">
        <v>0</v>
      </c>
      <c r="M3159" t="n">
        <v>0</v>
      </c>
      <c r="O3159" t="inlineStr">
        <is>
          <t>20542</t>
        </is>
      </c>
      <c r="P3159" t="inlineStr">
        <is>
          <t>CORPORATE TRAVELER</t>
        </is>
      </c>
      <c r="Q3159" s="114" t="n">
        <v>0</v>
      </c>
      <c r="R3159" s="114" t="n">
        <v>488.16</v>
      </c>
      <c r="S3159" s="114" t="n">
        <v>0</v>
      </c>
      <c r="T3159" t="n">
        <v>0</v>
      </c>
    </row>
    <row r="3160">
      <c r="A3160" t="inlineStr">
        <is>
          <t>ttJTrans</t>
        </is>
      </c>
      <c r="B3160" s="38" t="inlineStr">
        <is>
          <t>0-4018</t>
        </is>
      </c>
      <c r="C3160" t="inlineStr">
        <is>
          <t>OC</t>
        </is>
      </c>
      <c r="E3160" t="inlineStr">
        <is>
          <t>OC</t>
        </is>
      </c>
      <c r="G3160" s="128" t="inlineStr"/>
      <c r="H3160" s="127" t="n">
        <v>46161</v>
      </c>
      <c r="J3160" s="38" t="inlineStr">
        <is>
          <t>0-4018</t>
        </is>
      </c>
      <c r="K3160" t="inlineStr">
        <is>
          <t>USFC-I30937917 SAMUEL WAYNE SMITH 05/25/2026</t>
        </is>
      </c>
      <c r="L3160" t="n">
        <v>0</v>
      </c>
      <c r="M3160" t="n">
        <v>0</v>
      </c>
      <c r="O3160" t="inlineStr">
        <is>
          <t>20542</t>
        </is>
      </c>
      <c r="P3160" t="inlineStr">
        <is>
          <t>CORPORATE TRAVELER</t>
        </is>
      </c>
      <c r="Q3160" s="114" t="n">
        <v>0</v>
      </c>
      <c r="R3160" s="114" t="n">
        <v>0.18</v>
      </c>
      <c r="S3160" s="114" t="n">
        <v>0</v>
      </c>
      <c r="T3160" t="n">
        <v>0</v>
      </c>
    </row>
    <row r="3161">
      <c r="A3161" t="inlineStr">
        <is>
          <t>ttJTrans</t>
        </is>
      </c>
      <c r="B3161" s="38" t="inlineStr">
        <is>
          <t>0-4018</t>
        </is>
      </c>
      <c r="C3161" t="inlineStr">
        <is>
          <t>OC</t>
        </is>
      </c>
      <c r="E3161" t="inlineStr">
        <is>
          <t>OC</t>
        </is>
      </c>
      <c r="G3161" s="128" t="inlineStr"/>
      <c r="H3161" s="127" t="n">
        <v>46161</v>
      </c>
      <c r="J3161" s="38" t="inlineStr">
        <is>
          <t>0-4018</t>
        </is>
      </c>
      <c r="K3161" t="inlineStr">
        <is>
          <t>USFC-I30937917 SAMUEL WAYNE SMITH 05/25/2026</t>
        </is>
      </c>
      <c r="L3161" t="n">
        <v>0</v>
      </c>
      <c r="M3161" t="n">
        <v>0</v>
      </c>
      <c r="O3161" t="inlineStr">
        <is>
          <t>20542</t>
        </is>
      </c>
      <c r="P3161" t="inlineStr">
        <is>
          <t>CORPORATE TRAVELER</t>
        </is>
      </c>
      <c r="Q3161" s="114" t="n">
        <v>0</v>
      </c>
      <c r="R3161" s="114" t="n">
        <v>35</v>
      </c>
      <c r="S3161" s="114" t="n">
        <v>0</v>
      </c>
      <c r="T3161" t="n">
        <v>0</v>
      </c>
    </row>
    <row r="3162">
      <c r="A3162" t="inlineStr">
        <is>
          <t>ttJTrans</t>
        </is>
      </c>
      <c r="B3162" s="38" t="inlineStr">
        <is>
          <t>0-4018</t>
        </is>
      </c>
      <c r="C3162" t="inlineStr">
        <is>
          <t>OC</t>
        </is>
      </c>
      <c r="E3162" t="inlineStr">
        <is>
          <t>OC</t>
        </is>
      </c>
      <c r="G3162" s="128" t="inlineStr"/>
      <c r="H3162" s="127" t="n">
        <v>46161</v>
      </c>
      <c r="J3162" s="38" t="inlineStr">
        <is>
          <t>0-4018</t>
        </is>
      </c>
      <c r="K3162" t="inlineStr">
        <is>
          <t>USFC-I30929536 Jessie Dean Rion 05/17/2026</t>
        </is>
      </c>
      <c r="L3162" t="n">
        <v>0</v>
      </c>
      <c r="M3162" t="n">
        <v>0</v>
      </c>
      <c r="O3162" t="inlineStr">
        <is>
          <t>20542</t>
        </is>
      </c>
      <c r="P3162" t="inlineStr">
        <is>
          <t>CORPORATE TRAVELER</t>
        </is>
      </c>
      <c r="Q3162" s="114" t="n">
        <v>0</v>
      </c>
      <c r="R3162" s="114" t="n">
        <v>0.1</v>
      </c>
      <c r="S3162" s="114" t="n">
        <v>0</v>
      </c>
      <c r="T3162" t="n">
        <v>0</v>
      </c>
    </row>
    <row r="3163">
      <c r="A3163" t="inlineStr">
        <is>
          <t>ttJTrans</t>
        </is>
      </c>
      <c r="B3163" s="38" t="inlineStr">
        <is>
          <t>0-4018</t>
        </is>
      </c>
      <c r="C3163" t="inlineStr">
        <is>
          <t>OC</t>
        </is>
      </c>
      <c r="E3163" t="inlineStr">
        <is>
          <t>OC</t>
        </is>
      </c>
      <c r="G3163" s="128" t="inlineStr"/>
      <c r="H3163" s="127" t="n">
        <v>46161</v>
      </c>
      <c r="J3163" s="38" t="inlineStr">
        <is>
          <t>0-4018</t>
        </is>
      </c>
      <c r="K3163" t="inlineStr">
        <is>
          <t>USFC-I30929536 Jessie Dean Rion 05/17/2026</t>
        </is>
      </c>
      <c r="L3163" t="n">
        <v>0</v>
      </c>
      <c r="M3163" t="n">
        <v>0</v>
      </c>
      <c r="O3163" t="inlineStr">
        <is>
          <t>20542</t>
        </is>
      </c>
      <c r="P3163" t="inlineStr">
        <is>
          <t>CORPORATE TRAVELER</t>
        </is>
      </c>
      <c r="Q3163" s="114" t="n">
        <v>0</v>
      </c>
      <c r="R3163" s="114" t="n">
        <v>20</v>
      </c>
      <c r="S3163" s="114" t="n">
        <v>0</v>
      </c>
      <c r="T3163" t="n">
        <v>0</v>
      </c>
    </row>
    <row r="3164">
      <c r="A3164" t="inlineStr">
        <is>
          <t>ttJTrans</t>
        </is>
      </c>
      <c r="B3164" s="38" t="inlineStr">
        <is>
          <t>0-4018</t>
        </is>
      </c>
      <c r="C3164" t="inlineStr">
        <is>
          <t>OC</t>
        </is>
      </c>
      <c r="E3164" t="inlineStr">
        <is>
          <t>OC</t>
        </is>
      </c>
      <c r="G3164" s="128" t="inlineStr"/>
      <c r="H3164" s="127" t="n">
        <v>46161</v>
      </c>
      <c r="J3164" s="38" t="inlineStr">
        <is>
          <t>0-4018</t>
        </is>
      </c>
      <c r="K3164" t="inlineStr">
        <is>
          <t>USFC-I30875404 SAMUEL WAYNE SMITH 05/18/2026</t>
        </is>
      </c>
      <c r="L3164" t="n">
        <v>0</v>
      </c>
      <c r="M3164" t="n">
        <v>0</v>
      </c>
      <c r="O3164" t="inlineStr">
        <is>
          <t>20542</t>
        </is>
      </c>
      <c r="P3164" t="inlineStr">
        <is>
          <t>CORPORATE TRAVELER</t>
        </is>
      </c>
      <c r="Q3164" s="114" t="n">
        <v>0</v>
      </c>
      <c r="R3164" s="114" t="n">
        <v>3.97</v>
      </c>
      <c r="S3164" s="114" t="n">
        <v>0</v>
      </c>
      <c r="T3164" t="n">
        <v>0</v>
      </c>
    </row>
    <row r="3165">
      <c r="A3165" t="inlineStr">
        <is>
          <t>ttJTrans</t>
        </is>
      </c>
      <c r="B3165" s="38" t="inlineStr">
        <is>
          <t>0-4018</t>
        </is>
      </c>
      <c r="C3165" t="inlineStr">
        <is>
          <t>OC</t>
        </is>
      </c>
      <c r="E3165" t="inlineStr">
        <is>
          <t>OC</t>
        </is>
      </c>
      <c r="G3165" s="128" t="inlineStr"/>
      <c r="H3165" s="127" t="n">
        <v>46161</v>
      </c>
      <c r="J3165" s="38" t="inlineStr">
        <is>
          <t>0-4018</t>
        </is>
      </c>
      <c r="K3165" t="inlineStr">
        <is>
          <t>JAMES BARTLES EXPENSE REPORT</t>
        </is>
      </c>
      <c r="L3165" t="n">
        <v>0</v>
      </c>
      <c r="M3165" t="n">
        <v>0</v>
      </c>
      <c r="O3165" t="inlineStr">
        <is>
          <t>19449</t>
        </is>
      </c>
      <c r="P3165" t="inlineStr">
        <is>
          <t>BARTLES, JAMES E.</t>
        </is>
      </c>
      <c r="Q3165" s="114" t="n">
        <v>0</v>
      </c>
      <c r="R3165" s="114" t="n">
        <v>227.2</v>
      </c>
      <c r="S3165" s="114" t="n">
        <v>0</v>
      </c>
      <c r="T3165" t="n">
        <v>0</v>
      </c>
    </row>
    <row r="3166">
      <c r="A3166" t="inlineStr">
        <is>
          <t>ttJTrans</t>
        </is>
      </c>
      <c r="B3166" s="38" t="inlineStr">
        <is>
          <t>0-4018</t>
        </is>
      </c>
      <c r="C3166" t="inlineStr">
        <is>
          <t>OC</t>
        </is>
      </c>
      <c r="E3166" t="inlineStr">
        <is>
          <t>OC</t>
        </is>
      </c>
      <c r="G3166" s="128" t="inlineStr"/>
      <c r="H3166" s="127" t="n">
        <v>46161</v>
      </c>
      <c r="J3166" s="38" t="inlineStr">
        <is>
          <t>0-4018</t>
        </is>
      </c>
      <c r="K3166" t="inlineStr">
        <is>
          <t>ALEXIS GONZALEZ EXPENSE REPORT</t>
        </is>
      </c>
      <c r="L3166" t="n">
        <v>0</v>
      </c>
      <c r="M3166" t="n">
        <v>0</v>
      </c>
      <c r="O3166" t="inlineStr">
        <is>
          <t>21421</t>
        </is>
      </c>
      <c r="P3166" t="inlineStr">
        <is>
          <t>GONZALEZ, ALEXIS P.</t>
        </is>
      </c>
      <c r="Q3166" s="114" t="n">
        <v>0</v>
      </c>
      <c r="R3166" s="114" t="n">
        <v>217.66</v>
      </c>
      <c r="S3166" s="114" t="n">
        <v>0</v>
      </c>
      <c r="T3166" t="n">
        <v>0</v>
      </c>
    </row>
    <row r="3167">
      <c r="A3167" t="inlineStr">
        <is>
          <t>ttJTrans</t>
        </is>
      </c>
      <c r="B3167" s="38" t="inlineStr">
        <is>
          <t>0-4005</t>
        </is>
      </c>
      <c r="C3167" t="inlineStr">
        <is>
          <t>LA</t>
        </is>
      </c>
      <c r="E3167" t="inlineStr">
        <is>
          <t>LA</t>
        </is>
      </c>
      <c r="G3167" s="128" t="inlineStr"/>
      <c r="H3167" s="127" t="n">
        <v>46069</v>
      </c>
      <c r="J3167" s="38" t="inlineStr">
        <is>
          <t>0-4005</t>
        </is>
      </c>
      <c r="K3167" t="inlineStr">
        <is>
          <t>PR P2COST 000285 (PR) Summary</t>
        </is>
      </c>
      <c r="L3167" t="n">
        <v>0</v>
      </c>
      <c r="M3167" t="n">
        <v>0</v>
      </c>
      <c r="Q3167" s="114" t="n">
        <v>0</v>
      </c>
      <c r="R3167" s="114" t="n">
        <v>555.17</v>
      </c>
      <c r="S3167" s="114" t="n">
        <v>0</v>
      </c>
      <c r="T3167" t="n">
        <v>5</v>
      </c>
    </row>
    <row r="3168">
      <c r="A3168" t="inlineStr">
        <is>
          <t>ttJTrans</t>
        </is>
      </c>
      <c r="B3168" s="38" t="inlineStr">
        <is>
          <t>0-4005</t>
        </is>
      </c>
      <c r="C3168" t="inlineStr">
        <is>
          <t>LA</t>
        </is>
      </c>
      <c r="E3168" t="inlineStr">
        <is>
          <t>LA</t>
        </is>
      </c>
      <c r="G3168" s="128" t="inlineStr"/>
      <c r="H3168" s="127" t="n">
        <v>46069</v>
      </c>
      <c r="J3168" s="38" t="inlineStr">
        <is>
          <t>0-4005</t>
        </is>
      </c>
      <c r="K3168" t="inlineStr">
        <is>
          <t>PR P2COST 000285 (PR) Summary</t>
        </is>
      </c>
      <c r="L3168" t="n">
        <v>0</v>
      </c>
      <c r="M3168" t="n">
        <v>0</v>
      </c>
      <c r="Q3168" s="114" t="n">
        <v>0</v>
      </c>
      <c r="R3168" s="114" t="n">
        <v>555.17</v>
      </c>
      <c r="S3168" s="114" t="n">
        <v>0</v>
      </c>
      <c r="T3168" t="n">
        <v>5</v>
      </c>
    </row>
    <row r="3169">
      <c r="A3169" t="inlineStr">
        <is>
          <t>ttJTrans</t>
        </is>
      </c>
      <c r="B3169" s="38" t="inlineStr">
        <is>
          <t>0-4005</t>
        </is>
      </c>
      <c r="C3169" t="inlineStr">
        <is>
          <t>LA</t>
        </is>
      </c>
      <c r="E3169" t="inlineStr">
        <is>
          <t>LA</t>
        </is>
      </c>
      <c r="G3169" s="128" t="inlineStr"/>
      <c r="H3169" s="127" t="n">
        <v>46069</v>
      </c>
      <c r="J3169" s="38" t="inlineStr">
        <is>
          <t>0-4005</t>
        </is>
      </c>
      <c r="K3169" t="inlineStr">
        <is>
          <t>PR P2COST 000285 (PR) Summary</t>
        </is>
      </c>
      <c r="L3169" t="n">
        <v>0</v>
      </c>
      <c r="M3169" t="n">
        <v>0</v>
      </c>
      <c r="Q3169" s="114" t="n">
        <v>0</v>
      </c>
      <c r="R3169" s="114" t="n">
        <v>111.03</v>
      </c>
      <c r="S3169" s="114" t="n">
        <v>0</v>
      </c>
      <c r="T3169" t="n">
        <v>1</v>
      </c>
    </row>
    <row r="3170">
      <c r="A3170" t="inlineStr">
        <is>
          <t>ttJTrans</t>
        </is>
      </c>
      <c r="B3170" s="38" t="inlineStr">
        <is>
          <t>0-4005</t>
        </is>
      </c>
      <c r="C3170" t="inlineStr">
        <is>
          <t>LA</t>
        </is>
      </c>
      <c r="E3170" t="inlineStr">
        <is>
          <t>LA</t>
        </is>
      </c>
      <c r="G3170" s="128" t="inlineStr"/>
      <c r="H3170" s="127" t="n">
        <v>46069</v>
      </c>
      <c r="J3170" s="38" t="inlineStr">
        <is>
          <t>0-4005</t>
        </is>
      </c>
      <c r="K3170" t="inlineStr">
        <is>
          <t>PR P2COST 000285 (PR) Summary</t>
        </is>
      </c>
      <c r="L3170" t="n">
        <v>0</v>
      </c>
      <c r="M3170" t="n">
        <v>0</v>
      </c>
      <c r="Q3170" s="114" t="n">
        <v>0</v>
      </c>
      <c r="R3170" s="114" t="n">
        <v>888.27</v>
      </c>
      <c r="S3170" s="114" t="n">
        <v>0</v>
      </c>
      <c r="T3170" t="n">
        <v>8</v>
      </c>
    </row>
    <row r="3171">
      <c r="A3171" t="inlineStr">
        <is>
          <t>ttJTrans</t>
        </is>
      </c>
      <c r="B3171" s="38" t="inlineStr">
        <is>
          <t>0-4005</t>
        </is>
      </c>
      <c r="C3171" t="inlineStr">
        <is>
          <t>LA</t>
        </is>
      </c>
      <c r="E3171" t="inlineStr">
        <is>
          <t>LA</t>
        </is>
      </c>
      <c r="G3171" s="128" t="inlineStr"/>
      <c r="H3171" s="127" t="n">
        <v>46069</v>
      </c>
      <c r="J3171" s="38" t="inlineStr">
        <is>
          <t>0-4005</t>
        </is>
      </c>
      <c r="K3171" t="inlineStr">
        <is>
          <t>PR P2COST 000285 (PR) Summary</t>
        </is>
      </c>
      <c r="L3171" t="n">
        <v>0</v>
      </c>
      <c r="M3171" t="n">
        <v>0</v>
      </c>
      <c r="Q3171" s="114" t="n">
        <v>0</v>
      </c>
      <c r="R3171" s="114" t="n">
        <v>555.22</v>
      </c>
      <c r="S3171" s="114" t="n">
        <v>0</v>
      </c>
      <c r="T3171" t="n">
        <v>5</v>
      </c>
    </row>
    <row r="3172">
      <c r="A3172" t="inlineStr">
        <is>
          <t>ttJTrans</t>
        </is>
      </c>
      <c r="B3172" s="38" t="inlineStr">
        <is>
          <t>0-4005</t>
        </is>
      </c>
      <c r="C3172" t="inlineStr">
        <is>
          <t>LA</t>
        </is>
      </c>
      <c r="E3172" t="inlineStr">
        <is>
          <t>LA</t>
        </is>
      </c>
      <c r="G3172" s="128" t="inlineStr"/>
      <c r="H3172" s="127" t="n">
        <v>46069</v>
      </c>
      <c r="J3172" s="38" t="inlineStr">
        <is>
          <t>0-4005</t>
        </is>
      </c>
      <c r="K3172" t="inlineStr">
        <is>
          <t>PR P2COST 000285 (PR) Summary</t>
        </is>
      </c>
      <c r="L3172" t="n">
        <v>0</v>
      </c>
      <c r="M3172" t="n">
        <v>0</v>
      </c>
      <c r="Q3172" s="114" t="n">
        <v>0</v>
      </c>
      <c r="R3172" s="114" t="n">
        <v>555.17</v>
      </c>
      <c r="S3172" s="114" t="n">
        <v>0</v>
      </c>
      <c r="T3172" t="n">
        <v>5</v>
      </c>
    </row>
    <row r="3173">
      <c r="A3173" t="inlineStr">
        <is>
          <t>ttJTrans</t>
        </is>
      </c>
      <c r="B3173" s="38" t="inlineStr">
        <is>
          <t>0-4005</t>
        </is>
      </c>
      <c r="C3173" t="inlineStr">
        <is>
          <t>LA</t>
        </is>
      </c>
      <c r="E3173" t="inlineStr">
        <is>
          <t>LA</t>
        </is>
      </c>
      <c r="G3173" s="128" t="inlineStr"/>
      <c r="H3173" s="127" t="n">
        <v>46069</v>
      </c>
      <c r="J3173" s="38" t="inlineStr">
        <is>
          <t>0-4005</t>
        </is>
      </c>
      <c r="K3173" t="inlineStr">
        <is>
          <t>PR P2COST 000285 (PR) Summary</t>
        </is>
      </c>
      <c r="L3173" t="n">
        <v>0</v>
      </c>
      <c r="M3173" t="n">
        <v>0</v>
      </c>
      <c r="Q3173" s="114" t="n">
        <v>0</v>
      </c>
      <c r="R3173" s="114" t="n">
        <v>555.17</v>
      </c>
      <c r="S3173" s="114" t="n">
        <v>0</v>
      </c>
      <c r="T3173" t="n">
        <v>5</v>
      </c>
    </row>
    <row r="3174">
      <c r="A3174" t="inlineStr">
        <is>
          <t>ttJTrans</t>
        </is>
      </c>
      <c r="B3174" s="38" t="inlineStr">
        <is>
          <t>0-4005</t>
        </is>
      </c>
      <c r="C3174" t="inlineStr">
        <is>
          <t>LA</t>
        </is>
      </c>
      <c r="E3174" t="inlineStr">
        <is>
          <t>LA</t>
        </is>
      </c>
      <c r="G3174" s="128" t="inlineStr"/>
      <c r="H3174" s="127" t="n">
        <v>46055</v>
      </c>
      <c r="J3174" s="38" t="inlineStr">
        <is>
          <t>0-4005</t>
        </is>
      </c>
      <c r="K3174" t="inlineStr">
        <is>
          <t>PR P2COST 000284 (PR) Summary</t>
        </is>
      </c>
      <c r="L3174" t="n">
        <v>0</v>
      </c>
      <c r="M3174" t="n">
        <v>0</v>
      </c>
      <c r="Q3174" s="114" t="n">
        <v>0</v>
      </c>
      <c r="R3174" s="114" t="n">
        <v>209.46</v>
      </c>
      <c r="S3174" s="114" t="n">
        <v>0</v>
      </c>
      <c r="T3174" t="n">
        <v>2</v>
      </c>
    </row>
    <row r="3175">
      <c r="A3175" t="inlineStr">
        <is>
          <t>ttJTrans</t>
        </is>
      </c>
      <c r="B3175" s="38" t="inlineStr">
        <is>
          <t>0-4005</t>
        </is>
      </c>
      <c r="C3175" t="inlineStr">
        <is>
          <t>LA</t>
        </is>
      </c>
      <c r="E3175" t="inlineStr">
        <is>
          <t>LA</t>
        </is>
      </c>
      <c r="G3175" s="128" t="inlineStr"/>
      <c r="H3175" s="127" t="n">
        <v>46055</v>
      </c>
      <c r="J3175" s="38" t="inlineStr">
        <is>
          <t>0-4005</t>
        </is>
      </c>
      <c r="K3175" t="inlineStr">
        <is>
          <t>PR P2COST 000284 (PR) Summary</t>
        </is>
      </c>
      <c r="L3175" t="n">
        <v>0</v>
      </c>
      <c r="M3175" t="n">
        <v>0</v>
      </c>
      <c r="Q3175" s="114" t="n">
        <v>0</v>
      </c>
      <c r="R3175" s="114" t="n">
        <v>523.67</v>
      </c>
      <c r="S3175" s="114" t="n">
        <v>0</v>
      </c>
      <c r="T3175" t="n">
        <v>5</v>
      </c>
    </row>
    <row r="3176">
      <c r="A3176" t="inlineStr">
        <is>
          <t>ttJTrans</t>
        </is>
      </c>
      <c r="B3176" s="38" t="inlineStr">
        <is>
          <t>0-4005</t>
        </is>
      </c>
      <c r="C3176" t="inlineStr">
        <is>
          <t>LA</t>
        </is>
      </c>
      <c r="E3176" t="inlineStr">
        <is>
          <t>LA</t>
        </is>
      </c>
      <c r="G3176" s="128" t="inlineStr"/>
      <c r="H3176" s="127" t="n">
        <v>46055</v>
      </c>
      <c r="J3176" s="38" t="inlineStr">
        <is>
          <t>0-4005</t>
        </is>
      </c>
      <c r="K3176" t="inlineStr">
        <is>
          <t>PR P2COST 000284 (PR) Summary</t>
        </is>
      </c>
      <c r="L3176" t="n">
        <v>0</v>
      </c>
      <c r="M3176" t="n">
        <v>0</v>
      </c>
      <c r="Q3176" s="114" t="n">
        <v>0</v>
      </c>
      <c r="R3176" s="114" t="n">
        <v>418.93</v>
      </c>
      <c r="S3176" s="114" t="n">
        <v>0</v>
      </c>
      <c r="T3176" t="n">
        <v>4</v>
      </c>
    </row>
    <row r="3177">
      <c r="A3177" t="inlineStr">
        <is>
          <t>ttJTrans</t>
        </is>
      </c>
      <c r="B3177" s="38" t="inlineStr">
        <is>
          <t>0-4005</t>
        </is>
      </c>
      <c r="C3177" t="inlineStr">
        <is>
          <t>LA</t>
        </is>
      </c>
      <c r="E3177" t="inlineStr">
        <is>
          <t>LA</t>
        </is>
      </c>
      <c r="G3177" s="128" t="inlineStr"/>
      <c r="H3177" s="127" t="n">
        <v>46083</v>
      </c>
      <c r="J3177" s="38" t="inlineStr">
        <is>
          <t>0-4005</t>
        </is>
      </c>
      <c r="K3177" t="inlineStr">
        <is>
          <t>PR P2COST 000286 (PR) Summary</t>
        </is>
      </c>
      <c r="L3177" t="n">
        <v>0</v>
      </c>
      <c r="M3177" t="n">
        <v>0</v>
      </c>
      <c r="Q3177" s="114" t="n">
        <v>0</v>
      </c>
      <c r="R3177" s="114" t="n">
        <v>96.79000000000001</v>
      </c>
      <c r="S3177" s="114" t="n">
        <v>0</v>
      </c>
      <c r="T3177" t="n">
        <v>1</v>
      </c>
    </row>
    <row r="3178">
      <c r="A3178" t="inlineStr">
        <is>
          <t>ttJTrans</t>
        </is>
      </c>
      <c r="B3178" s="38" t="inlineStr">
        <is>
          <t>0-4005</t>
        </is>
      </c>
      <c r="C3178" t="inlineStr">
        <is>
          <t>LA</t>
        </is>
      </c>
      <c r="E3178" t="inlineStr">
        <is>
          <t>LA</t>
        </is>
      </c>
      <c r="G3178" s="128" t="inlineStr"/>
      <c r="H3178" s="127" t="n">
        <v>46083</v>
      </c>
      <c r="J3178" s="38" t="inlineStr">
        <is>
          <t>0-4005</t>
        </is>
      </c>
      <c r="K3178" t="inlineStr">
        <is>
          <t>PR P2COST 000286 (PR) Summary</t>
        </is>
      </c>
      <c r="L3178" t="n">
        <v>0</v>
      </c>
      <c r="M3178" t="n">
        <v>0</v>
      </c>
      <c r="Q3178" s="114" t="n">
        <v>0</v>
      </c>
      <c r="R3178" s="114" t="n">
        <v>96.79000000000001</v>
      </c>
      <c r="S3178" s="114" t="n">
        <v>0</v>
      </c>
      <c r="T3178" t="n">
        <v>1</v>
      </c>
    </row>
    <row r="3179">
      <c r="A3179" t="inlineStr">
        <is>
          <t>ttJTrans</t>
        </is>
      </c>
      <c r="B3179" s="38" t="inlineStr">
        <is>
          <t>0-4005</t>
        </is>
      </c>
      <c r="C3179" t="inlineStr">
        <is>
          <t>LA</t>
        </is>
      </c>
      <c r="E3179" t="inlineStr">
        <is>
          <t>LA</t>
        </is>
      </c>
      <c r="G3179" s="128" t="inlineStr"/>
      <c r="H3179" s="127" t="n">
        <v>46083</v>
      </c>
      <c r="J3179" s="38" t="inlineStr">
        <is>
          <t>0-4005</t>
        </is>
      </c>
      <c r="K3179" t="inlineStr">
        <is>
          <t>PR P2COST 000286 (PR) Summary</t>
        </is>
      </c>
      <c r="L3179" t="n">
        <v>0</v>
      </c>
      <c r="M3179" t="n">
        <v>0</v>
      </c>
      <c r="Q3179" s="114" t="n">
        <v>0</v>
      </c>
      <c r="R3179" s="114" t="n">
        <v>387.11</v>
      </c>
      <c r="S3179" s="114" t="n">
        <v>0</v>
      </c>
      <c r="T3179" t="n">
        <v>4</v>
      </c>
    </row>
    <row r="3180">
      <c r="A3180" t="inlineStr">
        <is>
          <t>ttJTrans</t>
        </is>
      </c>
      <c r="B3180" s="38" t="inlineStr">
        <is>
          <t>0-4005</t>
        </is>
      </c>
      <c r="C3180" t="inlineStr">
        <is>
          <t>LA</t>
        </is>
      </c>
      <c r="E3180" t="inlineStr">
        <is>
          <t>LA</t>
        </is>
      </c>
      <c r="G3180" s="128" t="inlineStr"/>
      <c r="H3180" s="127" t="n">
        <v>46083</v>
      </c>
      <c r="J3180" s="38" t="inlineStr">
        <is>
          <t>0-4005</t>
        </is>
      </c>
      <c r="K3180" t="inlineStr">
        <is>
          <t>PR P2COST 000286 (PR) Summary</t>
        </is>
      </c>
      <c r="L3180" t="n">
        <v>0</v>
      </c>
      <c r="M3180" t="n">
        <v>0</v>
      </c>
      <c r="Q3180" s="114" t="n">
        <v>0</v>
      </c>
      <c r="R3180" s="114" t="n">
        <v>96.79000000000001</v>
      </c>
      <c r="S3180" s="114" t="n">
        <v>0</v>
      </c>
      <c r="T3180" t="n">
        <v>1</v>
      </c>
    </row>
    <row r="3181">
      <c r="A3181" t="inlineStr">
        <is>
          <t>ttJTrans</t>
        </is>
      </c>
      <c r="B3181" s="38" t="inlineStr">
        <is>
          <t>0-4005</t>
        </is>
      </c>
      <c r="C3181" t="inlineStr">
        <is>
          <t>LA</t>
        </is>
      </c>
      <c r="E3181" t="inlineStr">
        <is>
          <t>LA</t>
        </is>
      </c>
      <c r="G3181" s="128" t="inlineStr"/>
      <c r="H3181" s="127" t="n">
        <v>46083</v>
      </c>
      <c r="J3181" s="38" t="inlineStr">
        <is>
          <t>0-4005</t>
        </is>
      </c>
      <c r="K3181" t="inlineStr">
        <is>
          <t>PR P2COST 000286 (PR) Summary</t>
        </is>
      </c>
      <c r="L3181" t="n">
        <v>0</v>
      </c>
      <c r="M3181" t="n">
        <v>0</v>
      </c>
      <c r="Q3181" s="114" t="n">
        <v>0</v>
      </c>
      <c r="R3181" s="114" t="n">
        <v>483.9</v>
      </c>
      <c r="S3181" s="114" t="n">
        <v>0</v>
      </c>
      <c r="T3181" t="n">
        <v>5</v>
      </c>
    </row>
    <row r="3182">
      <c r="A3182" t="inlineStr">
        <is>
          <t>ttJTrans</t>
        </is>
      </c>
      <c r="B3182" s="38" t="inlineStr">
        <is>
          <t>0-4005</t>
        </is>
      </c>
      <c r="C3182" t="inlineStr">
        <is>
          <t>LA</t>
        </is>
      </c>
      <c r="E3182" t="inlineStr">
        <is>
          <t>LA</t>
        </is>
      </c>
      <c r="G3182" s="128" t="inlineStr"/>
      <c r="H3182" s="127" t="n">
        <v>46083</v>
      </c>
      <c r="J3182" s="38" t="inlineStr">
        <is>
          <t>0-4005</t>
        </is>
      </c>
      <c r="K3182" t="inlineStr">
        <is>
          <t>PR P2COST 000286 (PR) Summary</t>
        </is>
      </c>
      <c r="L3182" t="n">
        <v>0</v>
      </c>
      <c r="M3182" t="n">
        <v>0</v>
      </c>
      <c r="Q3182" s="114" t="n">
        <v>0</v>
      </c>
      <c r="R3182" s="114" t="n">
        <v>483.9</v>
      </c>
      <c r="S3182" s="114" t="n">
        <v>0</v>
      </c>
      <c r="T3182" t="n">
        <v>5</v>
      </c>
    </row>
    <row r="3183">
      <c r="A3183" t="inlineStr">
        <is>
          <t>ttJTrans</t>
        </is>
      </c>
      <c r="B3183" s="38" t="inlineStr">
        <is>
          <t>0-4005</t>
        </is>
      </c>
      <c r="C3183" t="inlineStr">
        <is>
          <t>LA</t>
        </is>
      </c>
      <c r="E3183" t="inlineStr">
        <is>
          <t>LA</t>
        </is>
      </c>
      <c r="G3183" s="128" t="inlineStr"/>
      <c r="H3183" s="127" t="n">
        <v>46083</v>
      </c>
      <c r="J3183" s="38" t="inlineStr">
        <is>
          <t>0-4005</t>
        </is>
      </c>
      <c r="K3183" t="inlineStr">
        <is>
          <t>PR P2COST 000286 (PR) Summary</t>
        </is>
      </c>
      <c r="L3183" t="n">
        <v>0</v>
      </c>
      <c r="M3183" t="n">
        <v>0</v>
      </c>
      <c r="Q3183" s="114" t="n">
        <v>0</v>
      </c>
      <c r="R3183" s="114" t="n">
        <v>193.55</v>
      </c>
      <c r="S3183" s="114" t="n">
        <v>0</v>
      </c>
      <c r="T3183" t="n">
        <v>2</v>
      </c>
    </row>
    <row r="3184">
      <c r="A3184" t="inlineStr">
        <is>
          <t>ttJTrans</t>
        </is>
      </c>
      <c r="B3184" s="38" t="inlineStr">
        <is>
          <t>0-4005</t>
        </is>
      </c>
      <c r="C3184" t="inlineStr">
        <is>
          <t>LA</t>
        </is>
      </c>
      <c r="E3184" t="inlineStr">
        <is>
          <t>LA</t>
        </is>
      </c>
      <c r="G3184" s="128" t="inlineStr"/>
      <c r="H3184" s="127" t="n">
        <v>46083</v>
      </c>
      <c r="J3184" s="38" t="inlineStr">
        <is>
          <t>0-4005</t>
        </is>
      </c>
      <c r="K3184" t="inlineStr">
        <is>
          <t>PR P2COST 000286 (PR) Summary</t>
        </is>
      </c>
      <c r="L3184" t="n">
        <v>0</v>
      </c>
      <c r="M3184" t="n">
        <v>0</v>
      </c>
      <c r="Q3184" s="114" t="n">
        <v>0</v>
      </c>
      <c r="R3184" s="114" t="n">
        <v>193.55</v>
      </c>
      <c r="S3184" s="114" t="n">
        <v>0</v>
      </c>
      <c r="T3184" t="n">
        <v>2</v>
      </c>
    </row>
    <row r="3185">
      <c r="A3185" t="inlineStr">
        <is>
          <t>ttJTrans</t>
        </is>
      </c>
      <c r="B3185" s="38" t="inlineStr">
        <is>
          <t>0-4005</t>
        </is>
      </c>
      <c r="C3185" t="inlineStr">
        <is>
          <t>LA</t>
        </is>
      </c>
      <c r="E3185" t="inlineStr">
        <is>
          <t>LA</t>
        </is>
      </c>
      <c r="G3185" s="128" t="inlineStr"/>
      <c r="H3185" s="127" t="n">
        <v>46097</v>
      </c>
      <c r="J3185" s="38" t="inlineStr">
        <is>
          <t>0-4005</t>
        </is>
      </c>
      <c r="K3185" t="inlineStr">
        <is>
          <t>PR P2COST 000287 (PR) Summary</t>
        </is>
      </c>
      <c r="L3185" t="n">
        <v>0</v>
      </c>
      <c r="M3185" t="n">
        <v>0</v>
      </c>
      <c r="Q3185" s="114" t="n">
        <v>0</v>
      </c>
      <c r="R3185" s="114" t="n">
        <v>381.26</v>
      </c>
      <c r="S3185" s="114" t="n">
        <v>0</v>
      </c>
      <c r="T3185" t="n">
        <v>4</v>
      </c>
    </row>
    <row r="3186">
      <c r="A3186" t="inlineStr">
        <is>
          <t>ttJTrans</t>
        </is>
      </c>
      <c r="B3186" s="38" t="inlineStr">
        <is>
          <t>0-4005</t>
        </is>
      </c>
      <c r="C3186" t="inlineStr">
        <is>
          <t>LA</t>
        </is>
      </c>
      <c r="E3186" t="inlineStr">
        <is>
          <t>LA</t>
        </is>
      </c>
      <c r="G3186" s="128" t="inlineStr"/>
      <c r="H3186" s="127" t="n">
        <v>46097</v>
      </c>
      <c r="J3186" s="38" t="inlineStr">
        <is>
          <t>0-4005</t>
        </is>
      </c>
      <c r="K3186" t="inlineStr">
        <is>
          <t>PR P2COST 000287 (PR) Summary</t>
        </is>
      </c>
      <c r="L3186" t="n">
        <v>0</v>
      </c>
      <c r="M3186" t="n">
        <v>0</v>
      </c>
      <c r="Q3186" s="114" t="n">
        <v>0</v>
      </c>
      <c r="R3186" s="114" t="n">
        <v>190.63</v>
      </c>
      <c r="S3186" s="114" t="n">
        <v>0</v>
      </c>
      <c r="T3186" t="n">
        <v>2</v>
      </c>
    </row>
    <row r="3187">
      <c r="A3187" t="inlineStr">
        <is>
          <t>ttJTrans</t>
        </is>
      </c>
      <c r="B3187" s="38" t="inlineStr">
        <is>
          <t>0-4005</t>
        </is>
      </c>
      <c r="C3187" t="inlineStr">
        <is>
          <t>LA</t>
        </is>
      </c>
      <c r="E3187" t="inlineStr">
        <is>
          <t>LA</t>
        </is>
      </c>
      <c r="G3187" s="128" t="inlineStr"/>
      <c r="H3187" s="127" t="n">
        <v>46097</v>
      </c>
      <c r="J3187" s="38" t="inlineStr">
        <is>
          <t>0-4005</t>
        </is>
      </c>
      <c r="K3187" t="inlineStr">
        <is>
          <t>PR P2COST 000287 (PR) Summary</t>
        </is>
      </c>
      <c r="L3187" t="n">
        <v>0</v>
      </c>
      <c r="M3187" t="n">
        <v>0</v>
      </c>
      <c r="Q3187" s="114" t="n">
        <v>0</v>
      </c>
      <c r="R3187" s="114" t="n">
        <v>381.26</v>
      </c>
      <c r="S3187" s="114" t="n">
        <v>0</v>
      </c>
      <c r="T3187" t="n">
        <v>4</v>
      </c>
    </row>
    <row r="3188">
      <c r="A3188" t="inlineStr">
        <is>
          <t>ttJTrans</t>
        </is>
      </c>
      <c r="B3188" s="38" t="inlineStr">
        <is>
          <t>0-4005</t>
        </is>
      </c>
      <c r="C3188" t="inlineStr">
        <is>
          <t>LA</t>
        </is>
      </c>
      <c r="E3188" t="inlineStr">
        <is>
          <t>LA</t>
        </is>
      </c>
      <c r="G3188" s="128" t="inlineStr"/>
      <c r="H3188" s="127" t="n">
        <v>46097</v>
      </c>
      <c r="J3188" s="38" t="inlineStr">
        <is>
          <t>0-4005</t>
        </is>
      </c>
      <c r="K3188" t="inlineStr">
        <is>
          <t>PR P2COST 000287 (PR) Summary</t>
        </is>
      </c>
      <c r="L3188" t="n">
        <v>0</v>
      </c>
      <c r="M3188" t="n">
        <v>0</v>
      </c>
      <c r="Q3188" s="114" t="n">
        <v>0</v>
      </c>
      <c r="R3188" s="114" t="n">
        <v>95.31999999999999</v>
      </c>
      <c r="S3188" s="114" t="n">
        <v>0</v>
      </c>
      <c r="T3188" t="n">
        <v>1</v>
      </c>
    </row>
    <row r="3189">
      <c r="A3189" t="inlineStr">
        <is>
          <t>ttJTrans</t>
        </is>
      </c>
      <c r="B3189" s="38" t="inlineStr">
        <is>
          <t>0-4005</t>
        </is>
      </c>
      <c r="C3189" t="inlineStr">
        <is>
          <t>LA</t>
        </is>
      </c>
      <c r="E3189" t="inlineStr">
        <is>
          <t>LA</t>
        </is>
      </c>
      <c r="G3189" s="128" t="inlineStr"/>
      <c r="H3189" s="127" t="n">
        <v>46097</v>
      </c>
      <c r="J3189" s="38" t="inlineStr">
        <is>
          <t>0-4005</t>
        </is>
      </c>
      <c r="K3189" t="inlineStr">
        <is>
          <t>PR P2COST 000287 (PR) Summary</t>
        </is>
      </c>
      <c r="L3189" t="n">
        <v>0</v>
      </c>
      <c r="M3189" t="n">
        <v>0</v>
      </c>
      <c r="Q3189" s="114" t="n">
        <v>0</v>
      </c>
      <c r="R3189" s="114" t="n">
        <v>95.31999999999999</v>
      </c>
      <c r="S3189" s="114" t="n">
        <v>0</v>
      </c>
      <c r="T3189" t="n">
        <v>1</v>
      </c>
    </row>
    <row r="3190">
      <c r="A3190" t="inlineStr">
        <is>
          <t>ttJTrans</t>
        </is>
      </c>
      <c r="B3190" s="38" t="inlineStr">
        <is>
          <t>0-4005</t>
        </is>
      </c>
      <c r="C3190" t="inlineStr">
        <is>
          <t>LA</t>
        </is>
      </c>
      <c r="E3190" t="inlineStr">
        <is>
          <t>LA</t>
        </is>
      </c>
      <c r="G3190" s="128" t="inlineStr"/>
      <c r="H3190" s="127" t="n">
        <v>46097</v>
      </c>
      <c r="J3190" s="38" t="inlineStr">
        <is>
          <t>0-4005</t>
        </is>
      </c>
      <c r="K3190" t="inlineStr">
        <is>
          <t>PR P2COST 000287 (PR) Summary</t>
        </is>
      </c>
      <c r="L3190" t="n">
        <v>0</v>
      </c>
      <c r="M3190" t="n">
        <v>0</v>
      </c>
      <c r="Q3190" s="114" t="n">
        <v>0</v>
      </c>
      <c r="R3190" s="114" t="n">
        <v>95.31999999999999</v>
      </c>
      <c r="S3190" s="114" t="n">
        <v>0</v>
      </c>
      <c r="T3190" t="n">
        <v>1</v>
      </c>
    </row>
    <row r="3191">
      <c r="A3191" t="inlineStr">
        <is>
          <t>ttJTrans</t>
        </is>
      </c>
      <c r="B3191" s="38" t="inlineStr">
        <is>
          <t>0-4005</t>
        </is>
      </c>
      <c r="C3191" t="inlineStr">
        <is>
          <t>LA</t>
        </is>
      </c>
      <c r="E3191" t="inlineStr">
        <is>
          <t>LA</t>
        </is>
      </c>
      <c r="G3191" s="128" t="inlineStr"/>
      <c r="H3191" s="127" t="n">
        <v>46111</v>
      </c>
      <c r="J3191" s="38" t="inlineStr">
        <is>
          <t>0-4005</t>
        </is>
      </c>
      <c r="K3191" t="inlineStr">
        <is>
          <t>PR P2COST 000288 (PR) Summary</t>
        </is>
      </c>
      <c r="L3191" t="n">
        <v>0</v>
      </c>
      <c r="M3191" t="n">
        <v>0</v>
      </c>
      <c r="Q3191" s="114" t="n">
        <v>0</v>
      </c>
      <c r="R3191" s="114" t="n">
        <v>203.47</v>
      </c>
      <c r="S3191" s="114" t="n">
        <v>0</v>
      </c>
      <c r="T3191" t="n">
        <v>2</v>
      </c>
    </row>
    <row r="3192">
      <c r="A3192" t="inlineStr">
        <is>
          <t>ttJTrans</t>
        </is>
      </c>
      <c r="B3192" s="38" t="inlineStr">
        <is>
          <t>0-4005</t>
        </is>
      </c>
      <c r="C3192" t="inlineStr">
        <is>
          <t>LA</t>
        </is>
      </c>
      <c r="E3192" t="inlineStr">
        <is>
          <t>LA</t>
        </is>
      </c>
      <c r="G3192" s="128" t="inlineStr"/>
      <c r="H3192" s="127" t="n">
        <v>46111</v>
      </c>
      <c r="J3192" s="38" t="inlineStr">
        <is>
          <t>0-4005</t>
        </is>
      </c>
      <c r="K3192" t="inlineStr">
        <is>
          <t>PR P2COST 000288 (PR) Summary</t>
        </is>
      </c>
      <c r="L3192" t="n">
        <v>0</v>
      </c>
      <c r="M3192" t="n">
        <v>0</v>
      </c>
      <c r="Q3192" s="114" t="n">
        <v>0</v>
      </c>
      <c r="R3192" s="114" t="n">
        <v>406.91</v>
      </c>
      <c r="S3192" s="114" t="n">
        <v>0</v>
      </c>
      <c r="T3192" t="n">
        <v>4</v>
      </c>
    </row>
    <row r="3193">
      <c r="A3193" t="inlineStr">
        <is>
          <t>ttJTrans</t>
        </is>
      </c>
      <c r="B3193" s="38" t="inlineStr">
        <is>
          <t>0-4005</t>
        </is>
      </c>
      <c r="C3193" t="inlineStr">
        <is>
          <t>LA</t>
        </is>
      </c>
      <c r="E3193" t="inlineStr">
        <is>
          <t>LA</t>
        </is>
      </c>
      <c r="G3193" s="128" t="inlineStr"/>
      <c r="H3193" s="127" t="n">
        <v>46111</v>
      </c>
      <c r="J3193" s="38" t="inlineStr">
        <is>
          <t>0-4005</t>
        </is>
      </c>
      <c r="K3193" t="inlineStr">
        <is>
          <t>PR P2COST 000288 (PR) Summary</t>
        </is>
      </c>
      <c r="L3193" t="n">
        <v>0</v>
      </c>
      <c r="M3193" t="n">
        <v>0</v>
      </c>
      <c r="Q3193" s="114" t="n">
        <v>0</v>
      </c>
      <c r="R3193" s="114" t="n">
        <v>305.18</v>
      </c>
      <c r="S3193" s="114" t="n">
        <v>0</v>
      </c>
      <c r="T3193" t="n">
        <v>3</v>
      </c>
    </row>
    <row r="3194">
      <c r="A3194" t="inlineStr">
        <is>
          <t>ttJTrans</t>
        </is>
      </c>
      <c r="B3194" s="38" t="inlineStr">
        <is>
          <t>0-4005</t>
        </is>
      </c>
      <c r="C3194" t="inlineStr">
        <is>
          <t>LA</t>
        </is>
      </c>
      <c r="E3194" t="inlineStr">
        <is>
          <t>LA</t>
        </is>
      </c>
      <c r="G3194" s="128" t="inlineStr"/>
      <c r="H3194" s="127" t="n">
        <v>46111</v>
      </c>
      <c r="J3194" s="38" t="inlineStr">
        <is>
          <t>0-4005</t>
        </is>
      </c>
      <c r="K3194" t="inlineStr">
        <is>
          <t>PR P2COST 000288 (PR) Summary</t>
        </is>
      </c>
      <c r="L3194" t="n">
        <v>0</v>
      </c>
      <c r="M3194" t="n">
        <v>0</v>
      </c>
      <c r="Q3194" s="114" t="n">
        <v>0</v>
      </c>
      <c r="R3194" s="114" t="n">
        <v>203.47</v>
      </c>
      <c r="S3194" s="114" t="n">
        <v>0</v>
      </c>
      <c r="T3194" t="n">
        <v>2</v>
      </c>
    </row>
    <row r="3195">
      <c r="A3195" t="inlineStr">
        <is>
          <t>ttJTrans</t>
        </is>
      </c>
      <c r="B3195" s="38" t="inlineStr">
        <is>
          <t>0-4005</t>
        </is>
      </c>
      <c r="C3195" t="inlineStr">
        <is>
          <t>LA</t>
        </is>
      </c>
      <c r="E3195" t="inlineStr">
        <is>
          <t>LA</t>
        </is>
      </c>
      <c r="G3195" s="128" t="inlineStr"/>
      <c r="H3195" s="127" t="n">
        <v>46111</v>
      </c>
      <c r="J3195" s="38" t="inlineStr">
        <is>
          <t>0-4005</t>
        </is>
      </c>
      <c r="K3195" t="inlineStr">
        <is>
          <t>PR P2COST 000288 (PR) Summary</t>
        </is>
      </c>
      <c r="L3195" t="n">
        <v>0</v>
      </c>
      <c r="M3195" t="n">
        <v>0</v>
      </c>
      <c r="Q3195" s="114" t="n">
        <v>0</v>
      </c>
      <c r="R3195" s="114" t="n">
        <v>508.66</v>
      </c>
      <c r="S3195" s="114" t="n">
        <v>0</v>
      </c>
      <c r="T3195" t="n">
        <v>5</v>
      </c>
    </row>
    <row r="3196">
      <c r="A3196" t="inlineStr">
        <is>
          <t>ttJTrans</t>
        </is>
      </c>
      <c r="B3196" s="38" t="inlineStr">
        <is>
          <t>0-4005</t>
        </is>
      </c>
      <c r="C3196" t="inlineStr">
        <is>
          <t>LA</t>
        </is>
      </c>
      <c r="E3196" t="inlineStr">
        <is>
          <t>LA</t>
        </is>
      </c>
      <c r="G3196" s="128" t="inlineStr"/>
      <c r="H3196" s="127" t="n">
        <v>46111</v>
      </c>
      <c r="J3196" s="38" t="inlineStr">
        <is>
          <t>0-4005</t>
        </is>
      </c>
      <c r="K3196" t="inlineStr">
        <is>
          <t>PR P2COST 000288 (PR) Summary</t>
        </is>
      </c>
      <c r="L3196" t="n">
        <v>0</v>
      </c>
      <c r="M3196" t="n">
        <v>0</v>
      </c>
      <c r="Q3196" s="114" t="n">
        <v>0</v>
      </c>
      <c r="R3196" s="114" t="n">
        <v>305.16</v>
      </c>
      <c r="S3196" s="114" t="n">
        <v>0</v>
      </c>
      <c r="T3196" t="n">
        <v>3</v>
      </c>
    </row>
    <row r="3197">
      <c r="A3197" t="inlineStr">
        <is>
          <t>ttJTrans</t>
        </is>
      </c>
      <c r="B3197" s="38" t="inlineStr">
        <is>
          <t>0-4005</t>
        </is>
      </c>
      <c r="C3197" t="inlineStr">
        <is>
          <t>LA</t>
        </is>
      </c>
      <c r="E3197" t="inlineStr">
        <is>
          <t>LA</t>
        </is>
      </c>
      <c r="G3197" s="128" t="inlineStr"/>
      <c r="H3197" s="127" t="n">
        <v>46111</v>
      </c>
      <c r="J3197" s="38" t="inlineStr">
        <is>
          <t>0-4005</t>
        </is>
      </c>
      <c r="K3197" t="inlineStr">
        <is>
          <t>PR P2COST 000288 (PR) Summary</t>
        </is>
      </c>
      <c r="L3197" t="n">
        <v>0</v>
      </c>
      <c r="M3197" t="n">
        <v>0</v>
      </c>
      <c r="Q3197" s="114" t="n">
        <v>0</v>
      </c>
      <c r="R3197" s="114" t="n">
        <v>305.18</v>
      </c>
      <c r="S3197" s="114" t="n">
        <v>0</v>
      </c>
      <c r="T3197" t="n">
        <v>3</v>
      </c>
    </row>
    <row r="3198">
      <c r="A3198" t="inlineStr">
        <is>
          <t>ttJTrans</t>
        </is>
      </c>
      <c r="B3198" s="38" t="inlineStr">
        <is>
          <t>0-4005</t>
        </is>
      </c>
      <c r="C3198" t="inlineStr">
        <is>
          <t>LA</t>
        </is>
      </c>
      <c r="E3198" t="inlineStr">
        <is>
          <t>LA</t>
        </is>
      </c>
      <c r="G3198" s="128" t="inlineStr"/>
      <c r="H3198" s="127" t="n">
        <v>46111</v>
      </c>
      <c r="J3198" s="38" t="inlineStr">
        <is>
          <t>0-4005</t>
        </is>
      </c>
      <c r="K3198" t="inlineStr">
        <is>
          <t>PR P2COST 000288 (PR) Summary</t>
        </is>
      </c>
      <c r="L3198" t="n">
        <v>0</v>
      </c>
      <c r="M3198" t="n">
        <v>0</v>
      </c>
      <c r="Q3198" s="114" t="n">
        <v>0</v>
      </c>
      <c r="R3198" s="114" t="n">
        <v>203.47</v>
      </c>
      <c r="S3198" s="114" t="n">
        <v>0</v>
      </c>
      <c r="T3198" t="n">
        <v>2</v>
      </c>
    </row>
    <row r="3199">
      <c r="A3199" t="inlineStr">
        <is>
          <t>ttJTrans</t>
        </is>
      </c>
      <c r="B3199" s="38" t="inlineStr">
        <is>
          <t>0-4005</t>
        </is>
      </c>
      <c r="C3199" t="inlineStr">
        <is>
          <t>LA</t>
        </is>
      </c>
      <c r="E3199" t="inlineStr">
        <is>
          <t>LA</t>
        </is>
      </c>
      <c r="G3199" s="128" t="inlineStr"/>
      <c r="H3199" s="127" t="n">
        <v>46111</v>
      </c>
      <c r="J3199" s="38" t="inlineStr">
        <is>
          <t>0-4005</t>
        </is>
      </c>
      <c r="K3199" t="inlineStr">
        <is>
          <t>PR P2COST 000288 (PR) Summary</t>
        </is>
      </c>
      <c r="L3199" t="n">
        <v>0</v>
      </c>
      <c r="M3199" t="n">
        <v>0</v>
      </c>
      <c r="Q3199" s="114" t="n">
        <v>0</v>
      </c>
      <c r="R3199" s="114" t="n">
        <v>101.73</v>
      </c>
      <c r="S3199" s="114" t="n">
        <v>0</v>
      </c>
      <c r="T3199" t="n">
        <v>1</v>
      </c>
    </row>
    <row r="3200">
      <c r="A3200" t="inlineStr">
        <is>
          <t>ttJTrans</t>
        </is>
      </c>
      <c r="B3200" s="38" t="inlineStr">
        <is>
          <t>0-4005</t>
        </is>
      </c>
      <c r="C3200" t="inlineStr">
        <is>
          <t>LA</t>
        </is>
      </c>
      <c r="E3200" t="inlineStr">
        <is>
          <t>LA</t>
        </is>
      </c>
      <c r="G3200" s="128" t="inlineStr"/>
      <c r="H3200" s="127" t="n">
        <v>46111</v>
      </c>
      <c r="J3200" s="38" t="inlineStr">
        <is>
          <t>0-4005</t>
        </is>
      </c>
      <c r="K3200" t="inlineStr">
        <is>
          <t>PR P2COST 000288 (PR) Summary</t>
        </is>
      </c>
      <c r="L3200" t="n">
        <v>0</v>
      </c>
      <c r="M3200" t="n">
        <v>0</v>
      </c>
      <c r="Q3200" s="114" t="n">
        <v>0</v>
      </c>
      <c r="R3200" s="114" t="n">
        <v>406.91</v>
      </c>
      <c r="S3200" s="114" t="n">
        <v>0</v>
      </c>
      <c r="T3200" t="n">
        <v>4</v>
      </c>
    </row>
    <row r="3201">
      <c r="A3201" t="inlineStr">
        <is>
          <t>ttJTrans</t>
        </is>
      </c>
      <c r="B3201" s="38" t="inlineStr">
        <is>
          <t>0-4005</t>
        </is>
      </c>
      <c r="C3201" t="inlineStr">
        <is>
          <t>LA</t>
        </is>
      </c>
      <c r="E3201" t="inlineStr">
        <is>
          <t>LA</t>
        </is>
      </c>
      <c r="G3201" s="128" t="inlineStr"/>
      <c r="H3201" s="127" t="n">
        <v>46126</v>
      </c>
      <c r="J3201" s="38" t="inlineStr">
        <is>
          <t>0-4005</t>
        </is>
      </c>
      <c r="K3201" t="inlineStr">
        <is>
          <t>PR P2COST 000289 (PR) Summary</t>
        </is>
      </c>
      <c r="L3201" t="n">
        <v>0</v>
      </c>
      <c r="M3201" t="n">
        <v>0</v>
      </c>
      <c r="Q3201" s="114" t="n">
        <v>0</v>
      </c>
      <c r="R3201" s="114" t="n">
        <v>388.62</v>
      </c>
      <c r="S3201" s="114" t="n">
        <v>0</v>
      </c>
      <c r="T3201" t="n">
        <v>4</v>
      </c>
    </row>
    <row r="3202">
      <c r="A3202" t="inlineStr">
        <is>
          <t>ttJTrans</t>
        </is>
      </c>
      <c r="B3202" s="38" t="inlineStr">
        <is>
          <t>0-4005</t>
        </is>
      </c>
      <c r="C3202" t="inlineStr">
        <is>
          <t>LA</t>
        </is>
      </c>
      <c r="E3202" t="inlineStr">
        <is>
          <t>LA</t>
        </is>
      </c>
      <c r="G3202" s="128" t="inlineStr"/>
      <c r="H3202" s="127" t="n">
        <v>46126</v>
      </c>
      <c r="J3202" s="38" t="inlineStr">
        <is>
          <t>0-4005</t>
        </is>
      </c>
      <c r="K3202" t="inlineStr">
        <is>
          <t>PR P2COST 000289 (PR) Summary</t>
        </is>
      </c>
      <c r="L3202" t="n">
        <v>0</v>
      </c>
      <c r="M3202" t="n">
        <v>0</v>
      </c>
      <c r="Q3202" s="114" t="n">
        <v>0</v>
      </c>
      <c r="R3202" s="114" t="n">
        <v>194.31</v>
      </c>
      <c r="S3202" s="114" t="n">
        <v>0</v>
      </c>
      <c r="T3202" t="n">
        <v>2</v>
      </c>
    </row>
    <row r="3203">
      <c r="A3203" t="inlineStr">
        <is>
          <t>ttJTrans</t>
        </is>
      </c>
      <c r="B3203" s="38" t="inlineStr">
        <is>
          <t>0-4005</t>
        </is>
      </c>
      <c r="C3203" t="inlineStr">
        <is>
          <t>LA</t>
        </is>
      </c>
      <c r="E3203" t="inlineStr">
        <is>
          <t>LA</t>
        </is>
      </c>
      <c r="G3203" s="128" t="inlineStr"/>
      <c r="H3203" s="127" t="n">
        <v>46126</v>
      </c>
      <c r="J3203" s="38" t="inlineStr">
        <is>
          <t>0-4005</t>
        </is>
      </c>
      <c r="K3203" t="inlineStr">
        <is>
          <t>PR P2COST 000289 (PR) Summary</t>
        </is>
      </c>
      <c r="L3203" t="n">
        <v>0</v>
      </c>
      <c r="M3203" t="n">
        <v>0</v>
      </c>
      <c r="Q3203" s="114" t="n">
        <v>0</v>
      </c>
      <c r="R3203" s="114" t="n">
        <v>194.31</v>
      </c>
      <c r="S3203" s="114" t="n">
        <v>0</v>
      </c>
      <c r="T3203" t="n">
        <v>2</v>
      </c>
    </row>
    <row r="3204">
      <c r="A3204" t="inlineStr">
        <is>
          <t>ttJTrans</t>
        </is>
      </c>
      <c r="B3204" s="38" t="inlineStr">
        <is>
          <t>0-4005</t>
        </is>
      </c>
      <c r="C3204" t="inlineStr">
        <is>
          <t>LA</t>
        </is>
      </c>
      <c r="E3204" t="inlineStr">
        <is>
          <t>LA</t>
        </is>
      </c>
      <c r="G3204" s="128" t="inlineStr"/>
      <c r="H3204" s="127" t="n">
        <v>46126</v>
      </c>
      <c r="J3204" s="38" t="inlineStr">
        <is>
          <t>0-4005</t>
        </is>
      </c>
      <c r="K3204" t="inlineStr">
        <is>
          <t>PR P2COST 000289 (PR) Summary</t>
        </is>
      </c>
      <c r="L3204" t="n">
        <v>0</v>
      </c>
      <c r="M3204" t="n">
        <v>0</v>
      </c>
      <c r="Q3204" s="114" t="n">
        <v>0</v>
      </c>
      <c r="R3204" s="114" t="n">
        <v>485.79</v>
      </c>
      <c r="S3204" s="114" t="n">
        <v>0</v>
      </c>
      <c r="T3204" t="n">
        <v>5</v>
      </c>
    </row>
    <row r="3205">
      <c r="A3205" t="inlineStr">
        <is>
          <t>ttJTrans</t>
        </is>
      </c>
      <c r="B3205" s="38" t="inlineStr">
        <is>
          <t>0-4005</t>
        </is>
      </c>
      <c r="C3205" t="inlineStr">
        <is>
          <t>LA</t>
        </is>
      </c>
      <c r="E3205" t="inlineStr">
        <is>
          <t>LA</t>
        </is>
      </c>
      <c r="G3205" s="128" t="inlineStr"/>
      <c r="H3205" s="127" t="n">
        <v>46126</v>
      </c>
      <c r="J3205" s="38" t="inlineStr">
        <is>
          <t>0-4005</t>
        </is>
      </c>
      <c r="K3205" t="inlineStr">
        <is>
          <t>PR P2COST 000289 (PR) Summary</t>
        </is>
      </c>
      <c r="L3205" t="n">
        <v>0</v>
      </c>
      <c r="M3205" t="n">
        <v>0</v>
      </c>
      <c r="Q3205" s="114" t="n">
        <v>0</v>
      </c>
      <c r="R3205" s="114" t="n">
        <v>485.79</v>
      </c>
      <c r="S3205" s="114" t="n">
        <v>0</v>
      </c>
      <c r="T3205" t="n">
        <v>5</v>
      </c>
    </row>
    <row r="3206">
      <c r="A3206" t="inlineStr">
        <is>
          <t>ttJTrans</t>
        </is>
      </c>
      <c r="B3206" s="38" t="inlineStr">
        <is>
          <t>0-4005</t>
        </is>
      </c>
      <c r="C3206" t="inlineStr">
        <is>
          <t>LA</t>
        </is>
      </c>
      <c r="E3206" t="inlineStr">
        <is>
          <t>LA</t>
        </is>
      </c>
      <c r="G3206" s="128" t="inlineStr"/>
      <c r="H3206" s="127" t="n">
        <v>46126</v>
      </c>
      <c r="J3206" s="38" t="inlineStr">
        <is>
          <t>0-4005</t>
        </is>
      </c>
      <c r="K3206" t="inlineStr">
        <is>
          <t>PR P2COST 000289 (PR) Summary</t>
        </is>
      </c>
      <c r="L3206" t="n">
        <v>0</v>
      </c>
      <c r="M3206" t="n">
        <v>0</v>
      </c>
      <c r="Q3206" s="114" t="n">
        <v>0</v>
      </c>
      <c r="R3206" s="114" t="n">
        <v>194.31</v>
      </c>
      <c r="S3206" s="114" t="n">
        <v>0</v>
      </c>
      <c r="T3206" t="n">
        <v>2</v>
      </c>
    </row>
    <row r="3207">
      <c r="A3207" t="inlineStr">
        <is>
          <t>ttJTrans</t>
        </is>
      </c>
      <c r="B3207" s="38" t="inlineStr">
        <is>
          <t>0-4005</t>
        </is>
      </c>
      <c r="C3207" t="inlineStr">
        <is>
          <t>LA</t>
        </is>
      </c>
      <c r="E3207" t="inlineStr">
        <is>
          <t>LA</t>
        </is>
      </c>
      <c r="G3207" s="128" t="inlineStr"/>
      <c r="H3207" s="127" t="n">
        <v>46139</v>
      </c>
      <c r="J3207" s="38" t="inlineStr">
        <is>
          <t>0-4005</t>
        </is>
      </c>
      <c r="K3207" t="inlineStr">
        <is>
          <t>PR P2COST 000290 (PR) Summary</t>
        </is>
      </c>
      <c r="L3207" t="n">
        <v>0</v>
      </c>
      <c r="M3207" t="n">
        <v>0</v>
      </c>
      <c r="Q3207" s="114" t="n">
        <v>0</v>
      </c>
      <c r="R3207" s="114" t="n">
        <v>193.06</v>
      </c>
      <c r="S3207" s="114" t="n">
        <v>0</v>
      </c>
      <c r="T3207" t="n">
        <v>2</v>
      </c>
    </row>
    <row r="3208">
      <c r="A3208" t="inlineStr">
        <is>
          <t>ttJTrans</t>
        </is>
      </c>
      <c r="B3208" s="38" t="inlineStr">
        <is>
          <t>0-4005</t>
        </is>
      </c>
      <c r="C3208" t="inlineStr">
        <is>
          <t>LA</t>
        </is>
      </c>
      <c r="E3208" t="inlineStr">
        <is>
          <t>LA</t>
        </is>
      </c>
      <c r="G3208" s="128" t="inlineStr"/>
      <c r="H3208" s="127" t="n">
        <v>46139</v>
      </c>
      <c r="J3208" s="38" t="inlineStr">
        <is>
          <t>0-4005</t>
        </is>
      </c>
      <c r="K3208" t="inlineStr">
        <is>
          <t>PR P2COST 000290 (PR) Summary</t>
        </is>
      </c>
      <c r="L3208" t="n">
        <v>0</v>
      </c>
      <c r="M3208" t="n">
        <v>0</v>
      </c>
      <c r="Q3208" s="114" t="n">
        <v>0</v>
      </c>
      <c r="R3208" s="114" t="n">
        <v>193.07</v>
      </c>
      <c r="S3208" s="114" t="n">
        <v>0</v>
      </c>
      <c r="T3208" t="n">
        <v>2</v>
      </c>
    </row>
    <row r="3209">
      <c r="A3209" t="inlineStr">
        <is>
          <t>ttJTrans</t>
        </is>
      </c>
      <c r="B3209" s="38" t="inlineStr">
        <is>
          <t>0-4005</t>
        </is>
      </c>
      <c r="C3209" t="inlineStr">
        <is>
          <t>LA</t>
        </is>
      </c>
      <c r="E3209" t="inlineStr">
        <is>
          <t>LA</t>
        </is>
      </c>
      <c r="G3209" s="128" t="inlineStr"/>
      <c r="H3209" s="127" t="n">
        <v>46139</v>
      </c>
      <c r="J3209" s="38" t="inlineStr">
        <is>
          <t>0-4005</t>
        </is>
      </c>
      <c r="K3209" t="inlineStr">
        <is>
          <t>PR P2COST 000290 (PR) Summary</t>
        </is>
      </c>
      <c r="L3209" t="n">
        <v>0</v>
      </c>
      <c r="M3209" t="n">
        <v>0</v>
      </c>
      <c r="Q3209" s="114" t="n">
        <v>0</v>
      </c>
      <c r="R3209" s="114" t="n">
        <v>193.06</v>
      </c>
      <c r="S3209" s="114" t="n">
        <v>0</v>
      </c>
      <c r="T3209" t="n">
        <v>2</v>
      </c>
    </row>
    <row r="3210">
      <c r="A3210" t="inlineStr">
        <is>
          <t>ttJTrans</t>
        </is>
      </c>
      <c r="B3210" s="38" t="inlineStr">
        <is>
          <t>0-4005</t>
        </is>
      </c>
      <c r="C3210" t="inlineStr">
        <is>
          <t>LA</t>
        </is>
      </c>
      <c r="E3210" t="inlineStr">
        <is>
          <t>LA</t>
        </is>
      </c>
      <c r="G3210" s="128" t="inlineStr"/>
      <c r="H3210" s="127" t="n">
        <v>46139</v>
      </c>
      <c r="J3210" s="38" t="inlineStr">
        <is>
          <t>0-4005</t>
        </is>
      </c>
      <c r="K3210" t="inlineStr">
        <is>
          <t>PR P2COST 000290 (PR) Summary</t>
        </is>
      </c>
      <c r="L3210" t="n">
        <v>0</v>
      </c>
      <c r="M3210" t="n">
        <v>0</v>
      </c>
      <c r="Q3210" s="114" t="n">
        <v>0</v>
      </c>
      <c r="R3210" s="114" t="n">
        <v>193.06</v>
      </c>
      <c r="S3210" s="114" t="n">
        <v>0</v>
      </c>
      <c r="T3210" t="n">
        <v>2</v>
      </c>
    </row>
    <row r="3211">
      <c r="A3211" t="inlineStr">
        <is>
          <t>ttJTrans</t>
        </is>
      </c>
      <c r="B3211" s="38" t="inlineStr">
        <is>
          <t>0-4005</t>
        </is>
      </c>
      <c r="C3211" t="inlineStr">
        <is>
          <t>LA</t>
        </is>
      </c>
      <c r="E3211" t="inlineStr">
        <is>
          <t>LA</t>
        </is>
      </c>
      <c r="G3211" s="128" t="inlineStr"/>
      <c r="H3211" s="127" t="n">
        <v>46139</v>
      </c>
      <c r="J3211" s="38" t="inlineStr">
        <is>
          <t>0-4005</t>
        </is>
      </c>
      <c r="K3211" t="inlineStr">
        <is>
          <t>PR P2COST 000290 (PR) Summary</t>
        </is>
      </c>
      <c r="L3211" t="n">
        <v>0</v>
      </c>
      <c r="M3211" t="n">
        <v>0</v>
      </c>
      <c r="Q3211" s="114" t="n">
        <v>0</v>
      </c>
      <c r="R3211" s="114" t="n">
        <v>96.52</v>
      </c>
      <c r="S3211" s="114" t="n">
        <v>0</v>
      </c>
      <c r="T3211" t="n">
        <v>1</v>
      </c>
    </row>
    <row r="3212">
      <c r="A3212" t="inlineStr">
        <is>
          <t>ttJTrans</t>
        </is>
      </c>
      <c r="B3212" s="38" t="inlineStr">
        <is>
          <t>0-4005</t>
        </is>
      </c>
      <c r="C3212" t="inlineStr">
        <is>
          <t>LA</t>
        </is>
      </c>
      <c r="E3212" t="inlineStr">
        <is>
          <t>LA</t>
        </is>
      </c>
      <c r="G3212" s="128" t="inlineStr"/>
      <c r="H3212" s="127" t="n">
        <v>46139</v>
      </c>
      <c r="J3212" s="38" t="inlineStr">
        <is>
          <t>0-4005</t>
        </is>
      </c>
      <c r="K3212" t="inlineStr">
        <is>
          <t>PR P2COST 000290 (PR) Summary</t>
        </is>
      </c>
      <c r="L3212" t="n">
        <v>0</v>
      </c>
      <c r="M3212" t="n">
        <v>0</v>
      </c>
      <c r="Q3212" s="114" t="n">
        <v>0</v>
      </c>
      <c r="R3212" s="114" t="n">
        <v>193.06</v>
      </c>
      <c r="S3212" s="114" t="n">
        <v>0</v>
      </c>
      <c r="T3212" t="n">
        <v>2</v>
      </c>
    </row>
    <row r="3213">
      <c r="A3213" t="inlineStr">
        <is>
          <t>ttJTrans</t>
        </is>
      </c>
      <c r="B3213" s="38" t="inlineStr">
        <is>
          <t>0-4005</t>
        </is>
      </c>
      <c r="C3213" t="inlineStr">
        <is>
          <t>LA</t>
        </is>
      </c>
      <c r="E3213" t="inlineStr">
        <is>
          <t>LA</t>
        </is>
      </c>
      <c r="G3213" s="128" t="inlineStr"/>
      <c r="H3213" s="127" t="n">
        <v>46150</v>
      </c>
      <c r="J3213" s="38" t="inlineStr">
        <is>
          <t>0-4005</t>
        </is>
      </c>
      <c r="K3213" t="inlineStr">
        <is>
          <t>COST CODE TRANSFER 25-4005</t>
        </is>
      </c>
      <c r="L3213" t="n">
        <v>0</v>
      </c>
      <c r="M3213" t="n">
        <v>0</v>
      </c>
      <c r="Q3213" s="114" t="n">
        <v>0</v>
      </c>
      <c r="R3213" s="114" t="n">
        <v>-13092.02</v>
      </c>
      <c r="S3213" s="114" t="n">
        <v>0</v>
      </c>
      <c r="T3213" t="n">
        <v>-128</v>
      </c>
    </row>
    <row r="3214">
      <c r="A3214" t="inlineStr">
        <is>
          <t>ttJTrans</t>
        </is>
      </c>
      <c r="B3214" s="38" t="inlineStr">
        <is>
          <t>0-4005</t>
        </is>
      </c>
      <c r="C3214" t="inlineStr">
        <is>
          <t>LA</t>
        </is>
      </c>
      <c r="E3214" t="inlineStr">
        <is>
          <t>LA</t>
        </is>
      </c>
      <c r="G3214" s="128" t="inlineStr"/>
      <c r="H3214" s="127" t="n">
        <v>46154</v>
      </c>
      <c r="J3214" s="38" t="inlineStr">
        <is>
          <t>0-4005</t>
        </is>
      </c>
      <c r="K3214" t="inlineStr">
        <is>
          <t>PR P2COST 000292 (PR) Summary</t>
        </is>
      </c>
      <c r="L3214" t="n">
        <v>0</v>
      </c>
      <c r="M3214" t="n">
        <v>0</v>
      </c>
      <c r="Q3214" s="114" t="n">
        <v>0</v>
      </c>
      <c r="R3214" s="114" t="n">
        <v>194.8</v>
      </c>
      <c r="S3214" s="114" t="n">
        <v>0</v>
      </c>
      <c r="T3214" t="n">
        <v>2</v>
      </c>
    </row>
    <row r="3215">
      <c r="A3215" t="inlineStr">
        <is>
          <t>ttJTrans</t>
        </is>
      </c>
      <c r="B3215" s="38" t="inlineStr">
        <is>
          <t>0-4005</t>
        </is>
      </c>
      <c r="C3215" t="inlineStr">
        <is>
          <t>LA</t>
        </is>
      </c>
      <c r="E3215" t="inlineStr">
        <is>
          <t>LA</t>
        </is>
      </c>
      <c r="G3215" s="128" t="inlineStr"/>
      <c r="H3215" s="127" t="n">
        <v>46154</v>
      </c>
      <c r="J3215" s="38" t="inlineStr">
        <is>
          <t>0-4005</t>
        </is>
      </c>
      <c r="K3215" t="inlineStr">
        <is>
          <t>PR P2COST 000292 (PR) Summary</t>
        </is>
      </c>
      <c r="L3215" t="n">
        <v>0</v>
      </c>
      <c r="M3215" t="n">
        <v>0</v>
      </c>
      <c r="Q3215" s="114" t="n">
        <v>0</v>
      </c>
      <c r="R3215" s="114" t="n">
        <v>97.40000000000001</v>
      </c>
      <c r="S3215" s="114" t="n">
        <v>0</v>
      </c>
      <c r="T3215" t="n">
        <v>1</v>
      </c>
    </row>
    <row r="3216">
      <c r="A3216" t="inlineStr">
        <is>
          <t>ttJTrans</t>
        </is>
      </c>
      <c r="B3216" s="38" t="inlineStr">
        <is>
          <t>0-4005</t>
        </is>
      </c>
      <c r="C3216" t="inlineStr">
        <is>
          <t>LA</t>
        </is>
      </c>
      <c r="E3216" t="inlineStr">
        <is>
          <t>LA</t>
        </is>
      </c>
      <c r="G3216" s="128" t="inlineStr"/>
      <c r="H3216" s="127" t="n">
        <v>46154</v>
      </c>
      <c r="J3216" s="38" t="inlineStr">
        <is>
          <t>0-4005</t>
        </is>
      </c>
      <c r="K3216" t="inlineStr">
        <is>
          <t>PR P2COST 000292 (PR) Summary</t>
        </is>
      </c>
      <c r="L3216" t="n">
        <v>0</v>
      </c>
      <c r="M3216" t="n">
        <v>0</v>
      </c>
      <c r="Q3216" s="114" t="n">
        <v>0</v>
      </c>
      <c r="R3216" s="114" t="n">
        <v>97.41</v>
      </c>
      <c r="S3216" s="114" t="n">
        <v>0</v>
      </c>
      <c r="T3216" t="n">
        <v>1</v>
      </c>
    </row>
    <row r="3217">
      <c r="A3217" t="inlineStr">
        <is>
          <t>ttJTrans</t>
        </is>
      </c>
      <c r="B3217" s="38" t="inlineStr">
        <is>
          <t>0-4005</t>
        </is>
      </c>
      <c r="C3217" t="inlineStr">
        <is>
          <t>LA</t>
        </is>
      </c>
      <c r="E3217" t="inlineStr">
        <is>
          <t>LA</t>
        </is>
      </c>
      <c r="G3217" s="128" t="inlineStr"/>
      <c r="H3217" s="127" t="n">
        <v>46154</v>
      </c>
      <c r="J3217" s="38" t="inlineStr">
        <is>
          <t>0-4005</t>
        </is>
      </c>
      <c r="K3217" t="inlineStr">
        <is>
          <t>PR P2COST 000292 (PR) Summary</t>
        </is>
      </c>
      <c r="L3217" t="n">
        <v>0</v>
      </c>
      <c r="M3217" t="n">
        <v>0</v>
      </c>
      <c r="Q3217" s="114" t="n">
        <v>0</v>
      </c>
      <c r="R3217" s="114" t="n">
        <v>97.40000000000001</v>
      </c>
      <c r="S3217" s="114" t="n">
        <v>0</v>
      </c>
      <c r="T3217" t="n">
        <v>1</v>
      </c>
    </row>
    <row r="3218">
      <c r="A3218" t="inlineStr">
        <is>
          <t>ttJTrans</t>
        </is>
      </c>
      <c r="B3218" s="38" t="inlineStr">
        <is>
          <t>0-4005</t>
        </is>
      </c>
      <c r="C3218" t="inlineStr">
        <is>
          <t>LA</t>
        </is>
      </c>
      <c r="E3218" t="inlineStr">
        <is>
          <t>LA</t>
        </is>
      </c>
      <c r="G3218" s="128" t="inlineStr"/>
      <c r="H3218" s="127" t="n">
        <v>46154</v>
      </c>
      <c r="J3218" s="38" t="inlineStr">
        <is>
          <t>0-4005</t>
        </is>
      </c>
      <c r="K3218" t="inlineStr">
        <is>
          <t>PR P2COST 000292 (PR) Summary</t>
        </is>
      </c>
      <c r="L3218" t="n">
        <v>0</v>
      </c>
      <c r="M3218" t="n">
        <v>0</v>
      </c>
      <c r="Q3218" s="114" t="n">
        <v>0</v>
      </c>
      <c r="R3218" s="114" t="n">
        <v>97.41</v>
      </c>
      <c r="S3218" s="114" t="n">
        <v>0</v>
      </c>
      <c r="T3218" t="n">
        <v>1</v>
      </c>
    </row>
    <row r="3219">
      <c r="A3219" t="inlineStr">
        <is>
          <t>ttJTrans</t>
        </is>
      </c>
      <c r="B3219" s="38" t="inlineStr">
        <is>
          <t>0-4005</t>
        </is>
      </c>
      <c r="C3219" t="inlineStr">
        <is>
          <t>LA</t>
        </is>
      </c>
      <c r="E3219" t="inlineStr">
        <is>
          <t>LA</t>
        </is>
      </c>
      <c r="G3219" s="128" t="inlineStr"/>
      <c r="H3219" s="127" t="n">
        <v>46154</v>
      </c>
      <c r="J3219" s="38" t="inlineStr">
        <is>
          <t>0-4005</t>
        </is>
      </c>
      <c r="K3219" t="inlineStr">
        <is>
          <t>PR P2COST 000292 (PR) Summary</t>
        </is>
      </c>
      <c r="L3219" t="n">
        <v>0</v>
      </c>
      <c r="M3219" t="n">
        <v>0</v>
      </c>
      <c r="Q3219" s="114" t="n">
        <v>0</v>
      </c>
      <c r="R3219" s="114" t="n">
        <v>194.8</v>
      </c>
      <c r="S3219" s="114" t="n">
        <v>0</v>
      </c>
      <c r="T3219" t="n">
        <v>2</v>
      </c>
    </row>
    <row r="3220">
      <c r="A3220" t="inlineStr">
        <is>
          <t>ttJTrans</t>
        </is>
      </c>
      <c r="B3220" s="38" t="inlineStr">
        <is>
          <t>0-4005</t>
        </is>
      </c>
      <c r="C3220" t="inlineStr">
        <is>
          <t>LA</t>
        </is>
      </c>
      <c r="E3220" t="inlineStr">
        <is>
          <t>LA</t>
        </is>
      </c>
      <c r="G3220" s="128" t="inlineStr"/>
      <c r="H3220" s="127" t="n">
        <v>46154</v>
      </c>
      <c r="J3220" s="38" t="inlineStr">
        <is>
          <t>0-4005</t>
        </is>
      </c>
      <c r="K3220" t="inlineStr">
        <is>
          <t>PR P2COST 000292 (PR) Summary</t>
        </is>
      </c>
      <c r="L3220" t="n">
        <v>0</v>
      </c>
      <c r="M3220" t="n">
        <v>0</v>
      </c>
      <c r="Q3220" s="114" t="n">
        <v>0</v>
      </c>
      <c r="R3220" s="114" t="n">
        <v>194.8</v>
      </c>
      <c r="S3220" s="114" t="n">
        <v>0</v>
      </c>
      <c r="T3220" t="n">
        <v>2</v>
      </c>
    </row>
    <row r="3221">
      <c r="A3221" t="inlineStr">
        <is>
          <t>ttJTrans</t>
        </is>
      </c>
      <c r="B3221" s="38" t="inlineStr">
        <is>
          <t>0-4024</t>
        </is>
      </c>
      <c r="C3221" t="inlineStr">
        <is>
          <t>OC</t>
        </is>
      </c>
      <c r="D3221" t="inlineStr">
        <is>
          <t>MA1009670</t>
        </is>
      </c>
      <c r="E3221" t="inlineStr">
        <is>
          <t>OC</t>
        </is>
      </c>
      <c r="F3221" t="inlineStr">
        <is>
          <t>MA1009670</t>
        </is>
      </c>
      <c r="G3221" s="128" t="n">
        <v>46031</v>
      </c>
      <c r="H3221" s="127" t="n">
        <v>46031</v>
      </c>
      <c r="I3221" t="inlineStr">
        <is>
          <t>2</t>
        </is>
      </c>
      <c r="J3221" s="38" t="inlineStr">
        <is>
          <t>0-4024</t>
        </is>
      </c>
      <c r="K3221" t="inlineStr">
        <is>
          <t>Development Review Project 00023 WA3 TA159</t>
        </is>
      </c>
      <c r="L3221" t="n">
        <v>1</v>
      </c>
      <c r="M3221" t="n">
        <v>18870</v>
      </c>
      <c r="N3221" t="inlineStr">
        <is>
          <t>PO:COMMIT</t>
        </is>
      </c>
      <c r="O3221" t="inlineStr">
        <is>
          <t>21272</t>
        </is>
      </c>
      <c r="P3221" t="inlineStr">
        <is>
          <t>SCHEIBE CONSULTING LLC</t>
        </is>
      </c>
      <c r="Q3221" s="114" t="n">
        <v>0</v>
      </c>
      <c r="R3221" s="114" t="n">
        <v>0</v>
      </c>
      <c r="S3221" s="114" t="n">
        <v>18870</v>
      </c>
      <c r="T3221" t="n">
        <v>0</v>
      </c>
    </row>
    <row r="3222">
      <c r="A3222" t="inlineStr">
        <is>
          <t>ttJTrans</t>
        </is>
      </c>
      <c r="B3222" s="38" t="inlineStr">
        <is>
          <t>0-4024</t>
        </is>
      </c>
      <c r="C3222" t="inlineStr">
        <is>
          <t>OC</t>
        </is>
      </c>
      <c r="D3222" t="inlineStr">
        <is>
          <t>MA1009670</t>
        </is>
      </c>
      <c r="E3222" t="inlineStr">
        <is>
          <t>OC</t>
        </is>
      </c>
      <c r="F3222" t="inlineStr">
        <is>
          <t>MA1009670</t>
        </is>
      </c>
      <c r="G3222" s="128" t="n">
        <v>46031</v>
      </c>
      <c r="H3222" s="127" t="n">
        <v>46031</v>
      </c>
      <c r="I3222" t="inlineStr">
        <is>
          <t>2</t>
        </is>
      </c>
      <c r="J3222" s="38" t="inlineStr">
        <is>
          <t>0-4024</t>
        </is>
      </c>
      <c r="K3222" t="inlineStr">
        <is>
          <t>Development Review Project 00023 WA3 TA159</t>
        </is>
      </c>
      <c r="L3222" t="n">
        <v>1</v>
      </c>
      <c r="M3222" t="n">
        <v>18870</v>
      </c>
      <c r="N3222" t="inlineStr">
        <is>
          <t>INVOICE:ADJ-COMMIT</t>
        </is>
      </c>
      <c r="O3222" t="inlineStr">
        <is>
          <t>21272</t>
        </is>
      </c>
      <c r="P3222" t="inlineStr">
        <is>
          <t>SCHEIBE CONSULTING LLC</t>
        </is>
      </c>
      <c r="Q3222" s="114" t="n">
        <v>0</v>
      </c>
      <c r="R3222" s="114" t="n">
        <v>0</v>
      </c>
      <c r="S3222" s="114" t="n">
        <v>-18870</v>
      </c>
      <c r="T3222" t="n">
        <v>0</v>
      </c>
    </row>
    <row r="3223">
      <c r="A3223" t="inlineStr">
        <is>
          <t>ttJTrans</t>
        </is>
      </c>
      <c r="B3223" s="38" t="inlineStr">
        <is>
          <t>0-4024</t>
        </is>
      </c>
      <c r="C3223" t="inlineStr">
        <is>
          <t>OC</t>
        </is>
      </c>
      <c r="D3223" t="inlineStr">
        <is>
          <t>MA1009670</t>
        </is>
      </c>
      <c r="E3223" t="inlineStr">
        <is>
          <t>OC</t>
        </is>
      </c>
      <c r="F3223" t="inlineStr">
        <is>
          <t>MA1009670</t>
        </is>
      </c>
      <c r="G3223" s="128" t="n">
        <v>46031</v>
      </c>
      <c r="H3223" s="127" t="n">
        <v>46031</v>
      </c>
      <c r="I3223" t="inlineStr">
        <is>
          <t>1</t>
        </is>
      </c>
      <c r="J3223" s="38" t="inlineStr">
        <is>
          <t>0-4024</t>
        </is>
      </c>
      <c r="K3223" t="inlineStr">
        <is>
          <t>Development Review Project 00023 WA3 TA159</t>
        </is>
      </c>
      <c r="L3223" t="n">
        <v>1</v>
      </c>
      <c r="M3223" t="n">
        <v>3940.5</v>
      </c>
      <c r="N3223" t="inlineStr">
        <is>
          <t>INVOICE:ADJ-COMMIT</t>
        </is>
      </c>
      <c r="O3223" t="inlineStr">
        <is>
          <t>21272</t>
        </is>
      </c>
      <c r="P3223" t="inlineStr">
        <is>
          <t>SCHEIBE CONSULTING LLC</t>
        </is>
      </c>
      <c r="Q3223" s="114" t="n">
        <v>0</v>
      </c>
      <c r="R3223" s="114" t="n">
        <v>0</v>
      </c>
      <c r="S3223" s="114" t="n">
        <v>-3940.5</v>
      </c>
      <c r="T3223" t="n">
        <v>0</v>
      </c>
    </row>
    <row r="3224">
      <c r="A3224" t="inlineStr">
        <is>
          <t>ttJTrans</t>
        </is>
      </c>
      <c r="B3224" s="38" t="inlineStr">
        <is>
          <t>0-4024</t>
        </is>
      </c>
      <c r="C3224" t="inlineStr">
        <is>
          <t>OC</t>
        </is>
      </c>
      <c r="D3224" t="inlineStr">
        <is>
          <t>MA1009670</t>
        </is>
      </c>
      <c r="E3224" t="inlineStr">
        <is>
          <t>OC</t>
        </is>
      </c>
      <c r="F3224" t="inlineStr">
        <is>
          <t>MA1009670</t>
        </is>
      </c>
      <c r="G3224" s="128" t="n">
        <v>46031</v>
      </c>
      <c r="H3224" s="127" t="n">
        <v>46031</v>
      </c>
      <c r="I3224" t="inlineStr">
        <is>
          <t>1</t>
        </is>
      </c>
      <c r="J3224" s="38" t="inlineStr">
        <is>
          <t>0-4024</t>
        </is>
      </c>
      <c r="K3224" t="inlineStr">
        <is>
          <t>Development Review Project 00023 WA3 TA159</t>
        </is>
      </c>
      <c r="L3224" t="n">
        <v>1</v>
      </c>
      <c r="M3224" t="n">
        <v>3940.5</v>
      </c>
      <c r="N3224" t="inlineStr">
        <is>
          <t>PO:COMMIT</t>
        </is>
      </c>
      <c r="O3224" t="inlineStr">
        <is>
          <t>21272</t>
        </is>
      </c>
      <c r="P3224" t="inlineStr">
        <is>
          <t>SCHEIBE CONSULTING LLC</t>
        </is>
      </c>
      <c r="Q3224" s="114" t="n">
        <v>0</v>
      </c>
      <c r="R3224" s="114" t="n">
        <v>0</v>
      </c>
      <c r="S3224" s="114" t="n">
        <v>3940.5</v>
      </c>
      <c r="T3224" t="n">
        <v>0</v>
      </c>
    </row>
    <row r="3225">
      <c r="A3225" t="inlineStr">
        <is>
          <t>ttJTrans</t>
        </is>
      </c>
      <c r="B3225" s="38" t="inlineStr">
        <is>
          <t>0-4024</t>
        </is>
      </c>
      <c r="C3225" t="inlineStr">
        <is>
          <t>OC</t>
        </is>
      </c>
      <c r="D3225" t="inlineStr">
        <is>
          <t>MA1009670</t>
        </is>
      </c>
      <c r="E3225" t="inlineStr">
        <is>
          <t>OC</t>
        </is>
      </c>
      <c r="F3225" t="inlineStr">
        <is>
          <t>MA1009670</t>
        </is>
      </c>
      <c r="G3225" s="128" t="n">
        <v>46031</v>
      </c>
      <c r="H3225" s="127" t="n">
        <v>46034</v>
      </c>
      <c r="I3225" t="inlineStr">
        <is>
          <t>2</t>
        </is>
      </c>
      <c r="J3225" s="38" t="inlineStr">
        <is>
          <t>0-4024</t>
        </is>
      </c>
      <c r="K3225" t="inlineStr">
        <is>
          <t>Development Review Project 00023 WA3 TA159</t>
        </is>
      </c>
      <c r="L3225" t="n">
        <v>1</v>
      </c>
      <c r="M3225" t="n">
        <v>18870</v>
      </c>
      <c r="N3225" t="inlineStr">
        <is>
          <t>INVOICE</t>
        </is>
      </c>
      <c r="O3225" t="inlineStr">
        <is>
          <t>21272</t>
        </is>
      </c>
      <c r="P3225" t="inlineStr">
        <is>
          <t>SCHEIBE CONSULTING LLC</t>
        </is>
      </c>
      <c r="Q3225" s="114" t="n">
        <v>0</v>
      </c>
      <c r="R3225" s="114" t="n">
        <v>0</v>
      </c>
      <c r="S3225" s="114" t="n">
        <v>0</v>
      </c>
      <c r="T3225" t="n">
        <v>0</v>
      </c>
    </row>
    <row r="3226">
      <c r="A3226" t="inlineStr">
        <is>
          <t>ttJTrans</t>
        </is>
      </c>
      <c r="B3226" s="38" t="inlineStr">
        <is>
          <t>0-4024</t>
        </is>
      </c>
      <c r="C3226" t="inlineStr">
        <is>
          <t>OC</t>
        </is>
      </c>
      <c r="D3226" t="inlineStr">
        <is>
          <t>MA1009670</t>
        </is>
      </c>
      <c r="E3226" t="inlineStr">
        <is>
          <t>OC</t>
        </is>
      </c>
      <c r="F3226" t="inlineStr">
        <is>
          <t>MA1009670</t>
        </is>
      </c>
      <c r="G3226" s="128" t="n">
        <v>46031</v>
      </c>
      <c r="H3226" s="127" t="n">
        <v>46034</v>
      </c>
      <c r="I3226" t="inlineStr">
        <is>
          <t>1</t>
        </is>
      </c>
      <c r="J3226" s="38" t="inlineStr">
        <is>
          <t>0-4024</t>
        </is>
      </c>
      <c r="K3226" t="inlineStr">
        <is>
          <t>Development Review Project 00023 WA3 TA159</t>
        </is>
      </c>
      <c r="L3226" t="n">
        <v>1</v>
      </c>
      <c r="M3226" t="n">
        <v>3940.5</v>
      </c>
      <c r="N3226" t="inlineStr">
        <is>
          <t>INVOICE</t>
        </is>
      </c>
      <c r="O3226" t="inlineStr">
        <is>
          <t>21272</t>
        </is>
      </c>
      <c r="P3226" t="inlineStr">
        <is>
          <t>SCHEIBE CONSULTING LLC</t>
        </is>
      </c>
      <c r="Q3226" s="114" t="n">
        <v>0</v>
      </c>
      <c r="R3226" s="114" t="n">
        <v>0</v>
      </c>
      <c r="S3226" s="114" t="n">
        <v>0</v>
      </c>
      <c r="T3226" t="n">
        <v>0</v>
      </c>
    </row>
    <row r="3227">
      <c r="A3227" t="inlineStr">
        <is>
          <t>ttJTrans</t>
        </is>
      </c>
      <c r="B3227" s="38" t="inlineStr">
        <is>
          <t>0-4024</t>
        </is>
      </c>
      <c r="C3227" t="inlineStr">
        <is>
          <t>OC</t>
        </is>
      </c>
      <c r="D3227" t="inlineStr">
        <is>
          <t>MA1009906</t>
        </is>
      </c>
      <c r="E3227" t="inlineStr">
        <is>
          <t>OC</t>
        </is>
      </c>
      <c r="F3227" t="inlineStr">
        <is>
          <t>MA1009906</t>
        </is>
      </c>
      <c r="G3227" s="128" t="n">
        <v>46053</v>
      </c>
      <c r="H3227" s="127" t="n">
        <v>46053</v>
      </c>
      <c r="I3227" t="inlineStr">
        <is>
          <t>20</t>
        </is>
      </c>
      <c r="J3227" s="38" t="inlineStr">
        <is>
          <t>0-4024</t>
        </is>
      </c>
      <c r="K3227" t="inlineStr">
        <is>
          <t>100FT REEL</t>
        </is>
      </c>
      <c r="L3227" t="n">
        <v>1</v>
      </c>
      <c r="M3227" t="n">
        <v>31.95</v>
      </c>
      <c r="N3227" t="inlineStr">
        <is>
          <t>INVOICE:ADJ-COMMIT</t>
        </is>
      </c>
      <c r="O3227" t="inlineStr">
        <is>
          <t>13089</t>
        </is>
      </c>
      <c r="P3227" t="inlineStr">
        <is>
          <t>PSS INDUSTRIAL GROUP</t>
        </is>
      </c>
      <c r="Q3227" s="114" t="n">
        <v>0</v>
      </c>
      <c r="R3227" s="114" t="n">
        <v>0</v>
      </c>
      <c r="S3227" s="114" t="n">
        <v>-31.95</v>
      </c>
      <c r="T3227" t="n">
        <v>0</v>
      </c>
    </row>
    <row r="3228">
      <c r="A3228" t="inlineStr">
        <is>
          <t>ttJTrans</t>
        </is>
      </c>
      <c r="B3228" s="38" t="inlineStr">
        <is>
          <t>0-4024</t>
        </is>
      </c>
      <c r="C3228" t="inlineStr">
        <is>
          <t>OC</t>
        </is>
      </c>
      <c r="D3228" t="inlineStr">
        <is>
          <t>MA1009906</t>
        </is>
      </c>
      <c r="E3228" t="inlineStr">
        <is>
          <t>OC</t>
        </is>
      </c>
      <c r="F3228" t="inlineStr">
        <is>
          <t>MA1009906</t>
        </is>
      </c>
      <c r="G3228" s="128" t="n">
        <v>46053</v>
      </c>
      <c r="H3228" s="127" t="n">
        <v>46053</v>
      </c>
      <c r="I3228" t="inlineStr">
        <is>
          <t>6</t>
        </is>
      </c>
      <c r="J3228" s="38" t="inlineStr">
        <is>
          <t>0-4024</t>
        </is>
      </c>
      <c r="K3228" t="inlineStr">
        <is>
          <t>TIP 3/8'' PROBE ROD</t>
        </is>
      </c>
      <c r="L3228" t="n">
        <v>2</v>
      </c>
      <c r="M3228" t="n">
        <v>26.64</v>
      </c>
      <c r="N3228" t="inlineStr">
        <is>
          <t>INVOICE:ADJ-COMMIT</t>
        </is>
      </c>
      <c r="O3228" t="inlineStr">
        <is>
          <t>13089</t>
        </is>
      </c>
      <c r="P3228" t="inlineStr">
        <is>
          <t>PSS INDUSTRIAL GROUP</t>
        </is>
      </c>
      <c r="Q3228" s="114" t="n">
        <v>0</v>
      </c>
      <c r="R3228" s="114" t="n">
        <v>0</v>
      </c>
      <c r="S3228" s="114" t="n">
        <v>-26.64</v>
      </c>
      <c r="T3228" t="n">
        <v>0</v>
      </c>
    </row>
    <row r="3229">
      <c r="A3229" t="inlineStr">
        <is>
          <t>ttJTrans</t>
        </is>
      </c>
      <c r="B3229" s="38" t="inlineStr">
        <is>
          <t>0-4024</t>
        </is>
      </c>
      <c r="C3229" t="inlineStr">
        <is>
          <t>OC</t>
        </is>
      </c>
      <c r="D3229" t="inlineStr">
        <is>
          <t>MA1009906</t>
        </is>
      </c>
      <c r="E3229" t="inlineStr">
        <is>
          <t>OC</t>
        </is>
      </c>
      <c r="F3229" t="inlineStr">
        <is>
          <t>MA1009906</t>
        </is>
      </c>
      <c r="G3229" s="128" t="n">
        <v>46053</v>
      </c>
      <c r="H3229" s="127" t="n">
        <v>46053</v>
      </c>
      <c r="I3229" t="inlineStr">
        <is>
          <t>16</t>
        </is>
      </c>
      <c r="J3229" s="38" t="inlineStr">
        <is>
          <t>0-4024</t>
        </is>
      </c>
      <c r="K3229" t="inlineStr">
        <is>
          <t>GREEN FLAGGING</t>
        </is>
      </c>
      <c r="L3229" t="n">
        <v>6</v>
      </c>
      <c r="M3229" t="n">
        <v>13.72</v>
      </c>
      <c r="N3229" t="inlineStr">
        <is>
          <t>INVOICE:ADJ-COMMIT</t>
        </is>
      </c>
      <c r="O3229" t="inlineStr">
        <is>
          <t>13089</t>
        </is>
      </c>
      <c r="P3229" t="inlineStr">
        <is>
          <t>PSS INDUSTRIAL GROUP</t>
        </is>
      </c>
      <c r="Q3229" s="114" t="n">
        <v>0</v>
      </c>
      <c r="R3229" s="114" t="n">
        <v>0</v>
      </c>
      <c r="S3229" s="114" t="n">
        <v>-13.72</v>
      </c>
      <c r="T3229" t="n">
        <v>0</v>
      </c>
    </row>
    <row r="3230">
      <c r="A3230" t="inlineStr">
        <is>
          <t>ttJTrans</t>
        </is>
      </c>
      <c r="B3230" s="38" t="inlineStr">
        <is>
          <t>0-4024</t>
        </is>
      </c>
      <c r="C3230" t="inlineStr">
        <is>
          <t>OC</t>
        </is>
      </c>
      <c r="D3230" t="inlineStr">
        <is>
          <t>MA1009906</t>
        </is>
      </c>
      <c r="E3230" t="inlineStr">
        <is>
          <t>OC</t>
        </is>
      </c>
      <c r="F3230" t="inlineStr">
        <is>
          <t>MA1009906</t>
        </is>
      </c>
      <c r="G3230" s="128" t="n">
        <v>46053</v>
      </c>
      <c r="H3230" s="127" t="n">
        <v>46053</v>
      </c>
      <c r="I3230" t="inlineStr">
        <is>
          <t>13</t>
        </is>
      </c>
      <c r="J3230" s="38" t="inlineStr">
        <is>
          <t>0-4024</t>
        </is>
      </c>
      <c r="K3230" t="inlineStr">
        <is>
          <t>ORANGE FLAGGING</t>
        </is>
      </c>
      <c r="L3230" t="n">
        <v>6</v>
      </c>
      <c r="M3230" t="n">
        <v>13.72</v>
      </c>
      <c r="N3230" t="inlineStr">
        <is>
          <t>INVOICE:ADJ-COMMIT</t>
        </is>
      </c>
      <c r="O3230" t="inlineStr">
        <is>
          <t>13089</t>
        </is>
      </c>
      <c r="P3230" t="inlineStr">
        <is>
          <t>PSS INDUSTRIAL GROUP</t>
        </is>
      </c>
      <c r="Q3230" s="114" t="n">
        <v>0</v>
      </c>
      <c r="R3230" s="114" t="n">
        <v>0</v>
      </c>
      <c r="S3230" s="114" t="n">
        <v>-13.72</v>
      </c>
      <c r="T3230" t="n">
        <v>0</v>
      </c>
    </row>
    <row r="3231">
      <c r="A3231" t="inlineStr">
        <is>
          <t>ttJTrans</t>
        </is>
      </c>
      <c r="B3231" s="38" t="inlineStr">
        <is>
          <t>0-4024</t>
        </is>
      </c>
      <c r="C3231" t="inlineStr">
        <is>
          <t>OC</t>
        </is>
      </c>
      <c r="D3231" t="inlineStr">
        <is>
          <t>MA1009906</t>
        </is>
      </c>
      <c r="E3231" t="inlineStr">
        <is>
          <t>OC</t>
        </is>
      </c>
      <c r="F3231" t="inlineStr">
        <is>
          <t>MA1009906</t>
        </is>
      </c>
      <c r="G3231" s="128" t="n">
        <v>46053</v>
      </c>
      <c r="H3231" s="127" t="n">
        <v>46053</v>
      </c>
      <c r="I3231" t="inlineStr">
        <is>
          <t>5</t>
        </is>
      </c>
      <c r="J3231" s="38" t="inlineStr">
        <is>
          <t>0-4024</t>
        </is>
      </c>
      <c r="K3231" t="inlineStr">
        <is>
          <t>PROBE ROD HEX CARBONSTEEL 3/8''X3'</t>
        </is>
      </c>
      <c r="L3231" t="n">
        <v>2</v>
      </c>
      <c r="M3231" t="n">
        <v>28.19</v>
      </c>
      <c r="N3231" t="inlineStr">
        <is>
          <t>INVOICE:ADJ-COMMIT</t>
        </is>
      </c>
      <c r="O3231" t="inlineStr">
        <is>
          <t>13089</t>
        </is>
      </c>
      <c r="P3231" t="inlineStr">
        <is>
          <t>PSS INDUSTRIAL GROUP</t>
        </is>
      </c>
      <c r="Q3231" s="114" t="n">
        <v>0</v>
      </c>
      <c r="R3231" s="114" t="n">
        <v>0</v>
      </c>
      <c r="S3231" s="114" t="n">
        <v>-28.19</v>
      </c>
      <c r="T3231" t="n">
        <v>0</v>
      </c>
    </row>
    <row r="3232">
      <c r="A3232" t="inlineStr">
        <is>
          <t>ttJTrans</t>
        </is>
      </c>
      <c r="B3232" s="38" t="inlineStr">
        <is>
          <t>0-4024</t>
        </is>
      </c>
      <c r="C3232" t="inlineStr">
        <is>
          <t>OC</t>
        </is>
      </c>
      <c r="D3232" t="inlineStr">
        <is>
          <t>MA1009906</t>
        </is>
      </c>
      <c r="E3232" t="inlineStr">
        <is>
          <t>OC</t>
        </is>
      </c>
      <c r="F3232" t="inlineStr">
        <is>
          <t>MA1009906</t>
        </is>
      </c>
      <c r="G3232" s="128" t="n">
        <v>46053</v>
      </c>
      <c r="H3232" s="127" t="n">
        <v>46053</v>
      </c>
      <c r="I3232" t="inlineStr">
        <is>
          <t>7</t>
        </is>
      </c>
      <c r="J3232" s="38" t="inlineStr">
        <is>
          <t>0-4024</t>
        </is>
      </c>
      <c r="K3232" t="inlineStr">
        <is>
          <t>PROBE ROD MIGHTY ROUNDTIP 3/8''</t>
        </is>
      </c>
      <c r="L3232" t="n">
        <v>2</v>
      </c>
      <c r="M3232" t="n">
        <v>14.52</v>
      </c>
      <c r="N3232" t="inlineStr">
        <is>
          <t>INVOICE:ADJ-COMMIT</t>
        </is>
      </c>
      <c r="O3232" t="inlineStr">
        <is>
          <t>13089</t>
        </is>
      </c>
      <c r="P3232" t="inlineStr">
        <is>
          <t>PSS INDUSTRIAL GROUP</t>
        </is>
      </c>
      <c r="Q3232" s="114" t="n">
        <v>0</v>
      </c>
      <c r="R3232" s="114" t="n">
        <v>0</v>
      </c>
      <c r="S3232" s="114" t="n">
        <v>-14.52</v>
      </c>
      <c r="T3232" t="n">
        <v>0</v>
      </c>
    </row>
    <row r="3233">
      <c r="A3233" t="inlineStr">
        <is>
          <t>ttJTrans</t>
        </is>
      </c>
      <c r="B3233" s="38" t="inlineStr">
        <is>
          <t>0-4024</t>
        </is>
      </c>
      <c r="C3233" t="inlineStr">
        <is>
          <t>OC</t>
        </is>
      </c>
      <c r="D3233" t="inlineStr">
        <is>
          <t>MA1009906</t>
        </is>
      </c>
      <c r="E3233" t="inlineStr">
        <is>
          <t>OC</t>
        </is>
      </c>
      <c r="F3233" t="inlineStr">
        <is>
          <t>MA1009906</t>
        </is>
      </c>
      <c r="G3233" s="128" t="n">
        <v>46053</v>
      </c>
      <c r="H3233" s="127" t="n">
        <v>46053</v>
      </c>
      <c r="I3233" t="inlineStr">
        <is>
          <t>10</t>
        </is>
      </c>
      <c r="J3233" s="38" t="inlineStr">
        <is>
          <t>0-4024</t>
        </is>
      </c>
      <c r="K3233" t="inlineStr">
        <is>
          <t>GREEN SPRAY PAINT</t>
        </is>
      </c>
      <c r="L3233" t="n">
        <v>6</v>
      </c>
      <c r="M3233" t="n">
        <v>39.16</v>
      </c>
      <c r="N3233" t="inlineStr">
        <is>
          <t>INVOICE:ADJ-COMMIT</t>
        </is>
      </c>
      <c r="O3233" t="inlineStr">
        <is>
          <t>13089</t>
        </is>
      </c>
      <c r="P3233" t="inlineStr">
        <is>
          <t>PSS INDUSTRIAL GROUP</t>
        </is>
      </c>
      <c r="Q3233" s="114" t="n">
        <v>0</v>
      </c>
      <c r="R3233" s="114" t="n">
        <v>0</v>
      </c>
      <c r="S3233" s="114" t="n">
        <v>-39.16</v>
      </c>
      <c r="T3233" t="n">
        <v>0</v>
      </c>
    </row>
    <row r="3234">
      <c r="A3234" t="inlineStr">
        <is>
          <t>ttJTrans</t>
        </is>
      </c>
      <c r="B3234" s="38" t="inlineStr">
        <is>
          <t>0-4024</t>
        </is>
      </c>
      <c r="C3234" t="inlineStr">
        <is>
          <t>OC</t>
        </is>
      </c>
      <c r="D3234" t="inlineStr">
        <is>
          <t>MA1009906</t>
        </is>
      </c>
      <c r="E3234" t="inlineStr">
        <is>
          <t>OC</t>
        </is>
      </c>
      <c r="F3234" t="inlineStr">
        <is>
          <t>MA1009906</t>
        </is>
      </c>
      <c r="G3234" s="128" t="n">
        <v>46053</v>
      </c>
      <c r="H3234" s="127" t="n">
        <v>46053</v>
      </c>
      <c r="I3234" t="inlineStr">
        <is>
          <t>2</t>
        </is>
      </c>
      <c r="J3234" s="38" t="inlineStr">
        <is>
          <t>0-4024</t>
        </is>
      </c>
      <c r="K3234" t="inlineStr">
        <is>
          <t>PROBE ROD</t>
        </is>
      </c>
      <c r="L3234" t="n">
        <v>2</v>
      </c>
      <c r="M3234" t="n">
        <v>154.71</v>
      </c>
      <c r="N3234" t="inlineStr">
        <is>
          <t>INVOICE:ADJ-COMMIT</t>
        </is>
      </c>
      <c r="O3234" t="inlineStr">
        <is>
          <t>13089</t>
        </is>
      </c>
      <c r="P3234" t="inlineStr">
        <is>
          <t>PSS INDUSTRIAL GROUP</t>
        </is>
      </c>
      <c r="Q3234" s="114" t="n">
        <v>0</v>
      </c>
      <c r="R3234" s="114" t="n">
        <v>0</v>
      </c>
      <c r="S3234" s="114" t="n">
        <v>-154.71</v>
      </c>
      <c r="T3234" t="n">
        <v>0</v>
      </c>
    </row>
    <row r="3235">
      <c r="A3235" t="inlineStr">
        <is>
          <t>ttJTrans</t>
        </is>
      </c>
      <c r="B3235" s="38" t="inlineStr">
        <is>
          <t>0-4024</t>
        </is>
      </c>
      <c r="C3235" t="inlineStr">
        <is>
          <t>OC</t>
        </is>
      </c>
      <c r="D3235" t="inlineStr">
        <is>
          <t>MA1009906</t>
        </is>
      </c>
      <c r="E3235" t="inlineStr">
        <is>
          <t>OC</t>
        </is>
      </c>
      <c r="F3235" t="inlineStr">
        <is>
          <t>MA1009906</t>
        </is>
      </c>
      <c r="G3235" s="128" t="n">
        <v>46053</v>
      </c>
      <c r="H3235" s="127" t="n">
        <v>46065</v>
      </c>
      <c r="I3235" t="inlineStr">
        <is>
          <t>4</t>
        </is>
      </c>
      <c r="J3235" s="38" t="inlineStr">
        <is>
          <t>0-4024</t>
        </is>
      </c>
      <c r="K3235" t="inlineStr">
        <is>
          <t>PROBE ROD MIGHTY 6'EXTENSION</t>
        </is>
      </c>
      <c r="L3235" t="n">
        <v>1</v>
      </c>
      <c r="M3235" t="n">
        <v>42.31</v>
      </c>
      <c r="N3235" t="inlineStr">
        <is>
          <t>INVOICE</t>
        </is>
      </c>
      <c r="O3235" t="inlineStr">
        <is>
          <t>13089</t>
        </is>
      </c>
      <c r="P3235" t="inlineStr">
        <is>
          <t>PSS INDUSTRIAL GROUP</t>
        </is>
      </c>
      <c r="Q3235" s="114" t="n">
        <v>0</v>
      </c>
      <c r="R3235" s="114" t="n">
        <v>0</v>
      </c>
      <c r="S3235" s="114" t="n">
        <v>0</v>
      </c>
      <c r="T3235" t="n">
        <v>0</v>
      </c>
    </row>
    <row r="3236">
      <c r="A3236" t="inlineStr">
        <is>
          <t>ttJTrans</t>
        </is>
      </c>
      <c r="B3236" s="38" t="inlineStr">
        <is>
          <t>0-4024</t>
        </is>
      </c>
      <c r="C3236" t="inlineStr">
        <is>
          <t>OC</t>
        </is>
      </c>
      <c r="D3236" t="inlineStr">
        <is>
          <t>MA1009906</t>
        </is>
      </c>
      <c r="E3236" t="inlineStr">
        <is>
          <t>OC</t>
        </is>
      </c>
      <c r="F3236" t="inlineStr">
        <is>
          <t>MA1009906</t>
        </is>
      </c>
      <c r="G3236" s="128" t="n">
        <v>46053</v>
      </c>
      <c r="H3236" s="127" t="n">
        <v>46053</v>
      </c>
      <c r="I3236" t="inlineStr">
        <is>
          <t>14</t>
        </is>
      </c>
      <c r="J3236" s="38" t="inlineStr">
        <is>
          <t>0-4024</t>
        </is>
      </c>
      <c r="K3236" t="inlineStr">
        <is>
          <t>RED FLAGGING</t>
        </is>
      </c>
      <c r="L3236" t="n">
        <v>6</v>
      </c>
      <c r="M3236" t="n">
        <v>13.72</v>
      </c>
      <c r="N3236" t="inlineStr">
        <is>
          <t>INVOICE:ADJ-COMMIT</t>
        </is>
      </c>
      <c r="O3236" t="inlineStr">
        <is>
          <t>13089</t>
        </is>
      </c>
      <c r="P3236" t="inlineStr">
        <is>
          <t>PSS INDUSTRIAL GROUP</t>
        </is>
      </c>
      <c r="Q3236" s="114" t="n">
        <v>0</v>
      </c>
      <c r="R3236" s="114" t="n">
        <v>0</v>
      </c>
      <c r="S3236" s="114" t="n">
        <v>-13.72</v>
      </c>
      <c r="T3236" t="n">
        <v>0</v>
      </c>
    </row>
    <row r="3237">
      <c r="A3237" t="inlineStr">
        <is>
          <t>ttJTrans</t>
        </is>
      </c>
      <c r="B3237" s="38" t="inlineStr">
        <is>
          <t>0-4024</t>
        </is>
      </c>
      <c r="C3237" t="inlineStr">
        <is>
          <t>OC</t>
        </is>
      </c>
      <c r="D3237" t="inlineStr">
        <is>
          <t>MA1009906</t>
        </is>
      </c>
      <c r="E3237" t="inlineStr">
        <is>
          <t>OC</t>
        </is>
      </c>
      <c r="F3237" t="inlineStr">
        <is>
          <t>MA1009906</t>
        </is>
      </c>
      <c r="G3237" s="128" t="n">
        <v>46053</v>
      </c>
      <c r="H3237" s="127" t="n">
        <v>46053</v>
      </c>
      <c r="I3237" t="inlineStr">
        <is>
          <t>4</t>
        </is>
      </c>
      <c r="J3237" s="38" t="inlineStr">
        <is>
          <t>0-4024</t>
        </is>
      </c>
      <c r="K3237" t="inlineStr">
        <is>
          <t>PROBE ROD MIGHTY 6'EXTENSION</t>
        </is>
      </c>
      <c r="L3237" t="n">
        <v>1</v>
      </c>
      <c r="M3237" t="n">
        <v>42.31</v>
      </c>
      <c r="N3237" t="inlineStr">
        <is>
          <t>INVOICE:ADJ-COMMIT</t>
        </is>
      </c>
      <c r="O3237" t="inlineStr">
        <is>
          <t>13089</t>
        </is>
      </c>
      <c r="P3237" t="inlineStr">
        <is>
          <t>PSS INDUSTRIAL GROUP</t>
        </is>
      </c>
      <c r="Q3237" s="114" t="n">
        <v>0</v>
      </c>
      <c r="R3237" s="114" t="n">
        <v>0</v>
      </c>
      <c r="S3237" s="114" t="n">
        <v>-42.31</v>
      </c>
      <c r="T3237" t="n">
        <v>0</v>
      </c>
    </row>
    <row r="3238">
      <c r="A3238" t="inlineStr">
        <is>
          <t>ttJTrans</t>
        </is>
      </c>
      <c r="B3238" s="38" t="inlineStr">
        <is>
          <t>0-4024</t>
        </is>
      </c>
      <c r="C3238" t="inlineStr">
        <is>
          <t>OC</t>
        </is>
      </c>
      <c r="D3238" t="inlineStr">
        <is>
          <t>MA1009906</t>
        </is>
      </c>
      <c r="E3238" t="inlineStr">
        <is>
          <t>OC</t>
        </is>
      </c>
      <c r="F3238" t="inlineStr">
        <is>
          <t>MA1009906</t>
        </is>
      </c>
      <c r="G3238" s="128" t="n">
        <v>46053</v>
      </c>
      <c r="H3238" s="127" t="n">
        <v>46053</v>
      </c>
      <c r="I3238" t="inlineStr">
        <is>
          <t>11</t>
        </is>
      </c>
      <c r="J3238" s="38" t="inlineStr">
        <is>
          <t>0-4024</t>
        </is>
      </c>
      <c r="K3238" t="inlineStr">
        <is>
          <t>BLUE SPRAY PAINT</t>
        </is>
      </c>
      <c r="L3238" t="n">
        <v>6</v>
      </c>
      <c r="M3238" t="n">
        <v>39.16</v>
      </c>
      <c r="N3238" t="inlineStr">
        <is>
          <t>INVOICE:ADJ-COMMIT</t>
        </is>
      </c>
      <c r="O3238" t="inlineStr">
        <is>
          <t>13089</t>
        </is>
      </c>
      <c r="P3238" t="inlineStr">
        <is>
          <t>PSS INDUSTRIAL GROUP</t>
        </is>
      </c>
      <c r="Q3238" s="114" t="n">
        <v>0</v>
      </c>
      <c r="R3238" s="114" t="n">
        <v>0</v>
      </c>
      <c r="S3238" s="114" t="n">
        <v>-39.16</v>
      </c>
      <c r="T3238" t="n">
        <v>0</v>
      </c>
    </row>
    <row r="3239">
      <c r="A3239" t="inlineStr">
        <is>
          <t>ttJTrans</t>
        </is>
      </c>
      <c r="B3239" s="38" t="inlineStr">
        <is>
          <t>0-4024</t>
        </is>
      </c>
      <c r="C3239" t="inlineStr">
        <is>
          <t>OC</t>
        </is>
      </c>
      <c r="D3239" t="inlineStr">
        <is>
          <t>MA1009906</t>
        </is>
      </c>
      <c r="E3239" t="inlineStr">
        <is>
          <t>OC</t>
        </is>
      </c>
      <c r="F3239" t="inlineStr">
        <is>
          <t>MA1009906</t>
        </is>
      </c>
      <c r="G3239" s="128" t="n">
        <v>46053</v>
      </c>
      <c r="H3239" s="127" t="n">
        <v>46053</v>
      </c>
      <c r="I3239" t="inlineStr">
        <is>
          <t>3</t>
        </is>
      </c>
      <c r="J3239" s="38" t="inlineStr">
        <is>
          <t>0-4024</t>
        </is>
      </c>
      <c r="K3239" t="inlineStr">
        <is>
          <t>PROBE ROD MIGHTY 4'EXTENSION</t>
        </is>
      </c>
      <c r="L3239" t="n">
        <v>1</v>
      </c>
      <c r="M3239" t="n">
        <v>41.72</v>
      </c>
      <c r="N3239" t="inlineStr">
        <is>
          <t>INVOICE:ADJ-COMMIT</t>
        </is>
      </c>
      <c r="O3239" t="inlineStr">
        <is>
          <t>13089</t>
        </is>
      </c>
      <c r="P3239" t="inlineStr">
        <is>
          <t>PSS INDUSTRIAL GROUP</t>
        </is>
      </c>
      <c r="Q3239" s="114" t="n">
        <v>0</v>
      </c>
      <c r="R3239" s="114" t="n">
        <v>0</v>
      </c>
      <c r="S3239" s="114" t="n">
        <v>-41.72</v>
      </c>
      <c r="T3239" t="n">
        <v>0</v>
      </c>
    </row>
    <row r="3240">
      <c r="A3240" t="inlineStr">
        <is>
          <t>ttJTrans</t>
        </is>
      </c>
      <c r="B3240" s="38" t="inlineStr">
        <is>
          <t>0-4024</t>
        </is>
      </c>
      <c r="C3240" t="inlineStr">
        <is>
          <t>OC</t>
        </is>
      </c>
      <c r="D3240" t="inlineStr">
        <is>
          <t>MA1009906</t>
        </is>
      </c>
      <c r="E3240" t="inlineStr">
        <is>
          <t>OC</t>
        </is>
      </c>
      <c r="F3240" t="inlineStr">
        <is>
          <t>MA1009906</t>
        </is>
      </c>
      <c r="G3240" s="128" t="n">
        <v>46053</v>
      </c>
      <c r="H3240" s="127" t="n">
        <v>46053</v>
      </c>
      <c r="I3240" t="inlineStr">
        <is>
          <t>15</t>
        </is>
      </c>
      <c r="J3240" s="38" t="inlineStr">
        <is>
          <t>0-4024</t>
        </is>
      </c>
      <c r="K3240" t="inlineStr">
        <is>
          <t>BLUE FLAGGING</t>
        </is>
      </c>
      <c r="L3240" t="n">
        <v>6</v>
      </c>
      <c r="M3240" t="n">
        <v>13.72</v>
      </c>
      <c r="N3240" t="inlineStr">
        <is>
          <t>INVOICE:ADJ-COMMIT</t>
        </is>
      </c>
      <c r="O3240" t="inlineStr">
        <is>
          <t>13089</t>
        </is>
      </c>
      <c r="P3240" t="inlineStr">
        <is>
          <t>PSS INDUSTRIAL GROUP</t>
        </is>
      </c>
      <c r="Q3240" s="114" t="n">
        <v>0</v>
      </c>
      <c r="R3240" s="114" t="n">
        <v>0</v>
      </c>
      <c r="S3240" s="114" t="n">
        <v>-13.72</v>
      </c>
      <c r="T3240" t="n">
        <v>0</v>
      </c>
    </row>
    <row r="3241">
      <c r="A3241" t="inlineStr">
        <is>
          <t>ttJTrans</t>
        </is>
      </c>
      <c r="B3241" s="38" t="inlineStr">
        <is>
          <t>0-4024</t>
        </is>
      </c>
      <c r="C3241" t="inlineStr">
        <is>
          <t>OC</t>
        </is>
      </c>
      <c r="D3241" t="inlineStr">
        <is>
          <t>MA1009906</t>
        </is>
      </c>
      <c r="E3241" t="inlineStr">
        <is>
          <t>OC</t>
        </is>
      </c>
      <c r="F3241" t="inlineStr">
        <is>
          <t>MA1009906</t>
        </is>
      </c>
      <c r="G3241" s="128" t="n">
        <v>46053</v>
      </c>
      <c r="H3241" s="127" t="n">
        <v>46053</v>
      </c>
      <c r="I3241" t="inlineStr">
        <is>
          <t>1</t>
        </is>
      </c>
      <c r="J3241" s="38" t="inlineStr">
        <is>
          <t>0-4024</t>
        </is>
      </c>
      <c r="K3241" t="inlineStr">
        <is>
          <t>LATHES 3/8 X 1-1/2 X 4850 PER BUNDLE</t>
        </is>
      </c>
      <c r="L3241" t="n">
        <v>8</v>
      </c>
      <c r="M3241" t="n">
        <v>410.61</v>
      </c>
      <c r="N3241" t="inlineStr">
        <is>
          <t>INVOICE:ADJ-COMMIT</t>
        </is>
      </c>
      <c r="O3241" t="inlineStr">
        <is>
          <t>13089</t>
        </is>
      </c>
      <c r="P3241" t="inlineStr">
        <is>
          <t>PSS INDUSTRIAL GROUP</t>
        </is>
      </c>
      <c r="Q3241" s="114" t="n">
        <v>0</v>
      </c>
      <c r="R3241" s="114" t="n">
        <v>0</v>
      </c>
      <c r="S3241" s="114" t="n">
        <v>-410.61</v>
      </c>
      <c r="T3241" t="n">
        <v>0</v>
      </c>
    </row>
    <row r="3242">
      <c r="A3242" t="inlineStr">
        <is>
          <t>ttJTrans</t>
        </is>
      </c>
      <c r="B3242" s="38" t="inlineStr">
        <is>
          <t>0-4024</t>
        </is>
      </c>
      <c r="C3242" t="inlineStr">
        <is>
          <t>OC</t>
        </is>
      </c>
      <c r="D3242" t="inlineStr">
        <is>
          <t>MA1009906</t>
        </is>
      </c>
      <c r="E3242" t="inlineStr">
        <is>
          <t>OC</t>
        </is>
      </c>
      <c r="F3242" t="inlineStr">
        <is>
          <t>MA1009906</t>
        </is>
      </c>
      <c r="G3242" s="128" t="n">
        <v>46053</v>
      </c>
      <c r="H3242" s="127" t="n">
        <v>46053</v>
      </c>
      <c r="I3242" t="inlineStr">
        <is>
          <t>9</t>
        </is>
      </c>
      <c r="J3242" s="38" t="inlineStr">
        <is>
          <t>0-4024</t>
        </is>
      </c>
      <c r="K3242" t="inlineStr">
        <is>
          <t>RED SPRAY PAINT</t>
        </is>
      </c>
      <c r="L3242" t="n">
        <v>6</v>
      </c>
      <c r="M3242" t="n">
        <v>39.16</v>
      </c>
      <c r="N3242" t="inlineStr">
        <is>
          <t>INVOICE:ADJ-COMMIT</t>
        </is>
      </c>
      <c r="O3242" t="inlineStr">
        <is>
          <t>13089</t>
        </is>
      </c>
      <c r="P3242" t="inlineStr">
        <is>
          <t>PSS INDUSTRIAL GROUP</t>
        </is>
      </c>
      <c r="Q3242" s="114" t="n">
        <v>0</v>
      </c>
      <c r="R3242" s="114" t="n">
        <v>0</v>
      </c>
      <c r="S3242" s="114" t="n">
        <v>-39.16</v>
      </c>
      <c r="T3242" t="n">
        <v>0</v>
      </c>
    </row>
    <row r="3243">
      <c r="A3243" t="inlineStr">
        <is>
          <t>ttJTrans</t>
        </is>
      </c>
      <c r="B3243" s="38" t="inlineStr">
        <is>
          <t>0-4024</t>
        </is>
      </c>
      <c r="C3243" t="inlineStr">
        <is>
          <t>OC</t>
        </is>
      </c>
      <c r="D3243" t="inlineStr">
        <is>
          <t>MA1009906</t>
        </is>
      </c>
      <c r="E3243" t="inlineStr">
        <is>
          <t>OC</t>
        </is>
      </c>
      <c r="F3243" t="inlineStr">
        <is>
          <t>MA1009906</t>
        </is>
      </c>
      <c r="G3243" s="128" t="n">
        <v>46053</v>
      </c>
      <c r="H3243" s="127" t="n">
        <v>46053</v>
      </c>
      <c r="I3243" t="inlineStr">
        <is>
          <t>22</t>
        </is>
      </c>
      <c r="J3243" s="38" t="inlineStr">
        <is>
          <t>0-4024</t>
        </is>
      </c>
      <c r="K3243" t="inlineStr">
        <is>
          <t>SPADE SHOVEL</t>
        </is>
      </c>
      <c r="L3243" t="n">
        <v>2</v>
      </c>
      <c r="M3243" t="n">
        <v>49.22</v>
      </c>
      <c r="N3243" t="inlineStr">
        <is>
          <t>PO:COMMIT</t>
        </is>
      </c>
      <c r="O3243" t="inlineStr">
        <is>
          <t>13089</t>
        </is>
      </c>
      <c r="P3243" t="inlineStr">
        <is>
          <t>PSS INDUSTRIAL GROUP</t>
        </is>
      </c>
      <c r="Q3243" s="114" t="n">
        <v>0</v>
      </c>
      <c r="R3243" s="114" t="n">
        <v>0</v>
      </c>
      <c r="S3243" s="114" t="n">
        <v>49.22</v>
      </c>
      <c r="T3243" t="n">
        <v>0</v>
      </c>
    </row>
    <row r="3244">
      <c r="A3244" t="inlineStr">
        <is>
          <t>ttJTrans</t>
        </is>
      </c>
      <c r="B3244" s="38" t="inlineStr">
        <is>
          <t>0-4024</t>
        </is>
      </c>
      <c r="C3244" t="inlineStr">
        <is>
          <t>OC</t>
        </is>
      </c>
      <c r="D3244" t="inlineStr">
        <is>
          <t>MA1009906</t>
        </is>
      </c>
      <c r="E3244" t="inlineStr">
        <is>
          <t>OC</t>
        </is>
      </c>
      <c r="F3244" t="inlineStr">
        <is>
          <t>MA1009906</t>
        </is>
      </c>
      <c r="G3244" s="128" t="n">
        <v>46053</v>
      </c>
      <c r="H3244" s="127" t="n">
        <v>46053</v>
      </c>
      <c r="I3244" t="inlineStr">
        <is>
          <t>21</t>
        </is>
      </c>
      <c r="J3244" s="38" t="inlineStr">
        <is>
          <t>0-4024</t>
        </is>
      </c>
      <c r="K3244" t="inlineStr">
        <is>
          <t>ROUND SHOVEL</t>
        </is>
      </c>
      <c r="L3244" t="n">
        <v>2</v>
      </c>
      <c r="M3244" t="n">
        <v>33.5</v>
      </c>
      <c r="N3244" t="inlineStr">
        <is>
          <t>PO:COMMIT</t>
        </is>
      </c>
      <c r="O3244" t="inlineStr">
        <is>
          <t>13089</t>
        </is>
      </c>
      <c r="P3244" t="inlineStr">
        <is>
          <t>PSS INDUSTRIAL GROUP</t>
        </is>
      </c>
      <c r="Q3244" s="114" t="n">
        <v>0</v>
      </c>
      <c r="R3244" s="114" t="n">
        <v>0</v>
      </c>
      <c r="S3244" s="114" t="n">
        <v>33.5</v>
      </c>
      <c r="T3244" t="n">
        <v>0</v>
      </c>
    </row>
    <row r="3245">
      <c r="A3245" t="inlineStr">
        <is>
          <t>ttJTrans</t>
        </is>
      </c>
      <c r="B3245" s="38" t="inlineStr">
        <is>
          <t>0-4024</t>
        </is>
      </c>
      <c r="C3245" t="inlineStr">
        <is>
          <t>OC</t>
        </is>
      </c>
      <c r="D3245" t="inlineStr">
        <is>
          <t>MA1009906</t>
        </is>
      </c>
      <c r="E3245" t="inlineStr">
        <is>
          <t>OC</t>
        </is>
      </c>
      <c r="F3245" t="inlineStr">
        <is>
          <t>MA1009906</t>
        </is>
      </c>
      <c r="G3245" s="128" t="n">
        <v>46053</v>
      </c>
      <c r="H3245" s="127" t="n">
        <v>46053</v>
      </c>
      <c r="I3245" t="inlineStr">
        <is>
          <t>20</t>
        </is>
      </c>
      <c r="J3245" s="38" t="inlineStr">
        <is>
          <t>0-4024</t>
        </is>
      </c>
      <c r="K3245" t="inlineStr">
        <is>
          <t>100FT REEL</t>
        </is>
      </c>
      <c r="L3245" t="n">
        <v>1</v>
      </c>
      <c r="M3245" t="n">
        <v>31.95</v>
      </c>
      <c r="N3245" t="inlineStr">
        <is>
          <t>PO:COMMIT</t>
        </is>
      </c>
      <c r="O3245" t="inlineStr">
        <is>
          <t>13089</t>
        </is>
      </c>
      <c r="P3245" t="inlineStr">
        <is>
          <t>PSS INDUSTRIAL GROUP</t>
        </is>
      </c>
      <c r="Q3245" s="114" t="n">
        <v>0</v>
      </c>
      <c r="R3245" s="114" t="n">
        <v>0</v>
      </c>
      <c r="S3245" s="114" t="n">
        <v>31.95</v>
      </c>
      <c r="T3245" t="n">
        <v>0</v>
      </c>
    </row>
    <row r="3246">
      <c r="A3246" t="inlineStr">
        <is>
          <t>ttJTrans</t>
        </is>
      </c>
      <c r="B3246" s="38" t="inlineStr">
        <is>
          <t>0-4024</t>
        </is>
      </c>
      <c r="C3246" t="inlineStr">
        <is>
          <t>OC</t>
        </is>
      </c>
      <c r="D3246" t="inlineStr">
        <is>
          <t>MA1009906</t>
        </is>
      </c>
      <c r="E3246" t="inlineStr">
        <is>
          <t>OC</t>
        </is>
      </c>
      <c r="F3246" t="inlineStr">
        <is>
          <t>MA1009906</t>
        </is>
      </c>
      <c r="G3246" s="128" t="n">
        <v>46053</v>
      </c>
      <c r="H3246" s="127" t="n">
        <v>46053</v>
      </c>
      <c r="I3246" t="inlineStr">
        <is>
          <t>8</t>
        </is>
      </c>
      <c r="J3246" s="38" t="inlineStr">
        <is>
          <t>0-4024</t>
        </is>
      </c>
      <c r="K3246" t="inlineStr">
        <is>
          <t>ORANGE SPRAY PAINT</t>
        </is>
      </c>
      <c r="L3246" t="n">
        <v>6</v>
      </c>
      <c r="M3246" t="n">
        <v>38.1</v>
      </c>
      <c r="N3246" t="inlineStr">
        <is>
          <t>INVOICE:ADJ-COMMIT</t>
        </is>
      </c>
      <c r="O3246" t="inlineStr">
        <is>
          <t>13089</t>
        </is>
      </c>
      <c r="P3246" t="inlineStr">
        <is>
          <t>PSS INDUSTRIAL GROUP</t>
        </is>
      </c>
      <c r="Q3246" s="114" t="n">
        <v>0</v>
      </c>
      <c r="R3246" s="114" t="n">
        <v>0</v>
      </c>
      <c r="S3246" s="114" t="n">
        <v>-38.1</v>
      </c>
      <c r="T3246" t="n">
        <v>0</v>
      </c>
    </row>
    <row r="3247">
      <c r="A3247" t="inlineStr">
        <is>
          <t>ttJTrans</t>
        </is>
      </c>
      <c r="B3247" s="38" t="inlineStr">
        <is>
          <t>0-4024</t>
        </is>
      </c>
      <c r="C3247" t="inlineStr">
        <is>
          <t>OC</t>
        </is>
      </c>
      <c r="D3247" t="inlineStr">
        <is>
          <t>MA1009906</t>
        </is>
      </c>
      <c r="E3247" t="inlineStr">
        <is>
          <t>OC</t>
        </is>
      </c>
      <c r="F3247" t="inlineStr">
        <is>
          <t>MA1009906</t>
        </is>
      </c>
      <c r="G3247" s="128" t="n">
        <v>46053</v>
      </c>
      <c r="H3247" s="127" t="n">
        <v>46053</v>
      </c>
      <c r="I3247" t="inlineStr">
        <is>
          <t>17</t>
        </is>
      </c>
      <c r="J3247" s="38" t="inlineStr">
        <is>
          <t>0-4024</t>
        </is>
      </c>
      <c r="K3247" t="inlineStr">
        <is>
          <t>YELLOW FLAGGING</t>
        </is>
      </c>
      <c r="L3247" t="n">
        <v>6</v>
      </c>
      <c r="M3247" t="n">
        <v>13.92</v>
      </c>
      <c r="N3247" t="inlineStr">
        <is>
          <t>INVOICE:ADJ-COMMIT</t>
        </is>
      </c>
      <c r="O3247" t="inlineStr">
        <is>
          <t>13089</t>
        </is>
      </c>
      <c r="P3247" t="inlineStr">
        <is>
          <t>PSS INDUSTRIAL GROUP</t>
        </is>
      </c>
      <c r="Q3247" s="114" t="n">
        <v>0</v>
      </c>
      <c r="R3247" s="114" t="n">
        <v>0</v>
      </c>
      <c r="S3247" s="114" t="n">
        <v>-13.92</v>
      </c>
      <c r="T3247" t="n">
        <v>0</v>
      </c>
    </row>
    <row r="3248">
      <c r="A3248" t="inlineStr">
        <is>
          <t>ttJTrans</t>
        </is>
      </c>
      <c r="B3248" s="38" t="inlineStr">
        <is>
          <t>0-4024</t>
        </is>
      </c>
      <c r="C3248" t="inlineStr">
        <is>
          <t>OC</t>
        </is>
      </c>
      <c r="D3248" t="inlineStr">
        <is>
          <t>MA1009906</t>
        </is>
      </c>
      <c r="E3248" t="inlineStr">
        <is>
          <t>OC</t>
        </is>
      </c>
      <c r="F3248" t="inlineStr">
        <is>
          <t>MA1009906</t>
        </is>
      </c>
      <c r="G3248" s="128" t="n">
        <v>46053</v>
      </c>
      <c r="H3248" s="127" t="n">
        <v>46053</v>
      </c>
      <c r="I3248" t="inlineStr">
        <is>
          <t>18</t>
        </is>
      </c>
      <c r="J3248" s="38" t="inlineStr">
        <is>
          <t>0-4024</t>
        </is>
      </c>
      <c r="K3248" t="inlineStr">
        <is>
          <t>BLACK MARKERS</t>
        </is>
      </c>
      <c r="L3248" t="n">
        <v>12</v>
      </c>
      <c r="M3248" t="n">
        <v>30.37</v>
      </c>
      <c r="N3248" t="inlineStr">
        <is>
          <t>INVOICE:ADJ-COMMIT</t>
        </is>
      </c>
      <c r="O3248" t="inlineStr">
        <is>
          <t>13089</t>
        </is>
      </c>
      <c r="P3248" t="inlineStr">
        <is>
          <t>PSS INDUSTRIAL GROUP</t>
        </is>
      </c>
      <c r="Q3248" s="114" t="n">
        <v>0</v>
      </c>
      <c r="R3248" s="114" t="n">
        <v>0</v>
      </c>
      <c r="S3248" s="114" t="n">
        <v>-30.37</v>
      </c>
      <c r="T3248" t="n">
        <v>0</v>
      </c>
    </row>
    <row r="3249">
      <c r="A3249" t="inlineStr">
        <is>
          <t>ttJTrans</t>
        </is>
      </c>
      <c r="B3249" s="38" t="inlineStr">
        <is>
          <t>0-4024</t>
        </is>
      </c>
      <c r="C3249" t="inlineStr">
        <is>
          <t>OC</t>
        </is>
      </c>
      <c r="D3249" t="inlineStr">
        <is>
          <t>MA1009906</t>
        </is>
      </c>
      <c r="E3249" t="inlineStr">
        <is>
          <t>OC</t>
        </is>
      </c>
      <c r="F3249" t="inlineStr">
        <is>
          <t>MA1009906</t>
        </is>
      </c>
      <c r="G3249" s="128" t="n">
        <v>46053</v>
      </c>
      <c r="H3249" s="127" t="n">
        <v>46053</v>
      </c>
      <c r="I3249" t="inlineStr">
        <is>
          <t>12</t>
        </is>
      </c>
      <c r="J3249" s="38" t="inlineStr">
        <is>
          <t>0-4024</t>
        </is>
      </c>
      <c r="K3249" t="inlineStr">
        <is>
          <t>YELLOW SPRAY PAINT</t>
        </is>
      </c>
      <c r="L3249" t="n">
        <v>6</v>
      </c>
      <c r="M3249" t="n">
        <v>39.16</v>
      </c>
      <c r="N3249" t="inlineStr">
        <is>
          <t>INVOICE:ADJ-COMMIT</t>
        </is>
      </c>
      <c r="O3249" t="inlineStr">
        <is>
          <t>13089</t>
        </is>
      </c>
      <c r="P3249" t="inlineStr">
        <is>
          <t>PSS INDUSTRIAL GROUP</t>
        </is>
      </c>
      <c r="Q3249" s="114" t="n">
        <v>0</v>
      </c>
      <c r="R3249" s="114" t="n">
        <v>0</v>
      </c>
      <c r="S3249" s="114" t="n">
        <v>-39.16</v>
      </c>
      <c r="T3249" t="n">
        <v>0</v>
      </c>
    </row>
    <row r="3250">
      <c r="A3250" t="inlineStr">
        <is>
          <t>ttJTrans</t>
        </is>
      </c>
      <c r="B3250" s="38" t="inlineStr">
        <is>
          <t>0-4024</t>
        </is>
      </c>
      <c r="C3250" t="inlineStr">
        <is>
          <t>OC</t>
        </is>
      </c>
      <c r="D3250" t="inlineStr">
        <is>
          <t>MA1009906</t>
        </is>
      </c>
      <c r="E3250" t="inlineStr">
        <is>
          <t>OC</t>
        </is>
      </c>
      <c r="F3250" t="inlineStr">
        <is>
          <t>MA1009906</t>
        </is>
      </c>
      <c r="G3250" s="128" t="n">
        <v>46053</v>
      </c>
      <c r="H3250" s="127" t="n">
        <v>46065</v>
      </c>
      <c r="I3250" t="inlineStr">
        <is>
          <t>1</t>
        </is>
      </c>
      <c r="J3250" s="38" t="inlineStr">
        <is>
          <t>0-4024</t>
        </is>
      </c>
      <c r="K3250" t="inlineStr">
        <is>
          <t>LATHES 3/8 X 1-1/2 X 4850 PER BUNDLE</t>
        </is>
      </c>
      <c r="L3250" t="n">
        <v>8</v>
      </c>
      <c r="M3250" t="n">
        <v>410.61</v>
      </c>
      <c r="N3250" t="inlineStr">
        <is>
          <t>INVOICE</t>
        </is>
      </c>
      <c r="O3250" t="inlineStr">
        <is>
          <t>13089</t>
        </is>
      </c>
      <c r="P3250" t="inlineStr">
        <is>
          <t>PSS INDUSTRIAL GROUP</t>
        </is>
      </c>
      <c r="Q3250" s="114" t="n">
        <v>0</v>
      </c>
      <c r="R3250" s="114" t="n">
        <v>0</v>
      </c>
      <c r="S3250" s="114" t="n">
        <v>0</v>
      </c>
      <c r="T3250" t="n">
        <v>0</v>
      </c>
    </row>
    <row r="3251">
      <c r="A3251" t="inlineStr">
        <is>
          <t>ttJTrans</t>
        </is>
      </c>
      <c r="B3251" s="38" t="inlineStr">
        <is>
          <t>0-4024</t>
        </is>
      </c>
      <c r="C3251" t="inlineStr">
        <is>
          <t>OC</t>
        </is>
      </c>
      <c r="D3251" t="inlineStr">
        <is>
          <t>MA1009906</t>
        </is>
      </c>
      <c r="E3251" t="inlineStr">
        <is>
          <t>OC</t>
        </is>
      </c>
      <c r="F3251" t="inlineStr">
        <is>
          <t>MA1009906</t>
        </is>
      </c>
      <c r="G3251" s="128" t="n">
        <v>46053</v>
      </c>
      <c r="H3251" s="127" t="n">
        <v>46053</v>
      </c>
      <c r="I3251" t="inlineStr">
        <is>
          <t>22</t>
        </is>
      </c>
      <c r="J3251" s="38" t="inlineStr">
        <is>
          <t>0-4024</t>
        </is>
      </c>
      <c r="K3251" t="inlineStr">
        <is>
          <t>SPADE SHOVEL</t>
        </is>
      </c>
      <c r="L3251" t="n">
        <v>2</v>
      </c>
      <c r="M3251" t="n">
        <v>49.22</v>
      </c>
      <c r="N3251" t="inlineStr">
        <is>
          <t>INVOICE:ADJ-COMMIT</t>
        </is>
      </c>
      <c r="O3251" t="inlineStr">
        <is>
          <t>13089</t>
        </is>
      </c>
      <c r="P3251" t="inlineStr">
        <is>
          <t>PSS INDUSTRIAL GROUP</t>
        </is>
      </c>
      <c r="Q3251" s="114" t="n">
        <v>0</v>
      </c>
      <c r="R3251" s="114" t="n">
        <v>0</v>
      </c>
      <c r="S3251" s="114" t="n">
        <v>-49.22</v>
      </c>
      <c r="T3251" t="n">
        <v>0</v>
      </c>
    </row>
    <row r="3252">
      <c r="A3252" t="inlineStr">
        <is>
          <t>ttJTrans</t>
        </is>
      </c>
      <c r="B3252" s="38" t="inlineStr">
        <is>
          <t>0-4024</t>
        </is>
      </c>
      <c r="C3252" t="inlineStr">
        <is>
          <t>OC</t>
        </is>
      </c>
      <c r="D3252" t="inlineStr">
        <is>
          <t>MA1009906</t>
        </is>
      </c>
      <c r="E3252" t="inlineStr">
        <is>
          <t>OC</t>
        </is>
      </c>
      <c r="F3252" t="inlineStr">
        <is>
          <t>MA1009906</t>
        </is>
      </c>
      <c r="G3252" s="128" t="n">
        <v>46053</v>
      </c>
      <c r="H3252" s="127" t="n">
        <v>46053</v>
      </c>
      <c r="I3252" t="inlineStr">
        <is>
          <t>19</t>
        </is>
      </c>
      <c r="J3252" s="38" t="inlineStr">
        <is>
          <t>0-4024</t>
        </is>
      </c>
      <c r="K3252" t="inlineStr">
        <is>
          <t>25FT TAPE MEASURE</t>
        </is>
      </c>
      <c r="L3252" t="n">
        <v>2</v>
      </c>
      <c r="M3252" t="n">
        <v>27.97</v>
      </c>
      <c r="N3252" t="inlineStr">
        <is>
          <t>INVOICE:ADJ-COMMIT</t>
        </is>
      </c>
      <c r="O3252" t="inlineStr">
        <is>
          <t>13089</t>
        </is>
      </c>
      <c r="P3252" t="inlineStr">
        <is>
          <t>PSS INDUSTRIAL GROUP</t>
        </is>
      </c>
      <c r="Q3252" s="114" t="n">
        <v>0</v>
      </c>
      <c r="R3252" s="114" t="n">
        <v>0</v>
      </c>
      <c r="S3252" s="114" t="n">
        <v>-27.97</v>
      </c>
      <c r="T3252" t="n">
        <v>0</v>
      </c>
    </row>
    <row r="3253">
      <c r="A3253" t="inlineStr">
        <is>
          <t>ttJTrans</t>
        </is>
      </c>
      <c r="B3253" s="38" t="inlineStr">
        <is>
          <t>0-4024</t>
        </is>
      </c>
      <c r="C3253" t="inlineStr">
        <is>
          <t>OC</t>
        </is>
      </c>
      <c r="D3253" t="inlineStr">
        <is>
          <t>MA1009906</t>
        </is>
      </c>
      <c r="E3253" t="inlineStr">
        <is>
          <t>OC</t>
        </is>
      </c>
      <c r="F3253" t="inlineStr">
        <is>
          <t>MA1009906</t>
        </is>
      </c>
      <c r="G3253" s="128" t="n">
        <v>46053</v>
      </c>
      <c r="H3253" s="127" t="n">
        <v>46053</v>
      </c>
      <c r="I3253" t="inlineStr">
        <is>
          <t>23</t>
        </is>
      </c>
      <c r="J3253" s="38" t="inlineStr">
        <is>
          <t>0-4024</t>
        </is>
      </c>
      <c r="K3253" t="inlineStr">
        <is>
          <t>YELLOW FLAGGING STAKE PINS</t>
        </is>
      </c>
      <c r="L3253" t="n">
        <v>1</v>
      </c>
      <c r="M3253" t="n">
        <v>12.34</v>
      </c>
      <c r="N3253" t="inlineStr">
        <is>
          <t>INVOICE:ADJ-COMMIT</t>
        </is>
      </c>
      <c r="O3253" t="inlineStr">
        <is>
          <t>13089</t>
        </is>
      </c>
      <c r="P3253" t="inlineStr">
        <is>
          <t>PSS INDUSTRIAL GROUP</t>
        </is>
      </c>
      <c r="Q3253" s="114" t="n">
        <v>0</v>
      </c>
      <c r="R3253" s="114" t="n">
        <v>0</v>
      </c>
      <c r="S3253" s="114" t="n">
        <v>-12.34</v>
      </c>
      <c r="T3253" t="n">
        <v>0</v>
      </c>
    </row>
    <row r="3254">
      <c r="A3254" t="inlineStr">
        <is>
          <t>ttJTrans</t>
        </is>
      </c>
      <c r="B3254" s="38" t="inlineStr">
        <is>
          <t>0-4024</t>
        </is>
      </c>
      <c r="C3254" t="inlineStr">
        <is>
          <t>OC</t>
        </is>
      </c>
      <c r="D3254" t="inlineStr">
        <is>
          <t>MA1009906</t>
        </is>
      </c>
      <c r="E3254" t="inlineStr">
        <is>
          <t>OC</t>
        </is>
      </c>
      <c r="F3254" t="inlineStr">
        <is>
          <t>MA1009906</t>
        </is>
      </c>
      <c r="G3254" s="128" t="n">
        <v>46053</v>
      </c>
      <c r="H3254" s="127" t="n">
        <v>46065</v>
      </c>
      <c r="I3254" t="inlineStr">
        <is>
          <t>16</t>
        </is>
      </c>
      <c r="J3254" s="38" t="inlineStr">
        <is>
          <t>0-4024</t>
        </is>
      </c>
      <c r="K3254" t="inlineStr">
        <is>
          <t>GREEN FLAGGING</t>
        </is>
      </c>
      <c r="L3254" t="n">
        <v>6</v>
      </c>
      <c r="M3254" t="n">
        <v>13.72</v>
      </c>
      <c r="N3254" t="inlineStr">
        <is>
          <t>INVOICE</t>
        </is>
      </c>
      <c r="O3254" t="inlineStr">
        <is>
          <t>13089</t>
        </is>
      </c>
      <c r="P3254" t="inlineStr">
        <is>
          <t>PSS INDUSTRIAL GROUP</t>
        </is>
      </c>
      <c r="Q3254" s="114" t="n">
        <v>0</v>
      </c>
      <c r="R3254" s="114" t="n">
        <v>0</v>
      </c>
      <c r="S3254" s="114" t="n">
        <v>0</v>
      </c>
      <c r="T3254" t="n">
        <v>0</v>
      </c>
    </row>
    <row r="3255">
      <c r="A3255" t="inlineStr">
        <is>
          <t>ttJTrans</t>
        </is>
      </c>
      <c r="B3255" s="38" t="inlineStr">
        <is>
          <t>0-4024</t>
        </is>
      </c>
      <c r="C3255" t="inlineStr">
        <is>
          <t>OC</t>
        </is>
      </c>
      <c r="D3255" t="inlineStr">
        <is>
          <t>MA1009906</t>
        </is>
      </c>
      <c r="E3255" t="inlineStr">
        <is>
          <t>OC</t>
        </is>
      </c>
      <c r="F3255" t="inlineStr">
        <is>
          <t>MA1009906</t>
        </is>
      </c>
      <c r="G3255" s="128" t="n">
        <v>46053</v>
      </c>
      <c r="H3255" s="127" t="n">
        <v>46065</v>
      </c>
      <c r="I3255" t="inlineStr">
        <is>
          <t>5</t>
        </is>
      </c>
      <c r="J3255" s="38" t="inlineStr">
        <is>
          <t>0-4024</t>
        </is>
      </c>
      <c r="K3255" t="inlineStr">
        <is>
          <t>PROBE ROD HEX CARBONSTEEL 3/8''X3'</t>
        </is>
      </c>
      <c r="L3255" t="n">
        <v>2</v>
      </c>
      <c r="M3255" t="n">
        <v>28.19</v>
      </c>
      <c r="N3255" t="inlineStr">
        <is>
          <t>INVOICE</t>
        </is>
      </c>
      <c r="O3255" t="inlineStr">
        <is>
          <t>13089</t>
        </is>
      </c>
      <c r="P3255" t="inlineStr">
        <is>
          <t>PSS INDUSTRIAL GROUP</t>
        </is>
      </c>
      <c r="Q3255" s="114" t="n">
        <v>0</v>
      </c>
      <c r="R3255" s="114" t="n">
        <v>0</v>
      </c>
      <c r="S3255" s="114" t="n">
        <v>0</v>
      </c>
      <c r="T3255" t="n">
        <v>0</v>
      </c>
    </row>
    <row r="3256">
      <c r="A3256" t="inlineStr">
        <is>
          <t>ttJTrans</t>
        </is>
      </c>
      <c r="B3256" s="38" t="inlineStr">
        <is>
          <t>0-4024</t>
        </is>
      </c>
      <c r="C3256" t="inlineStr">
        <is>
          <t>OC</t>
        </is>
      </c>
      <c r="D3256" t="inlineStr">
        <is>
          <t>MA1009906</t>
        </is>
      </c>
      <c r="E3256" t="inlineStr">
        <is>
          <t>OC</t>
        </is>
      </c>
      <c r="F3256" t="inlineStr">
        <is>
          <t>MA1009906</t>
        </is>
      </c>
      <c r="G3256" s="128" t="n">
        <v>46053</v>
      </c>
      <c r="H3256" s="127" t="n">
        <v>46053</v>
      </c>
      <c r="I3256" t="inlineStr">
        <is>
          <t>21</t>
        </is>
      </c>
      <c r="J3256" s="38" t="inlineStr">
        <is>
          <t>0-4024</t>
        </is>
      </c>
      <c r="K3256" t="inlineStr">
        <is>
          <t>ROUND SHOVEL</t>
        </is>
      </c>
      <c r="L3256" t="n">
        <v>2</v>
      </c>
      <c r="M3256" t="n">
        <v>33.5</v>
      </c>
      <c r="N3256" t="inlineStr">
        <is>
          <t>INVOICE:ADJ-COMMIT</t>
        </is>
      </c>
      <c r="O3256" t="inlineStr">
        <is>
          <t>13089</t>
        </is>
      </c>
      <c r="P3256" t="inlineStr">
        <is>
          <t>PSS INDUSTRIAL GROUP</t>
        </is>
      </c>
      <c r="Q3256" s="114" t="n">
        <v>0</v>
      </c>
      <c r="R3256" s="114" t="n">
        <v>0</v>
      </c>
      <c r="S3256" s="114" t="n">
        <v>-33.5</v>
      </c>
      <c r="T3256" t="n">
        <v>0</v>
      </c>
    </row>
    <row r="3257">
      <c r="A3257" t="inlineStr">
        <is>
          <t>ttJTrans</t>
        </is>
      </c>
      <c r="B3257" s="38" t="inlineStr">
        <is>
          <t>0-4024</t>
        </is>
      </c>
      <c r="C3257" t="inlineStr">
        <is>
          <t>OC</t>
        </is>
      </c>
      <c r="D3257" t="inlineStr">
        <is>
          <t>MA1009906</t>
        </is>
      </c>
      <c r="E3257" t="inlineStr">
        <is>
          <t>OC</t>
        </is>
      </c>
      <c r="F3257" t="inlineStr">
        <is>
          <t>MA1009906</t>
        </is>
      </c>
      <c r="G3257" s="128" t="n">
        <v>46053</v>
      </c>
      <c r="H3257" s="127" t="n">
        <v>46065</v>
      </c>
      <c r="I3257" t="inlineStr">
        <is>
          <t>22</t>
        </is>
      </c>
      <c r="J3257" s="38" t="inlineStr">
        <is>
          <t>0-4024</t>
        </is>
      </c>
      <c r="K3257" t="inlineStr">
        <is>
          <t>SPADE SHOVEL</t>
        </is>
      </c>
      <c r="L3257" t="n">
        <v>2</v>
      </c>
      <c r="M3257" t="n">
        <v>49.22</v>
      </c>
      <c r="N3257" t="inlineStr">
        <is>
          <t>INVOICE</t>
        </is>
      </c>
      <c r="O3257" t="inlineStr">
        <is>
          <t>13089</t>
        </is>
      </c>
      <c r="P3257" t="inlineStr">
        <is>
          <t>PSS INDUSTRIAL GROUP</t>
        </is>
      </c>
      <c r="Q3257" s="114" t="n">
        <v>0</v>
      </c>
      <c r="R3257" s="114" t="n">
        <v>0</v>
      </c>
      <c r="S3257" s="114" t="n">
        <v>0</v>
      </c>
      <c r="T3257" t="n">
        <v>0</v>
      </c>
    </row>
    <row r="3258">
      <c r="A3258" t="inlineStr">
        <is>
          <t>ttJTrans</t>
        </is>
      </c>
      <c r="B3258" s="38" t="inlineStr">
        <is>
          <t>0-4024</t>
        </is>
      </c>
      <c r="C3258" t="inlineStr">
        <is>
          <t>OC</t>
        </is>
      </c>
      <c r="D3258" t="inlineStr">
        <is>
          <t>MA1009906</t>
        </is>
      </c>
      <c r="E3258" t="inlineStr">
        <is>
          <t>OC</t>
        </is>
      </c>
      <c r="F3258" t="inlineStr">
        <is>
          <t>MA1009906</t>
        </is>
      </c>
      <c r="G3258" s="128" t="n">
        <v>46053</v>
      </c>
      <c r="H3258" s="127" t="n">
        <v>46053</v>
      </c>
      <c r="I3258" t="inlineStr">
        <is>
          <t>23</t>
        </is>
      </c>
      <c r="J3258" s="38" t="inlineStr">
        <is>
          <t>0-4024</t>
        </is>
      </c>
      <c r="K3258" t="inlineStr">
        <is>
          <t>YELLOW FLAGGING STAKE PINS</t>
        </is>
      </c>
      <c r="L3258" t="n">
        <v>1</v>
      </c>
      <c r="M3258" t="n">
        <v>12.34</v>
      </c>
      <c r="N3258" t="inlineStr">
        <is>
          <t>PO:COMMIT</t>
        </is>
      </c>
      <c r="O3258" t="inlineStr">
        <is>
          <t>13089</t>
        </is>
      </c>
      <c r="P3258" t="inlineStr">
        <is>
          <t>PSS INDUSTRIAL GROUP</t>
        </is>
      </c>
      <c r="Q3258" s="114" t="n">
        <v>0</v>
      </c>
      <c r="R3258" s="114" t="n">
        <v>0</v>
      </c>
      <c r="S3258" s="114" t="n">
        <v>12.34</v>
      </c>
      <c r="T3258" t="n">
        <v>0</v>
      </c>
    </row>
    <row r="3259">
      <c r="A3259" t="inlineStr">
        <is>
          <t>ttJTrans</t>
        </is>
      </c>
      <c r="B3259" s="38" t="inlineStr">
        <is>
          <t>0-4024</t>
        </is>
      </c>
      <c r="C3259" t="inlineStr">
        <is>
          <t>OC</t>
        </is>
      </c>
      <c r="D3259" t="inlineStr">
        <is>
          <t>MA1009906</t>
        </is>
      </c>
      <c r="E3259" t="inlineStr">
        <is>
          <t>OC</t>
        </is>
      </c>
      <c r="F3259" t="inlineStr">
        <is>
          <t>MA1009906</t>
        </is>
      </c>
      <c r="G3259" s="128" t="n">
        <v>46053</v>
      </c>
      <c r="H3259" s="127" t="n">
        <v>46053</v>
      </c>
      <c r="I3259" t="inlineStr">
        <is>
          <t>16</t>
        </is>
      </c>
      <c r="J3259" s="38" t="inlineStr">
        <is>
          <t>0-4024</t>
        </is>
      </c>
      <c r="K3259" t="inlineStr">
        <is>
          <t>GREEN FLAGGING</t>
        </is>
      </c>
      <c r="L3259" t="n">
        <v>6</v>
      </c>
      <c r="M3259" t="n">
        <v>13.72</v>
      </c>
      <c r="N3259" t="inlineStr">
        <is>
          <t>PO:COMMIT</t>
        </is>
      </c>
      <c r="O3259" t="inlineStr">
        <is>
          <t>13089</t>
        </is>
      </c>
      <c r="P3259" t="inlineStr">
        <is>
          <t>PSS INDUSTRIAL GROUP</t>
        </is>
      </c>
      <c r="Q3259" s="114" t="n">
        <v>0</v>
      </c>
      <c r="R3259" s="114" t="n">
        <v>0</v>
      </c>
      <c r="S3259" s="114" t="n">
        <v>13.72</v>
      </c>
      <c r="T3259" t="n">
        <v>0</v>
      </c>
    </row>
    <row r="3260">
      <c r="A3260" t="inlineStr">
        <is>
          <t>ttJTrans</t>
        </is>
      </c>
      <c r="B3260" s="38" t="inlineStr">
        <is>
          <t>0-4024</t>
        </is>
      </c>
      <c r="C3260" t="inlineStr">
        <is>
          <t>OC</t>
        </is>
      </c>
      <c r="D3260" t="inlineStr">
        <is>
          <t>MA1009906</t>
        </is>
      </c>
      <c r="E3260" t="inlineStr">
        <is>
          <t>OC</t>
        </is>
      </c>
      <c r="F3260" t="inlineStr">
        <is>
          <t>MA1009906</t>
        </is>
      </c>
      <c r="G3260" s="128" t="n">
        <v>46053</v>
      </c>
      <c r="H3260" s="127" t="n">
        <v>46053</v>
      </c>
      <c r="I3260" t="inlineStr">
        <is>
          <t>17</t>
        </is>
      </c>
      <c r="J3260" s="38" t="inlineStr">
        <is>
          <t>0-4024</t>
        </is>
      </c>
      <c r="K3260" t="inlineStr">
        <is>
          <t>YELLOW FLAGGING</t>
        </is>
      </c>
      <c r="L3260" t="n">
        <v>6</v>
      </c>
      <c r="M3260" t="n">
        <v>13.92</v>
      </c>
      <c r="N3260" t="inlineStr">
        <is>
          <t>PO:COMMIT</t>
        </is>
      </c>
      <c r="O3260" t="inlineStr">
        <is>
          <t>13089</t>
        </is>
      </c>
      <c r="P3260" t="inlineStr">
        <is>
          <t>PSS INDUSTRIAL GROUP</t>
        </is>
      </c>
      <c r="Q3260" s="114" t="n">
        <v>0</v>
      </c>
      <c r="R3260" s="114" t="n">
        <v>0</v>
      </c>
      <c r="S3260" s="114" t="n">
        <v>13.92</v>
      </c>
      <c r="T3260" t="n">
        <v>0</v>
      </c>
    </row>
    <row r="3261">
      <c r="A3261" t="inlineStr">
        <is>
          <t>ttJTrans</t>
        </is>
      </c>
      <c r="B3261" s="38" t="inlineStr">
        <is>
          <t>0-4024</t>
        </is>
      </c>
      <c r="C3261" t="inlineStr">
        <is>
          <t>OC</t>
        </is>
      </c>
      <c r="D3261" t="inlineStr">
        <is>
          <t>MA1009906</t>
        </is>
      </c>
      <c r="E3261" t="inlineStr">
        <is>
          <t>OC</t>
        </is>
      </c>
      <c r="F3261" t="inlineStr">
        <is>
          <t>MA1009906</t>
        </is>
      </c>
      <c r="G3261" s="128" t="n">
        <v>46053</v>
      </c>
      <c r="H3261" s="127" t="n">
        <v>46053</v>
      </c>
      <c r="I3261" t="inlineStr">
        <is>
          <t>18</t>
        </is>
      </c>
      <c r="J3261" s="38" t="inlineStr">
        <is>
          <t>0-4024</t>
        </is>
      </c>
      <c r="K3261" t="inlineStr">
        <is>
          <t>BLACK MARKERS</t>
        </is>
      </c>
      <c r="L3261" t="n">
        <v>12</v>
      </c>
      <c r="M3261" t="n">
        <v>30.37</v>
      </c>
      <c r="N3261" t="inlineStr">
        <is>
          <t>PO:COMMIT</t>
        </is>
      </c>
      <c r="O3261" t="inlineStr">
        <is>
          <t>13089</t>
        </is>
      </c>
      <c r="P3261" t="inlineStr">
        <is>
          <t>PSS INDUSTRIAL GROUP</t>
        </is>
      </c>
      <c r="Q3261" s="114" t="n">
        <v>0</v>
      </c>
      <c r="R3261" s="114" t="n">
        <v>0</v>
      </c>
      <c r="S3261" s="114" t="n">
        <v>30.37</v>
      </c>
      <c r="T3261" t="n">
        <v>0</v>
      </c>
    </row>
    <row r="3262">
      <c r="A3262" t="inlineStr">
        <is>
          <t>ttJTrans</t>
        </is>
      </c>
      <c r="B3262" s="38" t="inlineStr">
        <is>
          <t>0-4024</t>
        </is>
      </c>
      <c r="C3262" t="inlineStr">
        <is>
          <t>OC</t>
        </is>
      </c>
      <c r="D3262" t="inlineStr">
        <is>
          <t>MA1009906</t>
        </is>
      </c>
      <c r="E3262" t="inlineStr">
        <is>
          <t>OC</t>
        </is>
      </c>
      <c r="F3262" t="inlineStr">
        <is>
          <t>MA1009906</t>
        </is>
      </c>
      <c r="G3262" s="128" t="n">
        <v>46053</v>
      </c>
      <c r="H3262" s="127" t="n">
        <v>46053</v>
      </c>
      <c r="I3262" t="inlineStr">
        <is>
          <t>19</t>
        </is>
      </c>
      <c r="J3262" s="38" t="inlineStr">
        <is>
          <t>0-4024</t>
        </is>
      </c>
      <c r="K3262" t="inlineStr">
        <is>
          <t>25FT TAPE MEASURE</t>
        </is>
      </c>
      <c r="L3262" t="n">
        <v>2</v>
      </c>
      <c r="M3262" t="n">
        <v>27.97</v>
      </c>
      <c r="N3262" t="inlineStr">
        <is>
          <t>PO:COMMIT</t>
        </is>
      </c>
      <c r="O3262" t="inlineStr">
        <is>
          <t>13089</t>
        </is>
      </c>
      <c r="P3262" t="inlineStr">
        <is>
          <t>PSS INDUSTRIAL GROUP</t>
        </is>
      </c>
      <c r="Q3262" s="114" t="n">
        <v>0</v>
      </c>
      <c r="R3262" s="114" t="n">
        <v>0</v>
      </c>
      <c r="S3262" s="114" t="n">
        <v>27.97</v>
      </c>
      <c r="T3262" t="n">
        <v>0</v>
      </c>
    </row>
    <row r="3263">
      <c r="A3263" t="inlineStr">
        <is>
          <t>ttJTrans</t>
        </is>
      </c>
      <c r="B3263" s="38" t="inlineStr">
        <is>
          <t>0-4024</t>
        </is>
      </c>
      <c r="C3263" t="inlineStr">
        <is>
          <t>OC</t>
        </is>
      </c>
      <c r="D3263" t="inlineStr">
        <is>
          <t>MA1009906</t>
        </is>
      </c>
      <c r="E3263" t="inlineStr">
        <is>
          <t>OC</t>
        </is>
      </c>
      <c r="F3263" t="inlineStr">
        <is>
          <t>MA1009906</t>
        </is>
      </c>
      <c r="G3263" s="128" t="n">
        <v>46053</v>
      </c>
      <c r="H3263" s="127" t="n">
        <v>46053</v>
      </c>
      <c r="I3263" t="inlineStr">
        <is>
          <t>13</t>
        </is>
      </c>
      <c r="J3263" s="38" t="inlineStr">
        <is>
          <t>0-4024</t>
        </is>
      </c>
      <c r="K3263" t="inlineStr">
        <is>
          <t>ORANGE FLAGGING</t>
        </is>
      </c>
      <c r="L3263" t="n">
        <v>6</v>
      </c>
      <c r="M3263" t="n">
        <v>13.72</v>
      </c>
      <c r="N3263" t="inlineStr">
        <is>
          <t>PO:COMMIT</t>
        </is>
      </c>
      <c r="O3263" t="inlineStr">
        <is>
          <t>13089</t>
        </is>
      </c>
      <c r="P3263" t="inlineStr">
        <is>
          <t>PSS INDUSTRIAL GROUP</t>
        </is>
      </c>
      <c r="Q3263" s="114" t="n">
        <v>0</v>
      </c>
      <c r="R3263" s="114" t="n">
        <v>0</v>
      </c>
      <c r="S3263" s="114" t="n">
        <v>13.72</v>
      </c>
      <c r="T3263" t="n">
        <v>0</v>
      </c>
    </row>
    <row r="3264">
      <c r="A3264" t="inlineStr">
        <is>
          <t>ttJTrans</t>
        </is>
      </c>
      <c r="B3264" s="38" t="inlineStr">
        <is>
          <t>0-4024</t>
        </is>
      </c>
      <c r="C3264" t="inlineStr">
        <is>
          <t>OC</t>
        </is>
      </c>
      <c r="D3264" t="inlineStr">
        <is>
          <t>MA1009906</t>
        </is>
      </c>
      <c r="E3264" t="inlineStr">
        <is>
          <t>OC</t>
        </is>
      </c>
      <c r="F3264" t="inlineStr">
        <is>
          <t>MA1009906</t>
        </is>
      </c>
      <c r="G3264" s="128" t="n">
        <v>46053</v>
      </c>
      <c r="H3264" s="127" t="n">
        <v>46053</v>
      </c>
      <c r="I3264" t="inlineStr">
        <is>
          <t>14</t>
        </is>
      </c>
      <c r="J3264" s="38" t="inlineStr">
        <is>
          <t>0-4024</t>
        </is>
      </c>
      <c r="K3264" t="inlineStr">
        <is>
          <t>RED FLAGGING</t>
        </is>
      </c>
      <c r="L3264" t="n">
        <v>6</v>
      </c>
      <c r="M3264" t="n">
        <v>13.72</v>
      </c>
      <c r="N3264" t="inlineStr">
        <is>
          <t>PO:COMMIT</t>
        </is>
      </c>
      <c r="O3264" t="inlineStr">
        <is>
          <t>13089</t>
        </is>
      </c>
      <c r="P3264" t="inlineStr">
        <is>
          <t>PSS INDUSTRIAL GROUP</t>
        </is>
      </c>
      <c r="Q3264" s="114" t="n">
        <v>0</v>
      </c>
      <c r="R3264" s="114" t="n">
        <v>0</v>
      </c>
      <c r="S3264" s="114" t="n">
        <v>13.72</v>
      </c>
      <c r="T3264" t="n">
        <v>0</v>
      </c>
    </row>
    <row r="3265">
      <c r="A3265" t="inlineStr">
        <is>
          <t>ttJTrans</t>
        </is>
      </c>
      <c r="B3265" s="38" t="inlineStr">
        <is>
          <t>0-4024</t>
        </is>
      </c>
      <c r="C3265" t="inlineStr">
        <is>
          <t>OC</t>
        </is>
      </c>
      <c r="D3265" t="inlineStr">
        <is>
          <t>MA1009906</t>
        </is>
      </c>
      <c r="E3265" t="inlineStr">
        <is>
          <t>OC</t>
        </is>
      </c>
      <c r="F3265" t="inlineStr">
        <is>
          <t>MA1009906</t>
        </is>
      </c>
      <c r="G3265" s="128" t="n">
        <v>46053</v>
      </c>
      <c r="H3265" s="127" t="n">
        <v>46053</v>
      </c>
      <c r="I3265" t="inlineStr">
        <is>
          <t>15</t>
        </is>
      </c>
      <c r="J3265" s="38" t="inlineStr">
        <is>
          <t>0-4024</t>
        </is>
      </c>
      <c r="K3265" t="inlineStr">
        <is>
          <t>BLUE FLAGGING</t>
        </is>
      </c>
      <c r="L3265" t="n">
        <v>6</v>
      </c>
      <c r="M3265" t="n">
        <v>13.72</v>
      </c>
      <c r="N3265" t="inlineStr">
        <is>
          <t>PO:COMMIT</t>
        </is>
      </c>
      <c r="O3265" t="inlineStr">
        <is>
          <t>13089</t>
        </is>
      </c>
      <c r="P3265" t="inlineStr">
        <is>
          <t>PSS INDUSTRIAL GROUP</t>
        </is>
      </c>
      <c r="Q3265" s="114" t="n">
        <v>0</v>
      </c>
      <c r="R3265" s="114" t="n">
        <v>0</v>
      </c>
      <c r="S3265" s="114" t="n">
        <v>13.72</v>
      </c>
      <c r="T3265" t="n">
        <v>0</v>
      </c>
    </row>
    <row r="3266">
      <c r="A3266" t="inlineStr">
        <is>
          <t>ttJTrans</t>
        </is>
      </c>
      <c r="B3266" s="38" t="inlineStr">
        <is>
          <t>0-4024</t>
        </is>
      </c>
      <c r="C3266" t="inlineStr">
        <is>
          <t>OC</t>
        </is>
      </c>
      <c r="D3266" t="inlineStr">
        <is>
          <t>MA1009906</t>
        </is>
      </c>
      <c r="E3266" t="inlineStr">
        <is>
          <t>OC</t>
        </is>
      </c>
      <c r="F3266" t="inlineStr">
        <is>
          <t>MA1009906</t>
        </is>
      </c>
      <c r="G3266" s="128" t="n">
        <v>46053</v>
      </c>
      <c r="H3266" s="127" t="n">
        <v>46053</v>
      </c>
      <c r="I3266" t="inlineStr">
        <is>
          <t>9</t>
        </is>
      </c>
      <c r="J3266" s="38" t="inlineStr">
        <is>
          <t>0-4024</t>
        </is>
      </c>
      <c r="K3266" t="inlineStr">
        <is>
          <t>RED SPRAY PAINT</t>
        </is>
      </c>
      <c r="L3266" t="n">
        <v>6</v>
      </c>
      <c r="M3266" t="n">
        <v>39.16</v>
      </c>
      <c r="N3266" t="inlineStr">
        <is>
          <t>PO:COMMIT</t>
        </is>
      </c>
      <c r="O3266" t="inlineStr">
        <is>
          <t>13089</t>
        </is>
      </c>
      <c r="P3266" t="inlineStr">
        <is>
          <t>PSS INDUSTRIAL GROUP</t>
        </is>
      </c>
      <c r="Q3266" s="114" t="n">
        <v>0</v>
      </c>
      <c r="R3266" s="114" t="n">
        <v>0</v>
      </c>
      <c r="S3266" s="114" t="n">
        <v>39.16</v>
      </c>
      <c r="T3266" t="n">
        <v>0</v>
      </c>
    </row>
    <row r="3267">
      <c r="A3267" t="inlineStr">
        <is>
          <t>ttJTrans</t>
        </is>
      </c>
      <c r="B3267" s="38" t="inlineStr">
        <is>
          <t>0-4024</t>
        </is>
      </c>
      <c r="C3267" t="inlineStr">
        <is>
          <t>OC</t>
        </is>
      </c>
      <c r="D3267" t="inlineStr">
        <is>
          <t>MA1009906</t>
        </is>
      </c>
      <c r="E3267" t="inlineStr">
        <is>
          <t>OC</t>
        </is>
      </c>
      <c r="F3267" t="inlineStr">
        <is>
          <t>MA1009906</t>
        </is>
      </c>
      <c r="G3267" s="128" t="n">
        <v>46053</v>
      </c>
      <c r="H3267" s="127" t="n">
        <v>46053</v>
      </c>
      <c r="I3267" t="inlineStr">
        <is>
          <t>10</t>
        </is>
      </c>
      <c r="J3267" s="38" t="inlineStr">
        <is>
          <t>0-4024</t>
        </is>
      </c>
      <c r="K3267" t="inlineStr">
        <is>
          <t>GREEN SPRAY PAINT</t>
        </is>
      </c>
      <c r="L3267" t="n">
        <v>6</v>
      </c>
      <c r="M3267" t="n">
        <v>39.16</v>
      </c>
      <c r="N3267" t="inlineStr">
        <is>
          <t>PO:COMMIT</t>
        </is>
      </c>
      <c r="O3267" t="inlineStr">
        <is>
          <t>13089</t>
        </is>
      </c>
      <c r="P3267" t="inlineStr">
        <is>
          <t>PSS INDUSTRIAL GROUP</t>
        </is>
      </c>
      <c r="Q3267" s="114" t="n">
        <v>0</v>
      </c>
      <c r="R3267" s="114" t="n">
        <v>0</v>
      </c>
      <c r="S3267" s="114" t="n">
        <v>39.16</v>
      </c>
      <c r="T3267" t="n">
        <v>0</v>
      </c>
    </row>
    <row r="3268">
      <c r="A3268" t="inlineStr">
        <is>
          <t>ttJTrans</t>
        </is>
      </c>
      <c r="B3268" s="38" t="inlineStr">
        <is>
          <t>0-4024</t>
        </is>
      </c>
      <c r="C3268" t="inlineStr">
        <is>
          <t>OC</t>
        </is>
      </c>
      <c r="D3268" t="inlineStr">
        <is>
          <t>MA1009906</t>
        </is>
      </c>
      <c r="E3268" t="inlineStr">
        <is>
          <t>OC</t>
        </is>
      </c>
      <c r="F3268" t="inlineStr">
        <is>
          <t>MA1009906</t>
        </is>
      </c>
      <c r="G3268" s="128" t="n">
        <v>46053</v>
      </c>
      <c r="H3268" s="127" t="n">
        <v>46053</v>
      </c>
      <c r="I3268" t="inlineStr">
        <is>
          <t>11</t>
        </is>
      </c>
      <c r="J3268" s="38" t="inlineStr">
        <is>
          <t>0-4024</t>
        </is>
      </c>
      <c r="K3268" t="inlineStr">
        <is>
          <t>BLUE SPRAY PAINT</t>
        </is>
      </c>
      <c r="L3268" t="n">
        <v>6</v>
      </c>
      <c r="M3268" t="n">
        <v>39.16</v>
      </c>
      <c r="N3268" t="inlineStr">
        <is>
          <t>PO:COMMIT</t>
        </is>
      </c>
      <c r="O3268" t="inlineStr">
        <is>
          <t>13089</t>
        </is>
      </c>
      <c r="P3268" t="inlineStr">
        <is>
          <t>PSS INDUSTRIAL GROUP</t>
        </is>
      </c>
      <c r="Q3268" s="114" t="n">
        <v>0</v>
      </c>
      <c r="R3268" s="114" t="n">
        <v>0</v>
      </c>
      <c r="S3268" s="114" t="n">
        <v>39.16</v>
      </c>
      <c r="T3268" t="n">
        <v>0</v>
      </c>
    </row>
    <row r="3269">
      <c r="A3269" t="inlineStr">
        <is>
          <t>ttJTrans</t>
        </is>
      </c>
      <c r="B3269" s="38" t="inlineStr">
        <is>
          <t>0-4024</t>
        </is>
      </c>
      <c r="C3269" t="inlineStr">
        <is>
          <t>OC</t>
        </is>
      </c>
      <c r="D3269" t="inlineStr">
        <is>
          <t>MA1009906</t>
        </is>
      </c>
      <c r="E3269" t="inlineStr">
        <is>
          <t>OC</t>
        </is>
      </c>
      <c r="F3269" t="inlineStr">
        <is>
          <t>MA1009906</t>
        </is>
      </c>
      <c r="G3269" s="128" t="n">
        <v>46053</v>
      </c>
      <c r="H3269" s="127" t="n">
        <v>46053</v>
      </c>
      <c r="I3269" t="inlineStr">
        <is>
          <t>12</t>
        </is>
      </c>
      <c r="J3269" s="38" t="inlineStr">
        <is>
          <t>0-4024</t>
        </is>
      </c>
      <c r="K3269" t="inlineStr">
        <is>
          <t>YELLOW SPRAY PAINT</t>
        </is>
      </c>
      <c r="L3269" t="n">
        <v>6</v>
      </c>
      <c r="M3269" t="n">
        <v>39.16</v>
      </c>
      <c r="N3269" t="inlineStr">
        <is>
          <t>PO:COMMIT</t>
        </is>
      </c>
      <c r="O3269" t="inlineStr">
        <is>
          <t>13089</t>
        </is>
      </c>
      <c r="P3269" t="inlineStr">
        <is>
          <t>PSS INDUSTRIAL GROUP</t>
        </is>
      </c>
      <c r="Q3269" s="114" t="n">
        <v>0</v>
      </c>
      <c r="R3269" s="114" t="n">
        <v>0</v>
      </c>
      <c r="S3269" s="114" t="n">
        <v>39.16</v>
      </c>
      <c r="T3269" t="n">
        <v>0</v>
      </c>
    </row>
    <row r="3270">
      <c r="A3270" t="inlineStr">
        <is>
          <t>ttJTrans</t>
        </is>
      </c>
      <c r="B3270" s="38" t="inlineStr">
        <is>
          <t>0-4024</t>
        </is>
      </c>
      <c r="C3270" t="inlineStr">
        <is>
          <t>OC</t>
        </is>
      </c>
      <c r="D3270" t="inlineStr">
        <is>
          <t>MA1009906</t>
        </is>
      </c>
      <c r="E3270" t="inlineStr">
        <is>
          <t>OC</t>
        </is>
      </c>
      <c r="F3270" t="inlineStr">
        <is>
          <t>MA1009906</t>
        </is>
      </c>
      <c r="G3270" s="128" t="n">
        <v>46053</v>
      </c>
      <c r="H3270" s="127" t="n">
        <v>46053</v>
      </c>
      <c r="I3270" t="inlineStr">
        <is>
          <t>5</t>
        </is>
      </c>
      <c r="J3270" s="38" t="inlineStr">
        <is>
          <t>0-4024</t>
        </is>
      </c>
      <c r="K3270" t="inlineStr">
        <is>
          <t>PROBE ROD HEX CARBONSTEEL 3/8''X3'</t>
        </is>
      </c>
      <c r="L3270" t="n">
        <v>2</v>
      </c>
      <c r="M3270" t="n">
        <v>28.19</v>
      </c>
      <c r="N3270" t="inlineStr">
        <is>
          <t>PO:COMMIT</t>
        </is>
      </c>
      <c r="O3270" t="inlineStr">
        <is>
          <t>13089</t>
        </is>
      </c>
      <c r="P3270" t="inlineStr">
        <is>
          <t>PSS INDUSTRIAL GROUP</t>
        </is>
      </c>
      <c r="Q3270" s="114" t="n">
        <v>0</v>
      </c>
      <c r="R3270" s="114" t="n">
        <v>0</v>
      </c>
      <c r="S3270" s="114" t="n">
        <v>28.19</v>
      </c>
      <c r="T3270" t="n">
        <v>0</v>
      </c>
    </row>
    <row r="3271">
      <c r="A3271" t="inlineStr">
        <is>
          <t>ttJTrans</t>
        </is>
      </c>
      <c r="B3271" s="38" t="inlineStr">
        <is>
          <t>0-4024</t>
        </is>
      </c>
      <c r="C3271" t="inlineStr">
        <is>
          <t>OC</t>
        </is>
      </c>
      <c r="D3271" t="inlineStr">
        <is>
          <t>MA1009906</t>
        </is>
      </c>
      <c r="E3271" t="inlineStr">
        <is>
          <t>OC</t>
        </is>
      </c>
      <c r="F3271" t="inlineStr">
        <is>
          <t>MA1009906</t>
        </is>
      </c>
      <c r="G3271" s="128" t="n">
        <v>46053</v>
      </c>
      <c r="H3271" s="127" t="n">
        <v>46053</v>
      </c>
      <c r="I3271" t="inlineStr">
        <is>
          <t>6</t>
        </is>
      </c>
      <c r="J3271" s="38" t="inlineStr">
        <is>
          <t>0-4024</t>
        </is>
      </c>
      <c r="K3271" t="inlineStr">
        <is>
          <t>TIP 3/8'' PROBE ROD</t>
        </is>
      </c>
      <c r="L3271" t="n">
        <v>2</v>
      </c>
      <c r="M3271" t="n">
        <v>26.64</v>
      </c>
      <c r="N3271" t="inlineStr">
        <is>
          <t>PO:COMMIT</t>
        </is>
      </c>
      <c r="O3271" t="inlineStr">
        <is>
          <t>13089</t>
        </is>
      </c>
      <c r="P3271" t="inlineStr">
        <is>
          <t>PSS INDUSTRIAL GROUP</t>
        </is>
      </c>
      <c r="Q3271" s="114" t="n">
        <v>0</v>
      </c>
      <c r="R3271" s="114" t="n">
        <v>0</v>
      </c>
      <c r="S3271" s="114" t="n">
        <v>26.64</v>
      </c>
      <c r="T3271" t="n">
        <v>0</v>
      </c>
    </row>
    <row r="3272">
      <c r="A3272" t="inlineStr">
        <is>
          <t>ttJTrans</t>
        </is>
      </c>
      <c r="B3272" s="38" t="inlineStr">
        <is>
          <t>0-4024</t>
        </is>
      </c>
      <c r="C3272" t="inlineStr">
        <is>
          <t>OC</t>
        </is>
      </c>
      <c r="D3272" t="inlineStr">
        <is>
          <t>MA1009906</t>
        </is>
      </c>
      <c r="E3272" t="inlineStr">
        <is>
          <t>OC</t>
        </is>
      </c>
      <c r="F3272" t="inlineStr">
        <is>
          <t>MA1009906</t>
        </is>
      </c>
      <c r="G3272" s="128" t="n">
        <v>46053</v>
      </c>
      <c r="H3272" s="127" t="n">
        <v>46053</v>
      </c>
      <c r="I3272" t="inlineStr">
        <is>
          <t>7</t>
        </is>
      </c>
      <c r="J3272" s="38" t="inlineStr">
        <is>
          <t>0-4024</t>
        </is>
      </c>
      <c r="K3272" t="inlineStr">
        <is>
          <t>PROBE ROD MIGHTY ROUNDTIP 3/8''</t>
        </is>
      </c>
      <c r="L3272" t="n">
        <v>2</v>
      </c>
      <c r="M3272" t="n">
        <v>14.52</v>
      </c>
      <c r="N3272" t="inlineStr">
        <is>
          <t>PO:COMMIT</t>
        </is>
      </c>
      <c r="O3272" t="inlineStr">
        <is>
          <t>13089</t>
        </is>
      </c>
      <c r="P3272" t="inlineStr">
        <is>
          <t>PSS INDUSTRIAL GROUP</t>
        </is>
      </c>
      <c r="Q3272" s="114" t="n">
        <v>0</v>
      </c>
      <c r="R3272" s="114" t="n">
        <v>0</v>
      </c>
      <c r="S3272" s="114" t="n">
        <v>14.52</v>
      </c>
      <c r="T3272" t="n">
        <v>0</v>
      </c>
    </row>
    <row r="3273">
      <c r="A3273" t="inlineStr">
        <is>
          <t>ttJTrans</t>
        </is>
      </c>
      <c r="B3273" s="38" t="inlineStr">
        <is>
          <t>0-4024</t>
        </is>
      </c>
      <c r="C3273" t="inlineStr">
        <is>
          <t>OC</t>
        </is>
      </c>
      <c r="D3273" t="inlineStr">
        <is>
          <t>MA1009906</t>
        </is>
      </c>
      <c r="E3273" t="inlineStr">
        <is>
          <t>OC</t>
        </is>
      </c>
      <c r="F3273" t="inlineStr">
        <is>
          <t>MA1009906</t>
        </is>
      </c>
      <c r="G3273" s="128" t="n">
        <v>46053</v>
      </c>
      <c r="H3273" s="127" t="n">
        <v>46053</v>
      </c>
      <c r="I3273" t="inlineStr">
        <is>
          <t>8</t>
        </is>
      </c>
      <c r="J3273" s="38" t="inlineStr">
        <is>
          <t>0-4024</t>
        </is>
      </c>
      <c r="K3273" t="inlineStr">
        <is>
          <t>ORANGE SPRAY PAINT</t>
        </is>
      </c>
      <c r="L3273" t="n">
        <v>6</v>
      </c>
      <c r="M3273" t="n">
        <v>38.1</v>
      </c>
      <c r="N3273" t="inlineStr">
        <is>
          <t>PO:COMMIT</t>
        </is>
      </c>
      <c r="O3273" t="inlineStr">
        <is>
          <t>13089</t>
        </is>
      </c>
      <c r="P3273" t="inlineStr">
        <is>
          <t>PSS INDUSTRIAL GROUP</t>
        </is>
      </c>
      <c r="Q3273" s="114" t="n">
        <v>0</v>
      </c>
      <c r="R3273" s="114" t="n">
        <v>0</v>
      </c>
      <c r="S3273" s="114" t="n">
        <v>38.1</v>
      </c>
      <c r="T3273" t="n">
        <v>0</v>
      </c>
    </row>
    <row r="3274">
      <c r="A3274" t="inlineStr">
        <is>
          <t>ttJTrans</t>
        </is>
      </c>
      <c r="B3274" s="38" t="inlineStr">
        <is>
          <t>0-4024</t>
        </is>
      </c>
      <c r="C3274" t="inlineStr">
        <is>
          <t>OC</t>
        </is>
      </c>
      <c r="D3274" t="inlineStr">
        <is>
          <t>MA1009906</t>
        </is>
      </c>
      <c r="E3274" t="inlineStr">
        <is>
          <t>OC</t>
        </is>
      </c>
      <c r="F3274" t="inlineStr">
        <is>
          <t>MA1009906</t>
        </is>
      </c>
      <c r="G3274" s="128" t="n">
        <v>46053</v>
      </c>
      <c r="H3274" s="127" t="n">
        <v>46053</v>
      </c>
      <c r="I3274" t="inlineStr">
        <is>
          <t>1</t>
        </is>
      </c>
      <c r="J3274" s="38" t="inlineStr">
        <is>
          <t>0-4024</t>
        </is>
      </c>
      <c r="K3274" t="inlineStr">
        <is>
          <t>LATHES 3/8 X 1-1/2 X 4850 PER BUNDLE</t>
        </is>
      </c>
      <c r="L3274" t="n">
        <v>8</v>
      </c>
      <c r="M3274" t="n">
        <v>410.61</v>
      </c>
      <c r="N3274" t="inlineStr">
        <is>
          <t>PO:COMMIT</t>
        </is>
      </c>
      <c r="O3274" t="inlineStr">
        <is>
          <t>13089</t>
        </is>
      </c>
      <c r="P3274" t="inlineStr">
        <is>
          <t>PSS INDUSTRIAL GROUP</t>
        </is>
      </c>
      <c r="Q3274" s="114" t="n">
        <v>0</v>
      </c>
      <c r="R3274" s="114" t="n">
        <v>0</v>
      </c>
      <c r="S3274" s="114" t="n">
        <v>410.61</v>
      </c>
      <c r="T3274" t="n">
        <v>0</v>
      </c>
    </row>
    <row r="3275">
      <c r="A3275" t="inlineStr">
        <is>
          <t>ttJTrans</t>
        </is>
      </c>
      <c r="B3275" s="38" t="inlineStr">
        <is>
          <t>0-4024</t>
        </is>
      </c>
      <c r="C3275" t="inlineStr">
        <is>
          <t>OC</t>
        </is>
      </c>
      <c r="D3275" t="inlineStr">
        <is>
          <t>MA1009906</t>
        </is>
      </c>
      <c r="E3275" t="inlineStr">
        <is>
          <t>OC</t>
        </is>
      </c>
      <c r="F3275" t="inlineStr">
        <is>
          <t>MA1009906</t>
        </is>
      </c>
      <c r="G3275" s="128" t="n">
        <v>46053</v>
      </c>
      <c r="H3275" s="127" t="n">
        <v>46053</v>
      </c>
      <c r="I3275" t="inlineStr">
        <is>
          <t>2</t>
        </is>
      </c>
      <c r="J3275" s="38" t="inlineStr">
        <is>
          <t>0-4024</t>
        </is>
      </c>
      <c r="K3275" t="inlineStr">
        <is>
          <t>PROBE ROD</t>
        </is>
      </c>
      <c r="L3275" t="n">
        <v>2</v>
      </c>
      <c r="M3275" t="n">
        <v>154.71</v>
      </c>
      <c r="N3275" t="inlineStr">
        <is>
          <t>PO:COMMIT</t>
        </is>
      </c>
      <c r="O3275" t="inlineStr">
        <is>
          <t>13089</t>
        </is>
      </c>
      <c r="P3275" t="inlineStr">
        <is>
          <t>PSS INDUSTRIAL GROUP</t>
        </is>
      </c>
      <c r="Q3275" s="114" t="n">
        <v>0</v>
      </c>
      <c r="R3275" s="114" t="n">
        <v>0</v>
      </c>
      <c r="S3275" s="114" t="n">
        <v>154.71</v>
      </c>
      <c r="T3275" t="n">
        <v>0</v>
      </c>
    </row>
    <row r="3276">
      <c r="A3276" t="inlineStr">
        <is>
          <t>ttJTrans</t>
        </is>
      </c>
      <c r="B3276" s="38" t="inlineStr">
        <is>
          <t>0-4024</t>
        </is>
      </c>
      <c r="C3276" t="inlineStr">
        <is>
          <t>OC</t>
        </is>
      </c>
      <c r="D3276" t="inlineStr">
        <is>
          <t>MA1009906</t>
        </is>
      </c>
      <c r="E3276" t="inlineStr">
        <is>
          <t>OC</t>
        </is>
      </c>
      <c r="F3276" t="inlineStr">
        <is>
          <t>MA1009906</t>
        </is>
      </c>
      <c r="G3276" s="128" t="n">
        <v>46053</v>
      </c>
      <c r="H3276" s="127" t="n">
        <v>46053</v>
      </c>
      <c r="I3276" t="inlineStr">
        <is>
          <t>3</t>
        </is>
      </c>
      <c r="J3276" s="38" t="inlineStr">
        <is>
          <t>0-4024</t>
        </is>
      </c>
      <c r="K3276" t="inlineStr">
        <is>
          <t>PROBE ROD MIGHTY 4'EXTENSION</t>
        </is>
      </c>
      <c r="L3276" t="n">
        <v>1</v>
      </c>
      <c r="M3276" t="n">
        <v>41.72</v>
      </c>
      <c r="N3276" t="inlineStr">
        <is>
          <t>PO:COMMIT</t>
        </is>
      </c>
      <c r="O3276" t="inlineStr">
        <is>
          <t>13089</t>
        </is>
      </c>
      <c r="P3276" t="inlineStr">
        <is>
          <t>PSS INDUSTRIAL GROUP</t>
        </is>
      </c>
      <c r="Q3276" s="114" t="n">
        <v>0</v>
      </c>
      <c r="R3276" s="114" t="n">
        <v>0</v>
      </c>
      <c r="S3276" s="114" t="n">
        <v>41.72</v>
      </c>
      <c r="T3276" t="n">
        <v>0</v>
      </c>
    </row>
    <row r="3277">
      <c r="A3277" t="inlineStr">
        <is>
          <t>ttJTrans</t>
        </is>
      </c>
      <c r="B3277" s="38" t="inlineStr">
        <is>
          <t>0-4024</t>
        </is>
      </c>
      <c r="C3277" t="inlineStr">
        <is>
          <t>OC</t>
        </is>
      </c>
      <c r="D3277" t="inlineStr">
        <is>
          <t>MA1009906</t>
        </is>
      </c>
      <c r="E3277" t="inlineStr">
        <is>
          <t>OC</t>
        </is>
      </c>
      <c r="F3277" t="inlineStr">
        <is>
          <t>MA1009906</t>
        </is>
      </c>
      <c r="G3277" s="128" t="n">
        <v>46053</v>
      </c>
      <c r="H3277" s="127" t="n">
        <v>46053</v>
      </c>
      <c r="I3277" t="inlineStr">
        <is>
          <t>4</t>
        </is>
      </c>
      <c r="J3277" s="38" t="inlineStr">
        <is>
          <t>0-4024</t>
        </is>
      </c>
      <c r="K3277" t="inlineStr">
        <is>
          <t>PROBE ROD MIGHTY 6'EXTENSION</t>
        </is>
      </c>
      <c r="L3277" t="n">
        <v>1</v>
      </c>
      <c r="M3277" t="n">
        <v>42.31</v>
      </c>
      <c r="N3277" t="inlineStr">
        <is>
          <t>PO:COMMIT</t>
        </is>
      </c>
      <c r="O3277" t="inlineStr">
        <is>
          <t>13089</t>
        </is>
      </c>
      <c r="P3277" t="inlineStr">
        <is>
          <t>PSS INDUSTRIAL GROUP</t>
        </is>
      </c>
      <c r="Q3277" s="114" t="n">
        <v>0</v>
      </c>
      <c r="R3277" s="114" t="n">
        <v>0</v>
      </c>
      <c r="S3277" s="114" t="n">
        <v>42.31</v>
      </c>
      <c r="T3277" t="n">
        <v>0</v>
      </c>
    </row>
    <row r="3278">
      <c r="A3278" t="inlineStr">
        <is>
          <t>ttJTrans</t>
        </is>
      </c>
      <c r="B3278" s="38" t="inlineStr">
        <is>
          <t>0-4024</t>
        </is>
      </c>
      <c r="C3278" t="inlineStr">
        <is>
          <t>OC</t>
        </is>
      </c>
      <c r="D3278" t="inlineStr">
        <is>
          <t>MA1009906</t>
        </is>
      </c>
      <c r="E3278" t="inlineStr">
        <is>
          <t>OC</t>
        </is>
      </c>
      <c r="F3278" t="inlineStr">
        <is>
          <t>MA1009906</t>
        </is>
      </c>
      <c r="G3278" s="128" t="n">
        <v>46053</v>
      </c>
      <c r="H3278" s="127" t="n">
        <v>46065</v>
      </c>
      <c r="I3278" t="inlineStr">
        <is>
          <t>20</t>
        </is>
      </c>
      <c r="J3278" s="38" t="inlineStr">
        <is>
          <t>0-4024</t>
        </is>
      </c>
      <c r="K3278" t="inlineStr">
        <is>
          <t>100FT REEL</t>
        </is>
      </c>
      <c r="L3278" t="n">
        <v>1</v>
      </c>
      <c r="M3278" t="n">
        <v>31.95</v>
      </c>
      <c r="N3278" t="inlineStr">
        <is>
          <t>INVOICE</t>
        </is>
      </c>
      <c r="O3278" t="inlineStr">
        <is>
          <t>13089</t>
        </is>
      </c>
      <c r="P3278" t="inlineStr">
        <is>
          <t>PSS INDUSTRIAL GROUP</t>
        </is>
      </c>
      <c r="Q3278" s="114" t="n">
        <v>0</v>
      </c>
      <c r="R3278" s="114" t="n">
        <v>0</v>
      </c>
      <c r="S3278" s="114" t="n">
        <v>0</v>
      </c>
      <c r="T3278" t="n">
        <v>0</v>
      </c>
    </row>
    <row r="3279">
      <c r="A3279" t="inlineStr">
        <is>
          <t>ttJTrans</t>
        </is>
      </c>
      <c r="B3279" s="38" t="inlineStr">
        <is>
          <t>0-4024</t>
        </is>
      </c>
      <c r="C3279" t="inlineStr">
        <is>
          <t>OC</t>
        </is>
      </c>
      <c r="D3279" t="inlineStr">
        <is>
          <t>MA1009906</t>
        </is>
      </c>
      <c r="E3279" t="inlineStr">
        <is>
          <t>OC</t>
        </is>
      </c>
      <c r="F3279" t="inlineStr">
        <is>
          <t>MA1009906</t>
        </is>
      </c>
      <c r="G3279" s="128" t="n">
        <v>46053</v>
      </c>
      <c r="H3279" s="127" t="n">
        <v>46065</v>
      </c>
      <c r="I3279" t="inlineStr">
        <is>
          <t>6</t>
        </is>
      </c>
      <c r="J3279" s="38" t="inlineStr">
        <is>
          <t>0-4024</t>
        </is>
      </c>
      <c r="K3279" t="inlineStr">
        <is>
          <t>TIP 3/8'' PROBE ROD</t>
        </is>
      </c>
      <c r="L3279" t="n">
        <v>2</v>
      </c>
      <c r="M3279" t="n">
        <v>26.64</v>
      </c>
      <c r="N3279" t="inlineStr">
        <is>
          <t>INVOICE</t>
        </is>
      </c>
      <c r="O3279" t="inlineStr">
        <is>
          <t>13089</t>
        </is>
      </c>
      <c r="P3279" t="inlineStr">
        <is>
          <t>PSS INDUSTRIAL GROUP</t>
        </is>
      </c>
      <c r="Q3279" s="114" t="n">
        <v>0</v>
      </c>
      <c r="R3279" s="114" t="n">
        <v>0</v>
      </c>
      <c r="S3279" s="114" t="n">
        <v>0</v>
      </c>
      <c r="T3279" t="n">
        <v>0</v>
      </c>
    </row>
    <row r="3280">
      <c r="A3280" t="inlineStr">
        <is>
          <t>ttJTrans</t>
        </is>
      </c>
      <c r="B3280" s="38" t="inlineStr">
        <is>
          <t>0-4024</t>
        </is>
      </c>
      <c r="C3280" t="inlineStr">
        <is>
          <t>OC</t>
        </is>
      </c>
      <c r="D3280" t="inlineStr">
        <is>
          <t>MA1009906</t>
        </is>
      </c>
      <c r="E3280" t="inlineStr">
        <is>
          <t>OC</t>
        </is>
      </c>
      <c r="F3280" t="inlineStr">
        <is>
          <t>MA1009906</t>
        </is>
      </c>
      <c r="G3280" s="128" t="n">
        <v>46053</v>
      </c>
      <c r="H3280" s="127" t="n">
        <v>46065</v>
      </c>
      <c r="I3280" t="inlineStr">
        <is>
          <t>23</t>
        </is>
      </c>
      <c r="J3280" s="38" t="inlineStr">
        <is>
          <t>0-4024</t>
        </is>
      </c>
      <c r="K3280" t="inlineStr">
        <is>
          <t>YELLOW FLAGGING STAKE PINS</t>
        </is>
      </c>
      <c r="L3280" t="n">
        <v>1</v>
      </c>
      <c r="M3280" t="n">
        <v>12.34</v>
      </c>
      <c r="N3280" t="inlineStr">
        <is>
          <t>INVOICE</t>
        </is>
      </c>
      <c r="O3280" t="inlineStr">
        <is>
          <t>13089</t>
        </is>
      </c>
      <c r="P3280" t="inlineStr">
        <is>
          <t>PSS INDUSTRIAL GROUP</t>
        </is>
      </c>
      <c r="Q3280" s="114" t="n">
        <v>0</v>
      </c>
      <c r="R3280" s="114" t="n">
        <v>0</v>
      </c>
      <c r="S3280" s="114" t="n">
        <v>0</v>
      </c>
      <c r="T3280" t="n">
        <v>0</v>
      </c>
    </row>
    <row r="3281">
      <c r="A3281" t="inlineStr">
        <is>
          <t>ttJTrans</t>
        </is>
      </c>
      <c r="B3281" s="38" t="inlineStr">
        <is>
          <t>0-4024</t>
        </is>
      </c>
      <c r="C3281" t="inlineStr">
        <is>
          <t>OC</t>
        </is>
      </c>
      <c r="D3281" t="inlineStr">
        <is>
          <t>MA1009906</t>
        </is>
      </c>
      <c r="E3281" t="inlineStr">
        <is>
          <t>OC</t>
        </is>
      </c>
      <c r="F3281" t="inlineStr">
        <is>
          <t>MA1009906</t>
        </is>
      </c>
      <c r="G3281" s="128" t="n">
        <v>46053</v>
      </c>
      <c r="H3281" s="127" t="n">
        <v>46065</v>
      </c>
      <c r="I3281" t="inlineStr">
        <is>
          <t>3</t>
        </is>
      </c>
      <c r="J3281" s="38" t="inlineStr">
        <is>
          <t>0-4024</t>
        </is>
      </c>
      <c r="K3281" t="inlineStr">
        <is>
          <t>PROBE ROD MIGHTY 4'EXTENSION</t>
        </is>
      </c>
      <c r="L3281" t="n">
        <v>1</v>
      </c>
      <c r="M3281" t="n">
        <v>41.72</v>
      </c>
      <c r="N3281" t="inlineStr">
        <is>
          <t>INVOICE</t>
        </is>
      </c>
      <c r="O3281" t="inlineStr">
        <is>
          <t>13089</t>
        </is>
      </c>
      <c r="P3281" t="inlineStr">
        <is>
          <t>PSS INDUSTRIAL GROUP</t>
        </is>
      </c>
      <c r="Q3281" s="114" t="n">
        <v>0</v>
      </c>
      <c r="R3281" s="114" t="n">
        <v>0</v>
      </c>
      <c r="S3281" s="114" t="n">
        <v>0</v>
      </c>
      <c r="T3281" t="n">
        <v>0</v>
      </c>
    </row>
    <row r="3282">
      <c r="A3282" t="inlineStr">
        <is>
          <t>ttJTrans</t>
        </is>
      </c>
      <c r="B3282" s="38" t="inlineStr">
        <is>
          <t>0-4024</t>
        </is>
      </c>
      <c r="C3282" t="inlineStr">
        <is>
          <t>OC</t>
        </is>
      </c>
      <c r="D3282" t="inlineStr">
        <is>
          <t>MA1009906</t>
        </is>
      </c>
      <c r="E3282" t="inlineStr">
        <is>
          <t>OC</t>
        </is>
      </c>
      <c r="F3282" t="inlineStr">
        <is>
          <t>MA1009906</t>
        </is>
      </c>
      <c r="G3282" s="128" t="n">
        <v>46053</v>
      </c>
      <c r="H3282" s="127" t="n">
        <v>46065</v>
      </c>
      <c r="I3282" t="inlineStr">
        <is>
          <t>11</t>
        </is>
      </c>
      <c r="J3282" s="38" t="inlineStr">
        <is>
          <t>0-4024</t>
        </is>
      </c>
      <c r="K3282" t="inlineStr">
        <is>
          <t>BLUE SPRAY PAINT</t>
        </is>
      </c>
      <c r="L3282" t="n">
        <v>6</v>
      </c>
      <c r="M3282" t="n">
        <v>39.16</v>
      </c>
      <c r="N3282" t="inlineStr">
        <is>
          <t>INVOICE</t>
        </is>
      </c>
      <c r="O3282" t="inlineStr">
        <is>
          <t>13089</t>
        </is>
      </c>
      <c r="P3282" t="inlineStr">
        <is>
          <t>PSS INDUSTRIAL GROUP</t>
        </is>
      </c>
      <c r="Q3282" s="114" t="n">
        <v>0</v>
      </c>
      <c r="R3282" s="114" t="n">
        <v>0</v>
      </c>
      <c r="S3282" s="114" t="n">
        <v>0</v>
      </c>
      <c r="T3282" t="n">
        <v>0</v>
      </c>
    </row>
    <row r="3283">
      <c r="A3283" t="inlineStr">
        <is>
          <t>ttJTrans</t>
        </is>
      </c>
      <c r="B3283" s="38" t="inlineStr">
        <is>
          <t>0-4024</t>
        </is>
      </c>
      <c r="C3283" t="inlineStr">
        <is>
          <t>OC</t>
        </is>
      </c>
      <c r="D3283" t="inlineStr">
        <is>
          <t>MA1009906</t>
        </is>
      </c>
      <c r="E3283" t="inlineStr">
        <is>
          <t>OC</t>
        </is>
      </c>
      <c r="F3283" t="inlineStr">
        <is>
          <t>MA1009906</t>
        </is>
      </c>
      <c r="G3283" s="128" t="n">
        <v>46053</v>
      </c>
      <c r="H3283" s="127" t="n">
        <v>46065</v>
      </c>
      <c r="I3283" t="inlineStr">
        <is>
          <t>17</t>
        </is>
      </c>
      <c r="J3283" s="38" t="inlineStr">
        <is>
          <t>0-4024</t>
        </is>
      </c>
      <c r="K3283" t="inlineStr">
        <is>
          <t>YELLOW FLAGGING</t>
        </is>
      </c>
      <c r="L3283" t="n">
        <v>6</v>
      </c>
      <c r="M3283" t="n">
        <v>13.92</v>
      </c>
      <c r="N3283" t="inlineStr">
        <is>
          <t>INVOICE</t>
        </is>
      </c>
      <c r="O3283" t="inlineStr">
        <is>
          <t>13089</t>
        </is>
      </c>
      <c r="P3283" t="inlineStr">
        <is>
          <t>PSS INDUSTRIAL GROUP</t>
        </is>
      </c>
      <c r="Q3283" s="114" t="n">
        <v>0</v>
      </c>
      <c r="R3283" s="114" t="n">
        <v>0</v>
      </c>
      <c r="S3283" s="114" t="n">
        <v>0</v>
      </c>
      <c r="T3283" t="n">
        <v>0</v>
      </c>
    </row>
    <row r="3284">
      <c r="A3284" t="inlineStr">
        <is>
          <t>ttJTrans</t>
        </is>
      </c>
      <c r="B3284" s="38" t="inlineStr">
        <is>
          <t>0-4024</t>
        </is>
      </c>
      <c r="C3284" t="inlineStr">
        <is>
          <t>OC</t>
        </is>
      </c>
      <c r="D3284" t="inlineStr">
        <is>
          <t>MA1009906</t>
        </is>
      </c>
      <c r="E3284" t="inlineStr">
        <is>
          <t>OC</t>
        </is>
      </c>
      <c r="F3284" t="inlineStr">
        <is>
          <t>MA1009906</t>
        </is>
      </c>
      <c r="G3284" s="128" t="n">
        <v>46053</v>
      </c>
      <c r="H3284" s="127" t="n">
        <v>46065</v>
      </c>
      <c r="I3284" t="inlineStr">
        <is>
          <t>8</t>
        </is>
      </c>
      <c r="J3284" s="38" t="inlineStr">
        <is>
          <t>0-4024</t>
        </is>
      </c>
      <c r="K3284" t="inlineStr">
        <is>
          <t>ORANGE SPRAY PAINT</t>
        </is>
      </c>
      <c r="L3284" t="n">
        <v>6</v>
      </c>
      <c r="M3284" t="n">
        <v>38.1</v>
      </c>
      <c r="N3284" t="inlineStr">
        <is>
          <t>INVOICE</t>
        </is>
      </c>
      <c r="O3284" t="inlineStr">
        <is>
          <t>13089</t>
        </is>
      </c>
      <c r="P3284" t="inlineStr">
        <is>
          <t>PSS INDUSTRIAL GROUP</t>
        </is>
      </c>
      <c r="Q3284" s="114" t="n">
        <v>0</v>
      </c>
      <c r="R3284" s="114" t="n">
        <v>0</v>
      </c>
      <c r="S3284" s="114" t="n">
        <v>0</v>
      </c>
      <c r="T3284" t="n">
        <v>0</v>
      </c>
    </row>
    <row r="3285">
      <c r="A3285" t="inlineStr">
        <is>
          <t>ttJTrans</t>
        </is>
      </c>
      <c r="B3285" s="38" t="inlineStr">
        <is>
          <t>0-4024</t>
        </is>
      </c>
      <c r="C3285" t="inlineStr">
        <is>
          <t>OC</t>
        </is>
      </c>
      <c r="D3285" t="inlineStr">
        <is>
          <t>MA1009906</t>
        </is>
      </c>
      <c r="E3285" t="inlineStr">
        <is>
          <t>OC</t>
        </is>
      </c>
      <c r="F3285" t="inlineStr">
        <is>
          <t>MA1009906</t>
        </is>
      </c>
      <c r="G3285" s="128" t="n">
        <v>46053</v>
      </c>
      <c r="H3285" s="127" t="n">
        <v>46065</v>
      </c>
      <c r="I3285" t="inlineStr">
        <is>
          <t>12</t>
        </is>
      </c>
      <c r="J3285" s="38" t="inlineStr">
        <is>
          <t>0-4024</t>
        </is>
      </c>
      <c r="K3285" t="inlineStr">
        <is>
          <t>YELLOW SPRAY PAINT</t>
        </is>
      </c>
      <c r="L3285" t="n">
        <v>6</v>
      </c>
      <c r="M3285" t="n">
        <v>39.16</v>
      </c>
      <c r="N3285" t="inlineStr">
        <is>
          <t>INVOICE</t>
        </is>
      </c>
      <c r="O3285" t="inlineStr">
        <is>
          <t>13089</t>
        </is>
      </c>
      <c r="P3285" t="inlineStr">
        <is>
          <t>PSS INDUSTRIAL GROUP</t>
        </is>
      </c>
      <c r="Q3285" s="114" t="n">
        <v>0</v>
      </c>
      <c r="R3285" s="114" t="n">
        <v>0</v>
      </c>
      <c r="S3285" s="114" t="n">
        <v>0</v>
      </c>
      <c r="T3285" t="n">
        <v>0</v>
      </c>
    </row>
    <row r="3286">
      <c r="A3286" t="inlineStr">
        <is>
          <t>ttJTrans</t>
        </is>
      </c>
      <c r="B3286" s="38" t="inlineStr">
        <is>
          <t>0-4024</t>
        </is>
      </c>
      <c r="C3286" t="inlineStr">
        <is>
          <t>OC</t>
        </is>
      </c>
      <c r="D3286" t="inlineStr">
        <is>
          <t>MA1009906</t>
        </is>
      </c>
      <c r="E3286" t="inlineStr">
        <is>
          <t>OC</t>
        </is>
      </c>
      <c r="F3286" t="inlineStr">
        <is>
          <t>MA1009906</t>
        </is>
      </c>
      <c r="G3286" s="128" t="n">
        <v>46053</v>
      </c>
      <c r="H3286" s="127" t="n">
        <v>46065</v>
      </c>
      <c r="I3286" t="inlineStr">
        <is>
          <t>21</t>
        </is>
      </c>
      <c r="J3286" s="38" t="inlineStr">
        <is>
          <t>0-4024</t>
        </is>
      </c>
      <c r="K3286" t="inlineStr">
        <is>
          <t>ROUND SHOVEL</t>
        </is>
      </c>
      <c r="L3286" t="n">
        <v>2</v>
      </c>
      <c r="M3286" t="n">
        <v>33.5</v>
      </c>
      <c r="N3286" t="inlineStr">
        <is>
          <t>INVOICE</t>
        </is>
      </c>
      <c r="O3286" t="inlineStr">
        <is>
          <t>13089</t>
        </is>
      </c>
      <c r="P3286" t="inlineStr">
        <is>
          <t>PSS INDUSTRIAL GROUP</t>
        </is>
      </c>
      <c r="Q3286" s="114" t="n">
        <v>0</v>
      </c>
      <c r="R3286" s="114" t="n">
        <v>0</v>
      </c>
      <c r="S3286" s="114" t="n">
        <v>0</v>
      </c>
      <c r="T3286" t="n">
        <v>0</v>
      </c>
    </row>
    <row r="3287">
      <c r="A3287" t="inlineStr">
        <is>
          <t>ttJTrans</t>
        </is>
      </c>
      <c r="B3287" s="38" t="inlineStr">
        <is>
          <t>0-4024</t>
        </is>
      </c>
      <c r="C3287" t="inlineStr">
        <is>
          <t>OC</t>
        </is>
      </c>
      <c r="D3287" t="inlineStr">
        <is>
          <t>MA1009906</t>
        </is>
      </c>
      <c r="E3287" t="inlineStr">
        <is>
          <t>OC</t>
        </is>
      </c>
      <c r="F3287" t="inlineStr">
        <is>
          <t>MA1009906</t>
        </is>
      </c>
      <c r="G3287" s="128" t="n">
        <v>46053</v>
      </c>
      <c r="H3287" s="127" t="n">
        <v>46065</v>
      </c>
      <c r="I3287" t="inlineStr">
        <is>
          <t>15</t>
        </is>
      </c>
      <c r="J3287" s="38" t="inlineStr">
        <is>
          <t>0-4024</t>
        </is>
      </c>
      <c r="K3287" t="inlineStr">
        <is>
          <t>BLUE FLAGGING</t>
        </is>
      </c>
      <c r="L3287" t="n">
        <v>6</v>
      </c>
      <c r="M3287" t="n">
        <v>13.72</v>
      </c>
      <c r="N3287" t="inlineStr">
        <is>
          <t>INVOICE</t>
        </is>
      </c>
      <c r="O3287" t="inlineStr">
        <is>
          <t>13089</t>
        </is>
      </c>
      <c r="P3287" t="inlineStr">
        <is>
          <t>PSS INDUSTRIAL GROUP</t>
        </is>
      </c>
      <c r="Q3287" s="114" t="n">
        <v>0</v>
      </c>
      <c r="R3287" s="114" t="n">
        <v>0</v>
      </c>
      <c r="S3287" s="114" t="n">
        <v>0</v>
      </c>
      <c r="T3287" t="n">
        <v>0</v>
      </c>
    </row>
    <row r="3288">
      <c r="A3288" t="inlineStr">
        <is>
          <t>ttJTrans</t>
        </is>
      </c>
      <c r="B3288" s="38" t="inlineStr">
        <is>
          <t>0-4024</t>
        </is>
      </c>
      <c r="C3288" t="inlineStr">
        <is>
          <t>OC</t>
        </is>
      </c>
      <c r="D3288" t="inlineStr">
        <is>
          <t>MA1009906</t>
        </is>
      </c>
      <c r="E3288" t="inlineStr">
        <is>
          <t>OC</t>
        </is>
      </c>
      <c r="F3288" t="inlineStr">
        <is>
          <t>MA1009906</t>
        </is>
      </c>
      <c r="G3288" s="128" t="n">
        <v>46053</v>
      </c>
      <c r="H3288" s="127" t="n">
        <v>46065</v>
      </c>
      <c r="I3288" t="inlineStr">
        <is>
          <t>9</t>
        </is>
      </c>
      <c r="J3288" s="38" t="inlineStr">
        <is>
          <t>0-4024</t>
        </is>
      </c>
      <c r="K3288" t="inlineStr">
        <is>
          <t>RED SPRAY PAINT</t>
        </is>
      </c>
      <c r="L3288" t="n">
        <v>6</v>
      </c>
      <c r="M3288" t="n">
        <v>39.16</v>
      </c>
      <c r="N3288" t="inlineStr">
        <is>
          <t>INVOICE</t>
        </is>
      </c>
      <c r="O3288" t="inlineStr">
        <is>
          <t>13089</t>
        </is>
      </c>
      <c r="P3288" t="inlineStr">
        <is>
          <t>PSS INDUSTRIAL GROUP</t>
        </is>
      </c>
      <c r="Q3288" s="114" t="n">
        <v>0</v>
      </c>
      <c r="R3288" s="114" t="n">
        <v>0</v>
      </c>
      <c r="S3288" s="114" t="n">
        <v>0</v>
      </c>
      <c r="T3288" t="n">
        <v>0</v>
      </c>
    </row>
    <row r="3289">
      <c r="A3289" t="inlineStr">
        <is>
          <t>ttJTrans</t>
        </is>
      </c>
      <c r="B3289" s="38" t="inlineStr">
        <is>
          <t>0-4024</t>
        </is>
      </c>
      <c r="C3289" t="inlineStr">
        <is>
          <t>OC</t>
        </is>
      </c>
      <c r="D3289" t="inlineStr">
        <is>
          <t>MA1009906</t>
        </is>
      </c>
      <c r="E3289" t="inlineStr">
        <is>
          <t>OC</t>
        </is>
      </c>
      <c r="F3289" t="inlineStr">
        <is>
          <t>MA1009906</t>
        </is>
      </c>
      <c r="G3289" s="128" t="n">
        <v>46053</v>
      </c>
      <c r="H3289" s="127" t="n">
        <v>46065</v>
      </c>
      <c r="I3289" t="inlineStr">
        <is>
          <t>14</t>
        </is>
      </c>
      <c r="J3289" s="38" t="inlineStr">
        <is>
          <t>0-4024</t>
        </is>
      </c>
      <c r="K3289" t="inlineStr">
        <is>
          <t>RED FLAGGING</t>
        </is>
      </c>
      <c r="L3289" t="n">
        <v>6</v>
      </c>
      <c r="M3289" t="n">
        <v>13.72</v>
      </c>
      <c r="N3289" t="inlineStr">
        <is>
          <t>INVOICE</t>
        </is>
      </c>
      <c r="O3289" t="inlineStr">
        <is>
          <t>13089</t>
        </is>
      </c>
      <c r="P3289" t="inlineStr">
        <is>
          <t>PSS INDUSTRIAL GROUP</t>
        </is>
      </c>
      <c r="Q3289" s="114" t="n">
        <v>0</v>
      </c>
      <c r="R3289" s="114" t="n">
        <v>0</v>
      </c>
      <c r="S3289" s="114" t="n">
        <v>0</v>
      </c>
      <c r="T3289" t="n">
        <v>0</v>
      </c>
    </row>
    <row r="3290">
      <c r="A3290" t="inlineStr">
        <is>
          <t>ttJTrans</t>
        </is>
      </c>
      <c r="B3290" s="38" t="inlineStr">
        <is>
          <t>0-4024</t>
        </is>
      </c>
      <c r="C3290" t="inlineStr">
        <is>
          <t>OC</t>
        </is>
      </c>
      <c r="D3290" t="inlineStr">
        <is>
          <t>MA1009906</t>
        </is>
      </c>
      <c r="E3290" t="inlineStr">
        <is>
          <t>OC</t>
        </is>
      </c>
      <c r="F3290" t="inlineStr">
        <is>
          <t>MA1009906</t>
        </is>
      </c>
      <c r="G3290" s="128" t="n">
        <v>46053</v>
      </c>
      <c r="H3290" s="127" t="n">
        <v>46065</v>
      </c>
      <c r="I3290" t="inlineStr">
        <is>
          <t>2</t>
        </is>
      </c>
      <c r="J3290" s="38" t="inlineStr">
        <is>
          <t>0-4024</t>
        </is>
      </c>
      <c r="K3290" t="inlineStr">
        <is>
          <t>PROBE ROD</t>
        </is>
      </c>
      <c r="L3290" t="n">
        <v>2</v>
      </c>
      <c r="M3290" t="n">
        <v>154.71</v>
      </c>
      <c r="N3290" t="inlineStr">
        <is>
          <t>INVOICE</t>
        </is>
      </c>
      <c r="O3290" t="inlineStr">
        <is>
          <t>13089</t>
        </is>
      </c>
      <c r="P3290" t="inlineStr">
        <is>
          <t>PSS INDUSTRIAL GROUP</t>
        </is>
      </c>
      <c r="Q3290" s="114" t="n">
        <v>0</v>
      </c>
      <c r="R3290" s="114" t="n">
        <v>0</v>
      </c>
      <c r="S3290" s="114" t="n">
        <v>0</v>
      </c>
      <c r="T3290" t="n">
        <v>0</v>
      </c>
    </row>
    <row r="3291">
      <c r="A3291" t="inlineStr">
        <is>
          <t>ttJTrans</t>
        </is>
      </c>
      <c r="B3291" s="38" t="inlineStr">
        <is>
          <t>0-4024</t>
        </is>
      </c>
      <c r="C3291" t="inlineStr">
        <is>
          <t>OC</t>
        </is>
      </c>
      <c r="D3291" t="inlineStr">
        <is>
          <t>MA1009906</t>
        </is>
      </c>
      <c r="E3291" t="inlineStr">
        <is>
          <t>OC</t>
        </is>
      </c>
      <c r="F3291" t="inlineStr">
        <is>
          <t>MA1009906</t>
        </is>
      </c>
      <c r="G3291" s="128" t="n">
        <v>46053</v>
      </c>
      <c r="H3291" s="127" t="n">
        <v>46065</v>
      </c>
      <c r="I3291" t="inlineStr">
        <is>
          <t>10</t>
        </is>
      </c>
      <c r="J3291" s="38" t="inlineStr">
        <is>
          <t>0-4024</t>
        </is>
      </c>
      <c r="K3291" t="inlineStr">
        <is>
          <t>GREEN SPRAY PAINT</t>
        </is>
      </c>
      <c r="L3291" t="n">
        <v>6</v>
      </c>
      <c r="M3291" t="n">
        <v>39.16</v>
      </c>
      <c r="N3291" t="inlineStr">
        <is>
          <t>INVOICE</t>
        </is>
      </c>
      <c r="O3291" t="inlineStr">
        <is>
          <t>13089</t>
        </is>
      </c>
      <c r="P3291" t="inlineStr">
        <is>
          <t>PSS INDUSTRIAL GROUP</t>
        </is>
      </c>
      <c r="Q3291" s="114" t="n">
        <v>0</v>
      </c>
      <c r="R3291" s="114" t="n">
        <v>0</v>
      </c>
      <c r="S3291" s="114" t="n">
        <v>0</v>
      </c>
      <c r="T3291" t="n">
        <v>0</v>
      </c>
    </row>
    <row r="3292">
      <c r="A3292" t="inlineStr">
        <is>
          <t>ttJTrans</t>
        </is>
      </c>
      <c r="B3292" s="38" t="inlineStr">
        <is>
          <t>0-4024</t>
        </is>
      </c>
      <c r="C3292" t="inlineStr">
        <is>
          <t>OC</t>
        </is>
      </c>
      <c r="D3292" t="inlineStr">
        <is>
          <t>MA1009906</t>
        </is>
      </c>
      <c r="E3292" t="inlineStr">
        <is>
          <t>OC</t>
        </is>
      </c>
      <c r="F3292" t="inlineStr">
        <is>
          <t>MA1009906</t>
        </is>
      </c>
      <c r="G3292" s="128" t="n">
        <v>46053</v>
      </c>
      <c r="H3292" s="127" t="n">
        <v>46065</v>
      </c>
      <c r="I3292" t="inlineStr">
        <is>
          <t>7</t>
        </is>
      </c>
      <c r="J3292" s="38" t="inlineStr">
        <is>
          <t>0-4024</t>
        </is>
      </c>
      <c r="K3292" t="inlineStr">
        <is>
          <t>PROBE ROD MIGHTY ROUNDTIP 3/8''</t>
        </is>
      </c>
      <c r="L3292" t="n">
        <v>2</v>
      </c>
      <c r="M3292" t="n">
        <v>14.52</v>
      </c>
      <c r="N3292" t="inlineStr">
        <is>
          <t>INVOICE</t>
        </is>
      </c>
      <c r="O3292" t="inlineStr">
        <is>
          <t>13089</t>
        </is>
      </c>
      <c r="P3292" t="inlineStr">
        <is>
          <t>PSS INDUSTRIAL GROUP</t>
        </is>
      </c>
      <c r="Q3292" s="114" t="n">
        <v>0</v>
      </c>
      <c r="R3292" s="114" t="n">
        <v>0</v>
      </c>
      <c r="S3292" s="114" t="n">
        <v>0</v>
      </c>
      <c r="T3292" t="n">
        <v>0</v>
      </c>
    </row>
    <row r="3293">
      <c r="A3293" t="inlineStr">
        <is>
          <t>ttJTrans</t>
        </is>
      </c>
      <c r="B3293" s="38" t="inlineStr">
        <is>
          <t>0-4024</t>
        </is>
      </c>
      <c r="C3293" t="inlineStr">
        <is>
          <t>OC</t>
        </is>
      </c>
      <c r="D3293" t="inlineStr">
        <is>
          <t>MA1009906</t>
        </is>
      </c>
      <c r="E3293" t="inlineStr">
        <is>
          <t>OC</t>
        </is>
      </c>
      <c r="F3293" t="inlineStr">
        <is>
          <t>MA1009906</t>
        </is>
      </c>
      <c r="G3293" s="128" t="n">
        <v>46053</v>
      </c>
      <c r="H3293" s="127" t="n">
        <v>46065</v>
      </c>
      <c r="I3293" t="inlineStr">
        <is>
          <t>19</t>
        </is>
      </c>
      <c r="J3293" s="38" t="inlineStr">
        <is>
          <t>0-4024</t>
        </is>
      </c>
      <c r="K3293" t="inlineStr">
        <is>
          <t>25FT TAPE MEASURE</t>
        </is>
      </c>
      <c r="L3293" t="n">
        <v>2</v>
      </c>
      <c r="M3293" t="n">
        <v>27.97</v>
      </c>
      <c r="N3293" t="inlineStr">
        <is>
          <t>INVOICE</t>
        </is>
      </c>
      <c r="O3293" t="inlineStr">
        <is>
          <t>13089</t>
        </is>
      </c>
      <c r="P3293" t="inlineStr">
        <is>
          <t>PSS INDUSTRIAL GROUP</t>
        </is>
      </c>
      <c r="Q3293" s="114" t="n">
        <v>0</v>
      </c>
      <c r="R3293" s="114" t="n">
        <v>0</v>
      </c>
      <c r="S3293" s="114" t="n">
        <v>0</v>
      </c>
      <c r="T3293" t="n">
        <v>0</v>
      </c>
    </row>
    <row r="3294">
      <c r="A3294" t="inlineStr">
        <is>
          <t>ttJTrans</t>
        </is>
      </c>
      <c r="B3294" s="38" t="inlineStr">
        <is>
          <t>0-4024</t>
        </is>
      </c>
      <c r="C3294" t="inlineStr">
        <is>
          <t>OC</t>
        </is>
      </c>
      <c r="D3294" t="inlineStr">
        <is>
          <t>MA1009906</t>
        </is>
      </c>
      <c r="E3294" t="inlineStr">
        <is>
          <t>OC</t>
        </is>
      </c>
      <c r="F3294" t="inlineStr">
        <is>
          <t>MA1009906</t>
        </is>
      </c>
      <c r="G3294" s="128" t="n">
        <v>46053</v>
      </c>
      <c r="H3294" s="127" t="n">
        <v>46065</v>
      </c>
      <c r="I3294" t="inlineStr">
        <is>
          <t>13</t>
        </is>
      </c>
      <c r="J3294" s="38" t="inlineStr">
        <is>
          <t>0-4024</t>
        </is>
      </c>
      <c r="K3294" t="inlineStr">
        <is>
          <t>ORANGE FLAGGING</t>
        </is>
      </c>
      <c r="L3294" t="n">
        <v>6</v>
      </c>
      <c r="M3294" t="n">
        <v>13.72</v>
      </c>
      <c r="N3294" t="inlineStr">
        <is>
          <t>INVOICE</t>
        </is>
      </c>
      <c r="O3294" t="inlineStr">
        <is>
          <t>13089</t>
        </is>
      </c>
      <c r="P3294" t="inlineStr">
        <is>
          <t>PSS INDUSTRIAL GROUP</t>
        </is>
      </c>
      <c r="Q3294" s="114" t="n">
        <v>0</v>
      </c>
      <c r="R3294" s="114" t="n">
        <v>0</v>
      </c>
      <c r="S3294" s="114" t="n">
        <v>0</v>
      </c>
      <c r="T3294" t="n">
        <v>0</v>
      </c>
    </row>
    <row r="3295">
      <c r="A3295" t="inlineStr">
        <is>
          <t>ttJTrans</t>
        </is>
      </c>
      <c r="B3295" s="38" t="inlineStr">
        <is>
          <t>0-4024</t>
        </is>
      </c>
      <c r="C3295" t="inlineStr">
        <is>
          <t>OC</t>
        </is>
      </c>
      <c r="D3295" t="inlineStr">
        <is>
          <t>MA1009906</t>
        </is>
      </c>
      <c r="E3295" t="inlineStr">
        <is>
          <t>OC</t>
        </is>
      </c>
      <c r="F3295" t="inlineStr">
        <is>
          <t>MA1009906</t>
        </is>
      </c>
      <c r="G3295" s="128" t="n">
        <v>46053</v>
      </c>
      <c r="H3295" s="127" t="n">
        <v>46065</v>
      </c>
      <c r="I3295" t="inlineStr">
        <is>
          <t>18</t>
        </is>
      </c>
      <c r="J3295" s="38" t="inlineStr">
        <is>
          <t>0-4024</t>
        </is>
      </c>
      <c r="K3295" t="inlineStr">
        <is>
          <t>BLACK MARKERS</t>
        </is>
      </c>
      <c r="L3295" t="n">
        <v>12</v>
      </c>
      <c r="M3295" t="n">
        <v>30.37</v>
      </c>
      <c r="N3295" t="inlineStr">
        <is>
          <t>INVOICE</t>
        </is>
      </c>
      <c r="O3295" t="inlineStr">
        <is>
          <t>13089</t>
        </is>
      </c>
      <c r="P3295" t="inlineStr">
        <is>
          <t>PSS INDUSTRIAL GROUP</t>
        </is>
      </c>
      <c r="Q3295" s="114" t="n">
        <v>0</v>
      </c>
      <c r="R3295" s="114" t="n">
        <v>0</v>
      </c>
      <c r="S3295" s="114" t="n">
        <v>0</v>
      </c>
      <c r="T3295" t="n">
        <v>0</v>
      </c>
    </row>
    <row r="3296">
      <c r="A3296" t="inlineStr">
        <is>
          <t>ttJTrans</t>
        </is>
      </c>
      <c r="B3296" s="38" t="inlineStr">
        <is>
          <t>0-4024</t>
        </is>
      </c>
      <c r="C3296" t="inlineStr">
        <is>
          <t>OC</t>
        </is>
      </c>
      <c r="D3296" t="inlineStr">
        <is>
          <t>MA1009914</t>
        </is>
      </c>
      <c r="E3296" t="inlineStr">
        <is>
          <t>OC</t>
        </is>
      </c>
      <c r="F3296" t="inlineStr">
        <is>
          <t>MA1009914</t>
        </is>
      </c>
      <c r="G3296" s="128" t="n">
        <v>46055</v>
      </c>
      <c r="H3296" s="127" t="n">
        <v>46055</v>
      </c>
      <c r="I3296" t="inlineStr">
        <is>
          <t>1</t>
        </is>
      </c>
      <c r="J3296" s="38" t="inlineStr">
        <is>
          <t>0-4024</t>
        </is>
      </c>
      <c r="K3296" t="inlineStr">
        <is>
          <t>48" HEAVY DUTY LATH BAG</t>
        </is>
      </c>
      <c r="L3296" t="n">
        <v>1</v>
      </c>
      <c r="M3296" t="n">
        <v>109.3</v>
      </c>
      <c r="N3296" t="inlineStr">
        <is>
          <t>INVOICE:ADJ-COMMIT</t>
        </is>
      </c>
      <c r="O3296" t="inlineStr">
        <is>
          <t>13089</t>
        </is>
      </c>
      <c r="P3296" t="inlineStr">
        <is>
          <t>PSS INDUSTRIAL GROUP</t>
        </is>
      </c>
      <c r="Q3296" s="114" t="n">
        <v>0</v>
      </c>
      <c r="R3296" s="114" t="n">
        <v>0</v>
      </c>
      <c r="S3296" s="114" t="n">
        <v>-109.3</v>
      </c>
      <c r="T3296" t="n">
        <v>0</v>
      </c>
    </row>
    <row r="3297">
      <c r="A3297" t="inlineStr">
        <is>
          <t>ttJTrans</t>
        </is>
      </c>
      <c r="B3297" s="38" t="inlineStr">
        <is>
          <t>0-4024</t>
        </is>
      </c>
      <c r="C3297" t="inlineStr">
        <is>
          <t>OC</t>
        </is>
      </c>
      <c r="D3297" t="inlineStr">
        <is>
          <t>MA1009914</t>
        </is>
      </c>
      <c r="E3297" t="inlineStr">
        <is>
          <t>OC</t>
        </is>
      </c>
      <c r="F3297" t="inlineStr">
        <is>
          <t>MA1009914</t>
        </is>
      </c>
      <c r="G3297" s="128" t="n">
        <v>46055</v>
      </c>
      <c r="H3297" s="127" t="n">
        <v>46065</v>
      </c>
      <c r="I3297" t="inlineStr">
        <is>
          <t>1</t>
        </is>
      </c>
      <c r="J3297" s="38" t="inlineStr">
        <is>
          <t>0-4024</t>
        </is>
      </c>
      <c r="K3297" t="inlineStr">
        <is>
          <t>48" HEAVY DUTY LATH BAG</t>
        </is>
      </c>
      <c r="L3297" t="n">
        <v>1</v>
      </c>
      <c r="M3297" t="n">
        <v>109.3</v>
      </c>
      <c r="N3297" t="inlineStr">
        <is>
          <t>INVOICE</t>
        </is>
      </c>
      <c r="O3297" t="inlineStr">
        <is>
          <t>13089</t>
        </is>
      </c>
      <c r="P3297" t="inlineStr">
        <is>
          <t>PSS INDUSTRIAL GROUP</t>
        </is>
      </c>
      <c r="Q3297" s="114" t="n">
        <v>0</v>
      </c>
      <c r="R3297" s="114" t="n">
        <v>0</v>
      </c>
      <c r="S3297" s="114" t="n">
        <v>0</v>
      </c>
      <c r="T3297" t="n">
        <v>0</v>
      </c>
    </row>
    <row r="3298">
      <c r="A3298" t="inlineStr">
        <is>
          <t>ttJTrans</t>
        </is>
      </c>
      <c r="B3298" s="38" t="inlineStr">
        <is>
          <t>0-4024</t>
        </is>
      </c>
      <c r="C3298" t="inlineStr">
        <is>
          <t>OC</t>
        </is>
      </c>
      <c r="D3298" t="inlineStr">
        <is>
          <t>MA1009914</t>
        </is>
      </c>
      <c r="E3298" t="inlineStr">
        <is>
          <t>OC</t>
        </is>
      </c>
      <c r="F3298" t="inlineStr">
        <is>
          <t>MA1009914</t>
        </is>
      </c>
      <c r="G3298" s="128" t="n">
        <v>46055</v>
      </c>
      <c r="H3298" s="127" t="n">
        <v>46055</v>
      </c>
      <c r="I3298" t="inlineStr">
        <is>
          <t>1</t>
        </is>
      </c>
      <c r="J3298" s="38" t="inlineStr">
        <is>
          <t>0-4024</t>
        </is>
      </c>
      <c r="K3298" t="inlineStr">
        <is>
          <t>48" HEAVY DUTY LATH BAG</t>
        </is>
      </c>
      <c r="L3298" t="n">
        <v>1</v>
      </c>
      <c r="M3298" t="n">
        <v>109.3</v>
      </c>
      <c r="N3298" t="inlineStr">
        <is>
          <t>PO:COMMIT</t>
        </is>
      </c>
      <c r="O3298" t="inlineStr">
        <is>
          <t>13089</t>
        </is>
      </c>
      <c r="P3298" t="inlineStr">
        <is>
          <t>PSS INDUSTRIAL GROUP</t>
        </is>
      </c>
      <c r="Q3298" s="114" t="n">
        <v>0</v>
      </c>
      <c r="R3298" s="114" t="n">
        <v>0</v>
      </c>
      <c r="S3298" s="114" t="n">
        <v>109.3</v>
      </c>
      <c r="T3298" t="n">
        <v>0</v>
      </c>
    </row>
    <row r="3299">
      <c r="A3299" t="inlineStr">
        <is>
          <t>ttJTrans</t>
        </is>
      </c>
      <c r="B3299" s="38" t="inlineStr">
        <is>
          <t>0-4024</t>
        </is>
      </c>
      <c r="C3299" t="inlineStr">
        <is>
          <t>OC</t>
        </is>
      </c>
      <c r="D3299" t="inlineStr">
        <is>
          <t>MA1010087</t>
        </is>
      </c>
      <c r="E3299" t="inlineStr">
        <is>
          <t>OC</t>
        </is>
      </c>
      <c r="F3299" t="inlineStr">
        <is>
          <t>MA1010087</t>
        </is>
      </c>
      <c r="G3299" s="128" t="n">
        <v>46066</v>
      </c>
      <c r="H3299" s="127" t="n">
        <v>46076</v>
      </c>
      <c r="I3299" t="inlineStr">
        <is>
          <t>1</t>
        </is>
      </c>
      <c r="J3299" s="38" t="inlineStr">
        <is>
          <t>0-4024</t>
        </is>
      </c>
      <c r="K3299" t="inlineStr">
        <is>
          <t>Review of performance/capacity testing</t>
        </is>
      </c>
      <c r="L3299" t="n">
        <v>1</v>
      </c>
      <c r="M3299" t="n">
        <v>1623.38</v>
      </c>
      <c r="N3299" t="inlineStr">
        <is>
          <t>PO:COMMIT</t>
        </is>
      </c>
      <c r="O3299" t="inlineStr">
        <is>
          <t>19943</t>
        </is>
      </c>
      <c r="P3299" t="inlineStr">
        <is>
          <t>HIGH NOON CONSULTING INC.</t>
        </is>
      </c>
      <c r="Q3299" s="114" t="n">
        <v>0</v>
      </c>
      <c r="R3299" s="114" t="n">
        <v>0</v>
      </c>
      <c r="S3299" s="114" t="n">
        <v>1623.38</v>
      </c>
      <c r="T3299" t="n">
        <v>0</v>
      </c>
    </row>
    <row r="3300">
      <c r="A3300" t="inlineStr">
        <is>
          <t>ttJTrans</t>
        </is>
      </c>
      <c r="B3300" s="38" t="inlineStr">
        <is>
          <t>0-4024</t>
        </is>
      </c>
      <c r="C3300" t="inlineStr">
        <is>
          <t>OC</t>
        </is>
      </c>
      <c r="D3300" t="inlineStr">
        <is>
          <t>MA1010087</t>
        </is>
      </c>
      <c r="E3300" t="inlineStr">
        <is>
          <t>OC</t>
        </is>
      </c>
      <c r="F3300" t="inlineStr">
        <is>
          <t>MA1010087</t>
        </is>
      </c>
      <c r="G3300" s="128" t="n">
        <v>46066</v>
      </c>
      <c r="H3300" s="127" t="n">
        <v>46076</v>
      </c>
      <c r="I3300" t="inlineStr">
        <is>
          <t>1</t>
        </is>
      </c>
      <c r="J3300" s="38" t="inlineStr">
        <is>
          <t>0-4024</t>
        </is>
      </c>
      <c r="K3300" t="inlineStr">
        <is>
          <t>Review of performance/capacity testing</t>
        </is>
      </c>
      <c r="L3300" t="n">
        <v>1</v>
      </c>
      <c r="M3300" t="n">
        <v>1623.38</v>
      </c>
      <c r="N3300" t="inlineStr">
        <is>
          <t>INVOICE:ADJ-COMMIT</t>
        </is>
      </c>
      <c r="O3300" t="inlineStr">
        <is>
          <t>19943</t>
        </is>
      </c>
      <c r="P3300" t="inlineStr">
        <is>
          <t>HIGH NOON CONSULTING INC.</t>
        </is>
      </c>
      <c r="Q3300" s="114" t="n">
        <v>0</v>
      </c>
      <c r="R3300" s="114" t="n">
        <v>0</v>
      </c>
      <c r="S3300" s="114" t="n">
        <v>-1623.38</v>
      </c>
      <c r="T3300" t="n">
        <v>0</v>
      </c>
    </row>
    <row r="3301">
      <c r="A3301" t="inlineStr">
        <is>
          <t>ttJTrans</t>
        </is>
      </c>
      <c r="B3301" s="38" t="inlineStr">
        <is>
          <t>0-4024</t>
        </is>
      </c>
      <c r="C3301" t="inlineStr">
        <is>
          <t>OC</t>
        </is>
      </c>
      <c r="D3301" t="inlineStr">
        <is>
          <t>MA1010087</t>
        </is>
      </c>
      <c r="E3301" t="inlineStr">
        <is>
          <t>OC</t>
        </is>
      </c>
      <c r="F3301" t="inlineStr">
        <is>
          <t>MA1010087</t>
        </is>
      </c>
      <c r="G3301" s="128" t="n">
        <v>46066</v>
      </c>
      <c r="H3301" s="127" t="n">
        <v>46112</v>
      </c>
      <c r="I3301" t="inlineStr">
        <is>
          <t>1</t>
        </is>
      </c>
      <c r="J3301" s="38" t="inlineStr">
        <is>
          <t>0-4024</t>
        </is>
      </c>
      <c r="K3301" t="inlineStr">
        <is>
          <t>Review of performance/capacity testing</t>
        </is>
      </c>
      <c r="L3301" t="n">
        <v>1</v>
      </c>
      <c r="M3301" t="n">
        <v>1623.38</v>
      </c>
      <c r="N3301" t="inlineStr">
        <is>
          <t>INVOICE</t>
        </is>
      </c>
      <c r="O3301" t="inlineStr">
        <is>
          <t>19943</t>
        </is>
      </c>
      <c r="P3301" t="inlineStr">
        <is>
          <t>HIGH NOON CONSULTING INC.</t>
        </is>
      </c>
      <c r="Q3301" s="114" t="n">
        <v>0</v>
      </c>
      <c r="R3301" s="114" t="n">
        <v>0</v>
      </c>
      <c r="S3301" s="114" t="n">
        <v>0</v>
      </c>
      <c r="T3301" t="n">
        <v>0</v>
      </c>
    </row>
    <row r="3302">
      <c r="A3302" t="inlineStr">
        <is>
          <t>ttJTrans</t>
        </is>
      </c>
      <c r="B3302" s="38" t="inlineStr">
        <is>
          <t>0-4024</t>
        </is>
      </c>
      <c r="C3302" t="inlineStr">
        <is>
          <t>OC</t>
        </is>
      </c>
      <c r="E3302" t="inlineStr">
        <is>
          <t>OC</t>
        </is>
      </c>
      <c r="G3302" s="128" t="inlineStr"/>
      <c r="H3302" s="127" t="n">
        <v>45937</v>
      </c>
      <c r="J3302" s="38" t="inlineStr">
        <is>
          <t>0-4024</t>
        </is>
      </c>
      <c r="K3302" t="inlineStr">
        <is>
          <t>RECLASS 250604282,STELLAVISE INC,SUNROPER THERMAL MODELING FOR MV TRENCHES,04/30/25,WHC003</t>
        </is>
      </c>
      <c r="L3302" t="n">
        <v>0</v>
      </c>
      <c r="M3302" t="n">
        <v>0</v>
      </c>
      <c r="Q3302" s="114" t="n">
        <v>0</v>
      </c>
      <c r="R3302" s="114" t="n">
        <v>5000</v>
      </c>
      <c r="S3302" s="114" t="n">
        <v>0</v>
      </c>
      <c r="T3302" t="n">
        <v>0</v>
      </c>
    </row>
    <row r="3303">
      <c r="A3303" t="inlineStr">
        <is>
          <t>ttJTrans</t>
        </is>
      </c>
      <c r="B3303" s="38" t="inlineStr">
        <is>
          <t>0-4024</t>
        </is>
      </c>
      <c r="C3303" t="inlineStr">
        <is>
          <t>OC</t>
        </is>
      </c>
      <c r="E3303" t="inlineStr">
        <is>
          <t>OC</t>
        </is>
      </c>
      <c r="G3303" s="128" t="inlineStr"/>
      <c r="H3303" s="127" t="n">
        <v>46034</v>
      </c>
      <c r="J3303" s="38" t="inlineStr">
        <is>
          <t>0-4024</t>
        </is>
      </c>
      <c r="K3303" t="inlineStr">
        <is>
          <t>DEVELOPMENT REVIEW I-00023-3-159 &amp; 00023-3-159A</t>
        </is>
      </c>
      <c r="L3303" t="n">
        <v>0</v>
      </c>
      <c r="M3303" t="n">
        <v>0</v>
      </c>
      <c r="O3303" t="inlineStr">
        <is>
          <t>21272</t>
        </is>
      </c>
      <c r="P3303" t="inlineStr">
        <is>
          <t>SCHEIBE CONSULTING LLC</t>
        </is>
      </c>
      <c r="Q3303" s="114" t="n">
        <v>0</v>
      </c>
      <c r="R3303" s="114" t="n">
        <v>17000</v>
      </c>
      <c r="S3303" s="114" t="n">
        <v>0</v>
      </c>
      <c r="T3303" t="n">
        <v>0</v>
      </c>
    </row>
    <row r="3304">
      <c r="A3304" t="inlineStr">
        <is>
          <t>ttJTrans</t>
        </is>
      </c>
      <c r="B3304" s="38" t="inlineStr">
        <is>
          <t>0-4024</t>
        </is>
      </c>
      <c r="C3304" t="inlineStr">
        <is>
          <t>OC</t>
        </is>
      </c>
      <c r="E3304" t="inlineStr">
        <is>
          <t>OC</t>
        </is>
      </c>
      <c r="G3304" s="128" t="inlineStr"/>
      <c r="H3304" s="127" t="n">
        <v>46034</v>
      </c>
      <c r="J3304" s="38" t="inlineStr">
        <is>
          <t>0-4024</t>
        </is>
      </c>
      <c r="K3304" t="inlineStr">
        <is>
          <t>DEVELOPMENT REVIEW I-00023-3-159 &amp; 00023-3-159A</t>
        </is>
      </c>
      <c r="L3304" t="n">
        <v>0</v>
      </c>
      <c r="M3304" t="n">
        <v>0</v>
      </c>
      <c r="O3304" t="inlineStr">
        <is>
          <t>21272</t>
        </is>
      </c>
      <c r="P3304" t="inlineStr">
        <is>
          <t>SCHEIBE CONSULTING LLC</t>
        </is>
      </c>
      <c r="Q3304" s="114" t="n">
        <v>0</v>
      </c>
      <c r="R3304" s="114" t="n">
        <v>3550</v>
      </c>
      <c r="S3304" s="114" t="n">
        <v>0</v>
      </c>
      <c r="T3304" t="n">
        <v>0</v>
      </c>
    </row>
    <row r="3305">
      <c r="A3305" t="inlineStr">
        <is>
          <t>ttJTrans</t>
        </is>
      </c>
      <c r="B3305" s="38" t="inlineStr">
        <is>
          <t>0-4024</t>
        </is>
      </c>
      <c r="C3305" t="inlineStr">
        <is>
          <t>OC</t>
        </is>
      </c>
      <c r="E3305" t="inlineStr">
        <is>
          <t>OC</t>
        </is>
      </c>
      <c r="G3305" s="128" t="inlineStr"/>
      <c r="H3305" s="127" t="n">
        <v>46041</v>
      </c>
      <c r="J3305" s="38" t="inlineStr">
        <is>
          <t>0-4024</t>
        </is>
      </c>
      <c r="K3305" t="inlineStr">
        <is>
          <t>STANDARD MAP REQUEST &amp; SIGNATURE PROCESS</t>
        </is>
      </c>
      <c r="L3305" t="n">
        <v>0</v>
      </c>
      <c r="M3305" t="n">
        <v>0</v>
      </c>
      <c r="O3305" t="inlineStr">
        <is>
          <t>11293</t>
        </is>
      </c>
      <c r="P3305" t="inlineStr">
        <is>
          <t>CENTERPOINT ENERGY</t>
        </is>
      </c>
      <c r="Q3305" s="114" t="n">
        <v>0</v>
      </c>
      <c r="R3305" s="114" t="n">
        <v>100</v>
      </c>
      <c r="S3305" s="114" t="n">
        <v>0</v>
      </c>
      <c r="T3305" t="n">
        <v>0</v>
      </c>
    </row>
    <row r="3306">
      <c r="A3306" t="inlineStr">
        <is>
          <t>ttJTrans</t>
        </is>
      </c>
      <c r="B3306" s="38" t="inlineStr">
        <is>
          <t>0-4024</t>
        </is>
      </c>
      <c r="C3306" t="inlineStr">
        <is>
          <t>OC</t>
        </is>
      </c>
      <c r="E3306" t="inlineStr">
        <is>
          <t>OC</t>
        </is>
      </c>
      <c r="G3306" s="128" t="inlineStr"/>
      <c r="H3306" s="127" t="n">
        <v>46065</v>
      </c>
      <c r="J3306" s="38" t="inlineStr">
        <is>
          <t>0-4024</t>
        </is>
      </c>
      <c r="K3306" t="inlineStr">
        <is>
          <t>LATHES/ PROBE ROD/ PROBE TIP/ PAINT/ FLAGGING TAPE/ MARKERS/ TAPE MEASURE/ SHOVEL/FLAGGING STAKE</t>
        </is>
      </c>
      <c r="L3306" t="n">
        <v>0</v>
      </c>
      <c r="M3306" t="n">
        <v>0</v>
      </c>
      <c r="O3306" t="inlineStr">
        <is>
          <t>13089</t>
        </is>
      </c>
      <c r="P3306" t="inlineStr">
        <is>
          <t>PSS INDUSTRIAL GROUP</t>
        </is>
      </c>
      <c r="Q3306" s="114" t="n">
        <v>0</v>
      </c>
      <c r="R3306" s="114" t="n">
        <v>47.76</v>
      </c>
      <c r="S3306" s="114" t="n">
        <v>0</v>
      </c>
      <c r="T3306" t="n">
        <v>0</v>
      </c>
    </row>
    <row r="3307">
      <c r="A3307" t="inlineStr">
        <is>
          <t>ttJTrans</t>
        </is>
      </c>
      <c r="B3307" s="38" t="inlineStr">
        <is>
          <t>0-4024</t>
        </is>
      </c>
      <c r="C3307" t="inlineStr">
        <is>
          <t>OC</t>
        </is>
      </c>
      <c r="E3307" t="inlineStr">
        <is>
          <t>OC</t>
        </is>
      </c>
      <c r="G3307" s="128" t="inlineStr"/>
      <c r="H3307" s="127" t="n">
        <v>46065</v>
      </c>
      <c r="J3307" s="38" t="inlineStr">
        <is>
          <t>0-4024</t>
        </is>
      </c>
      <c r="K3307" t="inlineStr">
        <is>
          <t>LATHES/ PROBE ROD/ PROBE TIP/ PAINT/ FLAGGING TAPE/ MARKERS/ TAPE MEASURE/ SHOVEL/FLAGGING STAKE</t>
        </is>
      </c>
      <c r="L3307" t="n">
        <v>0</v>
      </c>
      <c r="M3307" t="n">
        <v>0</v>
      </c>
      <c r="O3307" t="inlineStr">
        <is>
          <t>13089</t>
        </is>
      </c>
      <c r="P3307" t="inlineStr">
        <is>
          <t>PSS INDUSTRIAL GROUP</t>
        </is>
      </c>
      <c r="Q3307" s="114" t="n">
        <v>0</v>
      </c>
      <c r="R3307" s="114" t="n">
        <v>1075.36</v>
      </c>
      <c r="S3307" s="114" t="n">
        <v>0</v>
      </c>
      <c r="T3307" t="n">
        <v>0</v>
      </c>
    </row>
    <row r="3308">
      <c r="A3308" t="inlineStr">
        <is>
          <t>ttJTrans</t>
        </is>
      </c>
      <c r="B3308" s="38" t="inlineStr">
        <is>
          <t>0-4024</t>
        </is>
      </c>
      <c r="C3308" t="inlineStr">
        <is>
          <t>OC</t>
        </is>
      </c>
      <c r="E3308" t="inlineStr">
        <is>
          <t>OC</t>
        </is>
      </c>
      <c r="G3308" s="128" t="inlineStr"/>
      <c r="H3308" s="127" t="n">
        <v>46065</v>
      </c>
      <c r="J3308" s="38" t="inlineStr">
        <is>
          <t>0-4024</t>
        </is>
      </c>
      <c r="K3308" t="inlineStr">
        <is>
          <t>LATHE BAG</t>
        </is>
      </c>
      <c r="L3308" t="n">
        <v>0</v>
      </c>
      <c r="M3308" t="n">
        <v>0</v>
      </c>
      <c r="O3308" t="inlineStr">
        <is>
          <t>13089</t>
        </is>
      </c>
      <c r="P3308" t="inlineStr">
        <is>
          <t>PSS INDUSTRIAL GROUP</t>
        </is>
      </c>
      <c r="Q3308" s="114" t="n">
        <v>0</v>
      </c>
      <c r="R3308" s="114" t="n">
        <v>105.11</v>
      </c>
      <c r="S3308" s="114" t="n">
        <v>0</v>
      </c>
      <c r="T3308" t="n">
        <v>0</v>
      </c>
    </row>
    <row r="3309">
      <c r="A3309" t="inlineStr">
        <is>
          <t>ttJTrans</t>
        </is>
      </c>
      <c r="B3309" s="38" t="inlineStr">
        <is>
          <t>0-4024</t>
        </is>
      </c>
      <c r="C3309" t="inlineStr">
        <is>
          <t>OC</t>
        </is>
      </c>
      <c r="E3309" t="inlineStr">
        <is>
          <t>OC</t>
        </is>
      </c>
      <c r="G3309" s="128" t="inlineStr"/>
      <c r="H3309" s="127" t="n">
        <v>46105</v>
      </c>
      <c r="J3309" s="38" t="inlineStr">
        <is>
          <t>0-4024</t>
        </is>
      </c>
      <c r="K3309" t="inlineStr">
        <is>
          <t>25-4001 FEB USE TAX ADJ</t>
        </is>
      </c>
      <c r="L3309" t="n">
        <v>0</v>
      </c>
      <c r="M3309" t="n">
        <v>0</v>
      </c>
      <c r="Q3309" s="114" t="n">
        <v>0</v>
      </c>
      <c r="R3309" s="114" t="n">
        <v>-0.18</v>
      </c>
      <c r="S3309" s="114" t="n">
        <v>0</v>
      </c>
      <c r="T3309" t="n">
        <v>0</v>
      </c>
    </row>
    <row r="3310">
      <c r="A3310" t="inlineStr">
        <is>
          <t>ttJTrans</t>
        </is>
      </c>
      <c r="B3310" s="38" t="inlineStr">
        <is>
          <t>0-4024</t>
        </is>
      </c>
      <c r="C3310" t="inlineStr">
        <is>
          <t>OC</t>
        </is>
      </c>
      <c r="E3310" t="inlineStr">
        <is>
          <t>OC</t>
        </is>
      </c>
      <c r="G3310" s="128" t="inlineStr"/>
      <c r="H3310" s="127" t="n">
        <v>46112</v>
      </c>
      <c r="J3310" s="38" t="inlineStr">
        <is>
          <t>0-4024</t>
        </is>
      </c>
      <c r="K3310" t="inlineStr">
        <is>
          <t>Engineering Work SUNROPER</t>
        </is>
      </c>
      <c r="L3310" t="n">
        <v>0</v>
      </c>
      <c r="M3310" t="n">
        <v>0</v>
      </c>
      <c r="O3310" t="inlineStr">
        <is>
          <t>19943</t>
        </is>
      </c>
      <c r="P3310" t="inlineStr">
        <is>
          <t>HIGH NOON CONSULTING INC.</t>
        </is>
      </c>
      <c r="Q3310" s="114" t="n">
        <v>0</v>
      </c>
      <c r="R3310" s="114" t="n">
        <v>1462.5</v>
      </c>
      <c r="S3310" s="114" t="n">
        <v>0</v>
      </c>
      <c r="T3310" t="n">
        <v>0</v>
      </c>
    </row>
    <row r="3311">
      <c r="A3311" t="inlineStr">
        <is>
          <t>ttJTrans</t>
        </is>
      </c>
      <c r="B3311" s="38" t="inlineStr">
        <is>
          <t>0-4024</t>
        </is>
      </c>
      <c r="C3311" t="inlineStr">
        <is>
          <t>SU</t>
        </is>
      </c>
      <c r="D3311" t="inlineStr">
        <is>
          <t>SO1000213</t>
        </is>
      </c>
      <c r="E3311" t="inlineStr">
        <is>
          <t>SU</t>
        </is>
      </c>
      <c r="F3311" t="inlineStr">
        <is>
          <t>SO1000213</t>
        </is>
      </c>
      <c r="G3311" s="128" t="n">
        <v>45936</v>
      </c>
      <c r="H3311" s="127" t="n">
        <v>46002</v>
      </c>
      <c r="I3311" t="inlineStr">
        <is>
          <t>1</t>
        </is>
      </c>
      <c r="J3311" s="38" t="inlineStr">
        <is>
          <t>0-4024</t>
        </is>
      </c>
      <c r="K3311" t="inlineStr">
        <is>
          <t>EARLY LIMITED FIBER DESIGN</t>
        </is>
      </c>
      <c r="L3311" t="n">
        <v>1</v>
      </c>
      <c r="M3311" t="n">
        <v>12810</v>
      </c>
      <c r="N3311" t="inlineStr">
        <is>
          <t>PO:COMMIT</t>
        </is>
      </c>
      <c r="O3311" t="inlineStr">
        <is>
          <t>19065</t>
        </is>
      </c>
      <c r="P3311" t="inlineStr">
        <is>
          <t>KIMLEY-HORN AND ASSOCIATES, INC.</t>
        </is>
      </c>
      <c r="Q3311" s="114" t="n">
        <v>0</v>
      </c>
      <c r="R3311" s="114" t="n">
        <v>0</v>
      </c>
      <c r="S3311" s="114" t="n">
        <v>12810</v>
      </c>
      <c r="T3311" t="n">
        <v>0</v>
      </c>
    </row>
    <row r="3312">
      <c r="A3312" t="inlineStr">
        <is>
          <t>ttJTrans</t>
        </is>
      </c>
      <c r="B3312" s="38" t="inlineStr">
        <is>
          <t>0-4024</t>
        </is>
      </c>
      <c r="C3312" t="inlineStr">
        <is>
          <t>SU</t>
        </is>
      </c>
      <c r="D3312" t="inlineStr">
        <is>
          <t>SO1000213</t>
        </is>
      </c>
      <c r="E3312" t="inlineStr">
        <is>
          <t>SU</t>
        </is>
      </c>
      <c r="F3312" t="inlineStr">
        <is>
          <t>SO1000213</t>
        </is>
      </c>
      <c r="G3312" s="128" t="n">
        <v>46059</v>
      </c>
      <c r="H3312" s="127" t="n">
        <v>46083</v>
      </c>
      <c r="I3312" t="inlineStr">
        <is>
          <t>2</t>
        </is>
      </c>
      <c r="J3312" s="38" t="inlineStr">
        <is>
          <t>0-4024</t>
        </is>
      </c>
      <c r="K3312" t="inlineStr">
        <is>
          <t>CIVIL ENGINEERING</t>
        </is>
      </c>
      <c r="L3312" t="n">
        <v>1</v>
      </c>
      <c r="M3312" t="n">
        <v>1176385</v>
      </c>
      <c r="N3312" t="inlineStr">
        <is>
          <t>CERTIFICATE</t>
        </is>
      </c>
      <c r="O3312" t="inlineStr">
        <is>
          <t>19065</t>
        </is>
      </c>
      <c r="P3312" t="inlineStr">
        <is>
          <t>KIMLEY-HORN AND ASSOCIATES, INC.</t>
        </is>
      </c>
      <c r="Q3312" s="114" t="n">
        <v>0</v>
      </c>
      <c r="R3312" s="114" t="n">
        <v>0</v>
      </c>
      <c r="S3312" s="114" t="n">
        <v>-112994.88</v>
      </c>
      <c r="T3312" t="n">
        <v>0</v>
      </c>
    </row>
    <row r="3313">
      <c r="A3313" t="inlineStr">
        <is>
          <t>ttJTrans</t>
        </is>
      </c>
      <c r="B3313" s="38" t="inlineStr">
        <is>
          <t>0-4024</t>
        </is>
      </c>
      <c r="C3313" t="inlineStr">
        <is>
          <t>SU</t>
        </is>
      </c>
      <c r="D3313" t="inlineStr">
        <is>
          <t>SO1000213</t>
        </is>
      </c>
      <c r="E3313" t="inlineStr">
        <is>
          <t>SU</t>
        </is>
      </c>
      <c r="F3313" t="inlineStr">
        <is>
          <t>SO1000213</t>
        </is>
      </c>
      <c r="G3313" s="128" t="n">
        <v>46059</v>
      </c>
      <c r="H3313" s="127" t="n">
        <v>46083</v>
      </c>
      <c r="I3313" t="inlineStr">
        <is>
          <t>2</t>
        </is>
      </c>
      <c r="J3313" s="38" t="inlineStr">
        <is>
          <t>0-4024</t>
        </is>
      </c>
      <c r="K3313" t="inlineStr">
        <is>
          <t>CIVIL ENGINEERING</t>
        </is>
      </c>
      <c r="L3313" t="n">
        <v>1</v>
      </c>
      <c r="M3313" t="n">
        <v>1176385</v>
      </c>
      <c r="N3313" t="inlineStr">
        <is>
          <t>PO:COMMIT</t>
        </is>
      </c>
      <c r="O3313" t="inlineStr">
        <is>
          <t>19065</t>
        </is>
      </c>
      <c r="P3313" t="inlineStr">
        <is>
          <t>KIMLEY-HORN AND ASSOCIATES, INC.</t>
        </is>
      </c>
      <c r="Q3313" s="114" t="n">
        <v>0</v>
      </c>
      <c r="R3313" s="114" t="n">
        <v>0</v>
      </c>
      <c r="S3313" s="114" t="n">
        <v>1176385</v>
      </c>
      <c r="T3313" t="n">
        <v>0</v>
      </c>
    </row>
    <row r="3314">
      <c r="A3314" t="inlineStr">
        <is>
          <t>ttJTrans</t>
        </is>
      </c>
      <c r="B3314" s="38" t="inlineStr">
        <is>
          <t>0-4024</t>
        </is>
      </c>
      <c r="C3314" t="inlineStr">
        <is>
          <t>SU</t>
        </is>
      </c>
      <c r="D3314" t="inlineStr">
        <is>
          <t>SO1000213</t>
        </is>
      </c>
      <c r="E3314" t="inlineStr">
        <is>
          <t>SU</t>
        </is>
      </c>
      <c r="F3314" t="inlineStr">
        <is>
          <t>SO1000213</t>
        </is>
      </c>
      <c r="G3314" s="128" t="n">
        <v>46059</v>
      </c>
      <c r="H3314" s="127" t="n">
        <v>46083</v>
      </c>
      <c r="I3314" t="inlineStr">
        <is>
          <t>2</t>
        </is>
      </c>
      <c r="J3314" s="38" t="inlineStr">
        <is>
          <t>0-4024</t>
        </is>
      </c>
      <c r="K3314" t="inlineStr">
        <is>
          <t>CIVIL ENGINEERING</t>
        </is>
      </c>
      <c r="L3314" t="n">
        <v>1</v>
      </c>
      <c r="M3314" t="n">
        <v>1176385</v>
      </c>
      <c r="N3314" t="inlineStr">
        <is>
          <t>CERTIFICATE</t>
        </is>
      </c>
      <c r="O3314" t="inlineStr">
        <is>
          <t>19065</t>
        </is>
      </c>
      <c r="P3314" t="inlineStr">
        <is>
          <t>KIMLEY-HORN AND ASSOCIATES, INC.</t>
        </is>
      </c>
      <c r="Q3314" s="114" t="n">
        <v>0</v>
      </c>
      <c r="R3314" s="114" t="n">
        <v>0</v>
      </c>
      <c r="S3314" s="114" t="n">
        <v>-726992.1</v>
      </c>
      <c r="T3314" t="n">
        <v>0</v>
      </c>
    </row>
    <row r="3315">
      <c r="A3315" t="inlineStr">
        <is>
          <t>ttJTrans</t>
        </is>
      </c>
      <c r="B3315" s="38" t="inlineStr">
        <is>
          <t>0-4024</t>
        </is>
      </c>
      <c r="C3315" t="inlineStr">
        <is>
          <t>SU</t>
        </is>
      </c>
      <c r="D3315" t="inlineStr">
        <is>
          <t>SO1000213</t>
        </is>
      </c>
      <c r="E3315" t="inlineStr">
        <is>
          <t>SU</t>
        </is>
      </c>
      <c r="F3315" t="inlineStr">
        <is>
          <t>SO1000213</t>
        </is>
      </c>
      <c r="G3315" s="128" t="n">
        <v>46059</v>
      </c>
      <c r="H3315" s="127" t="n">
        <v>46083</v>
      </c>
      <c r="I3315" t="inlineStr">
        <is>
          <t>2</t>
        </is>
      </c>
      <c r="J3315" s="38" t="inlineStr">
        <is>
          <t>0-4024</t>
        </is>
      </c>
      <c r="K3315" t="inlineStr">
        <is>
          <t>CIVIL ENGINEERING</t>
        </is>
      </c>
      <c r="L3315" t="n">
        <v>1</v>
      </c>
      <c r="M3315" t="n">
        <v>1176385</v>
      </c>
      <c r="N3315" t="inlineStr">
        <is>
          <t>CERTIFICATE</t>
        </is>
      </c>
      <c r="O3315" t="inlineStr">
        <is>
          <t>19065</t>
        </is>
      </c>
      <c r="P3315" t="inlineStr">
        <is>
          <t>KIMLEY-HORN AND ASSOCIATES, INC.</t>
        </is>
      </c>
      <c r="Q3315" s="114" t="n">
        <v>0</v>
      </c>
      <c r="R3315" s="114" t="n">
        <v>0</v>
      </c>
      <c r="S3315" s="114" t="n">
        <v>-231700.87</v>
      </c>
      <c r="T3315" t="n">
        <v>0</v>
      </c>
    </row>
    <row r="3316">
      <c r="A3316" t="inlineStr">
        <is>
          <t>ttJTrans</t>
        </is>
      </c>
      <c r="B3316" s="38" t="inlineStr">
        <is>
          <t>0-4024</t>
        </is>
      </c>
      <c r="C3316" t="inlineStr">
        <is>
          <t>SU</t>
        </is>
      </c>
      <c r="D3316" t="inlineStr">
        <is>
          <t>SO1000213</t>
        </is>
      </c>
      <c r="E3316" t="inlineStr">
        <is>
          <t>SU</t>
        </is>
      </c>
      <c r="F3316" t="inlineStr">
        <is>
          <t>SO1000213</t>
        </is>
      </c>
      <c r="G3316" s="128" t="n">
        <v>45936</v>
      </c>
      <c r="H3316" s="127" t="n">
        <v>46002</v>
      </c>
      <c r="I3316" t="inlineStr">
        <is>
          <t>1</t>
        </is>
      </c>
      <c r="J3316" s="38" t="inlineStr">
        <is>
          <t>0-4024</t>
        </is>
      </c>
      <c r="K3316" t="inlineStr">
        <is>
          <t>EARLY LIMITED FIBER DESIGN</t>
        </is>
      </c>
      <c r="L3316" t="n">
        <v>1</v>
      </c>
      <c r="M3316" t="n">
        <v>12810</v>
      </c>
      <c r="N3316" t="inlineStr">
        <is>
          <t>CERTIFICATE</t>
        </is>
      </c>
      <c r="O3316" t="inlineStr">
        <is>
          <t>19065</t>
        </is>
      </c>
      <c r="P3316" t="inlineStr">
        <is>
          <t>KIMLEY-HORN AND ASSOCIATES, INC.</t>
        </is>
      </c>
      <c r="Q3316" s="114" t="n">
        <v>0</v>
      </c>
      <c r="R3316" s="114" t="n">
        <v>0</v>
      </c>
      <c r="S3316" s="114" t="n">
        <v>-12810</v>
      </c>
      <c r="T3316" t="n">
        <v>0</v>
      </c>
    </row>
    <row r="3317">
      <c r="A3317" t="inlineStr">
        <is>
          <t>ttJTrans</t>
        </is>
      </c>
      <c r="B3317" s="38" t="inlineStr">
        <is>
          <t>0-4024</t>
        </is>
      </c>
      <c r="C3317" t="inlineStr">
        <is>
          <t>SU</t>
        </is>
      </c>
      <c r="D3317" t="inlineStr">
        <is>
          <t>SO1000213</t>
        </is>
      </c>
      <c r="E3317" t="inlineStr">
        <is>
          <t>SU</t>
        </is>
      </c>
      <c r="F3317" t="inlineStr">
        <is>
          <t>SO1000213</t>
        </is>
      </c>
      <c r="G3317" s="128" t="n">
        <v>46085</v>
      </c>
      <c r="H3317" s="127" t="n">
        <v>46091</v>
      </c>
      <c r="I3317" t="inlineStr">
        <is>
          <t>3</t>
        </is>
      </c>
      <c r="J3317" s="38" t="inlineStr">
        <is>
          <t>0-4024</t>
        </is>
      </c>
      <c r="K3317" t="inlineStr">
        <is>
          <t>CHANGE ORDER CO01 ADJUSTMENT - ATTACHED</t>
        </is>
      </c>
      <c r="L3317" t="n">
        <v>1</v>
      </c>
      <c r="M3317" t="n">
        <v>10675</v>
      </c>
      <c r="N3317" t="inlineStr">
        <is>
          <t>PO:COMMIT</t>
        </is>
      </c>
      <c r="O3317" t="inlineStr">
        <is>
          <t>19065</t>
        </is>
      </c>
      <c r="P3317" t="inlineStr">
        <is>
          <t>KIMLEY-HORN AND ASSOCIATES, INC.</t>
        </is>
      </c>
      <c r="Q3317" s="114" t="n">
        <v>0</v>
      </c>
      <c r="R3317" s="114" t="n">
        <v>0</v>
      </c>
      <c r="S3317" s="114" t="n">
        <v>10675</v>
      </c>
      <c r="T3317" t="n">
        <v>0</v>
      </c>
    </row>
    <row r="3318">
      <c r="A3318" t="inlineStr">
        <is>
          <t>ttJTrans</t>
        </is>
      </c>
      <c r="B3318" s="38" t="inlineStr">
        <is>
          <t>0-4024</t>
        </is>
      </c>
      <c r="C3318" t="inlineStr">
        <is>
          <t>SU</t>
        </is>
      </c>
      <c r="D3318" t="inlineStr">
        <is>
          <t>SO1000221</t>
        </is>
      </c>
      <c r="E3318" t="inlineStr">
        <is>
          <t>SU</t>
        </is>
      </c>
      <c r="F3318" t="inlineStr">
        <is>
          <t>SO1000221</t>
        </is>
      </c>
      <c r="G3318" s="128" t="n">
        <v>45939</v>
      </c>
      <c r="H3318" s="127" t="n">
        <v>45967</v>
      </c>
      <c r="I3318" t="inlineStr">
        <is>
          <t>1</t>
        </is>
      </c>
      <c r="J3318" s="38" t="inlineStr">
        <is>
          <t>0-4024</t>
        </is>
      </c>
      <c r="K3318" t="inlineStr">
        <is>
          <t>ENGINEERING</t>
        </is>
      </c>
      <c r="L3318" t="n">
        <v>1</v>
      </c>
      <c r="M3318" t="n">
        <v>120672.34</v>
      </c>
      <c r="N3318" t="inlineStr">
        <is>
          <t>CERTIFICATE</t>
        </is>
      </c>
      <c r="O3318" t="inlineStr">
        <is>
          <t>13296</t>
        </is>
      </c>
      <c r="P3318" t="inlineStr">
        <is>
          <t>TERRACON CONSULTANTS, INC</t>
        </is>
      </c>
      <c r="Q3318" s="114" t="n">
        <v>0</v>
      </c>
      <c r="R3318" s="114" t="n">
        <v>0</v>
      </c>
      <c r="S3318" s="114" t="n">
        <v>-52681.12</v>
      </c>
      <c r="T3318" t="n">
        <v>0</v>
      </c>
    </row>
    <row r="3319">
      <c r="A3319" t="inlineStr">
        <is>
          <t>ttJTrans</t>
        </is>
      </c>
      <c r="B3319" s="38" t="inlineStr">
        <is>
          <t>0-4024</t>
        </is>
      </c>
      <c r="C3319" t="inlineStr">
        <is>
          <t>SU</t>
        </is>
      </c>
      <c r="D3319" t="inlineStr">
        <is>
          <t>SO1000221</t>
        </is>
      </c>
      <c r="E3319" t="inlineStr">
        <is>
          <t>SU</t>
        </is>
      </c>
      <c r="F3319" t="inlineStr">
        <is>
          <t>SO1000221</t>
        </is>
      </c>
      <c r="G3319" s="128" t="n">
        <v>45939</v>
      </c>
      <c r="H3319" s="127" t="n">
        <v>45967</v>
      </c>
      <c r="I3319" t="inlineStr">
        <is>
          <t>1</t>
        </is>
      </c>
      <c r="J3319" s="38" t="inlineStr">
        <is>
          <t>0-4024</t>
        </is>
      </c>
      <c r="K3319" t="inlineStr">
        <is>
          <t>ENGINEERING</t>
        </is>
      </c>
      <c r="L3319" t="n">
        <v>1</v>
      </c>
      <c r="M3319" t="n">
        <v>120672.34</v>
      </c>
      <c r="N3319" t="inlineStr">
        <is>
          <t>CERTIFICATE</t>
        </is>
      </c>
      <c r="O3319" t="inlineStr">
        <is>
          <t>13296</t>
        </is>
      </c>
      <c r="P3319" t="inlineStr">
        <is>
          <t>TERRACON CONSULTANTS, INC</t>
        </is>
      </c>
      <c r="Q3319" s="114" t="n">
        <v>0</v>
      </c>
      <c r="R3319" s="114" t="n">
        <v>0</v>
      </c>
      <c r="S3319" s="114" t="n">
        <v>-54004.83</v>
      </c>
      <c r="T3319" t="n">
        <v>0</v>
      </c>
    </row>
    <row r="3320">
      <c r="A3320" t="inlineStr">
        <is>
          <t>ttJTrans</t>
        </is>
      </c>
      <c r="B3320" s="38" t="inlineStr">
        <is>
          <t>0-4024</t>
        </is>
      </c>
      <c r="C3320" t="inlineStr">
        <is>
          <t>SU</t>
        </is>
      </c>
      <c r="D3320" t="inlineStr">
        <is>
          <t>SO1000221</t>
        </is>
      </c>
      <c r="E3320" t="inlineStr">
        <is>
          <t>SU</t>
        </is>
      </c>
      <c r="F3320" t="inlineStr">
        <is>
          <t>SO1000221</t>
        </is>
      </c>
      <c r="G3320" s="128" t="n">
        <v>45939</v>
      </c>
      <c r="H3320" s="127" t="n">
        <v>45967</v>
      </c>
      <c r="I3320" t="inlineStr">
        <is>
          <t>1</t>
        </is>
      </c>
      <c r="J3320" s="38" t="inlineStr">
        <is>
          <t>0-4024</t>
        </is>
      </c>
      <c r="K3320" t="inlineStr">
        <is>
          <t>ENGINEERING</t>
        </is>
      </c>
      <c r="L3320" t="n">
        <v>1</v>
      </c>
      <c r="M3320" t="n">
        <v>120672.34</v>
      </c>
      <c r="N3320" t="inlineStr">
        <is>
          <t>CERTIFICATE</t>
        </is>
      </c>
      <c r="O3320" t="inlineStr">
        <is>
          <t>13296</t>
        </is>
      </c>
      <c r="P3320" t="inlineStr">
        <is>
          <t>TERRACON CONSULTANTS, INC</t>
        </is>
      </c>
      <c r="Q3320" s="114" t="n">
        <v>0</v>
      </c>
      <c r="R3320" s="114" t="n">
        <v>0</v>
      </c>
      <c r="S3320" s="114" t="n">
        <v>-13986.39</v>
      </c>
      <c r="T3320" t="n">
        <v>0</v>
      </c>
    </row>
    <row r="3321">
      <c r="A3321" t="inlineStr">
        <is>
          <t>ttJTrans</t>
        </is>
      </c>
      <c r="B3321" s="38" t="inlineStr">
        <is>
          <t>0-4024</t>
        </is>
      </c>
      <c r="C3321" t="inlineStr">
        <is>
          <t>SU</t>
        </is>
      </c>
      <c r="D3321" t="inlineStr">
        <is>
          <t>SO1000221</t>
        </is>
      </c>
      <c r="E3321" t="inlineStr">
        <is>
          <t>SU</t>
        </is>
      </c>
      <c r="F3321" t="inlineStr">
        <is>
          <t>SO1000221</t>
        </is>
      </c>
      <c r="G3321" s="128" t="n">
        <v>45939</v>
      </c>
      <c r="H3321" s="127" t="n">
        <v>45967</v>
      </c>
      <c r="I3321" t="inlineStr">
        <is>
          <t>1</t>
        </is>
      </c>
      <c r="J3321" s="38" t="inlineStr">
        <is>
          <t>0-4024</t>
        </is>
      </c>
      <c r="K3321" t="inlineStr">
        <is>
          <t>ENGINEERING</t>
        </is>
      </c>
      <c r="L3321" t="n">
        <v>1</v>
      </c>
      <c r="M3321" t="n">
        <v>120672.34</v>
      </c>
      <c r="N3321" t="inlineStr">
        <is>
          <t>PO:COMMIT</t>
        </is>
      </c>
      <c r="O3321" t="inlineStr">
        <is>
          <t>13296</t>
        </is>
      </c>
      <c r="P3321" t="inlineStr">
        <is>
          <t>TERRACON CONSULTANTS, INC</t>
        </is>
      </c>
      <c r="Q3321" s="114" t="n">
        <v>0</v>
      </c>
      <c r="R3321" s="114" t="n">
        <v>0</v>
      </c>
      <c r="S3321" s="114" t="n">
        <v>120672.34</v>
      </c>
      <c r="T3321" t="n">
        <v>0</v>
      </c>
    </row>
    <row r="3322">
      <c r="A3322" t="inlineStr">
        <is>
          <t>ttJTrans</t>
        </is>
      </c>
      <c r="B3322" s="38" t="inlineStr">
        <is>
          <t>0-4024</t>
        </is>
      </c>
      <c r="C3322" t="inlineStr">
        <is>
          <t>SU</t>
        </is>
      </c>
      <c r="D3322" t="inlineStr">
        <is>
          <t>SO1000221</t>
        </is>
      </c>
      <c r="E3322" t="inlineStr">
        <is>
          <t>SU</t>
        </is>
      </c>
      <c r="F3322" t="inlineStr">
        <is>
          <t>SO1000221</t>
        </is>
      </c>
      <c r="G3322" s="128" t="n">
        <v>46125</v>
      </c>
      <c r="H3322" s="127" t="n">
        <v>46132</v>
      </c>
      <c r="I3322" t="inlineStr">
        <is>
          <t>2</t>
        </is>
      </c>
      <c r="J3322" s="38" t="inlineStr">
        <is>
          <t>0-4024</t>
        </is>
      </c>
      <c r="K3322" t="inlineStr">
        <is>
          <t>CHANGE ORDER 01 ADJUSTMENT - ATTACHED</t>
        </is>
      </c>
      <c r="L3322" t="n">
        <v>1</v>
      </c>
      <c r="M3322" t="n">
        <v>108281.86</v>
      </c>
      <c r="N3322" t="inlineStr">
        <is>
          <t>PO:COMMIT</t>
        </is>
      </c>
      <c r="O3322" t="inlineStr">
        <is>
          <t>13296</t>
        </is>
      </c>
      <c r="P3322" t="inlineStr">
        <is>
          <t>TERRACON CONSULTANTS, INC</t>
        </is>
      </c>
      <c r="Q3322" s="114" t="n">
        <v>0</v>
      </c>
      <c r="R3322" s="114" t="n">
        <v>0</v>
      </c>
      <c r="S3322" s="114" t="n">
        <v>108281.86</v>
      </c>
      <c r="T3322" t="n">
        <v>0</v>
      </c>
    </row>
    <row r="3323">
      <c r="A3323" t="inlineStr">
        <is>
          <t>ttJTrans</t>
        </is>
      </c>
      <c r="B3323" s="38" t="inlineStr">
        <is>
          <t>0-4024</t>
        </is>
      </c>
      <c r="C3323" t="inlineStr">
        <is>
          <t>SU</t>
        </is>
      </c>
      <c r="E3323" t="inlineStr">
        <is>
          <t>SU</t>
        </is>
      </c>
      <c r="G3323" s="128" t="inlineStr"/>
      <c r="H3323" s="127" t="n">
        <v>46007</v>
      </c>
      <c r="J3323" s="38" t="inlineStr">
        <is>
          <t>0-4024</t>
        </is>
      </c>
      <c r="K3323" t="inlineStr">
        <is>
          <t>EARLY LIMITED FIBER DESIGN</t>
        </is>
      </c>
      <c r="L3323" t="n">
        <v>0</v>
      </c>
      <c r="M3323" t="n">
        <v>0</v>
      </c>
      <c r="O3323" t="inlineStr">
        <is>
          <t>19065</t>
        </is>
      </c>
      <c r="P3323" t="inlineStr">
        <is>
          <t>KIMLEY-HORN AND ASSOCIATES, INC.</t>
        </is>
      </c>
      <c r="Q3323" s="114" t="n">
        <v>0</v>
      </c>
      <c r="R3323" s="114" t="n">
        <v>12000</v>
      </c>
      <c r="S3323" s="114" t="n">
        <v>0</v>
      </c>
      <c r="T3323" t="n">
        <v>0</v>
      </c>
    </row>
    <row r="3324">
      <c r="A3324" t="inlineStr">
        <is>
          <t>ttJTrans</t>
        </is>
      </c>
      <c r="B3324" s="38" t="inlineStr">
        <is>
          <t>0-4024</t>
        </is>
      </c>
      <c r="C3324" t="inlineStr">
        <is>
          <t>SU</t>
        </is>
      </c>
      <c r="E3324" t="inlineStr">
        <is>
          <t>SU</t>
        </is>
      </c>
      <c r="G3324" s="128" t="inlineStr"/>
      <c r="H3324" s="127" t="n">
        <v>46043</v>
      </c>
      <c r="J3324" s="38" t="inlineStr">
        <is>
          <t>0-4024</t>
        </is>
      </c>
      <c r="K3324" t="inlineStr">
        <is>
          <t>ENGINEERING</t>
        </is>
      </c>
      <c r="L3324" t="n">
        <v>0</v>
      </c>
      <c r="M3324" t="n">
        <v>0</v>
      </c>
      <c r="O3324" t="inlineStr">
        <is>
          <t>13296</t>
        </is>
      </c>
      <c r="P3324" t="inlineStr">
        <is>
          <t>TERRACON CONSULTANTS, INC</t>
        </is>
      </c>
      <c r="Q3324" s="114" t="n">
        <v>0</v>
      </c>
      <c r="R3324" s="114" t="n">
        <v>50590</v>
      </c>
      <c r="S3324" s="114" t="n">
        <v>0</v>
      </c>
      <c r="T3324" t="n">
        <v>0</v>
      </c>
    </row>
    <row r="3325">
      <c r="A3325" t="inlineStr">
        <is>
          <t>ttJTrans</t>
        </is>
      </c>
      <c r="B3325" s="38" t="inlineStr">
        <is>
          <t>0-4024</t>
        </is>
      </c>
      <c r="C3325" t="inlineStr">
        <is>
          <t>SU</t>
        </is>
      </c>
      <c r="E3325" t="inlineStr">
        <is>
          <t>SU</t>
        </is>
      </c>
      <c r="G3325" s="128" t="inlineStr"/>
      <c r="H3325" s="127" t="n">
        <v>46077</v>
      </c>
      <c r="J3325" s="38" t="inlineStr">
        <is>
          <t>0-4024</t>
        </is>
      </c>
      <c r="K3325" t="inlineStr">
        <is>
          <t>ENGINEERING</t>
        </is>
      </c>
      <c r="L3325" t="n">
        <v>0</v>
      </c>
      <c r="M3325" t="n">
        <v>0</v>
      </c>
      <c r="O3325" t="inlineStr">
        <is>
          <t>13296</t>
        </is>
      </c>
      <c r="P3325" t="inlineStr">
        <is>
          <t>TERRACON CONSULTANTS, INC</t>
        </is>
      </c>
      <c r="Q3325" s="114" t="n">
        <v>0</v>
      </c>
      <c r="R3325" s="114" t="n">
        <v>49350</v>
      </c>
      <c r="S3325" s="114" t="n">
        <v>0</v>
      </c>
      <c r="T3325" t="n">
        <v>0</v>
      </c>
    </row>
    <row r="3326">
      <c r="A3326" t="inlineStr">
        <is>
          <t>ttJTrans</t>
        </is>
      </c>
      <c r="B3326" s="38" t="inlineStr">
        <is>
          <t>0-4024</t>
        </is>
      </c>
      <c r="C3326" t="inlineStr">
        <is>
          <t>SU</t>
        </is>
      </c>
      <c r="E3326" t="inlineStr">
        <is>
          <t>SU</t>
        </is>
      </c>
      <c r="G3326" s="128" t="inlineStr"/>
      <c r="H3326" s="127" t="n">
        <v>46086</v>
      </c>
      <c r="J3326" s="38" t="inlineStr">
        <is>
          <t>0-4024</t>
        </is>
      </c>
      <c r="K3326" t="inlineStr">
        <is>
          <t>CIVIL ENGINEERING</t>
        </is>
      </c>
      <c r="L3326" t="n">
        <v>0</v>
      </c>
      <c r="M3326" t="n">
        <v>0</v>
      </c>
      <c r="O3326" t="inlineStr">
        <is>
          <t>19065</t>
        </is>
      </c>
      <c r="P3326" t="inlineStr">
        <is>
          <t>KIMLEY-HORN AND ASSOCIATES, INC.</t>
        </is>
      </c>
      <c r="Q3326" s="114" t="n">
        <v>0</v>
      </c>
      <c r="R3326" s="114" t="n">
        <v>681023.04</v>
      </c>
      <c r="S3326" s="114" t="n">
        <v>0</v>
      </c>
      <c r="T3326" t="n">
        <v>0</v>
      </c>
    </row>
    <row r="3327">
      <c r="A3327" t="inlineStr">
        <is>
          <t>ttJTrans</t>
        </is>
      </c>
      <c r="B3327" s="38" t="inlineStr">
        <is>
          <t>0-4024</t>
        </is>
      </c>
      <c r="C3327" t="inlineStr">
        <is>
          <t>SU</t>
        </is>
      </c>
      <c r="E3327" t="inlineStr">
        <is>
          <t>SU</t>
        </is>
      </c>
      <c r="G3327" s="128" t="inlineStr"/>
      <c r="H3327" s="127" t="n">
        <v>46098</v>
      </c>
      <c r="J3327" s="38" t="inlineStr">
        <is>
          <t>0-4024</t>
        </is>
      </c>
      <c r="K3327" t="inlineStr">
        <is>
          <t>CIVIL ENGINEERING</t>
        </is>
      </c>
      <c r="L3327" t="n">
        <v>0</v>
      </c>
      <c r="M3327" t="n">
        <v>0</v>
      </c>
      <c r="O3327" t="inlineStr">
        <is>
          <t>19065</t>
        </is>
      </c>
      <c r="P3327" t="inlineStr">
        <is>
          <t>KIMLEY-HORN AND ASSOCIATES, INC.</t>
        </is>
      </c>
      <c r="Q3327" s="114" t="n">
        <v>0</v>
      </c>
      <c r="R3327" s="114" t="n">
        <v>217050</v>
      </c>
      <c r="S3327" s="114" t="n">
        <v>0</v>
      </c>
      <c r="T3327" t="n">
        <v>0</v>
      </c>
    </row>
    <row r="3328">
      <c r="A3328" t="inlineStr">
        <is>
          <t>ttJTrans</t>
        </is>
      </c>
      <c r="B3328" s="38" t="inlineStr">
        <is>
          <t>0-4024</t>
        </is>
      </c>
      <c r="C3328" t="inlineStr">
        <is>
          <t>SU</t>
        </is>
      </c>
      <c r="E3328" t="inlineStr">
        <is>
          <t>SU</t>
        </is>
      </c>
      <c r="G3328" s="128" t="inlineStr"/>
      <c r="H3328" s="127" t="n">
        <v>46146</v>
      </c>
      <c r="J3328" s="38" t="inlineStr">
        <is>
          <t>0-4024</t>
        </is>
      </c>
      <c r="K3328" t="inlineStr">
        <is>
          <t>ENGINEERING</t>
        </is>
      </c>
      <c r="L3328" t="n">
        <v>0</v>
      </c>
      <c r="M3328" t="n">
        <v>0</v>
      </c>
      <c r="O3328" t="inlineStr">
        <is>
          <t>13296</t>
        </is>
      </c>
      <c r="P3328" t="inlineStr">
        <is>
          <t>TERRACON CONSULTANTS, INC</t>
        </is>
      </c>
      <c r="Q3328" s="114" t="n">
        <v>0</v>
      </c>
      <c r="R3328" s="114" t="n">
        <v>13102</v>
      </c>
      <c r="S3328" s="114" t="n">
        <v>0</v>
      </c>
      <c r="T3328" t="n">
        <v>0</v>
      </c>
    </row>
    <row r="3329">
      <c r="A3329" t="inlineStr">
        <is>
          <t>ttJTrans</t>
        </is>
      </c>
      <c r="B3329" s="38" t="inlineStr">
        <is>
          <t>0-4024</t>
        </is>
      </c>
      <c r="C3329" t="inlineStr">
        <is>
          <t>SU</t>
        </is>
      </c>
      <c r="E3329" t="inlineStr">
        <is>
          <t>SU</t>
        </is>
      </c>
      <c r="G3329" s="128" t="inlineStr"/>
      <c r="H3329" s="127" t="n">
        <v>46157</v>
      </c>
      <c r="J3329" s="38" t="inlineStr">
        <is>
          <t>0-4024</t>
        </is>
      </c>
      <c r="K3329" t="inlineStr">
        <is>
          <t>CIVIL ENGINEERING</t>
        </is>
      </c>
      <c r="L3329" t="n">
        <v>0</v>
      </c>
      <c r="M3329" t="n">
        <v>0</v>
      </c>
      <c r="O3329" t="inlineStr">
        <is>
          <t>19065</t>
        </is>
      </c>
      <c r="P3329" t="inlineStr">
        <is>
          <t>KIMLEY-HORN AND ASSOCIATES, INC.</t>
        </is>
      </c>
      <c r="Q3329" s="114" t="n">
        <v>0</v>
      </c>
      <c r="R3329" s="114" t="n">
        <v>105850</v>
      </c>
      <c r="S3329" s="114" t="n">
        <v>0</v>
      </c>
      <c r="T3329" t="n">
        <v>0</v>
      </c>
    </row>
    <row r="3330">
      <c r="A3330" t="inlineStr">
        <is>
          <t>ttJTrans</t>
        </is>
      </c>
      <c r="B3330" s="38" t="inlineStr">
        <is>
          <t>0-4027</t>
        </is>
      </c>
      <c r="C3330" t="inlineStr">
        <is>
          <t>LA</t>
        </is>
      </c>
      <c r="E3330" t="inlineStr">
        <is>
          <t>LA</t>
        </is>
      </c>
      <c r="G3330" s="128" t="inlineStr"/>
      <c r="H3330" s="127" t="n">
        <v>45981</v>
      </c>
      <c r="J3330" s="38" t="inlineStr">
        <is>
          <t>0-4027</t>
        </is>
      </c>
      <c r="K3330" t="inlineStr">
        <is>
          <t>PR P0COST 000503 (PR) Summary</t>
        </is>
      </c>
      <c r="L3330" t="n">
        <v>0</v>
      </c>
      <c r="M3330" t="n">
        <v>0</v>
      </c>
      <c r="Q3330" s="114" t="n">
        <v>0</v>
      </c>
      <c r="R3330" s="114" t="n">
        <v>1818.43</v>
      </c>
      <c r="S3330" s="114" t="n">
        <v>0</v>
      </c>
      <c r="T3330" t="n">
        <v>40</v>
      </c>
    </row>
    <row r="3331">
      <c r="A3331" t="inlineStr">
        <is>
          <t>ttJTrans</t>
        </is>
      </c>
      <c r="B3331" s="38" t="inlineStr">
        <is>
          <t>0-4027</t>
        </is>
      </c>
      <c r="C3331" t="inlineStr">
        <is>
          <t>LA</t>
        </is>
      </c>
      <c r="E3331" t="inlineStr">
        <is>
          <t>LA</t>
        </is>
      </c>
      <c r="G3331" s="128" t="inlineStr"/>
      <c r="H3331" s="127" t="n">
        <v>46054</v>
      </c>
      <c r="J3331" s="38" t="inlineStr">
        <is>
          <t>0-4027</t>
        </is>
      </c>
      <c r="K3331" t="inlineStr">
        <is>
          <t>2025 AP ACCRUAL SMJV EMP COST -CHG TO PROJECTS</t>
        </is>
      </c>
      <c r="L3331" t="n">
        <v>0</v>
      </c>
      <c r="M3331" t="n">
        <v>0</v>
      </c>
      <c r="Q3331" s="114" t="n">
        <v>0</v>
      </c>
      <c r="R3331" s="114" t="n">
        <v>2110</v>
      </c>
      <c r="S3331" s="114" t="n">
        <v>0</v>
      </c>
      <c r="T3331" t="n">
        <v>0</v>
      </c>
    </row>
    <row r="3332">
      <c r="A3332" t="inlineStr">
        <is>
          <t>ttJTrans</t>
        </is>
      </c>
      <c r="B3332" s="38" t="inlineStr">
        <is>
          <t>0-4027</t>
        </is>
      </c>
      <c r="C3332" t="inlineStr">
        <is>
          <t>LA</t>
        </is>
      </c>
      <c r="E3332" t="inlineStr">
        <is>
          <t>LA</t>
        </is>
      </c>
      <c r="G3332" s="128" t="inlineStr"/>
      <c r="H3332" s="127" t="n">
        <v>46150</v>
      </c>
      <c r="J3332" s="38" t="inlineStr">
        <is>
          <t>0-4027</t>
        </is>
      </c>
      <c r="K3332" t="inlineStr">
        <is>
          <t>COST CODE TRANSFER 25-4005</t>
        </is>
      </c>
      <c r="L3332" t="n">
        <v>0</v>
      </c>
      <c r="M3332" t="n">
        <v>0</v>
      </c>
      <c r="Q3332" s="114" t="n">
        <v>0</v>
      </c>
      <c r="R3332" s="114" t="n">
        <v>-3928.43</v>
      </c>
      <c r="S3332" s="114" t="n">
        <v>0</v>
      </c>
      <c r="T3332" t="n">
        <v>-40</v>
      </c>
    </row>
    <row r="3333">
      <c r="A3333" t="inlineStr">
        <is>
          <t>ttJTrans</t>
        </is>
      </c>
      <c r="B3333" s="38" t="inlineStr">
        <is>
          <t>0-4027</t>
        </is>
      </c>
      <c r="C3333" t="inlineStr">
        <is>
          <t>MA</t>
        </is>
      </c>
      <c r="D3333" t="inlineStr">
        <is>
          <t>MA1008600</t>
        </is>
      </c>
      <c r="E3333" t="inlineStr">
        <is>
          <t>MA</t>
        </is>
      </c>
      <c r="F3333" t="inlineStr">
        <is>
          <t>MA1008600</t>
        </is>
      </c>
      <c r="G3333" s="128" t="n">
        <v>45951</v>
      </c>
      <c r="H3333" s="127" t="n">
        <v>45951</v>
      </c>
      <c r="I3333" t="inlineStr">
        <is>
          <t>3</t>
        </is>
      </c>
      <c r="J3333" s="38" t="inlineStr">
        <is>
          <t>0-4027</t>
        </is>
      </c>
      <c r="K3333" t="inlineStr">
        <is>
          <t>7210603 CEMENT LOW VOC QT #99</t>
        </is>
      </c>
      <c r="L3333" t="n">
        <v>1</v>
      </c>
      <c r="M3333" t="n">
        <v>18.84</v>
      </c>
      <c r="N3333" t="inlineStr">
        <is>
          <t>INVOICE:ADJ-COMMIT</t>
        </is>
      </c>
      <c r="O3333" t="inlineStr">
        <is>
          <t>20642</t>
        </is>
      </c>
      <c r="P3333" t="inlineStr">
        <is>
          <t>GRIDPOWER SOLUTIONS, LLC</t>
        </is>
      </c>
      <c r="Q3333" s="114" t="n">
        <v>0</v>
      </c>
      <c r="R3333" s="114" t="n">
        <v>0</v>
      </c>
      <c r="S3333" s="114" t="n">
        <v>-18.84</v>
      </c>
      <c r="T3333" t="n">
        <v>0</v>
      </c>
    </row>
    <row r="3334">
      <c r="A3334" t="inlineStr">
        <is>
          <t>ttJTrans</t>
        </is>
      </c>
      <c r="B3334" s="38" t="inlineStr">
        <is>
          <t>0-4027</t>
        </is>
      </c>
      <c r="C3334" t="inlineStr">
        <is>
          <t>MA</t>
        </is>
      </c>
      <c r="D3334" t="inlineStr">
        <is>
          <t>MA1008600</t>
        </is>
      </c>
      <c r="E3334" t="inlineStr">
        <is>
          <t>MA</t>
        </is>
      </c>
      <c r="F3334" t="inlineStr">
        <is>
          <t>MA1008600</t>
        </is>
      </c>
      <c r="G3334" s="128" t="n">
        <v>45951</v>
      </c>
      <c r="H3334" s="127" t="n">
        <v>46014</v>
      </c>
      <c r="I3334" t="inlineStr">
        <is>
          <t>7</t>
        </is>
      </c>
      <c r="J3334" s="38" t="inlineStr">
        <is>
          <t>0-4027</t>
        </is>
      </c>
      <c r="K3334" t="inlineStr">
        <is>
          <t>CUR 670 SCREW TYPE TELESCOPING REEL STAND -</t>
        </is>
      </c>
      <c r="L3334" t="n">
        <v>2</v>
      </c>
      <c r="M3334" t="n">
        <v>826.55</v>
      </c>
      <c r="N3334" t="inlineStr">
        <is>
          <t>INVOICE</t>
        </is>
      </c>
      <c r="O3334" t="inlineStr">
        <is>
          <t>20642</t>
        </is>
      </c>
      <c r="P3334" t="inlineStr">
        <is>
          <t>GRIDPOWER SOLUTIONS, LLC</t>
        </is>
      </c>
      <c r="Q3334" s="114" t="n">
        <v>0</v>
      </c>
      <c r="R3334" s="114" t="n">
        <v>0</v>
      </c>
      <c r="S3334" s="114" t="n">
        <v>0</v>
      </c>
      <c r="T3334" t="n">
        <v>0</v>
      </c>
    </row>
    <row r="3335">
      <c r="A3335" t="inlineStr">
        <is>
          <t>ttJTrans</t>
        </is>
      </c>
      <c r="B3335" s="38" t="inlineStr">
        <is>
          <t>0-4027</t>
        </is>
      </c>
      <c r="C3335" t="inlineStr">
        <is>
          <t>MA</t>
        </is>
      </c>
      <c r="D3335" t="inlineStr">
        <is>
          <t>MA1008600</t>
        </is>
      </c>
      <c r="E3335" t="inlineStr">
        <is>
          <t>MA</t>
        </is>
      </c>
      <c r="F3335" t="inlineStr">
        <is>
          <t>MA1008600</t>
        </is>
      </c>
      <c r="G3335" s="128" t="n">
        <v>45951</v>
      </c>
      <c r="H3335" s="127" t="n">
        <v>45951</v>
      </c>
      <c r="I3335" t="inlineStr">
        <is>
          <t>1</t>
        </is>
      </c>
      <c r="J3335" s="38" t="inlineStr">
        <is>
          <t>0-4027</t>
        </is>
      </c>
      <c r="K3335" t="inlineStr">
        <is>
          <t>012ZU4-T4F22D20 12-F OS2 LT ALTOS BINDERLESS</t>
        </is>
      </c>
      <c r="L3335" t="n">
        <v>600</v>
      </c>
      <c r="M3335" t="n">
        <v>279.72</v>
      </c>
      <c r="N3335" t="inlineStr">
        <is>
          <t>INVOICE:ADJ-COMMIT</t>
        </is>
      </c>
      <c r="O3335" t="inlineStr">
        <is>
          <t>20642</t>
        </is>
      </c>
      <c r="P3335" t="inlineStr">
        <is>
          <t>GRIDPOWER SOLUTIONS, LLC</t>
        </is>
      </c>
      <c r="Q3335" s="114" t="n">
        <v>0</v>
      </c>
      <c r="R3335" s="114" t="n">
        <v>0</v>
      </c>
      <c r="S3335" s="114" t="n">
        <v>-279.72</v>
      </c>
      <c r="T3335" t="n">
        <v>0</v>
      </c>
    </row>
    <row r="3336">
      <c r="A3336" t="inlineStr">
        <is>
          <t>ttJTrans</t>
        </is>
      </c>
      <c r="B3336" s="38" t="inlineStr">
        <is>
          <t>0-4027</t>
        </is>
      </c>
      <c r="C3336" t="inlineStr">
        <is>
          <t>MA</t>
        </is>
      </c>
      <c r="D3336" t="inlineStr">
        <is>
          <t>MA1008600</t>
        </is>
      </c>
      <c r="E3336" t="inlineStr">
        <is>
          <t>MA</t>
        </is>
      </c>
      <c r="F3336" t="inlineStr">
        <is>
          <t>MA1008600</t>
        </is>
      </c>
      <c r="G3336" s="128" t="n">
        <v>45951</v>
      </c>
      <c r="H3336" s="127" t="n">
        <v>46014</v>
      </c>
      <c r="I3336" t="inlineStr">
        <is>
          <t>8</t>
        </is>
      </c>
      <c r="J3336" s="38" t="inlineStr">
        <is>
          <t>0-4027</t>
        </is>
      </c>
      <c r="K3336" t="inlineStr">
        <is>
          <t>CUR 671 SPINDLE FOR MEDIUM REEL STAND</t>
        </is>
      </c>
      <c r="L3336" t="n">
        <v>1</v>
      </c>
      <c r="M3336" t="n">
        <v>490.09</v>
      </c>
      <c r="N3336" t="inlineStr">
        <is>
          <t>INVOICE</t>
        </is>
      </c>
      <c r="O3336" t="inlineStr">
        <is>
          <t>20642</t>
        </is>
      </c>
      <c r="P3336" t="inlineStr">
        <is>
          <t>GRIDPOWER SOLUTIONS, LLC</t>
        </is>
      </c>
      <c r="Q3336" s="114" t="n">
        <v>0</v>
      </c>
      <c r="R3336" s="114" t="n">
        <v>0</v>
      </c>
      <c r="S3336" s="114" t="n">
        <v>0</v>
      </c>
      <c r="T3336" t="n">
        <v>0</v>
      </c>
    </row>
    <row r="3337">
      <c r="A3337" t="inlineStr">
        <is>
          <t>ttJTrans</t>
        </is>
      </c>
      <c r="B3337" s="38" t="inlineStr">
        <is>
          <t>0-4027</t>
        </is>
      </c>
      <c r="C3337" t="inlineStr">
        <is>
          <t>MA</t>
        </is>
      </c>
      <c r="D3337" t="inlineStr">
        <is>
          <t>MA1008600</t>
        </is>
      </c>
      <c r="E3337" t="inlineStr">
        <is>
          <t>MA</t>
        </is>
      </c>
      <c r="F3337" t="inlineStr">
        <is>
          <t>MA1008600</t>
        </is>
      </c>
      <c r="G3337" s="128" t="n">
        <v>45951</v>
      </c>
      <c r="H3337" s="127" t="n">
        <v>45986</v>
      </c>
      <c r="I3337" t="inlineStr">
        <is>
          <t>2</t>
        </is>
      </c>
      <c r="J3337" s="38" t="inlineStr">
        <is>
          <t>0-4027</t>
        </is>
      </c>
      <c r="K3337" t="inlineStr">
        <is>
          <t>A53BE12 1 1/2 UL SCH-80 10'BE</t>
        </is>
      </c>
      <c r="L3337" t="n">
        <v>600</v>
      </c>
      <c r="M3337" t="n">
        <v>765.9</v>
      </c>
      <c r="N3337" t="inlineStr">
        <is>
          <t>INVOICE</t>
        </is>
      </c>
      <c r="O3337" t="inlineStr">
        <is>
          <t>20642</t>
        </is>
      </c>
      <c r="P3337" t="inlineStr">
        <is>
          <t>GRIDPOWER SOLUTIONS, LLC</t>
        </is>
      </c>
      <c r="Q3337" s="114" t="n">
        <v>0</v>
      </c>
      <c r="R3337" s="114" t="n">
        <v>0</v>
      </c>
      <c r="S3337" s="114" t="n">
        <v>0</v>
      </c>
      <c r="T3337" t="n">
        <v>0</v>
      </c>
    </row>
    <row r="3338">
      <c r="A3338" t="inlineStr">
        <is>
          <t>ttJTrans</t>
        </is>
      </c>
      <c r="B3338" s="38" t="inlineStr">
        <is>
          <t>0-4027</t>
        </is>
      </c>
      <c r="C3338" t="inlineStr">
        <is>
          <t>MA</t>
        </is>
      </c>
      <c r="D3338" t="inlineStr">
        <is>
          <t>MA1008600</t>
        </is>
      </c>
      <c r="E3338" t="inlineStr">
        <is>
          <t>MA</t>
        </is>
      </c>
      <c r="F3338" t="inlineStr">
        <is>
          <t>MA1008600</t>
        </is>
      </c>
      <c r="G3338" s="128" t="n">
        <v>45951</v>
      </c>
      <c r="H3338" s="127" t="n">
        <v>45985</v>
      </c>
      <c r="I3338" t="inlineStr">
        <is>
          <t>6</t>
        </is>
      </c>
      <c r="J3338" s="38" t="inlineStr">
        <is>
          <t>0-4027</t>
        </is>
      </c>
      <c r="K3338" t="inlineStr">
        <is>
          <t>3M™ Adhesive Sealant 760 UV, Black, 290 mL</t>
        </is>
      </c>
      <c r="L3338" t="n">
        <v>12</v>
      </c>
      <c r="M3338" t="n">
        <v>246.69</v>
      </c>
      <c r="N3338" t="inlineStr">
        <is>
          <t>INVOICE</t>
        </is>
      </c>
      <c r="O3338" t="inlineStr">
        <is>
          <t>20642</t>
        </is>
      </c>
      <c r="P3338" t="inlineStr">
        <is>
          <t>GRIDPOWER SOLUTIONS, LLC</t>
        </is>
      </c>
      <c r="Q3338" s="114" t="n">
        <v>0</v>
      </c>
      <c r="R3338" s="114" t="n">
        <v>0</v>
      </c>
      <c r="S3338" s="114" t="n">
        <v>0</v>
      </c>
      <c r="T3338" t="n">
        <v>0</v>
      </c>
    </row>
    <row r="3339">
      <c r="A3339" t="inlineStr">
        <is>
          <t>ttJTrans</t>
        </is>
      </c>
      <c r="B3339" s="38" t="inlineStr">
        <is>
          <t>0-4027</t>
        </is>
      </c>
      <c r="C3339" t="inlineStr">
        <is>
          <t>MA</t>
        </is>
      </c>
      <c r="D3339" t="inlineStr">
        <is>
          <t>MA1008600</t>
        </is>
      </c>
      <c r="E3339" t="inlineStr">
        <is>
          <t>MA</t>
        </is>
      </c>
      <c r="F3339" t="inlineStr">
        <is>
          <t>MA1008600</t>
        </is>
      </c>
      <c r="G3339" s="128" t="n">
        <v>45951</v>
      </c>
      <c r="H3339" s="127" t="n">
        <v>45951</v>
      </c>
      <c r="I3339" t="inlineStr">
        <is>
          <t>1</t>
        </is>
      </c>
      <c r="J3339" s="38" t="inlineStr">
        <is>
          <t>0-4027</t>
        </is>
      </c>
      <c r="K3339" t="inlineStr">
        <is>
          <t>012ZU4-T4F22D20 12-F OS2 LT ALTOS BINDERLESS</t>
        </is>
      </c>
      <c r="L3339" t="n">
        <v>600</v>
      </c>
      <c r="M3339" t="n">
        <v>279.72</v>
      </c>
      <c r="N3339" t="inlineStr">
        <is>
          <t>PO:COMMIT</t>
        </is>
      </c>
      <c r="O3339" t="inlineStr">
        <is>
          <t>20642</t>
        </is>
      </c>
      <c r="P3339" t="inlineStr">
        <is>
          <t>GRIDPOWER SOLUTIONS, LLC</t>
        </is>
      </c>
      <c r="Q3339" s="114" t="n">
        <v>0</v>
      </c>
      <c r="R3339" s="114" t="n">
        <v>0</v>
      </c>
      <c r="S3339" s="114" t="n">
        <v>279.72</v>
      </c>
      <c r="T3339" t="n">
        <v>0</v>
      </c>
    </row>
    <row r="3340">
      <c r="A3340" t="inlineStr">
        <is>
          <t>ttJTrans</t>
        </is>
      </c>
      <c r="B3340" s="38" t="inlineStr">
        <is>
          <t>0-4027</t>
        </is>
      </c>
      <c r="C3340" t="inlineStr">
        <is>
          <t>MA</t>
        </is>
      </c>
      <c r="D3340" t="inlineStr">
        <is>
          <t>MA1008600</t>
        </is>
      </c>
      <c r="E3340" t="inlineStr">
        <is>
          <t>MA</t>
        </is>
      </c>
      <c r="F3340" t="inlineStr">
        <is>
          <t>MA1008600</t>
        </is>
      </c>
      <c r="G3340" s="128" t="n">
        <v>45951</v>
      </c>
      <c r="H3340" s="127" t="n">
        <v>45951</v>
      </c>
      <c r="I3340" t="inlineStr">
        <is>
          <t>6</t>
        </is>
      </c>
      <c r="J3340" s="38" t="inlineStr">
        <is>
          <t>0-4027</t>
        </is>
      </c>
      <c r="K3340" t="inlineStr">
        <is>
          <t>3M™ Adhesive Sealant 760 UV, Black, 290 mL</t>
        </is>
      </c>
      <c r="L3340" t="n">
        <v>12</v>
      </c>
      <c r="M3340" t="n">
        <v>246.69</v>
      </c>
      <c r="N3340" t="inlineStr">
        <is>
          <t>PO:COMMIT</t>
        </is>
      </c>
      <c r="O3340" t="inlineStr">
        <is>
          <t>20642</t>
        </is>
      </c>
      <c r="P3340" t="inlineStr">
        <is>
          <t>GRIDPOWER SOLUTIONS, LLC</t>
        </is>
      </c>
      <c r="Q3340" s="114" t="n">
        <v>0</v>
      </c>
      <c r="R3340" s="114" t="n">
        <v>0</v>
      </c>
      <c r="S3340" s="114" t="n">
        <v>246.69</v>
      </c>
      <c r="T3340" t="n">
        <v>0</v>
      </c>
    </row>
    <row r="3341">
      <c r="A3341" t="inlineStr">
        <is>
          <t>ttJTrans</t>
        </is>
      </c>
      <c r="B3341" s="38" t="inlineStr">
        <is>
          <t>0-4027</t>
        </is>
      </c>
      <c r="C3341" t="inlineStr">
        <is>
          <t>MA</t>
        </is>
      </c>
      <c r="D3341" t="inlineStr">
        <is>
          <t>MA1008600</t>
        </is>
      </c>
      <c r="E3341" t="inlineStr">
        <is>
          <t>MA</t>
        </is>
      </c>
      <c r="F3341" t="inlineStr">
        <is>
          <t>MA1008600</t>
        </is>
      </c>
      <c r="G3341" s="128" t="n">
        <v>45951</v>
      </c>
      <c r="H3341" s="127" t="n">
        <v>45951</v>
      </c>
      <c r="I3341" t="inlineStr">
        <is>
          <t>5</t>
        </is>
      </c>
      <c r="J3341" s="38" t="inlineStr">
        <is>
          <t>0-4027</t>
        </is>
      </c>
      <c r="K3341" t="inlineStr">
        <is>
          <t>5144007 1 1/2 UL END BELL</t>
        </is>
      </c>
      <c r="L3341" t="n">
        <v>4</v>
      </c>
      <c r="M3341" t="n">
        <v>14.3</v>
      </c>
      <c r="N3341" t="inlineStr">
        <is>
          <t>PO:COMMIT</t>
        </is>
      </c>
      <c r="O3341" t="inlineStr">
        <is>
          <t>20642</t>
        </is>
      </c>
      <c r="P3341" t="inlineStr">
        <is>
          <t>GRIDPOWER SOLUTIONS, LLC</t>
        </is>
      </c>
      <c r="Q3341" s="114" t="n">
        <v>0</v>
      </c>
      <c r="R3341" s="114" t="n">
        <v>0</v>
      </c>
      <c r="S3341" s="114" t="n">
        <v>14.3</v>
      </c>
      <c r="T3341" t="n">
        <v>0</v>
      </c>
    </row>
    <row r="3342">
      <c r="A3342" t="inlineStr">
        <is>
          <t>ttJTrans</t>
        </is>
      </c>
      <c r="B3342" s="38" t="inlineStr">
        <is>
          <t>0-4027</t>
        </is>
      </c>
      <c r="C3342" t="inlineStr">
        <is>
          <t>MA</t>
        </is>
      </c>
      <c r="D3342" t="inlineStr">
        <is>
          <t>MA1008600</t>
        </is>
      </c>
      <c r="E3342" t="inlineStr">
        <is>
          <t>MA</t>
        </is>
      </c>
      <c r="F3342" t="inlineStr">
        <is>
          <t>MA1008600</t>
        </is>
      </c>
      <c r="G3342" s="128" t="n">
        <v>45951</v>
      </c>
      <c r="H3342" s="127" t="n">
        <v>45951</v>
      </c>
      <c r="I3342" t="inlineStr">
        <is>
          <t>4</t>
        </is>
      </c>
      <c r="J3342" s="38" t="inlineStr">
        <is>
          <t>0-4027</t>
        </is>
      </c>
      <c r="K3342" t="inlineStr">
        <is>
          <t>5121007 1 1/2 UL80 45 BND STD R</t>
        </is>
      </c>
      <c r="L3342" t="n">
        <v>4</v>
      </c>
      <c r="M3342" t="n">
        <v>14.3</v>
      </c>
      <c r="N3342" t="inlineStr">
        <is>
          <t>PO:COMMIT</t>
        </is>
      </c>
      <c r="O3342" t="inlineStr">
        <is>
          <t>20642</t>
        </is>
      </c>
      <c r="P3342" t="inlineStr">
        <is>
          <t>GRIDPOWER SOLUTIONS, LLC</t>
        </is>
      </c>
      <c r="Q3342" s="114" t="n">
        <v>0</v>
      </c>
      <c r="R3342" s="114" t="n">
        <v>0</v>
      </c>
      <c r="S3342" s="114" t="n">
        <v>14.3</v>
      </c>
      <c r="T3342" t="n">
        <v>0</v>
      </c>
    </row>
    <row r="3343">
      <c r="A3343" t="inlineStr">
        <is>
          <t>ttJTrans</t>
        </is>
      </c>
      <c r="B3343" s="38" t="inlineStr">
        <is>
          <t>0-4027</t>
        </is>
      </c>
      <c r="C3343" t="inlineStr">
        <is>
          <t>MA</t>
        </is>
      </c>
      <c r="D3343" t="inlineStr">
        <is>
          <t>MA1008600</t>
        </is>
      </c>
      <c r="E3343" t="inlineStr">
        <is>
          <t>MA</t>
        </is>
      </c>
      <c r="F3343" t="inlineStr">
        <is>
          <t>MA1008600</t>
        </is>
      </c>
      <c r="G3343" s="128" t="n">
        <v>45951</v>
      </c>
      <c r="H3343" s="127" t="n">
        <v>45951</v>
      </c>
      <c r="I3343" t="inlineStr">
        <is>
          <t>3</t>
        </is>
      </c>
      <c r="J3343" s="38" t="inlineStr">
        <is>
          <t>0-4027</t>
        </is>
      </c>
      <c r="K3343" t="inlineStr">
        <is>
          <t>7210603 CEMENT LOW VOC QT #99</t>
        </is>
      </c>
      <c r="L3343" t="n">
        <v>1</v>
      </c>
      <c r="M3343" t="n">
        <v>18.84</v>
      </c>
      <c r="N3343" t="inlineStr">
        <is>
          <t>PO:COMMIT</t>
        </is>
      </c>
      <c r="O3343" t="inlineStr">
        <is>
          <t>20642</t>
        </is>
      </c>
      <c r="P3343" t="inlineStr">
        <is>
          <t>GRIDPOWER SOLUTIONS, LLC</t>
        </is>
      </c>
      <c r="Q3343" s="114" t="n">
        <v>0</v>
      </c>
      <c r="R3343" s="114" t="n">
        <v>0</v>
      </c>
      <c r="S3343" s="114" t="n">
        <v>18.84</v>
      </c>
      <c r="T3343" t="n">
        <v>0</v>
      </c>
    </row>
    <row r="3344">
      <c r="A3344" t="inlineStr">
        <is>
          <t>ttJTrans</t>
        </is>
      </c>
      <c r="B3344" s="38" t="inlineStr">
        <is>
          <t>0-4027</t>
        </is>
      </c>
      <c r="C3344" t="inlineStr">
        <is>
          <t>MA</t>
        </is>
      </c>
      <c r="D3344" t="inlineStr">
        <is>
          <t>MA1008600</t>
        </is>
      </c>
      <c r="E3344" t="inlineStr">
        <is>
          <t>MA</t>
        </is>
      </c>
      <c r="F3344" t="inlineStr">
        <is>
          <t>MA1008600</t>
        </is>
      </c>
      <c r="G3344" s="128" t="n">
        <v>45951</v>
      </c>
      <c r="H3344" s="127" t="n">
        <v>45951</v>
      </c>
      <c r="I3344" t="inlineStr">
        <is>
          <t>13</t>
        </is>
      </c>
      <c r="J3344" s="38" t="inlineStr">
        <is>
          <t>0-4027</t>
        </is>
      </c>
      <c r="K3344" t="inlineStr">
        <is>
          <t>6" Wide Detectable Warning Burial Tape</t>
        </is>
      </c>
      <c r="L3344" t="n">
        <v>4</v>
      </c>
      <c r="M3344" t="n">
        <v>313.42</v>
      </c>
      <c r="N3344" t="inlineStr">
        <is>
          <t>PO:COMMIT</t>
        </is>
      </c>
      <c r="O3344" t="inlineStr">
        <is>
          <t>20642</t>
        </is>
      </c>
      <c r="P3344" t="inlineStr">
        <is>
          <t>GRIDPOWER SOLUTIONS, LLC</t>
        </is>
      </c>
      <c r="Q3344" s="114" t="n">
        <v>0</v>
      </c>
      <c r="R3344" s="114" t="n">
        <v>0</v>
      </c>
      <c r="S3344" s="114" t="n">
        <v>313.42</v>
      </c>
      <c r="T3344" t="n">
        <v>0</v>
      </c>
    </row>
    <row r="3345">
      <c r="A3345" t="inlineStr">
        <is>
          <t>ttJTrans</t>
        </is>
      </c>
      <c r="B3345" s="38" t="inlineStr">
        <is>
          <t>0-4027</t>
        </is>
      </c>
      <c r="C3345" t="inlineStr">
        <is>
          <t>MA</t>
        </is>
      </c>
      <c r="D3345" t="inlineStr">
        <is>
          <t>MA1008600</t>
        </is>
      </c>
      <c r="E3345" t="inlineStr">
        <is>
          <t>MA</t>
        </is>
      </c>
      <c r="F3345" t="inlineStr">
        <is>
          <t>MA1008600</t>
        </is>
      </c>
      <c r="G3345" s="128" t="n">
        <v>45951</v>
      </c>
      <c r="H3345" s="127" t="n">
        <v>45951</v>
      </c>
      <c r="I3345" t="inlineStr">
        <is>
          <t>12</t>
        </is>
      </c>
      <c r="J3345" s="38" t="inlineStr">
        <is>
          <t>0-4027</t>
        </is>
      </c>
      <c r="K3345" t="inlineStr">
        <is>
          <t>Boxes of Staples for Silt Fence</t>
        </is>
      </c>
      <c r="L3345" t="n">
        <v>1</v>
      </c>
      <c r="M3345" t="n">
        <v>71.83</v>
      </c>
      <c r="N3345" t="inlineStr">
        <is>
          <t>PO:COMMIT</t>
        </is>
      </c>
      <c r="O3345" t="inlineStr">
        <is>
          <t>20642</t>
        </is>
      </c>
      <c r="P3345" t="inlineStr">
        <is>
          <t>GRIDPOWER SOLUTIONS, LLC</t>
        </is>
      </c>
      <c r="Q3345" s="114" t="n">
        <v>0</v>
      </c>
      <c r="R3345" s="114" t="n">
        <v>0</v>
      </c>
      <c r="S3345" s="114" t="n">
        <v>71.83</v>
      </c>
      <c r="T3345" t="n">
        <v>0</v>
      </c>
    </row>
    <row r="3346">
      <c r="A3346" t="inlineStr">
        <is>
          <t>ttJTrans</t>
        </is>
      </c>
      <c r="B3346" s="38" t="inlineStr">
        <is>
          <t>0-4027</t>
        </is>
      </c>
      <c r="C3346" t="inlineStr">
        <is>
          <t>MA</t>
        </is>
      </c>
      <c r="D3346" t="inlineStr">
        <is>
          <t>MA1008600</t>
        </is>
      </c>
      <c r="E3346" t="inlineStr">
        <is>
          <t>MA</t>
        </is>
      </c>
      <c r="F3346" t="inlineStr">
        <is>
          <t>MA1008600</t>
        </is>
      </c>
      <c r="G3346" s="128" t="n">
        <v>45951</v>
      </c>
      <c r="H3346" s="127" t="n">
        <v>45951</v>
      </c>
      <c r="I3346" t="inlineStr">
        <is>
          <t>11</t>
        </is>
      </c>
      <c r="J3346" s="38" t="inlineStr">
        <is>
          <t>0-4027</t>
        </is>
      </c>
      <c r="K3346" t="inlineStr">
        <is>
          <t>1" x 1" x 36" stakes - wooden</t>
        </is>
      </c>
      <c r="L3346" t="n">
        <v>220</v>
      </c>
      <c r="M3346" t="n">
        <v>449.33</v>
      </c>
      <c r="N3346" t="inlineStr">
        <is>
          <t>PO:COMMIT</t>
        </is>
      </c>
      <c r="O3346" t="inlineStr">
        <is>
          <t>20642</t>
        </is>
      </c>
      <c r="P3346" t="inlineStr">
        <is>
          <t>GRIDPOWER SOLUTIONS, LLC</t>
        </is>
      </c>
      <c r="Q3346" s="114" t="n">
        <v>0</v>
      </c>
      <c r="R3346" s="114" t="n">
        <v>0</v>
      </c>
      <c r="S3346" s="114" t="n">
        <v>449.33</v>
      </c>
      <c r="T3346" t="n">
        <v>0</v>
      </c>
    </row>
    <row r="3347">
      <c r="A3347" t="inlineStr">
        <is>
          <t>ttJTrans</t>
        </is>
      </c>
      <c r="B3347" s="38" t="inlineStr">
        <is>
          <t>0-4027</t>
        </is>
      </c>
      <c r="C3347" t="inlineStr">
        <is>
          <t>MA</t>
        </is>
      </c>
      <c r="D3347" t="inlineStr">
        <is>
          <t>MA1008600</t>
        </is>
      </c>
      <c r="E3347" t="inlineStr">
        <is>
          <t>MA</t>
        </is>
      </c>
      <c r="F3347" t="inlineStr">
        <is>
          <t>MA1008600</t>
        </is>
      </c>
      <c r="G3347" s="128" t="n">
        <v>45951</v>
      </c>
      <c r="H3347" s="127" t="n">
        <v>45951</v>
      </c>
      <c r="I3347" t="inlineStr">
        <is>
          <t>10</t>
        </is>
      </c>
      <c r="J3347" s="38" t="inlineStr">
        <is>
          <t>0-4027</t>
        </is>
      </c>
      <c r="K3347" t="inlineStr">
        <is>
          <t>Type B - Silt Fence 100ft/roll</t>
        </is>
      </c>
      <c r="L3347" t="n">
        <v>12</v>
      </c>
      <c r="M3347" t="n">
        <v>666</v>
      </c>
      <c r="N3347" t="inlineStr">
        <is>
          <t>PO:COMMIT</t>
        </is>
      </c>
      <c r="O3347" t="inlineStr">
        <is>
          <t>20642</t>
        </is>
      </c>
      <c r="P3347" t="inlineStr">
        <is>
          <t>GRIDPOWER SOLUTIONS, LLC</t>
        </is>
      </c>
      <c r="Q3347" s="114" t="n">
        <v>0</v>
      </c>
      <c r="R3347" s="114" t="n">
        <v>0</v>
      </c>
      <c r="S3347" s="114" t="n">
        <v>666</v>
      </c>
      <c r="T3347" t="n">
        <v>0</v>
      </c>
    </row>
    <row r="3348">
      <c r="A3348" t="inlineStr">
        <is>
          <t>ttJTrans</t>
        </is>
      </c>
      <c r="B3348" s="38" t="inlineStr">
        <is>
          <t>0-4027</t>
        </is>
      </c>
      <c r="C3348" t="inlineStr">
        <is>
          <t>MA</t>
        </is>
      </c>
      <c r="D3348" t="inlineStr">
        <is>
          <t>MA1008600</t>
        </is>
      </c>
      <c r="E3348" t="inlineStr">
        <is>
          <t>MA</t>
        </is>
      </c>
      <c r="F3348" t="inlineStr">
        <is>
          <t>MA1008600</t>
        </is>
      </c>
      <c r="G3348" s="128" t="n">
        <v>45951</v>
      </c>
      <c r="H3348" s="127" t="n">
        <v>45951</v>
      </c>
      <c r="I3348" t="inlineStr">
        <is>
          <t>9</t>
        </is>
      </c>
      <c r="J3348" s="38" t="inlineStr">
        <is>
          <t>0-4027</t>
        </is>
      </c>
      <c r="K3348" t="inlineStr">
        <is>
          <t>LES PS6500-210 LONESTAR 6500FT 210LB PULL</t>
        </is>
      </c>
      <c r="L3348" t="n">
        <v>1</v>
      </c>
      <c r="M3348" t="n">
        <v>36.56</v>
      </c>
      <c r="N3348" t="inlineStr">
        <is>
          <t>PO:COMMIT</t>
        </is>
      </c>
      <c r="O3348" t="inlineStr">
        <is>
          <t>20642</t>
        </is>
      </c>
      <c r="P3348" t="inlineStr">
        <is>
          <t>GRIDPOWER SOLUTIONS, LLC</t>
        </is>
      </c>
      <c r="Q3348" s="114" t="n">
        <v>0</v>
      </c>
      <c r="R3348" s="114" t="n">
        <v>0</v>
      </c>
      <c r="S3348" s="114" t="n">
        <v>36.56</v>
      </c>
      <c r="T3348" t="n">
        <v>0</v>
      </c>
    </row>
    <row r="3349">
      <c r="A3349" t="inlineStr">
        <is>
          <t>ttJTrans</t>
        </is>
      </c>
      <c r="B3349" s="38" t="inlineStr">
        <is>
          <t>0-4027</t>
        </is>
      </c>
      <c r="C3349" t="inlineStr">
        <is>
          <t>MA</t>
        </is>
      </c>
      <c r="D3349" t="inlineStr">
        <is>
          <t>MA1008600</t>
        </is>
      </c>
      <c r="E3349" t="inlineStr">
        <is>
          <t>MA</t>
        </is>
      </c>
      <c r="F3349" t="inlineStr">
        <is>
          <t>MA1008600</t>
        </is>
      </c>
      <c r="G3349" s="128" t="n">
        <v>45951</v>
      </c>
      <c r="H3349" s="127" t="n">
        <v>45951</v>
      </c>
      <c r="I3349" t="inlineStr">
        <is>
          <t>8</t>
        </is>
      </c>
      <c r="J3349" s="38" t="inlineStr">
        <is>
          <t>0-4027</t>
        </is>
      </c>
      <c r="K3349" t="inlineStr">
        <is>
          <t>CUR 671 SPINDLE FOR MEDIUM REEL STAND</t>
        </is>
      </c>
      <c r="L3349" t="n">
        <v>1</v>
      </c>
      <c r="M3349" t="n">
        <v>490.09</v>
      </c>
      <c r="N3349" t="inlineStr">
        <is>
          <t>PO:COMMIT</t>
        </is>
      </c>
      <c r="O3349" t="inlineStr">
        <is>
          <t>20642</t>
        </is>
      </c>
      <c r="P3349" t="inlineStr">
        <is>
          <t>GRIDPOWER SOLUTIONS, LLC</t>
        </is>
      </c>
      <c r="Q3349" s="114" t="n">
        <v>0</v>
      </c>
      <c r="R3349" s="114" t="n">
        <v>0</v>
      </c>
      <c r="S3349" s="114" t="n">
        <v>490.09</v>
      </c>
      <c r="T3349" t="n">
        <v>0</v>
      </c>
    </row>
    <row r="3350">
      <c r="A3350" t="inlineStr">
        <is>
          <t>ttJTrans</t>
        </is>
      </c>
      <c r="B3350" s="38" t="inlineStr">
        <is>
          <t>0-4027</t>
        </is>
      </c>
      <c r="C3350" t="inlineStr">
        <is>
          <t>MA</t>
        </is>
      </c>
      <c r="D3350" t="inlineStr">
        <is>
          <t>MA1008600</t>
        </is>
      </c>
      <c r="E3350" t="inlineStr">
        <is>
          <t>MA</t>
        </is>
      </c>
      <c r="F3350" t="inlineStr">
        <is>
          <t>MA1008600</t>
        </is>
      </c>
      <c r="G3350" s="128" t="n">
        <v>45951</v>
      </c>
      <c r="H3350" s="127" t="n">
        <v>45951</v>
      </c>
      <c r="I3350" t="inlineStr">
        <is>
          <t>7</t>
        </is>
      </c>
      <c r="J3350" s="38" t="inlineStr">
        <is>
          <t>0-4027</t>
        </is>
      </c>
      <c r="K3350" t="inlineStr">
        <is>
          <t>CUR 670 SCREW TYPE TELESCOPING REEL STAND -</t>
        </is>
      </c>
      <c r="L3350" t="n">
        <v>2</v>
      </c>
      <c r="M3350" t="n">
        <v>826.55</v>
      </c>
      <c r="N3350" t="inlineStr">
        <is>
          <t>PO:COMMIT</t>
        </is>
      </c>
      <c r="O3350" t="inlineStr">
        <is>
          <t>20642</t>
        </is>
      </c>
      <c r="P3350" t="inlineStr">
        <is>
          <t>GRIDPOWER SOLUTIONS, LLC</t>
        </is>
      </c>
      <c r="Q3350" s="114" t="n">
        <v>0</v>
      </c>
      <c r="R3350" s="114" t="n">
        <v>0</v>
      </c>
      <c r="S3350" s="114" t="n">
        <v>826.55</v>
      </c>
      <c r="T3350" t="n">
        <v>0</v>
      </c>
    </row>
    <row r="3351">
      <c r="A3351" t="inlineStr">
        <is>
          <t>ttJTrans</t>
        </is>
      </c>
      <c r="B3351" s="38" t="inlineStr">
        <is>
          <t>0-4027</t>
        </is>
      </c>
      <c r="C3351" t="inlineStr">
        <is>
          <t>MA</t>
        </is>
      </c>
      <c r="D3351" t="inlineStr">
        <is>
          <t>MA1008600</t>
        </is>
      </c>
      <c r="E3351" t="inlineStr">
        <is>
          <t>MA</t>
        </is>
      </c>
      <c r="F3351" t="inlineStr">
        <is>
          <t>MA1008600</t>
        </is>
      </c>
      <c r="G3351" s="128" t="n">
        <v>45951</v>
      </c>
      <c r="H3351" s="127" t="n">
        <v>45951</v>
      </c>
      <c r="I3351" t="inlineStr">
        <is>
          <t>2</t>
        </is>
      </c>
      <c r="J3351" s="38" t="inlineStr">
        <is>
          <t>0-4027</t>
        </is>
      </c>
      <c r="K3351" t="inlineStr">
        <is>
          <t>A53BE12 1 1/2 UL SCH-80 10'BE</t>
        </is>
      </c>
      <c r="L3351" t="n">
        <v>600</v>
      </c>
      <c r="M3351" t="n">
        <v>765.9</v>
      </c>
      <c r="N3351" t="inlineStr">
        <is>
          <t>PO:COMMIT</t>
        </is>
      </c>
      <c r="O3351" t="inlineStr">
        <is>
          <t>20642</t>
        </is>
      </c>
      <c r="P3351" t="inlineStr">
        <is>
          <t>GRIDPOWER SOLUTIONS, LLC</t>
        </is>
      </c>
      <c r="Q3351" s="114" t="n">
        <v>0</v>
      </c>
      <c r="R3351" s="114" t="n">
        <v>0</v>
      </c>
      <c r="S3351" s="114" t="n">
        <v>765.9</v>
      </c>
      <c r="T3351" t="n">
        <v>0</v>
      </c>
    </row>
    <row r="3352">
      <c r="A3352" t="inlineStr">
        <is>
          <t>ttJTrans</t>
        </is>
      </c>
      <c r="B3352" s="38" t="inlineStr">
        <is>
          <t>0-4027</t>
        </is>
      </c>
      <c r="C3352" t="inlineStr">
        <is>
          <t>MA</t>
        </is>
      </c>
      <c r="D3352" t="inlineStr">
        <is>
          <t>MA1008600</t>
        </is>
      </c>
      <c r="E3352" t="inlineStr">
        <is>
          <t>MA</t>
        </is>
      </c>
      <c r="F3352" t="inlineStr">
        <is>
          <t>MA1008600</t>
        </is>
      </c>
      <c r="G3352" s="128" t="n">
        <v>45951</v>
      </c>
      <c r="H3352" s="127" t="n">
        <v>45951</v>
      </c>
      <c r="I3352" t="inlineStr">
        <is>
          <t>2</t>
        </is>
      </c>
      <c r="J3352" s="38" t="inlineStr">
        <is>
          <t>0-4027</t>
        </is>
      </c>
      <c r="K3352" t="inlineStr">
        <is>
          <t>A53BE12 1 1/2 UL SCH-80 10'BE</t>
        </is>
      </c>
      <c r="L3352" t="n">
        <v>600</v>
      </c>
      <c r="M3352" t="n">
        <v>765.9</v>
      </c>
      <c r="N3352" t="inlineStr">
        <is>
          <t>INVOICE:ADJ-COMMIT</t>
        </is>
      </c>
      <c r="O3352" t="inlineStr">
        <is>
          <t>20642</t>
        </is>
      </c>
      <c r="P3352" t="inlineStr">
        <is>
          <t>GRIDPOWER SOLUTIONS, LLC</t>
        </is>
      </c>
      <c r="Q3352" s="114" t="n">
        <v>0</v>
      </c>
      <c r="R3352" s="114" t="n">
        <v>0</v>
      </c>
      <c r="S3352" s="114" t="n">
        <v>-762.5700000000001</v>
      </c>
      <c r="T3352" t="n">
        <v>0</v>
      </c>
    </row>
    <row r="3353">
      <c r="A3353" t="inlineStr">
        <is>
          <t>ttJTrans</t>
        </is>
      </c>
      <c r="B3353" s="38" t="inlineStr">
        <is>
          <t>0-4027</t>
        </is>
      </c>
      <c r="C3353" t="inlineStr">
        <is>
          <t>MA</t>
        </is>
      </c>
      <c r="D3353" t="inlineStr">
        <is>
          <t>MA1008600</t>
        </is>
      </c>
      <c r="E3353" t="inlineStr">
        <is>
          <t>MA</t>
        </is>
      </c>
      <c r="F3353" t="inlineStr">
        <is>
          <t>MA1008600</t>
        </is>
      </c>
      <c r="G3353" s="128" t="n">
        <v>45951</v>
      </c>
      <c r="H3353" s="127" t="n">
        <v>45951</v>
      </c>
      <c r="I3353" t="inlineStr">
        <is>
          <t>8</t>
        </is>
      </c>
      <c r="J3353" s="38" t="inlineStr">
        <is>
          <t>0-4027</t>
        </is>
      </c>
      <c r="K3353" t="inlineStr">
        <is>
          <t>CUR 671 SPINDLE FOR MEDIUM REEL STAND</t>
        </is>
      </c>
      <c r="L3353" t="n">
        <v>1</v>
      </c>
      <c r="M3353" t="n">
        <v>490.09</v>
      </c>
      <c r="N3353" t="inlineStr">
        <is>
          <t>INVOICE:ADJ-COMMIT</t>
        </is>
      </c>
      <c r="O3353" t="inlineStr">
        <is>
          <t>20642</t>
        </is>
      </c>
      <c r="P3353" t="inlineStr">
        <is>
          <t>GRIDPOWER SOLUTIONS, LLC</t>
        </is>
      </c>
      <c r="Q3353" s="114" t="n">
        <v>0</v>
      </c>
      <c r="R3353" s="114" t="n">
        <v>0</v>
      </c>
      <c r="S3353" s="114" t="n">
        <v>-490.09</v>
      </c>
      <c r="T3353" t="n">
        <v>0</v>
      </c>
    </row>
    <row r="3354">
      <c r="A3354" t="inlineStr">
        <is>
          <t>ttJTrans</t>
        </is>
      </c>
      <c r="B3354" s="38" t="inlineStr">
        <is>
          <t>0-4027</t>
        </is>
      </c>
      <c r="C3354" t="inlineStr">
        <is>
          <t>MA</t>
        </is>
      </c>
      <c r="D3354" t="inlineStr">
        <is>
          <t>MA1008600</t>
        </is>
      </c>
      <c r="E3354" t="inlineStr">
        <is>
          <t>MA</t>
        </is>
      </c>
      <c r="F3354" t="inlineStr">
        <is>
          <t>MA1008600</t>
        </is>
      </c>
      <c r="G3354" s="128" t="n">
        <v>45951</v>
      </c>
      <c r="H3354" s="127" t="n">
        <v>45951</v>
      </c>
      <c r="I3354" t="inlineStr">
        <is>
          <t>9</t>
        </is>
      </c>
      <c r="J3354" s="38" t="inlineStr">
        <is>
          <t>0-4027</t>
        </is>
      </c>
      <c r="K3354" t="inlineStr">
        <is>
          <t>LES PS6500-210 LONESTAR 6500FT 210LB PULL</t>
        </is>
      </c>
      <c r="L3354" t="n">
        <v>1</v>
      </c>
      <c r="M3354" t="n">
        <v>36.56</v>
      </c>
      <c r="N3354" t="inlineStr">
        <is>
          <t>INVOICE:ADJ-COMMIT</t>
        </is>
      </c>
      <c r="O3354" t="inlineStr">
        <is>
          <t>20642</t>
        </is>
      </c>
      <c r="P3354" t="inlineStr">
        <is>
          <t>GRIDPOWER SOLUTIONS, LLC</t>
        </is>
      </c>
      <c r="Q3354" s="114" t="n">
        <v>0</v>
      </c>
      <c r="R3354" s="114" t="n">
        <v>0</v>
      </c>
      <c r="S3354" s="114" t="n">
        <v>-36.56</v>
      </c>
      <c r="T3354" t="n">
        <v>0</v>
      </c>
    </row>
    <row r="3355">
      <c r="A3355" t="inlineStr">
        <is>
          <t>ttJTrans</t>
        </is>
      </c>
      <c r="B3355" s="38" t="inlineStr">
        <is>
          <t>0-4027</t>
        </is>
      </c>
      <c r="C3355" t="inlineStr">
        <is>
          <t>MA</t>
        </is>
      </c>
      <c r="D3355" t="inlineStr">
        <is>
          <t>MA1008600</t>
        </is>
      </c>
      <c r="E3355" t="inlineStr">
        <is>
          <t>MA</t>
        </is>
      </c>
      <c r="F3355" t="inlineStr">
        <is>
          <t>MA1008600</t>
        </is>
      </c>
      <c r="G3355" s="128" t="n">
        <v>45951</v>
      </c>
      <c r="H3355" s="127" t="n">
        <v>45951</v>
      </c>
      <c r="I3355" t="inlineStr">
        <is>
          <t>7</t>
        </is>
      </c>
      <c r="J3355" s="38" t="inlineStr">
        <is>
          <t>0-4027</t>
        </is>
      </c>
      <c r="K3355" t="inlineStr">
        <is>
          <t>CUR 670 SCREW TYPE TELESCOPING REEL STAND -</t>
        </is>
      </c>
      <c r="L3355" t="n">
        <v>2</v>
      </c>
      <c r="M3355" t="n">
        <v>826.55</v>
      </c>
      <c r="N3355" t="inlineStr">
        <is>
          <t>INVOICE:ADJ-COMMIT</t>
        </is>
      </c>
      <c r="O3355" t="inlineStr">
        <is>
          <t>20642</t>
        </is>
      </c>
      <c r="P3355" t="inlineStr">
        <is>
          <t>GRIDPOWER SOLUTIONS, LLC</t>
        </is>
      </c>
      <c r="Q3355" s="114" t="n">
        <v>0</v>
      </c>
      <c r="R3355" s="114" t="n">
        <v>0</v>
      </c>
      <c r="S3355" s="114" t="n">
        <v>-826.55</v>
      </c>
      <c r="T3355" t="n">
        <v>0</v>
      </c>
    </row>
    <row r="3356">
      <c r="A3356" t="inlineStr">
        <is>
          <t>ttJTrans</t>
        </is>
      </c>
      <c r="B3356" s="38" t="inlineStr">
        <is>
          <t>0-4027</t>
        </is>
      </c>
      <c r="C3356" t="inlineStr">
        <is>
          <t>MA</t>
        </is>
      </c>
      <c r="D3356" t="inlineStr">
        <is>
          <t>MA1008600</t>
        </is>
      </c>
      <c r="E3356" t="inlineStr">
        <is>
          <t>MA</t>
        </is>
      </c>
      <c r="F3356" t="inlineStr">
        <is>
          <t>MA1008600</t>
        </is>
      </c>
      <c r="G3356" s="128" t="n">
        <v>45951</v>
      </c>
      <c r="H3356" s="127" t="n">
        <v>45951</v>
      </c>
      <c r="I3356" t="inlineStr">
        <is>
          <t>13</t>
        </is>
      </c>
      <c r="J3356" s="38" t="inlineStr">
        <is>
          <t>0-4027</t>
        </is>
      </c>
      <c r="K3356" t="inlineStr">
        <is>
          <t>6" Wide Detectable Warning Burial Tape</t>
        </is>
      </c>
      <c r="L3356" t="n">
        <v>4</v>
      </c>
      <c r="M3356" t="n">
        <v>313.42</v>
      </c>
      <c r="N3356" t="inlineStr">
        <is>
          <t>INVOICE:ADJ-COMMIT</t>
        </is>
      </c>
      <c r="O3356" t="inlineStr">
        <is>
          <t>20642</t>
        </is>
      </c>
      <c r="P3356" t="inlineStr">
        <is>
          <t>GRIDPOWER SOLUTIONS, LLC</t>
        </is>
      </c>
      <c r="Q3356" s="114" t="n">
        <v>0</v>
      </c>
      <c r="R3356" s="114" t="n">
        <v>0</v>
      </c>
      <c r="S3356" s="114" t="n">
        <v>-313.42</v>
      </c>
      <c r="T3356" t="n">
        <v>0</v>
      </c>
    </row>
    <row r="3357">
      <c r="A3357" t="inlineStr">
        <is>
          <t>ttJTrans</t>
        </is>
      </c>
      <c r="B3357" s="38" t="inlineStr">
        <is>
          <t>0-4027</t>
        </is>
      </c>
      <c r="C3357" t="inlineStr">
        <is>
          <t>MA</t>
        </is>
      </c>
      <c r="D3357" t="inlineStr">
        <is>
          <t>MA1008600</t>
        </is>
      </c>
      <c r="E3357" t="inlineStr">
        <is>
          <t>MA</t>
        </is>
      </c>
      <c r="F3357" t="inlineStr">
        <is>
          <t>MA1008600</t>
        </is>
      </c>
      <c r="G3357" s="128" t="n">
        <v>45951</v>
      </c>
      <c r="H3357" s="127" t="n">
        <v>46030</v>
      </c>
      <c r="I3357" t="inlineStr">
        <is>
          <t>13</t>
        </is>
      </c>
      <c r="J3357" s="38" t="inlineStr">
        <is>
          <t>0-4027</t>
        </is>
      </c>
      <c r="K3357" t="inlineStr">
        <is>
          <t>6" Wide Detectable Warning Burial Tape</t>
        </is>
      </c>
      <c r="L3357" t="n">
        <v>4</v>
      </c>
      <c r="M3357" t="n">
        <v>313.42</v>
      </c>
      <c r="N3357" t="inlineStr">
        <is>
          <t>INVOICE</t>
        </is>
      </c>
      <c r="O3357" t="inlineStr">
        <is>
          <t>20642</t>
        </is>
      </c>
      <c r="P3357" t="inlineStr">
        <is>
          <t>GRIDPOWER SOLUTIONS, LLC</t>
        </is>
      </c>
      <c r="Q3357" s="114" t="n">
        <v>0</v>
      </c>
      <c r="R3357" s="114" t="n">
        <v>0</v>
      </c>
      <c r="S3357" s="114" t="n">
        <v>0</v>
      </c>
      <c r="T3357" t="n">
        <v>0</v>
      </c>
    </row>
    <row r="3358">
      <c r="A3358" t="inlineStr">
        <is>
          <t>ttJTrans</t>
        </is>
      </c>
      <c r="B3358" s="38" t="inlineStr">
        <is>
          <t>0-4027</t>
        </is>
      </c>
      <c r="C3358" t="inlineStr">
        <is>
          <t>MA</t>
        </is>
      </c>
      <c r="D3358" t="inlineStr">
        <is>
          <t>MA1008600</t>
        </is>
      </c>
      <c r="E3358" t="inlineStr">
        <is>
          <t>MA</t>
        </is>
      </c>
      <c r="F3358" t="inlineStr">
        <is>
          <t>MA1008600</t>
        </is>
      </c>
      <c r="G3358" s="128" t="n">
        <v>45951</v>
      </c>
      <c r="H3358" s="127" t="n">
        <v>46014</v>
      </c>
      <c r="I3358" t="inlineStr">
        <is>
          <t>9</t>
        </is>
      </c>
      <c r="J3358" s="38" t="inlineStr">
        <is>
          <t>0-4027</t>
        </is>
      </c>
      <c r="K3358" t="inlineStr">
        <is>
          <t>LES PS6500-210 LONESTAR 6500FT 210LB PULL</t>
        </is>
      </c>
      <c r="L3358" t="n">
        <v>1</v>
      </c>
      <c r="M3358" t="n">
        <v>36.56</v>
      </c>
      <c r="N3358" t="inlineStr">
        <is>
          <t>INVOICE</t>
        </is>
      </c>
      <c r="O3358" t="inlineStr">
        <is>
          <t>20642</t>
        </is>
      </c>
      <c r="P3358" t="inlineStr">
        <is>
          <t>GRIDPOWER SOLUTIONS, LLC</t>
        </is>
      </c>
      <c r="Q3358" s="114" t="n">
        <v>0</v>
      </c>
      <c r="R3358" s="114" t="n">
        <v>0</v>
      </c>
      <c r="S3358" s="114" t="n">
        <v>0</v>
      </c>
      <c r="T3358" t="n">
        <v>0</v>
      </c>
    </row>
    <row r="3359">
      <c r="A3359" t="inlineStr">
        <is>
          <t>ttJTrans</t>
        </is>
      </c>
      <c r="B3359" s="38" t="inlineStr">
        <is>
          <t>0-4027</t>
        </is>
      </c>
      <c r="C3359" t="inlineStr">
        <is>
          <t>MA</t>
        </is>
      </c>
      <c r="D3359" t="inlineStr">
        <is>
          <t>MA1008600</t>
        </is>
      </c>
      <c r="E3359" t="inlineStr">
        <is>
          <t>MA</t>
        </is>
      </c>
      <c r="F3359" t="inlineStr">
        <is>
          <t>MA1008600</t>
        </is>
      </c>
      <c r="G3359" s="128" t="n">
        <v>45951</v>
      </c>
      <c r="H3359" s="127" t="n">
        <v>45983</v>
      </c>
      <c r="I3359" t="inlineStr">
        <is>
          <t>5</t>
        </is>
      </c>
      <c r="J3359" s="38" t="inlineStr">
        <is>
          <t>0-4027</t>
        </is>
      </c>
      <c r="K3359" t="inlineStr">
        <is>
          <t>5144007 1 1/2 UL END BELL</t>
        </is>
      </c>
      <c r="L3359" t="n">
        <v>4</v>
      </c>
      <c r="M3359" t="n">
        <v>14.3</v>
      </c>
      <c r="N3359" t="inlineStr">
        <is>
          <t>INVOICE</t>
        </is>
      </c>
      <c r="O3359" t="inlineStr">
        <is>
          <t>20642</t>
        </is>
      </c>
      <c r="P3359" t="inlineStr">
        <is>
          <t>GRIDPOWER SOLUTIONS, LLC</t>
        </is>
      </c>
      <c r="Q3359" s="114" t="n">
        <v>0</v>
      </c>
      <c r="R3359" s="114" t="n">
        <v>0</v>
      </c>
      <c r="S3359" s="114" t="n">
        <v>0</v>
      </c>
      <c r="T3359" t="n">
        <v>0</v>
      </c>
    </row>
    <row r="3360">
      <c r="A3360" t="inlineStr">
        <is>
          <t>ttJTrans</t>
        </is>
      </c>
      <c r="B3360" s="38" t="inlineStr">
        <is>
          <t>0-4027</t>
        </is>
      </c>
      <c r="C3360" t="inlineStr">
        <is>
          <t>MA</t>
        </is>
      </c>
      <c r="D3360" t="inlineStr">
        <is>
          <t>MA1008600</t>
        </is>
      </c>
      <c r="E3360" t="inlineStr">
        <is>
          <t>MA</t>
        </is>
      </c>
      <c r="F3360" t="inlineStr">
        <is>
          <t>MA1008600</t>
        </is>
      </c>
      <c r="G3360" s="128" t="n">
        <v>45951</v>
      </c>
      <c r="H3360" s="127" t="n">
        <v>45983</v>
      </c>
      <c r="I3360" t="inlineStr">
        <is>
          <t>4</t>
        </is>
      </c>
      <c r="J3360" s="38" t="inlineStr">
        <is>
          <t>0-4027</t>
        </is>
      </c>
      <c r="K3360" t="inlineStr">
        <is>
          <t>5121007 1 1/2 UL80 45 BND STD R</t>
        </is>
      </c>
      <c r="L3360" t="n">
        <v>4</v>
      </c>
      <c r="M3360" t="n">
        <v>14.3</v>
      </c>
      <c r="N3360" t="inlineStr">
        <is>
          <t>INVOICE</t>
        </is>
      </c>
      <c r="O3360" t="inlineStr">
        <is>
          <t>20642</t>
        </is>
      </c>
      <c r="P3360" t="inlineStr">
        <is>
          <t>GRIDPOWER SOLUTIONS, LLC</t>
        </is>
      </c>
      <c r="Q3360" s="114" t="n">
        <v>0</v>
      </c>
      <c r="R3360" s="114" t="n">
        <v>0</v>
      </c>
      <c r="S3360" s="114" t="n">
        <v>0</v>
      </c>
      <c r="T3360" t="n">
        <v>0</v>
      </c>
    </row>
    <row r="3361">
      <c r="A3361" t="inlineStr">
        <is>
          <t>ttJTrans</t>
        </is>
      </c>
      <c r="B3361" s="38" t="inlineStr">
        <is>
          <t>0-4027</t>
        </is>
      </c>
      <c r="C3361" t="inlineStr">
        <is>
          <t>MA</t>
        </is>
      </c>
      <c r="D3361" t="inlineStr">
        <is>
          <t>MA1008600</t>
        </is>
      </c>
      <c r="E3361" t="inlineStr">
        <is>
          <t>MA</t>
        </is>
      </c>
      <c r="F3361" t="inlineStr">
        <is>
          <t>MA1008600</t>
        </is>
      </c>
      <c r="G3361" s="128" t="n">
        <v>45951</v>
      </c>
      <c r="H3361" s="127" t="n">
        <v>45983</v>
      </c>
      <c r="I3361" t="inlineStr">
        <is>
          <t>3</t>
        </is>
      </c>
      <c r="J3361" s="38" t="inlineStr">
        <is>
          <t>0-4027</t>
        </is>
      </c>
      <c r="K3361" t="inlineStr">
        <is>
          <t>7210603 CEMENT LOW VOC QT #99</t>
        </is>
      </c>
      <c r="L3361" t="n">
        <v>1</v>
      </c>
      <c r="M3361" t="n">
        <v>18.84</v>
      </c>
      <c r="N3361" t="inlineStr">
        <is>
          <t>INVOICE</t>
        </is>
      </c>
      <c r="O3361" t="inlineStr">
        <is>
          <t>20642</t>
        </is>
      </c>
      <c r="P3361" t="inlineStr">
        <is>
          <t>GRIDPOWER SOLUTIONS, LLC</t>
        </is>
      </c>
      <c r="Q3361" s="114" t="n">
        <v>0</v>
      </c>
      <c r="R3361" s="114" t="n">
        <v>0</v>
      </c>
      <c r="S3361" s="114" t="n">
        <v>0</v>
      </c>
      <c r="T3361" t="n">
        <v>0</v>
      </c>
    </row>
    <row r="3362">
      <c r="A3362" t="inlineStr">
        <is>
          <t>ttJTrans</t>
        </is>
      </c>
      <c r="B3362" s="38" t="inlineStr">
        <is>
          <t>0-4027</t>
        </is>
      </c>
      <c r="C3362" t="inlineStr">
        <is>
          <t>MA</t>
        </is>
      </c>
      <c r="D3362" t="inlineStr">
        <is>
          <t>MA1008600</t>
        </is>
      </c>
      <c r="E3362" t="inlineStr">
        <is>
          <t>MA</t>
        </is>
      </c>
      <c r="F3362" t="inlineStr">
        <is>
          <t>MA1008600</t>
        </is>
      </c>
      <c r="G3362" s="128" t="n">
        <v>45951</v>
      </c>
      <c r="H3362" s="127" t="n">
        <v>45968</v>
      </c>
      <c r="I3362" t="inlineStr">
        <is>
          <t>1</t>
        </is>
      </c>
      <c r="J3362" s="38" t="inlineStr">
        <is>
          <t>0-4027</t>
        </is>
      </c>
      <c r="K3362" t="inlineStr">
        <is>
          <t>012ZU4-T4F22D20 12-F OS2 LT ALTOS BINDERLESS</t>
        </is>
      </c>
      <c r="L3362" t="n">
        <v>600</v>
      </c>
      <c r="M3362" t="n">
        <v>279.72</v>
      </c>
      <c r="N3362" t="inlineStr">
        <is>
          <t>INVOICE</t>
        </is>
      </c>
      <c r="O3362" t="inlineStr">
        <is>
          <t>20642</t>
        </is>
      </c>
      <c r="P3362" t="inlineStr">
        <is>
          <t>GRIDPOWER SOLUTIONS, LLC</t>
        </is>
      </c>
      <c r="Q3362" s="114" t="n">
        <v>0</v>
      </c>
      <c r="R3362" s="114" t="n">
        <v>0</v>
      </c>
      <c r="S3362" s="114" t="n">
        <v>0</v>
      </c>
      <c r="T3362" t="n">
        <v>0</v>
      </c>
    </row>
    <row r="3363">
      <c r="A3363" t="inlineStr">
        <is>
          <t>ttJTrans</t>
        </is>
      </c>
      <c r="B3363" s="38" t="inlineStr">
        <is>
          <t>0-4027</t>
        </is>
      </c>
      <c r="C3363" t="inlineStr">
        <is>
          <t>MA</t>
        </is>
      </c>
      <c r="D3363" t="inlineStr">
        <is>
          <t>MA1008600</t>
        </is>
      </c>
      <c r="E3363" t="inlineStr">
        <is>
          <t>MA</t>
        </is>
      </c>
      <c r="F3363" t="inlineStr">
        <is>
          <t>MA1008600</t>
        </is>
      </c>
      <c r="G3363" s="128" t="n">
        <v>45951</v>
      </c>
      <c r="H3363" s="127" t="n">
        <v>45951</v>
      </c>
      <c r="I3363" t="inlineStr">
        <is>
          <t>4</t>
        </is>
      </c>
      <c r="J3363" s="38" t="inlineStr">
        <is>
          <t>0-4027</t>
        </is>
      </c>
      <c r="K3363" t="inlineStr">
        <is>
          <t>5121007 1 1/2 UL80 45 BND STD R</t>
        </is>
      </c>
      <c r="L3363" t="n">
        <v>4</v>
      </c>
      <c r="M3363" t="n">
        <v>14.3</v>
      </c>
      <c r="N3363" t="inlineStr">
        <is>
          <t>INVOICE:ADJ-COMMIT</t>
        </is>
      </c>
      <c r="O3363" t="inlineStr">
        <is>
          <t>20642</t>
        </is>
      </c>
      <c r="P3363" t="inlineStr">
        <is>
          <t>GRIDPOWER SOLUTIONS, LLC</t>
        </is>
      </c>
      <c r="Q3363" s="114" t="n">
        <v>0</v>
      </c>
      <c r="R3363" s="114" t="n">
        <v>0</v>
      </c>
      <c r="S3363" s="114" t="n">
        <v>-14.3</v>
      </c>
      <c r="T3363" t="n">
        <v>0</v>
      </c>
    </row>
    <row r="3364">
      <c r="A3364" t="inlineStr">
        <is>
          <t>ttJTrans</t>
        </is>
      </c>
      <c r="B3364" s="38" t="inlineStr">
        <is>
          <t>0-4027</t>
        </is>
      </c>
      <c r="C3364" t="inlineStr">
        <is>
          <t>MA</t>
        </is>
      </c>
      <c r="D3364" t="inlineStr">
        <is>
          <t>MA1008600</t>
        </is>
      </c>
      <c r="E3364" t="inlineStr">
        <is>
          <t>MA</t>
        </is>
      </c>
      <c r="F3364" t="inlineStr">
        <is>
          <t>MA1008600</t>
        </is>
      </c>
      <c r="G3364" s="128" t="n">
        <v>45951</v>
      </c>
      <c r="H3364" s="127" t="n">
        <v>45951</v>
      </c>
      <c r="I3364" t="inlineStr">
        <is>
          <t>6</t>
        </is>
      </c>
      <c r="J3364" s="38" t="inlineStr">
        <is>
          <t>0-4027</t>
        </is>
      </c>
      <c r="K3364" t="inlineStr">
        <is>
          <t>3M™ Adhesive Sealant 760 UV, Black, 290 mL</t>
        </is>
      </c>
      <c r="L3364" t="n">
        <v>12</v>
      </c>
      <c r="M3364" t="n">
        <v>246.69</v>
      </c>
      <c r="N3364" t="inlineStr">
        <is>
          <t>INVOICE:ADJ-COMMIT</t>
        </is>
      </c>
      <c r="O3364" t="inlineStr">
        <is>
          <t>20642</t>
        </is>
      </c>
      <c r="P3364" t="inlineStr">
        <is>
          <t>GRIDPOWER SOLUTIONS, LLC</t>
        </is>
      </c>
      <c r="Q3364" s="114" t="n">
        <v>0</v>
      </c>
      <c r="R3364" s="114" t="n">
        <v>0</v>
      </c>
      <c r="S3364" s="114" t="n">
        <v>-246.67</v>
      </c>
      <c r="T3364" t="n">
        <v>0</v>
      </c>
    </row>
    <row r="3365">
      <c r="A3365" t="inlineStr">
        <is>
          <t>ttJTrans</t>
        </is>
      </c>
      <c r="B3365" s="38" t="inlineStr">
        <is>
          <t>0-4027</t>
        </is>
      </c>
      <c r="C3365" t="inlineStr">
        <is>
          <t>MA</t>
        </is>
      </c>
      <c r="D3365" t="inlineStr">
        <is>
          <t>MA1008600</t>
        </is>
      </c>
      <c r="E3365" t="inlineStr">
        <is>
          <t>MA</t>
        </is>
      </c>
      <c r="F3365" t="inlineStr">
        <is>
          <t>MA1008600</t>
        </is>
      </c>
      <c r="G3365" s="128" t="n">
        <v>45951</v>
      </c>
      <c r="H3365" s="127" t="n">
        <v>45951</v>
      </c>
      <c r="I3365" t="inlineStr">
        <is>
          <t>5</t>
        </is>
      </c>
      <c r="J3365" s="38" t="inlineStr">
        <is>
          <t>0-4027</t>
        </is>
      </c>
      <c r="K3365" t="inlineStr">
        <is>
          <t>5144007 1 1/2 UL END BELL</t>
        </is>
      </c>
      <c r="L3365" t="n">
        <v>4</v>
      </c>
      <c r="M3365" t="n">
        <v>14.3</v>
      </c>
      <c r="N3365" t="inlineStr">
        <is>
          <t>INVOICE:ADJ-COMMIT</t>
        </is>
      </c>
      <c r="O3365" t="inlineStr">
        <is>
          <t>20642</t>
        </is>
      </c>
      <c r="P3365" t="inlineStr">
        <is>
          <t>GRIDPOWER SOLUTIONS, LLC</t>
        </is>
      </c>
      <c r="Q3365" s="114" t="n">
        <v>0</v>
      </c>
      <c r="R3365" s="114" t="n">
        <v>0</v>
      </c>
      <c r="S3365" s="114" t="n">
        <v>-14.3</v>
      </c>
      <c r="T3365" t="n">
        <v>0</v>
      </c>
    </row>
    <row r="3366">
      <c r="A3366" t="inlineStr">
        <is>
          <t>ttJTrans</t>
        </is>
      </c>
      <c r="B3366" s="38" t="inlineStr">
        <is>
          <t>0-4027</t>
        </is>
      </c>
      <c r="C3366" t="inlineStr">
        <is>
          <t>MA</t>
        </is>
      </c>
      <c r="D3366" t="inlineStr">
        <is>
          <t>MA1009005</t>
        </is>
      </c>
      <c r="E3366" t="inlineStr">
        <is>
          <t>MA</t>
        </is>
      </c>
      <c r="F3366" t="inlineStr">
        <is>
          <t>MA1009005</t>
        </is>
      </c>
      <c r="G3366" s="128" t="n">
        <v>45972</v>
      </c>
      <c r="H3366" s="127" t="n">
        <v>45972</v>
      </c>
      <c r="I3366" t="inlineStr">
        <is>
          <t>1</t>
        </is>
      </c>
      <c r="J3366" s="38" t="inlineStr">
        <is>
          <t>0-4027</t>
        </is>
      </c>
      <c r="K3366" t="inlineStr">
        <is>
          <t>4AVP2 UNDERGROUND ENCLOSURE, 15,000LB, 12"L,</t>
        </is>
      </c>
      <c r="L3366" t="n">
        <v>2</v>
      </c>
      <c r="M3366" t="n">
        <v>1915.55</v>
      </c>
      <c r="N3366" t="inlineStr">
        <is>
          <t>INVOICE:ADJ-COMMIT</t>
        </is>
      </c>
      <c r="O3366" t="inlineStr">
        <is>
          <t>12747</t>
        </is>
      </c>
      <c r="P3366" t="inlineStr">
        <is>
          <t>GRAINGER, INC.</t>
        </is>
      </c>
      <c r="Q3366" s="114" t="n">
        <v>0</v>
      </c>
      <c r="R3366" s="114" t="n">
        <v>0</v>
      </c>
      <c r="S3366" s="114" t="n">
        <v>-1915.55</v>
      </c>
      <c r="T3366" t="n">
        <v>0</v>
      </c>
    </row>
    <row r="3367">
      <c r="A3367" t="inlineStr">
        <is>
          <t>ttJTrans</t>
        </is>
      </c>
      <c r="B3367" s="38" t="inlineStr">
        <is>
          <t>0-4027</t>
        </is>
      </c>
      <c r="C3367" t="inlineStr">
        <is>
          <t>MA</t>
        </is>
      </c>
      <c r="D3367" t="inlineStr">
        <is>
          <t>MA1009005</t>
        </is>
      </c>
      <c r="E3367" t="inlineStr">
        <is>
          <t>MA</t>
        </is>
      </c>
      <c r="F3367" t="inlineStr">
        <is>
          <t>MA1009005</t>
        </is>
      </c>
      <c r="G3367" s="128" t="n">
        <v>45972</v>
      </c>
      <c r="H3367" s="127" t="n">
        <v>45994</v>
      </c>
      <c r="I3367" t="inlineStr">
        <is>
          <t>1</t>
        </is>
      </c>
      <c r="J3367" s="38" t="inlineStr">
        <is>
          <t>0-4027</t>
        </is>
      </c>
      <c r="K3367" t="inlineStr">
        <is>
          <t>4AVP2 UNDERGROUND ENCLOSURE, 15,000LB, 12"L,</t>
        </is>
      </c>
      <c r="L3367" t="n">
        <v>2</v>
      </c>
      <c r="M3367" t="n">
        <v>1915.55</v>
      </c>
      <c r="N3367" t="inlineStr">
        <is>
          <t>INVOICE</t>
        </is>
      </c>
      <c r="O3367" t="inlineStr">
        <is>
          <t>12747</t>
        </is>
      </c>
      <c r="P3367" t="inlineStr">
        <is>
          <t>GRAINGER, INC.</t>
        </is>
      </c>
      <c r="Q3367" s="114" t="n">
        <v>0</v>
      </c>
      <c r="R3367" s="114" t="n">
        <v>0</v>
      </c>
      <c r="S3367" s="114" t="n">
        <v>0</v>
      </c>
      <c r="T3367" t="n">
        <v>0</v>
      </c>
    </row>
    <row r="3368">
      <c r="A3368" t="inlineStr">
        <is>
          <t>ttJTrans</t>
        </is>
      </c>
      <c r="B3368" s="38" t="inlineStr">
        <is>
          <t>0-4027</t>
        </is>
      </c>
      <c r="C3368" t="inlineStr">
        <is>
          <t>MA</t>
        </is>
      </c>
      <c r="D3368" t="inlineStr">
        <is>
          <t>MA1009005</t>
        </is>
      </c>
      <c r="E3368" t="inlineStr">
        <is>
          <t>MA</t>
        </is>
      </c>
      <c r="F3368" t="inlineStr">
        <is>
          <t>MA1009005</t>
        </is>
      </c>
      <c r="G3368" s="128" t="n">
        <v>45972</v>
      </c>
      <c r="H3368" s="127" t="n">
        <v>45972</v>
      </c>
      <c r="I3368" t="inlineStr">
        <is>
          <t>1</t>
        </is>
      </c>
      <c r="J3368" s="38" t="inlineStr">
        <is>
          <t>0-4027</t>
        </is>
      </c>
      <c r="K3368" t="inlineStr">
        <is>
          <t>4AVP2 UNDERGROUND ENCLOSURE, 15,000LB, 12"L,</t>
        </is>
      </c>
      <c r="L3368" t="n">
        <v>2</v>
      </c>
      <c r="M3368" t="n">
        <v>1915.55</v>
      </c>
      <c r="N3368" t="inlineStr">
        <is>
          <t>PO:COMMIT</t>
        </is>
      </c>
      <c r="O3368" t="inlineStr">
        <is>
          <t>12747</t>
        </is>
      </c>
      <c r="P3368" t="inlineStr">
        <is>
          <t>GRAINGER, INC.</t>
        </is>
      </c>
      <c r="Q3368" s="114" t="n">
        <v>0</v>
      </c>
      <c r="R3368" s="114" t="n">
        <v>0</v>
      </c>
      <c r="S3368" s="114" t="n">
        <v>1915.55</v>
      </c>
      <c r="T3368" t="n">
        <v>0</v>
      </c>
    </row>
    <row r="3369">
      <c r="A3369" t="inlineStr">
        <is>
          <t>ttJTrans</t>
        </is>
      </c>
      <c r="B3369" s="38" t="inlineStr">
        <is>
          <t>0-4027</t>
        </is>
      </c>
      <c r="C3369" t="inlineStr">
        <is>
          <t>MA</t>
        </is>
      </c>
      <c r="D3369" t="inlineStr">
        <is>
          <t>MA1009040</t>
        </is>
      </c>
      <c r="E3369" t="inlineStr">
        <is>
          <t>MA</t>
        </is>
      </c>
      <c r="F3369" t="inlineStr">
        <is>
          <t>MA1009040</t>
        </is>
      </c>
      <c r="G3369" s="128" t="n">
        <v>45974</v>
      </c>
      <c r="H3369" s="127" t="n">
        <v>45974</v>
      </c>
      <c r="I3369" t="inlineStr">
        <is>
          <t>2</t>
        </is>
      </c>
      <c r="J3369" s="38" t="inlineStr">
        <is>
          <t>0-4027</t>
        </is>
      </c>
      <c r="K3369" t="inlineStr">
        <is>
          <t>0111-36 STAKE WOOD 1IN X 1IN X 36IN</t>
        </is>
      </c>
      <c r="L3369" t="n">
        <v>220</v>
      </c>
      <c r="M3369" t="n">
        <v>244.2</v>
      </c>
      <c r="N3369" t="inlineStr">
        <is>
          <t>INVOICE:ADJ-COMMIT</t>
        </is>
      </c>
      <c r="O3369" t="inlineStr">
        <is>
          <t>12561</t>
        </is>
      </c>
      <c r="P3369" t="inlineStr">
        <is>
          <t>CROSS COUNTRY INFRASTRUCTURE SERVICES INC.</t>
        </is>
      </c>
      <c r="Q3369" s="114" t="n">
        <v>0</v>
      </c>
      <c r="R3369" s="114" t="n">
        <v>0</v>
      </c>
      <c r="S3369" s="114" t="n">
        <v>-244.2</v>
      </c>
      <c r="T3369" t="n">
        <v>0</v>
      </c>
    </row>
    <row r="3370">
      <c r="A3370" t="inlineStr">
        <is>
          <t>ttJTrans</t>
        </is>
      </c>
      <c r="B3370" s="38" t="inlineStr">
        <is>
          <t>0-4027</t>
        </is>
      </c>
      <c r="C3370" t="inlineStr">
        <is>
          <t>MA</t>
        </is>
      </c>
      <c r="D3370" t="inlineStr">
        <is>
          <t>MA1009040</t>
        </is>
      </c>
      <c r="E3370" t="inlineStr">
        <is>
          <t>MA</t>
        </is>
      </c>
      <c r="F3370" t="inlineStr">
        <is>
          <t>MA1009040</t>
        </is>
      </c>
      <c r="G3370" s="128" t="n">
        <v>45974</v>
      </c>
      <c r="H3370" s="127" t="n">
        <v>45974</v>
      </c>
      <c r="I3370" t="inlineStr">
        <is>
          <t>3</t>
        </is>
      </c>
      <c r="J3370" s="38" t="inlineStr">
        <is>
          <t>0-4027</t>
        </is>
      </c>
      <c r="K3370" t="inlineStr">
        <is>
          <t>8IN ZIP TIE BLACK 1000/PK</t>
        </is>
      </c>
      <c r="L3370" t="n">
        <v>1</v>
      </c>
      <c r="M3370" t="n">
        <v>27.75</v>
      </c>
      <c r="N3370" t="inlineStr">
        <is>
          <t>INVOICE:ADJ-COMMIT</t>
        </is>
      </c>
      <c r="O3370" t="inlineStr">
        <is>
          <t>12561</t>
        </is>
      </c>
      <c r="P3370" t="inlineStr">
        <is>
          <t>CROSS COUNTRY INFRASTRUCTURE SERVICES INC.</t>
        </is>
      </c>
      <c r="Q3370" s="114" t="n">
        <v>0</v>
      </c>
      <c r="R3370" s="114" t="n">
        <v>0</v>
      </c>
      <c r="S3370" s="114" t="n">
        <v>-27.75</v>
      </c>
      <c r="T3370" t="n">
        <v>0</v>
      </c>
    </row>
    <row r="3371">
      <c r="A3371" t="inlineStr">
        <is>
          <t>ttJTrans</t>
        </is>
      </c>
      <c r="B3371" s="38" t="inlineStr">
        <is>
          <t>0-4027</t>
        </is>
      </c>
      <c r="C3371" t="inlineStr">
        <is>
          <t>MA</t>
        </is>
      </c>
      <c r="D3371" t="inlineStr">
        <is>
          <t>MA1009040</t>
        </is>
      </c>
      <c r="E3371" t="inlineStr">
        <is>
          <t>MA</t>
        </is>
      </c>
      <c r="F3371" t="inlineStr">
        <is>
          <t>MA1009040</t>
        </is>
      </c>
      <c r="G3371" s="128" t="n">
        <v>45974</v>
      </c>
      <c r="H3371" s="127" t="n">
        <v>45974</v>
      </c>
      <c r="I3371" t="inlineStr">
        <is>
          <t>1</t>
        </is>
      </c>
      <c r="J3371" s="38" t="inlineStr">
        <is>
          <t>0-4027</t>
        </is>
      </c>
      <c r="K3371" t="inlineStr">
        <is>
          <t>SF726 SILT FENCE BX GRID REINF 3FT X 1</t>
        </is>
      </c>
      <c r="L3371" t="n">
        <v>12</v>
      </c>
      <c r="M3371" t="n">
        <v>656.41</v>
      </c>
      <c r="N3371" t="inlineStr">
        <is>
          <t>INVOICE:ADJ-COMMIT</t>
        </is>
      </c>
      <c r="O3371" t="inlineStr">
        <is>
          <t>12561</t>
        </is>
      </c>
      <c r="P3371" t="inlineStr">
        <is>
          <t>CROSS COUNTRY INFRASTRUCTURE SERVICES INC.</t>
        </is>
      </c>
      <c r="Q3371" s="114" t="n">
        <v>0</v>
      </c>
      <c r="R3371" s="114" t="n">
        <v>0</v>
      </c>
      <c r="S3371" s="114" t="n">
        <v>-656.41</v>
      </c>
      <c r="T3371" t="n">
        <v>0</v>
      </c>
    </row>
    <row r="3372">
      <c r="A3372" t="inlineStr">
        <is>
          <t>ttJTrans</t>
        </is>
      </c>
      <c r="B3372" s="38" t="inlineStr">
        <is>
          <t>0-4027</t>
        </is>
      </c>
      <c r="C3372" t="inlineStr">
        <is>
          <t>MA</t>
        </is>
      </c>
      <c r="D3372" t="inlineStr">
        <is>
          <t>MA1009040</t>
        </is>
      </c>
      <c r="E3372" t="inlineStr">
        <is>
          <t>MA</t>
        </is>
      </c>
      <c r="F3372" t="inlineStr">
        <is>
          <t>MA1009040</t>
        </is>
      </c>
      <c r="G3372" s="128" t="n">
        <v>45974</v>
      </c>
      <c r="H3372" s="127" t="n">
        <v>46014</v>
      </c>
      <c r="I3372" t="inlineStr">
        <is>
          <t>2</t>
        </is>
      </c>
      <c r="J3372" s="38" t="inlineStr">
        <is>
          <t>0-4027</t>
        </is>
      </c>
      <c r="K3372" t="inlineStr">
        <is>
          <t>0111-36 STAKE WOOD 1IN X 1IN X 36IN</t>
        </is>
      </c>
      <c r="L3372" t="n">
        <v>220</v>
      </c>
      <c r="M3372" t="n">
        <v>244.2</v>
      </c>
      <c r="N3372" t="inlineStr">
        <is>
          <t>INVOICE</t>
        </is>
      </c>
      <c r="O3372" t="inlineStr">
        <is>
          <t>12561</t>
        </is>
      </c>
      <c r="P3372" t="inlineStr">
        <is>
          <t>CROSS COUNTRY INFRASTRUCTURE SERVICES INC.</t>
        </is>
      </c>
      <c r="Q3372" s="114" t="n">
        <v>0</v>
      </c>
      <c r="R3372" s="114" t="n">
        <v>0</v>
      </c>
      <c r="S3372" s="114" t="n">
        <v>0</v>
      </c>
      <c r="T3372" t="n">
        <v>0</v>
      </c>
    </row>
    <row r="3373">
      <c r="A3373" t="inlineStr">
        <is>
          <t>ttJTrans</t>
        </is>
      </c>
      <c r="B3373" s="38" t="inlineStr">
        <is>
          <t>0-4027</t>
        </is>
      </c>
      <c r="C3373" t="inlineStr">
        <is>
          <t>MA</t>
        </is>
      </c>
      <c r="D3373" t="inlineStr">
        <is>
          <t>MA1009040</t>
        </is>
      </c>
      <c r="E3373" t="inlineStr">
        <is>
          <t>MA</t>
        </is>
      </c>
      <c r="F3373" t="inlineStr">
        <is>
          <t>MA1009040</t>
        </is>
      </c>
      <c r="G3373" s="128" t="n">
        <v>45974</v>
      </c>
      <c r="H3373" s="127" t="n">
        <v>45974</v>
      </c>
      <c r="I3373" t="inlineStr">
        <is>
          <t>1</t>
        </is>
      </c>
      <c r="J3373" s="38" t="inlineStr">
        <is>
          <t>0-4027</t>
        </is>
      </c>
      <c r="K3373" t="inlineStr">
        <is>
          <t>SF726 SILT FENCE BX GRID REINF 3FT X 1</t>
        </is>
      </c>
      <c r="L3373" t="n">
        <v>12</v>
      </c>
      <c r="M3373" t="n">
        <v>656.41</v>
      </c>
      <c r="N3373" t="inlineStr">
        <is>
          <t>PO:COMMIT</t>
        </is>
      </c>
      <c r="O3373" t="inlineStr">
        <is>
          <t>12561</t>
        </is>
      </c>
      <c r="P3373" t="inlineStr">
        <is>
          <t>CROSS COUNTRY INFRASTRUCTURE SERVICES INC.</t>
        </is>
      </c>
      <c r="Q3373" s="114" t="n">
        <v>0</v>
      </c>
      <c r="R3373" s="114" t="n">
        <v>0</v>
      </c>
      <c r="S3373" s="114" t="n">
        <v>656.41</v>
      </c>
      <c r="T3373" t="n">
        <v>0</v>
      </c>
    </row>
    <row r="3374">
      <c r="A3374" t="inlineStr">
        <is>
          <t>ttJTrans</t>
        </is>
      </c>
      <c r="B3374" s="38" t="inlineStr">
        <is>
          <t>0-4027</t>
        </is>
      </c>
      <c r="C3374" t="inlineStr">
        <is>
          <t>MA</t>
        </is>
      </c>
      <c r="D3374" t="inlineStr">
        <is>
          <t>MA1009040</t>
        </is>
      </c>
      <c r="E3374" t="inlineStr">
        <is>
          <t>MA</t>
        </is>
      </c>
      <c r="F3374" t="inlineStr">
        <is>
          <t>MA1009040</t>
        </is>
      </c>
      <c r="G3374" s="128" t="n">
        <v>45974</v>
      </c>
      <c r="H3374" s="127" t="n">
        <v>45974</v>
      </c>
      <c r="I3374" t="inlineStr">
        <is>
          <t>3</t>
        </is>
      </c>
      <c r="J3374" s="38" t="inlineStr">
        <is>
          <t>0-4027</t>
        </is>
      </c>
      <c r="K3374" t="inlineStr">
        <is>
          <t>8IN ZIP TIE BLACK 1000/PK</t>
        </is>
      </c>
      <c r="L3374" t="n">
        <v>1</v>
      </c>
      <c r="M3374" t="n">
        <v>27.75</v>
      </c>
      <c r="N3374" t="inlineStr">
        <is>
          <t>PO:COMMIT</t>
        </is>
      </c>
      <c r="O3374" t="inlineStr">
        <is>
          <t>12561</t>
        </is>
      </c>
      <c r="P3374" t="inlineStr">
        <is>
          <t>CROSS COUNTRY INFRASTRUCTURE SERVICES INC.</t>
        </is>
      </c>
      <c r="Q3374" s="114" t="n">
        <v>0</v>
      </c>
      <c r="R3374" s="114" t="n">
        <v>0</v>
      </c>
      <c r="S3374" s="114" t="n">
        <v>27.75</v>
      </c>
      <c r="T3374" t="n">
        <v>0</v>
      </c>
    </row>
    <row r="3375">
      <c r="A3375" t="inlineStr">
        <is>
          <t>ttJTrans</t>
        </is>
      </c>
      <c r="B3375" s="38" t="inlineStr">
        <is>
          <t>0-4027</t>
        </is>
      </c>
      <c r="C3375" t="inlineStr">
        <is>
          <t>MA</t>
        </is>
      </c>
      <c r="D3375" t="inlineStr">
        <is>
          <t>MA1009040</t>
        </is>
      </c>
      <c r="E3375" t="inlineStr">
        <is>
          <t>MA</t>
        </is>
      </c>
      <c r="F3375" t="inlineStr">
        <is>
          <t>MA1009040</t>
        </is>
      </c>
      <c r="G3375" s="128" t="n">
        <v>45974</v>
      </c>
      <c r="H3375" s="127" t="n">
        <v>46014</v>
      </c>
      <c r="I3375" t="inlineStr">
        <is>
          <t>1</t>
        </is>
      </c>
      <c r="J3375" s="38" t="inlineStr">
        <is>
          <t>0-4027</t>
        </is>
      </c>
      <c r="K3375" t="inlineStr">
        <is>
          <t>SF726 SILT FENCE BX GRID REINF 3FT X 1</t>
        </is>
      </c>
      <c r="L3375" t="n">
        <v>12</v>
      </c>
      <c r="M3375" t="n">
        <v>656.41</v>
      </c>
      <c r="N3375" t="inlineStr">
        <is>
          <t>INVOICE</t>
        </is>
      </c>
      <c r="O3375" t="inlineStr">
        <is>
          <t>12561</t>
        </is>
      </c>
      <c r="P3375" t="inlineStr">
        <is>
          <t>CROSS COUNTRY INFRASTRUCTURE SERVICES INC.</t>
        </is>
      </c>
      <c r="Q3375" s="114" t="n">
        <v>0</v>
      </c>
      <c r="R3375" s="114" t="n">
        <v>0</v>
      </c>
      <c r="S3375" s="114" t="n">
        <v>0</v>
      </c>
      <c r="T3375" t="n">
        <v>0</v>
      </c>
    </row>
    <row r="3376">
      <c r="A3376" t="inlineStr">
        <is>
          <t>ttJTrans</t>
        </is>
      </c>
      <c r="B3376" s="38" t="inlineStr">
        <is>
          <t>0-4027</t>
        </is>
      </c>
      <c r="C3376" t="inlineStr">
        <is>
          <t>MA</t>
        </is>
      </c>
      <c r="D3376" t="inlineStr">
        <is>
          <t>MA1009040</t>
        </is>
      </c>
      <c r="E3376" t="inlineStr">
        <is>
          <t>MA</t>
        </is>
      </c>
      <c r="F3376" t="inlineStr">
        <is>
          <t>MA1009040</t>
        </is>
      </c>
      <c r="G3376" s="128" t="n">
        <v>45974</v>
      </c>
      <c r="H3376" s="127" t="n">
        <v>45974</v>
      </c>
      <c r="I3376" t="inlineStr">
        <is>
          <t>2</t>
        </is>
      </c>
      <c r="J3376" s="38" t="inlineStr">
        <is>
          <t>0-4027</t>
        </is>
      </c>
      <c r="K3376" t="inlineStr">
        <is>
          <t>0111-36 STAKE WOOD 1IN X 1IN X 36IN</t>
        </is>
      </c>
      <c r="L3376" t="n">
        <v>220</v>
      </c>
      <c r="M3376" t="n">
        <v>244.2</v>
      </c>
      <c r="N3376" t="inlineStr">
        <is>
          <t>PO:COMMIT</t>
        </is>
      </c>
      <c r="O3376" t="inlineStr">
        <is>
          <t>12561</t>
        </is>
      </c>
      <c r="P3376" t="inlineStr">
        <is>
          <t>CROSS COUNTRY INFRASTRUCTURE SERVICES INC.</t>
        </is>
      </c>
      <c r="Q3376" s="114" t="n">
        <v>0</v>
      </c>
      <c r="R3376" s="114" t="n">
        <v>0</v>
      </c>
      <c r="S3376" s="114" t="n">
        <v>244.2</v>
      </c>
      <c r="T3376" t="n">
        <v>0</v>
      </c>
    </row>
    <row r="3377">
      <c r="A3377" t="inlineStr">
        <is>
          <t>ttJTrans</t>
        </is>
      </c>
      <c r="B3377" s="38" t="inlineStr">
        <is>
          <t>0-4027</t>
        </is>
      </c>
      <c r="C3377" t="inlineStr">
        <is>
          <t>MA</t>
        </is>
      </c>
      <c r="D3377" t="inlineStr">
        <is>
          <t>MA1009040</t>
        </is>
      </c>
      <c r="E3377" t="inlineStr">
        <is>
          <t>MA</t>
        </is>
      </c>
      <c r="F3377" t="inlineStr">
        <is>
          <t>MA1009040</t>
        </is>
      </c>
      <c r="G3377" s="128" t="n">
        <v>45974</v>
      </c>
      <c r="H3377" s="127" t="n">
        <v>46014</v>
      </c>
      <c r="I3377" t="inlineStr">
        <is>
          <t>3</t>
        </is>
      </c>
      <c r="J3377" s="38" t="inlineStr">
        <is>
          <t>0-4027</t>
        </is>
      </c>
      <c r="K3377" t="inlineStr">
        <is>
          <t>8IN ZIP TIE BLACK 1000/PK</t>
        </is>
      </c>
      <c r="L3377" t="n">
        <v>1</v>
      </c>
      <c r="M3377" t="n">
        <v>27.75</v>
      </c>
      <c r="N3377" t="inlineStr">
        <is>
          <t>INVOICE</t>
        </is>
      </c>
      <c r="O3377" t="inlineStr">
        <is>
          <t>12561</t>
        </is>
      </c>
      <c r="P3377" t="inlineStr">
        <is>
          <t>CROSS COUNTRY INFRASTRUCTURE SERVICES INC.</t>
        </is>
      </c>
      <c r="Q3377" s="114" t="n">
        <v>0</v>
      </c>
      <c r="R3377" s="114" t="n">
        <v>0</v>
      </c>
      <c r="S3377" s="114" t="n">
        <v>0</v>
      </c>
      <c r="T3377" t="n">
        <v>0</v>
      </c>
    </row>
    <row r="3378">
      <c r="A3378" t="inlineStr">
        <is>
          <t>ttJTrans</t>
        </is>
      </c>
      <c r="B3378" s="38" t="inlineStr">
        <is>
          <t>0-4027</t>
        </is>
      </c>
      <c r="C3378" t="inlineStr">
        <is>
          <t>MA</t>
        </is>
      </c>
      <c r="E3378" t="inlineStr">
        <is>
          <t>MA</t>
        </is>
      </c>
      <c r="G3378" s="128" t="inlineStr"/>
      <c r="H3378" s="127" t="n">
        <v>45970</v>
      </c>
      <c r="J3378" s="38" t="inlineStr">
        <is>
          <t>0-4027</t>
        </is>
      </c>
      <c r="K3378" t="inlineStr">
        <is>
          <t>BINDERLESS FAST ACCESS DIELECTRIC</t>
        </is>
      </c>
      <c r="L3378" t="n">
        <v>0</v>
      </c>
      <c r="M3378" t="n">
        <v>0</v>
      </c>
      <c r="O3378" t="inlineStr">
        <is>
          <t>20642</t>
        </is>
      </c>
      <c r="P3378" t="inlineStr">
        <is>
          <t>GRIDPOWER SOLUTIONS, LLC</t>
        </is>
      </c>
      <c r="Q3378" s="114" t="n">
        <v>0</v>
      </c>
      <c r="R3378" s="114" t="n">
        <v>275.38</v>
      </c>
      <c r="S3378" s="114" t="n">
        <v>0</v>
      </c>
      <c r="T3378" t="n">
        <v>0</v>
      </c>
    </row>
    <row r="3379">
      <c r="A3379" t="inlineStr">
        <is>
          <t>ttJTrans</t>
        </is>
      </c>
      <c r="B3379" s="38" t="inlineStr">
        <is>
          <t>0-4027</t>
        </is>
      </c>
      <c r="C3379" t="inlineStr">
        <is>
          <t>MA</t>
        </is>
      </c>
      <c r="E3379" t="inlineStr">
        <is>
          <t>MA</t>
        </is>
      </c>
      <c r="G3379" s="128" t="inlineStr"/>
      <c r="H3379" s="127" t="n">
        <v>45984</v>
      </c>
      <c r="J3379" s="38" t="inlineStr">
        <is>
          <t>0-4027</t>
        </is>
      </c>
      <c r="K3379" t="inlineStr">
        <is>
          <t>CEMENT LOW VOC QT #99/ UL80 45 BND STD R/ UL END BELL</t>
        </is>
      </c>
      <c r="L3379" t="n">
        <v>0</v>
      </c>
      <c r="M3379" t="n">
        <v>0</v>
      </c>
      <c r="O3379" t="inlineStr">
        <is>
          <t>20642</t>
        </is>
      </c>
      <c r="P3379" t="inlineStr">
        <is>
          <t>GRIDPOWER SOLUTIONS, LLC</t>
        </is>
      </c>
      <c r="Q3379" s="114" t="n">
        <v>0</v>
      </c>
      <c r="R3379" s="114" t="n">
        <v>40.87</v>
      </c>
      <c r="S3379" s="114" t="n">
        <v>0</v>
      </c>
      <c r="T3379" t="n">
        <v>0</v>
      </c>
    </row>
    <row r="3380">
      <c r="A3380" t="inlineStr">
        <is>
          <t>ttJTrans</t>
        </is>
      </c>
      <c r="B3380" s="38" t="inlineStr">
        <is>
          <t>0-4027</t>
        </is>
      </c>
      <c r="C3380" t="inlineStr">
        <is>
          <t>MA</t>
        </is>
      </c>
      <c r="E3380" t="inlineStr">
        <is>
          <t>MA</t>
        </is>
      </c>
      <c r="G3380" s="128" t="inlineStr"/>
      <c r="H3380" s="127" t="n">
        <v>45984</v>
      </c>
      <c r="J3380" s="38" t="inlineStr">
        <is>
          <t>0-4027</t>
        </is>
      </c>
      <c r="K3380" t="inlineStr">
        <is>
          <t>CEMENT LOW VOC QT #99/ UL80 45 BND STD R/ UL END BELL</t>
        </is>
      </c>
      <c r="L3380" t="n">
        <v>0</v>
      </c>
      <c r="M3380" t="n">
        <v>0</v>
      </c>
      <c r="O3380" t="inlineStr">
        <is>
          <t>20642</t>
        </is>
      </c>
      <c r="P3380" t="inlineStr">
        <is>
          <t>GRIDPOWER SOLUTIONS, LLC</t>
        </is>
      </c>
      <c r="Q3380" s="114" t="n">
        <v>0</v>
      </c>
      <c r="R3380" s="114" t="n">
        <v>46.26</v>
      </c>
      <c r="S3380" s="114" t="n">
        <v>0</v>
      </c>
      <c r="T3380" t="n">
        <v>0</v>
      </c>
    </row>
    <row r="3381">
      <c r="A3381" t="inlineStr">
        <is>
          <t>ttJTrans</t>
        </is>
      </c>
      <c r="B3381" s="38" t="inlineStr">
        <is>
          <t>0-4027</t>
        </is>
      </c>
      <c r="C3381" t="inlineStr">
        <is>
          <t>MA</t>
        </is>
      </c>
      <c r="E3381" t="inlineStr">
        <is>
          <t>MA</t>
        </is>
      </c>
      <c r="G3381" s="128" t="inlineStr"/>
      <c r="H3381" s="127" t="n">
        <v>45985</v>
      </c>
      <c r="J3381" s="38" t="inlineStr">
        <is>
          <t>0-4027</t>
        </is>
      </c>
      <c r="K3381" t="inlineStr">
        <is>
          <t>ADHESIVE SEALANT</t>
        </is>
      </c>
      <c r="L3381" t="n">
        <v>0</v>
      </c>
      <c r="M3381" t="n">
        <v>0</v>
      </c>
      <c r="O3381" t="inlineStr">
        <is>
          <t>20642</t>
        </is>
      </c>
      <c r="P3381" t="inlineStr">
        <is>
          <t>GRIDPOWER SOLUTIONS, LLC</t>
        </is>
      </c>
      <c r="Q3381" s="114" t="n">
        <v>0</v>
      </c>
      <c r="R3381" s="114" t="n">
        <v>240.55</v>
      </c>
      <c r="S3381" s="114" t="n">
        <v>0</v>
      </c>
      <c r="T3381" t="n">
        <v>0</v>
      </c>
    </row>
    <row r="3382">
      <c r="A3382" t="inlineStr">
        <is>
          <t>ttJTrans</t>
        </is>
      </c>
      <c r="B3382" s="38" t="inlineStr">
        <is>
          <t>0-4027</t>
        </is>
      </c>
      <c r="C3382" t="inlineStr">
        <is>
          <t>MA</t>
        </is>
      </c>
      <c r="E3382" t="inlineStr">
        <is>
          <t>MA</t>
        </is>
      </c>
      <c r="G3382" s="128" t="inlineStr"/>
      <c r="H3382" s="127" t="n">
        <v>45986</v>
      </c>
      <c r="J3382" s="38" t="inlineStr">
        <is>
          <t>0-4027</t>
        </is>
      </c>
      <c r="K3382" t="inlineStr">
        <is>
          <t>1/2 UL SCH-80 10' BE</t>
        </is>
      </c>
      <c r="L3382" t="n">
        <v>0</v>
      </c>
      <c r="M3382" t="n">
        <v>0</v>
      </c>
      <c r="O3382" t="inlineStr">
        <is>
          <t>20642</t>
        </is>
      </c>
      <c r="P3382" t="inlineStr">
        <is>
          <t>GRIDPOWER SOLUTIONS, LLC</t>
        </is>
      </c>
      <c r="Q3382" s="114" t="n">
        <v>0</v>
      </c>
      <c r="R3382" s="114" t="n">
        <v>743.6799999999999</v>
      </c>
      <c r="S3382" s="114" t="n">
        <v>0</v>
      </c>
      <c r="T3382" t="n">
        <v>0</v>
      </c>
    </row>
    <row r="3383">
      <c r="A3383" t="inlineStr">
        <is>
          <t>ttJTrans</t>
        </is>
      </c>
      <c r="B3383" s="38" t="inlineStr">
        <is>
          <t>0-4027</t>
        </is>
      </c>
      <c r="C3383" t="inlineStr">
        <is>
          <t>MA</t>
        </is>
      </c>
      <c r="E3383" t="inlineStr">
        <is>
          <t>MA</t>
        </is>
      </c>
      <c r="G3383" s="128" t="inlineStr"/>
      <c r="H3383" s="127" t="n">
        <v>45992</v>
      </c>
      <c r="J3383" s="38" t="inlineStr">
        <is>
          <t>0-4027</t>
        </is>
      </c>
      <c r="K3383" t="inlineStr">
        <is>
          <t>UNDERGROUND ENCLOSUR 15LB</t>
        </is>
      </c>
      <c r="L3383" t="n">
        <v>0</v>
      </c>
      <c r="M3383" t="n">
        <v>0</v>
      </c>
      <c r="O3383" t="inlineStr">
        <is>
          <t>12747</t>
        </is>
      </c>
      <c r="P3383" t="inlineStr">
        <is>
          <t>GRAINGER, INC.</t>
        </is>
      </c>
      <c r="Q3383" s="114" t="n">
        <v>0</v>
      </c>
      <c r="R3383" s="114" t="n">
        <v>1868.09</v>
      </c>
      <c r="S3383" s="114" t="n">
        <v>0</v>
      </c>
      <c r="T3383" t="n">
        <v>0</v>
      </c>
    </row>
    <row r="3384">
      <c r="A3384" t="inlineStr">
        <is>
          <t>ttJTrans</t>
        </is>
      </c>
      <c r="B3384" s="38" t="inlineStr">
        <is>
          <t>0-4027</t>
        </is>
      </c>
      <c r="C3384" t="inlineStr">
        <is>
          <t>MA</t>
        </is>
      </c>
      <c r="E3384" t="inlineStr">
        <is>
          <t>MA</t>
        </is>
      </c>
      <c r="G3384" s="128" t="inlineStr"/>
      <c r="H3384" s="127" t="n">
        <v>46014</v>
      </c>
      <c r="J3384" s="38" t="inlineStr">
        <is>
          <t>0-4027</t>
        </is>
      </c>
      <c r="K3384" t="inlineStr">
        <is>
          <t>SILT FENCE / STAKE WOOD / ZIP TIE</t>
        </is>
      </c>
      <c r="L3384" t="n">
        <v>0</v>
      </c>
      <c r="M3384" t="n">
        <v>0</v>
      </c>
      <c r="O3384" t="inlineStr">
        <is>
          <t>12561</t>
        </is>
      </c>
      <c r="P3384" t="inlineStr">
        <is>
          <t>CROSS COUNTRY INFRASTRUCTURE SERVICES INC.</t>
        </is>
      </c>
      <c r="Q3384" s="114" t="n">
        <v>0</v>
      </c>
      <c r="R3384" s="114" t="n">
        <v>905.37</v>
      </c>
      <c r="S3384" s="114" t="n">
        <v>0</v>
      </c>
      <c r="T3384" t="n">
        <v>0</v>
      </c>
    </row>
    <row r="3385">
      <c r="A3385" t="inlineStr">
        <is>
          <t>ttJTrans</t>
        </is>
      </c>
      <c r="B3385" s="38" t="inlineStr">
        <is>
          <t>0-4027</t>
        </is>
      </c>
      <c r="C3385" t="inlineStr">
        <is>
          <t>MA</t>
        </is>
      </c>
      <c r="E3385" t="inlineStr">
        <is>
          <t>MA</t>
        </is>
      </c>
      <c r="G3385" s="128" t="inlineStr"/>
      <c r="H3385" s="127" t="n">
        <v>46014</v>
      </c>
      <c r="J3385" s="38" t="inlineStr">
        <is>
          <t>0-4027</t>
        </is>
      </c>
      <c r="K3385" t="inlineStr">
        <is>
          <t>SCREW TYPE TELESCOPING REEL STAND / SPINDLE FOR MEDIUM REEL STAND / PULL STRING BUCKET</t>
        </is>
      </c>
      <c r="L3385" t="n">
        <v>0</v>
      </c>
      <c r="M3385" t="n">
        <v>0</v>
      </c>
      <c r="O3385" t="inlineStr">
        <is>
          <t>20642</t>
        </is>
      </c>
      <c r="P3385" t="inlineStr">
        <is>
          <t>GRIDPOWER SOLUTIONS, LLC</t>
        </is>
      </c>
      <c r="Q3385" s="114" t="n">
        <v>0</v>
      </c>
      <c r="R3385" s="114" t="n">
        <v>1319.69</v>
      </c>
      <c r="S3385" s="114" t="n">
        <v>0</v>
      </c>
      <c r="T3385" t="n">
        <v>0</v>
      </c>
    </row>
    <row r="3386">
      <c r="A3386" t="inlineStr">
        <is>
          <t>ttJTrans</t>
        </is>
      </c>
      <c r="B3386" s="38" t="inlineStr">
        <is>
          <t>0-4027</t>
        </is>
      </c>
      <c r="C3386" t="inlineStr">
        <is>
          <t>MA</t>
        </is>
      </c>
      <c r="E3386" t="inlineStr">
        <is>
          <t>MA</t>
        </is>
      </c>
      <c r="G3386" s="128" t="inlineStr"/>
      <c r="H3386" s="127" t="n">
        <v>46030</v>
      </c>
      <c r="J3386" s="38" t="inlineStr">
        <is>
          <t>0-4027</t>
        </is>
      </c>
      <c r="K3386" t="inlineStr">
        <is>
          <t>DETECTABLE WARNING BURIAL TAPE</t>
        </is>
      </c>
      <c r="L3386" t="n">
        <v>0</v>
      </c>
      <c r="M3386" t="n">
        <v>0</v>
      </c>
      <c r="O3386" t="inlineStr">
        <is>
          <t>20642</t>
        </is>
      </c>
      <c r="P3386" t="inlineStr">
        <is>
          <t>GRIDPOWER SOLUTIONS, LLC</t>
        </is>
      </c>
      <c r="Q3386" s="114" t="n">
        <v>0</v>
      </c>
      <c r="R3386" s="114" t="n">
        <v>305.65</v>
      </c>
      <c r="S3386" s="114" t="n">
        <v>0</v>
      </c>
      <c r="T3386" t="n">
        <v>0</v>
      </c>
    </row>
    <row r="3387">
      <c r="A3387" t="inlineStr">
        <is>
          <t>ttJTrans</t>
        </is>
      </c>
      <c r="B3387" s="38" t="inlineStr">
        <is>
          <t>0-4027</t>
        </is>
      </c>
      <c r="C3387" t="inlineStr">
        <is>
          <t>OC</t>
        </is>
      </c>
      <c r="D3387" t="inlineStr">
        <is>
          <t>MA1008600</t>
        </is>
      </c>
      <c r="E3387" t="inlineStr">
        <is>
          <t>OC</t>
        </is>
      </c>
      <c r="F3387" t="inlineStr">
        <is>
          <t>MA1008600</t>
        </is>
      </c>
      <c r="G3387" s="128" t="n">
        <v>45951</v>
      </c>
      <c r="H3387" s="127" t="n">
        <v>46014</v>
      </c>
      <c r="I3387" t="inlineStr">
        <is>
          <t>14</t>
        </is>
      </c>
      <c r="J3387" s="38" t="inlineStr">
        <is>
          <t>0-4027</t>
        </is>
      </c>
      <c r="K3387" t="inlineStr">
        <is>
          <t>FREIGHT</t>
        </is>
      </c>
      <c r="L3387" t="n">
        <v>1</v>
      </c>
      <c r="M3387" t="n">
        <v>832.5</v>
      </c>
      <c r="N3387" t="inlineStr">
        <is>
          <t>INVOICE</t>
        </is>
      </c>
      <c r="O3387" t="inlineStr">
        <is>
          <t>20642</t>
        </is>
      </c>
      <c r="P3387" t="inlineStr">
        <is>
          <t>GRIDPOWER SOLUTIONS, LLC</t>
        </is>
      </c>
      <c r="Q3387" s="114" t="n">
        <v>0</v>
      </c>
      <c r="R3387" s="114" t="n">
        <v>0</v>
      </c>
      <c r="S3387" s="114" t="n">
        <v>0</v>
      </c>
      <c r="T3387" t="n">
        <v>0</v>
      </c>
    </row>
    <row r="3388">
      <c r="A3388" t="inlineStr">
        <is>
          <t>ttJTrans</t>
        </is>
      </c>
      <c r="B3388" s="38" t="inlineStr">
        <is>
          <t>0-4027</t>
        </is>
      </c>
      <c r="C3388" t="inlineStr">
        <is>
          <t>OC</t>
        </is>
      </c>
      <c r="D3388" t="inlineStr">
        <is>
          <t>MA1008600</t>
        </is>
      </c>
      <c r="E3388" t="inlineStr">
        <is>
          <t>OC</t>
        </is>
      </c>
      <c r="F3388" t="inlineStr">
        <is>
          <t>MA1008600</t>
        </is>
      </c>
      <c r="G3388" s="128" t="n">
        <v>45951</v>
      </c>
      <c r="H3388" s="127" t="n">
        <v>45951</v>
      </c>
      <c r="I3388" t="inlineStr">
        <is>
          <t>14</t>
        </is>
      </c>
      <c r="J3388" s="38" t="inlineStr">
        <is>
          <t>0-4027</t>
        </is>
      </c>
      <c r="K3388" t="inlineStr">
        <is>
          <t>FREIGHT</t>
        </is>
      </c>
      <c r="L3388" t="n">
        <v>1</v>
      </c>
      <c r="M3388" t="n">
        <v>832.5</v>
      </c>
      <c r="N3388" t="inlineStr">
        <is>
          <t>INVOICE:ADJ-COMMIT</t>
        </is>
      </c>
      <c r="O3388" t="inlineStr">
        <is>
          <t>20642</t>
        </is>
      </c>
      <c r="P3388" t="inlineStr">
        <is>
          <t>GRIDPOWER SOLUTIONS, LLC</t>
        </is>
      </c>
      <c r="Q3388" s="114" t="n">
        <v>0</v>
      </c>
      <c r="R3388" s="114" t="n">
        <v>0</v>
      </c>
      <c r="S3388" s="114" t="n">
        <v>-832.5</v>
      </c>
      <c r="T3388" t="n">
        <v>0</v>
      </c>
    </row>
    <row r="3389">
      <c r="A3389" t="inlineStr">
        <is>
          <t>ttJTrans</t>
        </is>
      </c>
      <c r="B3389" s="38" t="inlineStr">
        <is>
          <t>0-4027</t>
        </is>
      </c>
      <c r="C3389" t="inlineStr">
        <is>
          <t>OC</t>
        </is>
      </c>
      <c r="D3389" t="inlineStr">
        <is>
          <t>MA1008600</t>
        </is>
      </c>
      <c r="E3389" t="inlineStr">
        <is>
          <t>OC</t>
        </is>
      </c>
      <c r="F3389" t="inlineStr">
        <is>
          <t>MA1008600</t>
        </is>
      </c>
      <c r="G3389" s="128" t="n">
        <v>45951</v>
      </c>
      <c r="H3389" s="127" t="n">
        <v>45951</v>
      </c>
      <c r="I3389" t="inlineStr">
        <is>
          <t>14</t>
        </is>
      </c>
      <c r="J3389" s="38" t="inlineStr">
        <is>
          <t>0-4027</t>
        </is>
      </c>
      <c r="K3389" t="inlineStr">
        <is>
          <t>FREIGHT</t>
        </is>
      </c>
      <c r="L3389" t="n">
        <v>1</v>
      </c>
      <c r="M3389" t="n">
        <v>832.5</v>
      </c>
      <c r="N3389" t="inlineStr">
        <is>
          <t>PO:COMMIT</t>
        </is>
      </c>
      <c r="O3389" t="inlineStr">
        <is>
          <t>20642</t>
        </is>
      </c>
      <c r="P3389" t="inlineStr">
        <is>
          <t>GRIDPOWER SOLUTIONS, LLC</t>
        </is>
      </c>
      <c r="Q3389" s="114" t="n">
        <v>0</v>
      </c>
      <c r="R3389" s="114" t="n">
        <v>0</v>
      </c>
      <c r="S3389" s="114" t="n">
        <v>832.5</v>
      </c>
      <c r="T3389" t="n">
        <v>0</v>
      </c>
    </row>
    <row r="3390">
      <c r="A3390" t="inlineStr">
        <is>
          <t>ttJTrans</t>
        </is>
      </c>
      <c r="B3390" s="38" t="inlineStr">
        <is>
          <t>0-4027</t>
        </is>
      </c>
      <c r="C3390" t="inlineStr">
        <is>
          <t>OC</t>
        </is>
      </c>
      <c r="D3390" t="inlineStr">
        <is>
          <t>MA1009040</t>
        </is>
      </c>
      <c r="E3390" t="inlineStr">
        <is>
          <t>OC</t>
        </is>
      </c>
      <c r="F3390" t="inlineStr">
        <is>
          <t>MA1009040</t>
        </is>
      </c>
      <c r="G3390" s="128" t="n">
        <v>45974</v>
      </c>
      <c r="H3390" s="127" t="n">
        <v>46014</v>
      </c>
      <c r="I3390" t="inlineStr">
        <is>
          <t>4</t>
        </is>
      </c>
      <c r="J3390" s="38" t="inlineStr">
        <is>
          <t>0-4027</t>
        </is>
      </c>
      <c r="K3390" t="inlineStr">
        <is>
          <t>ESTIMATED FREIGHT</t>
        </is>
      </c>
      <c r="L3390" t="n">
        <v>1</v>
      </c>
      <c r="M3390" t="n">
        <v>555</v>
      </c>
      <c r="N3390" t="inlineStr">
        <is>
          <t>INVOICE</t>
        </is>
      </c>
      <c r="O3390" t="inlineStr">
        <is>
          <t>12561</t>
        </is>
      </c>
      <c r="P3390" t="inlineStr">
        <is>
          <t>CROSS COUNTRY INFRASTRUCTURE SERVICES INC.</t>
        </is>
      </c>
      <c r="Q3390" s="114" t="n">
        <v>0</v>
      </c>
      <c r="R3390" s="114" t="n">
        <v>0</v>
      </c>
      <c r="S3390" s="114" t="n">
        <v>0</v>
      </c>
      <c r="T3390" t="n">
        <v>0</v>
      </c>
    </row>
    <row r="3391">
      <c r="A3391" t="inlineStr">
        <is>
          <t>ttJTrans</t>
        </is>
      </c>
      <c r="B3391" s="38" t="inlineStr">
        <is>
          <t>0-4027</t>
        </is>
      </c>
      <c r="C3391" t="inlineStr">
        <is>
          <t>OC</t>
        </is>
      </c>
      <c r="D3391" t="inlineStr">
        <is>
          <t>MA1009040</t>
        </is>
      </c>
      <c r="E3391" t="inlineStr">
        <is>
          <t>OC</t>
        </is>
      </c>
      <c r="F3391" t="inlineStr">
        <is>
          <t>MA1009040</t>
        </is>
      </c>
      <c r="G3391" s="128" t="n">
        <v>45974</v>
      </c>
      <c r="H3391" s="127" t="n">
        <v>45974</v>
      </c>
      <c r="I3391" t="inlineStr">
        <is>
          <t>4</t>
        </is>
      </c>
      <c r="J3391" s="38" t="inlineStr">
        <is>
          <t>0-4027</t>
        </is>
      </c>
      <c r="K3391" t="inlineStr">
        <is>
          <t>ESTIMATED FREIGHT</t>
        </is>
      </c>
      <c r="L3391" t="n">
        <v>1</v>
      </c>
      <c r="M3391" t="n">
        <v>555</v>
      </c>
      <c r="N3391" t="inlineStr">
        <is>
          <t>INVOICE:ADJ-COMMIT</t>
        </is>
      </c>
      <c r="O3391" t="inlineStr">
        <is>
          <t>12561</t>
        </is>
      </c>
      <c r="P3391" t="inlineStr">
        <is>
          <t>CROSS COUNTRY INFRASTRUCTURE SERVICES INC.</t>
        </is>
      </c>
      <c r="Q3391" s="114" t="n">
        <v>0</v>
      </c>
      <c r="R3391" s="114" t="n">
        <v>0</v>
      </c>
      <c r="S3391" s="114" t="n">
        <v>-555</v>
      </c>
      <c r="T3391" t="n">
        <v>0</v>
      </c>
    </row>
    <row r="3392">
      <c r="A3392" t="inlineStr">
        <is>
          <t>ttJTrans</t>
        </is>
      </c>
      <c r="B3392" s="38" t="inlineStr">
        <is>
          <t>0-4027</t>
        </is>
      </c>
      <c r="C3392" t="inlineStr">
        <is>
          <t>OC</t>
        </is>
      </c>
      <c r="D3392" t="inlineStr">
        <is>
          <t>MA1009040</t>
        </is>
      </c>
      <c r="E3392" t="inlineStr">
        <is>
          <t>OC</t>
        </is>
      </c>
      <c r="F3392" t="inlineStr">
        <is>
          <t>MA1009040</t>
        </is>
      </c>
      <c r="G3392" s="128" t="n">
        <v>45974</v>
      </c>
      <c r="H3392" s="127" t="n">
        <v>45974</v>
      </c>
      <c r="I3392" t="inlineStr">
        <is>
          <t>4</t>
        </is>
      </c>
      <c r="J3392" s="38" t="inlineStr">
        <is>
          <t>0-4027</t>
        </is>
      </c>
      <c r="K3392" t="inlineStr">
        <is>
          <t>ESTIMATED FREIGHT</t>
        </is>
      </c>
      <c r="L3392" t="n">
        <v>1</v>
      </c>
      <c r="M3392" t="n">
        <v>555</v>
      </c>
      <c r="N3392" t="inlineStr">
        <is>
          <t>PO:COMMIT</t>
        </is>
      </c>
      <c r="O3392" t="inlineStr">
        <is>
          <t>12561</t>
        </is>
      </c>
      <c r="P3392" t="inlineStr">
        <is>
          <t>CROSS COUNTRY INFRASTRUCTURE SERVICES INC.</t>
        </is>
      </c>
      <c r="Q3392" s="114" t="n">
        <v>0</v>
      </c>
      <c r="R3392" s="114" t="n">
        <v>0</v>
      </c>
      <c r="S3392" s="114" t="n">
        <v>555</v>
      </c>
      <c r="T3392" t="n">
        <v>0</v>
      </c>
    </row>
    <row r="3393">
      <c r="A3393" t="inlineStr">
        <is>
          <t>ttJTrans</t>
        </is>
      </c>
      <c r="B3393" s="38" t="inlineStr">
        <is>
          <t>0-4027</t>
        </is>
      </c>
      <c r="C3393" t="inlineStr">
        <is>
          <t>OC</t>
        </is>
      </c>
      <c r="E3393" t="inlineStr">
        <is>
          <t>OC</t>
        </is>
      </c>
      <c r="G3393" s="128" t="inlineStr"/>
      <c r="H3393" s="127" t="n">
        <v>46011</v>
      </c>
      <c r="J3393" s="38" t="inlineStr">
        <is>
          <t>0-4027</t>
        </is>
      </c>
      <c r="K3393" t="inlineStr">
        <is>
          <t>COMDATA 11/24/25 (JRION) WHARTON FEED &amp; SUPPLY 11/18/25</t>
        </is>
      </c>
      <c r="L3393" t="n">
        <v>0</v>
      </c>
      <c r="M3393" t="n">
        <v>0</v>
      </c>
      <c r="O3393" t="inlineStr">
        <is>
          <t>2208</t>
        </is>
      </c>
      <c r="Q3393" s="114" t="n">
        <v>0</v>
      </c>
      <c r="R3393" s="114" t="n">
        <v>184.89</v>
      </c>
      <c r="S3393" s="114" t="n">
        <v>0</v>
      </c>
      <c r="T3393" t="n">
        <v>0</v>
      </c>
    </row>
    <row r="3394">
      <c r="A3394" t="inlineStr">
        <is>
          <t>ttJTrans</t>
        </is>
      </c>
      <c r="B3394" s="38" t="inlineStr">
        <is>
          <t>0-4027</t>
        </is>
      </c>
      <c r="C3394" t="inlineStr">
        <is>
          <t>OC</t>
        </is>
      </c>
      <c r="E3394" t="inlineStr">
        <is>
          <t>OC</t>
        </is>
      </c>
      <c r="G3394" s="128" t="inlineStr"/>
      <c r="H3394" s="127" t="n">
        <v>46011</v>
      </c>
      <c r="J3394" s="38" t="inlineStr">
        <is>
          <t>0-4027</t>
        </is>
      </c>
      <c r="K3394" t="inlineStr">
        <is>
          <t>COMDATA 11/24/25 (JRION) ALAMO LUMBER COMPANY W 11/20/25</t>
        </is>
      </c>
      <c r="L3394" t="n">
        <v>0</v>
      </c>
      <c r="M3394" t="n">
        <v>0</v>
      </c>
      <c r="O3394" t="inlineStr">
        <is>
          <t>2208</t>
        </is>
      </c>
      <c r="Q3394" s="114" t="n">
        <v>0</v>
      </c>
      <c r="R3394" s="114" t="n">
        <v>141.41</v>
      </c>
      <c r="S3394" s="114" t="n">
        <v>0</v>
      </c>
      <c r="T3394" t="n">
        <v>0</v>
      </c>
    </row>
    <row r="3395">
      <c r="A3395" t="inlineStr">
        <is>
          <t>ttJTrans</t>
        </is>
      </c>
      <c r="B3395" s="38" t="inlineStr">
        <is>
          <t>0-4027</t>
        </is>
      </c>
      <c r="C3395" t="inlineStr">
        <is>
          <t>OC</t>
        </is>
      </c>
      <c r="E3395" t="inlineStr">
        <is>
          <t>OC</t>
        </is>
      </c>
      <c r="G3395" s="128" t="inlineStr"/>
      <c r="H3395" s="127" t="n">
        <v>46014</v>
      </c>
      <c r="J3395" s="38" t="inlineStr">
        <is>
          <t>0-4027</t>
        </is>
      </c>
      <c r="K3395" t="inlineStr">
        <is>
          <t>SILT FENCE / STAKE WOOD / ZIP TIE</t>
        </is>
      </c>
      <c r="L3395" t="n">
        <v>0</v>
      </c>
      <c r="M3395" t="n">
        <v>0</v>
      </c>
      <c r="O3395" t="inlineStr">
        <is>
          <t>12561</t>
        </is>
      </c>
      <c r="P3395" t="inlineStr">
        <is>
          <t>CROSS COUNTRY INFRASTRUCTURE SERVICES INC.</t>
        </is>
      </c>
      <c r="Q3395" s="114" t="n">
        <v>0</v>
      </c>
      <c r="R3395" s="114" t="n">
        <v>541.25</v>
      </c>
      <c r="S3395" s="114" t="n">
        <v>0</v>
      </c>
      <c r="T3395" t="n">
        <v>0</v>
      </c>
    </row>
    <row r="3396">
      <c r="A3396" t="inlineStr">
        <is>
          <t>ttJTrans</t>
        </is>
      </c>
      <c r="B3396" s="38" t="inlineStr">
        <is>
          <t>0-4027</t>
        </is>
      </c>
      <c r="C3396" t="inlineStr">
        <is>
          <t>OC</t>
        </is>
      </c>
      <c r="E3396" t="inlineStr">
        <is>
          <t>OC</t>
        </is>
      </c>
      <c r="G3396" s="128" t="inlineStr"/>
      <c r="H3396" s="127" t="n">
        <v>46014</v>
      </c>
      <c r="J3396" s="38" t="inlineStr">
        <is>
          <t>0-4027</t>
        </is>
      </c>
      <c r="K3396" t="inlineStr">
        <is>
          <t>SILT FENCE / STAKE WOOD / ZIP TIE</t>
        </is>
      </c>
      <c r="L3396" t="n">
        <v>0</v>
      </c>
      <c r="M3396" t="n">
        <v>0</v>
      </c>
      <c r="O3396" t="inlineStr">
        <is>
          <t>12561</t>
        </is>
      </c>
      <c r="P3396" t="inlineStr">
        <is>
          <t>CROSS COUNTRY INFRASTRUCTURE SERVICES INC.</t>
        </is>
      </c>
      <c r="Q3396" s="114" t="n">
        <v>0</v>
      </c>
      <c r="R3396" s="114" t="n">
        <v>595.38</v>
      </c>
      <c r="S3396" s="114" t="n">
        <v>0</v>
      </c>
      <c r="T3396" t="n">
        <v>0</v>
      </c>
    </row>
    <row r="3397">
      <c r="A3397" t="inlineStr">
        <is>
          <t>ttJTrans</t>
        </is>
      </c>
      <c r="B3397" s="38" t="inlineStr">
        <is>
          <t>0-4027</t>
        </is>
      </c>
      <c r="C3397" t="inlineStr">
        <is>
          <t>OC</t>
        </is>
      </c>
      <c r="E3397" t="inlineStr">
        <is>
          <t>OC</t>
        </is>
      </c>
      <c r="G3397" s="128" t="inlineStr"/>
      <c r="H3397" s="127" t="n">
        <v>46014</v>
      </c>
      <c r="J3397" s="38" t="inlineStr">
        <is>
          <t>0-4027</t>
        </is>
      </c>
      <c r="K3397" t="inlineStr">
        <is>
          <t>SCREW TYPE TELESCOPING REEL STAND / SPINDLE FOR MEDIUM REEL STAND / PULL STRING BUCKET</t>
        </is>
      </c>
      <c r="L3397" t="n">
        <v>0</v>
      </c>
      <c r="M3397" t="n">
        <v>0</v>
      </c>
      <c r="O3397" t="inlineStr">
        <is>
          <t>20642</t>
        </is>
      </c>
      <c r="P3397" t="inlineStr">
        <is>
          <t>GRIDPOWER SOLUTIONS, LLC</t>
        </is>
      </c>
      <c r="Q3397" s="114" t="n">
        <v>0</v>
      </c>
      <c r="R3397" s="114" t="n">
        <v>811.89</v>
      </c>
      <c r="S3397" s="114" t="n">
        <v>0</v>
      </c>
      <c r="T3397" t="n">
        <v>0</v>
      </c>
    </row>
    <row r="3398">
      <c r="A3398" t="inlineStr">
        <is>
          <t>ttJTrans</t>
        </is>
      </c>
      <c r="B3398" s="38" t="inlineStr">
        <is>
          <t>0-4031</t>
        </is>
      </c>
      <c r="C3398" t="inlineStr">
        <is>
          <t>EQ</t>
        </is>
      </c>
      <c r="E3398" t="inlineStr">
        <is>
          <t>EQ</t>
        </is>
      </c>
      <c r="G3398" s="128" t="inlineStr"/>
      <c r="H3398" s="127" t="n">
        <v>46096</v>
      </c>
      <c r="J3398" s="38" t="inlineStr">
        <is>
          <t>0-4031</t>
        </is>
      </c>
      <c r="K3398" t="inlineStr">
        <is>
          <t>RT1423 2024 FORD F250 XL  CREW CAB GAS 2024 FORD F250 XL  CREW CAB GAS</t>
        </is>
      </c>
      <c r="L3398" t="n">
        <v>0</v>
      </c>
      <c r="M3398" t="n">
        <v>0</v>
      </c>
      <c r="O3398" t="inlineStr">
        <is>
          <t>RT1423</t>
        </is>
      </c>
      <c r="Q3398" s="114" t="n">
        <v>0</v>
      </c>
      <c r="R3398" s="114" t="n">
        <v>79.14</v>
      </c>
      <c r="S3398" s="114" t="n">
        <v>0</v>
      </c>
      <c r="T3398" t="n">
        <v>0</v>
      </c>
    </row>
    <row r="3399">
      <c r="A3399" t="inlineStr">
        <is>
          <t>ttJTrans</t>
        </is>
      </c>
      <c r="B3399" s="38" t="inlineStr">
        <is>
          <t>0-4031</t>
        </is>
      </c>
      <c r="C3399" t="inlineStr">
        <is>
          <t>LA</t>
        </is>
      </c>
      <c r="E3399" t="inlineStr">
        <is>
          <t>LA</t>
        </is>
      </c>
      <c r="G3399" s="128" t="inlineStr"/>
      <c r="H3399" s="127" t="n">
        <v>46121</v>
      </c>
      <c r="J3399" s="38" t="inlineStr">
        <is>
          <t>0-4031</t>
        </is>
      </c>
      <c r="K3399" t="inlineStr">
        <is>
          <t>PR P0COST 000525 (PR) Summary</t>
        </is>
      </c>
      <c r="L3399" t="n">
        <v>0</v>
      </c>
      <c r="M3399" t="n">
        <v>0</v>
      </c>
      <c r="Q3399" s="114" t="n">
        <v>0</v>
      </c>
      <c r="R3399" s="114" t="n">
        <v>3247.59</v>
      </c>
      <c r="S3399" s="114" t="n">
        <v>0</v>
      </c>
      <c r="T3399" t="n">
        <v>70</v>
      </c>
    </row>
    <row r="3400">
      <c r="A3400" t="inlineStr">
        <is>
          <t>ttJTrans</t>
        </is>
      </c>
      <c r="B3400" s="38" t="inlineStr">
        <is>
          <t>0-4031</t>
        </is>
      </c>
      <c r="C3400" t="inlineStr">
        <is>
          <t>LA</t>
        </is>
      </c>
      <c r="E3400" t="inlineStr">
        <is>
          <t>LA</t>
        </is>
      </c>
      <c r="G3400" s="128" t="inlineStr"/>
      <c r="H3400" s="127" t="n">
        <v>46121</v>
      </c>
      <c r="J3400" s="38" t="inlineStr">
        <is>
          <t>0-4031</t>
        </is>
      </c>
      <c r="K3400" t="inlineStr">
        <is>
          <t>PR P0COST 000525 (PR) Summary</t>
        </is>
      </c>
      <c r="L3400" t="n">
        <v>0</v>
      </c>
      <c r="M3400" t="n">
        <v>0</v>
      </c>
      <c r="Q3400" s="114" t="n">
        <v>0</v>
      </c>
      <c r="R3400" s="114" t="n">
        <v>2440.62</v>
      </c>
      <c r="S3400" s="114" t="n">
        <v>0</v>
      </c>
      <c r="T3400" t="n">
        <v>50</v>
      </c>
    </row>
    <row r="3401">
      <c r="A3401" t="inlineStr">
        <is>
          <t>ttJTrans</t>
        </is>
      </c>
      <c r="B3401" s="38" t="inlineStr">
        <is>
          <t>0-4031</t>
        </is>
      </c>
      <c r="C3401" t="inlineStr">
        <is>
          <t>LA</t>
        </is>
      </c>
      <c r="E3401" t="inlineStr">
        <is>
          <t>LA</t>
        </is>
      </c>
      <c r="G3401" s="128" t="inlineStr"/>
      <c r="H3401" s="127" t="n">
        <v>46128</v>
      </c>
      <c r="J3401" s="38" t="inlineStr">
        <is>
          <t>0-4031</t>
        </is>
      </c>
      <c r="K3401" t="inlineStr">
        <is>
          <t>PR P0COST 000526 (PR) Summary</t>
        </is>
      </c>
      <c r="L3401" t="n">
        <v>0</v>
      </c>
      <c r="M3401" t="n">
        <v>0</v>
      </c>
      <c r="Q3401" s="114" t="n">
        <v>0</v>
      </c>
      <c r="R3401" s="114" t="n">
        <v>289.27</v>
      </c>
      <c r="S3401" s="114" t="n">
        <v>0</v>
      </c>
      <c r="T3401" t="n">
        <v>8</v>
      </c>
    </row>
    <row r="3402">
      <c r="A3402" t="inlineStr">
        <is>
          <t>ttJTrans</t>
        </is>
      </c>
      <c r="B3402" s="38" t="inlineStr">
        <is>
          <t>0-4031</t>
        </is>
      </c>
      <c r="C3402" t="inlineStr">
        <is>
          <t>LA</t>
        </is>
      </c>
      <c r="E3402" t="inlineStr">
        <is>
          <t>LA</t>
        </is>
      </c>
      <c r="G3402" s="128" t="inlineStr"/>
      <c r="H3402" s="127" t="n">
        <v>46135</v>
      </c>
      <c r="J3402" s="38" t="inlineStr">
        <is>
          <t>0-4031</t>
        </is>
      </c>
      <c r="K3402" t="inlineStr">
        <is>
          <t>PR P0COST 000527 (PR) Summary</t>
        </is>
      </c>
      <c r="L3402" t="n">
        <v>0</v>
      </c>
      <c r="M3402" t="n">
        <v>0</v>
      </c>
      <c r="Q3402" s="114" t="n">
        <v>0</v>
      </c>
      <c r="R3402" s="114" t="n">
        <v>900.64</v>
      </c>
      <c r="S3402" s="114" t="n">
        <v>0</v>
      </c>
      <c r="T3402" t="n">
        <v>20</v>
      </c>
    </row>
    <row r="3403">
      <c r="A3403" t="inlineStr">
        <is>
          <t>ttJTrans</t>
        </is>
      </c>
      <c r="B3403" s="38" t="inlineStr">
        <is>
          <t>0-4031</t>
        </is>
      </c>
      <c r="C3403" t="inlineStr">
        <is>
          <t>LA</t>
        </is>
      </c>
      <c r="E3403" t="inlineStr">
        <is>
          <t>LA</t>
        </is>
      </c>
      <c r="G3403" s="128" t="inlineStr"/>
      <c r="H3403" s="127" t="n">
        <v>46142</v>
      </c>
      <c r="J3403" s="38" t="inlineStr">
        <is>
          <t>0-4031</t>
        </is>
      </c>
      <c r="K3403" t="inlineStr">
        <is>
          <t>PR P0COST 000528 (PR) Summary</t>
        </is>
      </c>
      <c r="L3403" t="n">
        <v>0</v>
      </c>
      <c r="M3403" t="n">
        <v>0</v>
      </c>
      <c r="Q3403" s="114" t="n">
        <v>0</v>
      </c>
      <c r="R3403" s="114" t="n">
        <v>2319.2</v>
      </c>
      <c r="S3403" s="114" t="n">
        <v>0</v>
      </c>
      <c r="T3403" t="n">
        <v>30</v>
      </c>
    </row>
    <row r="3404">
      <c r="A3404" t="inlineStr">
        <is>
          <t>ttJTrans</t>
        </is>
      </c>
      <c r="B3404" s="38" t="inlineStr">
        <is>
          <t>0-4031</t>
        </is>
      </c>
      <c r="C3404" t="inlineStr">
        <is>
          <t>LA</t>
        </is>
      </c>
      <c r="E3404" t="inlineStr">
        <is>
          <t>LA</t>
        </is>
      </c>
      <c r="G3404" s="128" t="inlineStr"/>
      <c r="H3404" s="127" t="n">
        <v>46149</v>
      </c>
      <c r="J3404" s="38" t="inlineStr">
        <is>
          <t>0-4031</t>
        </is>
      </c>
      <c r="K3404" t="inlineStr">
        <is>
          <t>PR P0COST 000529 (PR) Summary</t>
        </is>
      </c>
      <c r="L3404" t="n">
        <v>0</v>
      </c>
      <c r="M3404" t="n">
        <v>0</v>
      </c>
      <c r="Q3404" s="114" t="n">
        <v>0</v>
      </c>
      <c r="R3404" s="114" t="n">
        <v>367.4</v>
      </c>
      <c r="S3404" s="114" t="n">
        <v>0</v>
      </c>
      <c r="T3404" t="n">
        <v>8</v>
      </c>
    </row>
    <row r="3405">
      <c r="A3405" t="inlineStr">
        <is>
          <t>ttJTrans</t>
        </is>
      </c>
      <c r="B3405" s="38" t="inlineStr">
        <is>
          <t>0-4031</t>
        </is>
      </c>
      <c r="C3405" t="inlineStr">
        <is>
          <t>LA</t>
        </is>
      </c>
      <c r="E3405" t="inlineStr">
        <is>
          <t>LA</t>
        </is>
      </c>
      <c r="G3405" s="128" t="inlineStr"/>
      <c r="H3405" s="127" t="n">
        <v>46149</v>
      </c>
      <c r="J3405" s="38" t="inlineStr">
        <is>
          <t>0-4031</t>
        </is>
      </c>
      <c r="K3405" t="inlineStr">
        <is>
          <t>PR P0COST 000529 (PR) Summary</t>
        </is>
      </c>
      <c r="L3405" t="n">
        <v>0</v>
      </c>
      <c r="M3405" t="n">
        <v>0</v>
      </c>
      <c r="Q3405" s="114" t="n">
        <v>0</v>
      </c>
      <c r="R3405" s="114" t="n">
        <v>960.39</v>
      </c>
      <c r="S3405" s="114" t="n">
        <v>0</v>
      </c>
      <c r="T3405" t="n">
        <v>20</v>
      </c>
    </row>
    <row r="3406">
      <c r="A3406" t="inlineStr">
        <is>
          <t>ttJTrans</t>
        </is>
      </c>
      <c r="B3406" s="38" t="inlineStr">
        <is>
          <t>0-4031</t>
        </is>
      </c>
      <c r="C3406" t="inlineStr">
        <is>
          <t>LA</t>
        </is>
      </c>
      <c r="E3406" t="inlineStr">
        <is>
          <t>LA</t>
        </is>
      </c>
      <c r="G3406" s="128" t="inlineStr"/>
      <c r="H3406" s="127" t="n">
        <v>46163</v>
      </c>
      <c r="J3406" s="38" t="inlineStr">
        <is>
          <t>0-4031</t>
        </is>
      </c>
      <c r="K3406" t="inlineStr">
        <is>
          <t>PR P0COST 000531 (PR) Summary</t>
        </is>
      </c>
      <c r="L3406" t="n">
        <v>0</v>
      </c>
      <c r="M3406" t="n">
        <v>0</v>
      </c>
      <c r="Q3406" s="114" t="n">
        <v>0</v>
      </c>
      <c r="R3406" s="114" t="n">
        <v>2470.92</v>
      </c>
      <c r="S3406" s="114" t="n">
        <v>0</v>
      </c>
      <c r="T3406" t="n">
        <v>40</v>
      </c>
    </row>
    <row r="3407">
      <c r="A3407" t="inlineStr">
        <is>
          <t>ttJTrans</t>
        </is>
      </c>
      <c r="B3407" s="38" t="inlineStr">
        <is>
          <t>0-4031</t>
        </is>
      </c>
      <c r="C3407" t="inlineStr">
        <is>
          <t>OC</t>
        </is>
      </c>
      <c r="E3407" t="inlineStr">
        <is>
          <t>OC</t>
        </is>
      </c>
      <c r="G3407" s="128" t="inlineStr"/>
      <c r="H3407" s="127" t="n">
        <v>46112</v>
      </c>
      <c r="J3407" s="38" t="inlineStr">
        <is>
          <t>0-4031</t>
        </is>
      </c>
      <c r="K3407" t="inlineStr">
        <is>
          <t>COMDATA 3/09/26 (AS) SQ *ABC SAFETY SOLUTIO 3/05/26</t>
        </is>
      </c>
      <c r="L3407" t="n">
        <v>0</v>
      </c>
      <c r="M3407" t="n">
        <v>0</v>
      </c>
      <c r="O3407" t="inlineStr">
        <is>
          <t>2264</t>
        </is>
      </c>
      <c r="Q3407" s="114" t="n">
        <v>0</v>
      </c>
      <c r="R3407" s="114" t="n">
        <v>630</v>
      </c>
      <c r="S3407" s="114" t="n">
        <v>0</v>
      </c>
      <c r="T3407" t="n">
        <v>0</v>
      </c>
    </row>
    <row r="3408">
      <c r="A3408" t="inlineStr">
        <is>
          <t>ttJTrans</t>
        </is>
      </c>
      <c r="B3408" s="38" t="inlineStr">
        <is>
          <t>0-4031</t>
        </is>
      </c>
      <c r="C3408" t="inlineStr">
        <is>
          <t>OC</t>
        </is>
      </c>
      <c r="E3408" t="inlineStr">
        <is>
          <t>OC</t>
        </is>
      </c>
      <c r="G3408" s="128" t="inlineStr"/>
      <c r="H3408" s="127" t="n">
        <v>46149</v>
      </c>
      <c r="J3408" s="38" t="inlineStr">
        <is>
          <t>0-4031</t>
        </is>
      </c>
      <c r="K3408" t="inlineStr">
        <is>
          <t>DRUG SCREENS</t>
        </is>
      </c>
      <c r="L3408" t="n">
        <v>0</v>
      </c>
      <c r="M3408" t="n">
        <v>0</v>
      </c>
      <c r="O3408" t="inlineStr">
        <is>
          <t>10630</t>
        </is>
      </c>
      <c r="P3408" t="inlineStr">
        <is>
          <t>DISA GLOBAL SOLUTIONS INC</t>
        </is>
      </c>
      <c r="Q3408" s="114" t="n">
        <v>0</v>
      </c>
      <c r="R3408" s="114" t="n">
        <v>150.75</v>
      </c>
      <c r="S3408" s="114" t="n">
        <v>0</v>
      </c>
      <c r="T3408" t="n">
        <v>0</v>
      </c>
    </row>
    <row r="3409">
      <c r="A3409" t="inlineStr">
        <is>
          <t>ttJTrans</t>
        </is>
      </c>
      <c r="B3409" s="38" t="inlineStr">
        <is>
          <t>0-4031</t>
        </is>
      </c>
      <c r="C3409" t="inlineStr">
        <is>
          <t>OC</t>
        </is>
      </c>
      <c r="E3409" t="inlineStr">
        <is>
          <t>OC</t>
        </is>
      </c>
      <c r="G3409" s="128" t="inlineStr"/>
      <c r="H3409" s="127" t="n">
        <v>46161</v>
      </c>
      <c r="J3409" s="38" t="inlineStr">
        <is>
          <t>0-4031</t>
        </is>
      </c>
      <c r="K3409" t="inlineStr">
        <is>
          <t>MVR STATE FEES/ DQ NEW DRIVER / ONBOARDING/ SERVICE FEES</t>
        </is>
      </c>
      <c r="L3409" t="n">
        <v>0</v>
      </c>
      <c r="M3409" t="n">
        <v>0</v>
      </c>
      <c r="O3409" t="inlineStr">
        <is>
          <t>20710</t>
        </is>
      </c>
      <c r="P3409" t="inlineStr">
        <is>
          <t>NATIONAL ENERGY CONTROL SERVICES, INC.</t>
        </is>
      </c>
      <c r="Q3409" s="114" t="n">
        <v>0</v>
      </c>
      <c r="R3409" s="114" t="n">
        <v>450</v>
      </c>
      <c r="S3409" s="114" t="n">
        <v>0</v>
      </c>
      <c r="T3409" t="n">
        <v>0</v>
      </c>
    </row>
    <row r="3410">
      <c r="A3410" t="inlineStr">
        <is>
          <t>ttJTrans</t>
        </is>
      </c>
      <c r="B3410" s="38" t="inlineStr">
        <is>
          <t>0-4031</t>
        </is>
      </c>
      <c r="C3410" t="inlineStr">
        <is>
          <t>OC</t>
        </is>
      </c>
      <c r="E3410" t="inlineStr">
        <is>
          <t>OC</t>
        </is>
      </c>
      <c r="G3410" s="128" t="inlineStr"/>
      <c r="H3410" s="127" t="n">
        <v>46162</v>
      </c>
      <c r="J3410" s="38" t="inlineStr">
        <is>
          <t>0-4031</t>
        </is>
      </c>
      <c r="K3410" t="inlineStr">
        <is>
          <t>DRUG SCREEN</t>
        </is>
      </c>
      <c r="L3410" t="n">
        <v>0</v>
      </c>
      <c r="M3410" t="n">
        <v>0</v>
      </c>
      <c r="O3410" t="inlineStr">
        <is>
          <t>10630</t>
        </is>
      </c>
      <c r="P3410" t="inlineStr">
        <is>
          <t>DISA GLOBAL SOLUTIONS INC</t>
        </is>
      </c>
      <c r="Q3410" s="114" t="n">
        <v>0</v>
      </c>
      <c r="R3410" s="114" t="n">
        <v>318.75</v>
      </c>
      <c r="S3410" s="114" t="n">
        <v>0</v>
      </c>
      <c r="T3410" t="n">
        <v>0</v>
      </c>
    </row>
    <row r="3411">
      <c r="A3411" t="inlineStr">
        <is>
          <t>ttJTrans</t>
        </is>
      </c>
      <c r="B3411" s="38" t="inlineStr">
        <is>
          <t>0-4100</t>
        </is>
      </c>
      <c r="C3411" t="inlineStr">
        <is>
          <t>EQ</t>
        </is>
      </c>
      <c r="E3411" t="inlineStr">
        <is>
          <t>EQ</t>
        </is>
      </c>
      <c r="G3411" s="128" t="inlineStr"/>
      <c r="H3411" s="127" t="n">
        <v>46124</v>
      </c>
      <c r="J3411" s="38" t="inlineStr">
        <is>
          <t>0-4100</t>
        </is>
      </c>
      <c r="K3411" t="inlineStr">
        <is>
          <t>FE017 7' ROTARY CUTTER 7' ROTARY CUTTER</t>
        </is>
      </c>
      <c r="L3411" t="n">
        <v>0</v>
      </c>
      <c r="M3411" t="n">
        <v>0</v>
      </c>
      <c r="O3411" t="inlineStr">
        <is>
          <t>FE017</t>
        </is>
      </c>
      <c r="Q3411" s="114" t="n">
        <v>0</v>
      </c>
      <c r="R3411" s="114" t="n">
        <v>0</v>
      </c>
      <c r="S3411" s="114" t="n">
        <v>0</v>
      </c>
      <c r="T3411" t="n">
        <v>0</v>
      </c>
    </row>
    <row r="3412">
      <c r="A3412" t="inlineStr">
        <is>
          <t>ttJTrans</t>
        </is>
      </c>
      <c r="B3412" s="38" t="inlineStr">
        <is>
          <t>0-4100</t>
        </is>
      </c>
      <c r="C3412" t="inlineStr">
        <is>
          <t>EQ</t>
        </is>
      </c>
      <c r="E3412" t="inlineStr">
        <is>
          <t>EQ</t>
        </is>
      </c>
      <c r="G3412" s="128" t="inlineStr"/>
      <c r="H3412" s="127" t="n">
        <v>46124</v>
      </c>
      <c r="J3412" s="38" t="inlineStr">
        <is>
          <t>0-4100</t>
        </is>
      </c>
      <c r="K3412" t="inlineStr">
        <is>
          <t>FT011 JOHN DEERE 6130M TRACTOR W/ 620R LOADER JOHN DEERE 6130M TRACTOR W/ 620R LOADER</t>
        </is>
      </c>
      <c r="L3412" t="n">
        <v>0</v>
      </c>
      <c r="M3412" t="n">
        <v>0</v>
      </c>
      <c r="O3412" t="inlineStr">
        <is>
          <t>FT011</t>
        </is>
      </c>
      <c r="Q3412" s="114" t="n">
        <v>0</v>
      </c>
      <c r="R3412" s="114" t="n">
        <v>291.67</v>
      </c>
      <c r="S3412" s="114" t="n">
        <v>0</v>
      </c>
      <c r="T3412" t="n">
        <v>0</v>
      </c>
    </row>
    <row r="3413">
      <c r="A3413" t="inlineStr">
        <is>
          <t>ttJTrans</t>
        </is>
      </c>
      <c r="B3413" s="38" t="inlineStr">
        <is>
          <t>0-4100</t>
        </is>
      </c>
      <c r="C3413" t="inlineStr">
        <is>
          <t>EQ</t>
        </is>
      </c>
      <c r="E3413" t="inlineStr">
        <is>
          <t>EQ</t>
        </is>
      </c>
      <c r="G3413" s="128" t="inlineStr"/>
      <c r="H3413" s="127" t="n">
        <v>46124</v>
      </c>
      <c r="J3413" s="38" t="inlineStr">
        <is>
          <t>0-4100</t>
        </is>
      </c>
      <c r="K3413" t="inlineStr">
        <is>
          <t>WLD146 SILT FENCE PLOW - SKID STEER SILT FENCE PLOW - SKID STEER</t>
        </is>
      </c>
      <c r="L3413" t="n">
        <v>0</v>
      </c>
      <c r="M3413" t="n">
        <v>0</v>
      </c>
      <c r="O3413" t="inlineStr">
        <is>
          <t>WLD146</t>
        </is>
      </c>
      <c r="Q3413" s="114" t="n">
        <v>0</v>
      </c>
      <c r="R3413" s="114" t="n">
        <v>50</v>
      </c>
      <c r="S3413" s="114" t="n">
        <v>0</v>
      </c>
      <c r="T3413" t="n">
        <v>0</v>
      </c>
    </row>
    <row r="3414">
      <c r="A3414" t="inlineStr">
        <is>
          <t>ttJTrans</t>
        </is>
      </c>
      <c r="B3414" s="38" t="inlineStr">
        <is>
          <t>0-4100</t>
        </is>
      </c>
      <c r="C3414" t="inlineStr">
        <is>
          <t>EQ</t>
        </is>
      </c>
      <c r="E3414" t="inlineStr">
        <is>
          <t>EQ</t>
        </is>
      </c>
      <c r="G3414" s="128" t="inlineStr"/>
      <c r="H3414" s="127" t="n">
        <v>46124</v>
      </c>
      <c r="J3414" s="38" t="inlineStr">
        <is>
          <t>0-4100</t>
        </is>
      </c>
      <c r="K3414" t="inlineStr">
        <is>
          <t>RT1385 2024 RAM 2500 TRADESMAN GAS 4X4 CREW CAB 8FT BED W/ DRAGUP TANK &amp; TOOLBOX COMBO 2024 RAM 2500 TRADESMAN GAS 4X4 CREW CAB 8FT BED W/ DRAGUP TANK &amp; TOOLBOX COMBO</t>
        </is>
      </c>
      <c r="L3414" t="n">
        <v>0</v>
      </c>
      <c r="M3414" t="n">
        <v>0</v>
      </c>
      <c r="O3414" t="inlineStr">
        <is>
          <t>RT1385</t>
        </is>
      </c>
      <c r="Q3414" s="114" t="n">
        <v>0</v>
      </c>
      <c r="R3414" s="114" t="n">
        <v>79.14</v>
      </c>
      <c r="S3414" s="114" t="n">
        <v>0</v>
      </c>
      <c r="T3414" t="n">
        <v>0</v>
      </c>
    </row>
    <row r="3415">
      <c r="A3415" t="inlineStr">
        <is>
          <t>ttJTrans</t>
        </is>
      </c>
      <c r="B3415" s="38" t="inlineStr">
        <is>
          <t>0-4100</t>
        </is>
      </c>
      <c r="C3415" t="inlineStr">
        <is>
          <t>EQ</t>
        </is>
      </c>
      <c r="E3415" t="inlineStr">
        <is>
          <t>EQ</t>
        </is>
      </c>
      <c r="G3415" s="128" t="inlineStr"/>
      <c r="H3415" s="127" t="n">
        <v>46124</v>
      </c>
      <c r="J3415" s="38" t="inlineStr">
        <is>
          <t>0-4100</t>
        </is>
      </c>
      <c r="K3415" t="inlineStr">
        <is>
          <t>SSAUGKIT1 SKIDPRO SP300 PLANETARY AUGER DRIVE KIT W/ CRADLE &amp; MOUNT SKIDPRO SP300 PLANETARY AUGER DRIVE KIT W/ CRADLE &amp; MOUNT</t>
        </is>
      </c>
      <c r="L3415" t="n">
        <v>0</v>
      </c>
      <c r="M3415" t="n">
        <v>0</v>
      </c>
      <c r="O3415" t="inlineStr">
        <is>
          <t>SSAUGKIT1</t>
        </is>
      </c>
      <c r="Q3415" s="114" t="n">
        <v>0</v>
      </c>
      <c r="R3415" s="114" t="n">
        <v>35</v>
      </c>
      <c r="S3415" s="114" t="n">
        <v>0</v>
      </c>
      <c r="T3415" t="n">
        <v>0</v>
      </c>
    </row>
    <row r="3416">
      <c r="A3416" t="inlineStr">
        <is>
          <t>ttJTrans</t>
        </is>
      </c>
      <c r="B3416" s="38" t="inlineStr">
        <is>
          <t>0-4100</t>
        </is>
      </c>
      <c r="C3416" t="inlineStr">
        <is>
          <t>EQ</t>
        </is>
      </c>
      <c r="E3416" t="inlineStr">
        <is>
          <t>EQ</t>
        </is>
      </c>
      <c r="G3416" s="128" t="inlineStr"/>
      <c r="H3416" s="127" t="n">
        <v>46124</v>
      </c>
      <c r="J3416" s="38" t="inlineStr">
        <is>
          <t>0-4100</t>
        </is>
      </c>
      <c r="K3416" t="inlineStr">
        <is>
          <t>TR425 20FT ENCLOSED CARGO TRAILER (CHARGED TO 22-4001) 20FT ENCLOSED CARGO TRAILER (CHARGED TO 22-4001)</t>
        </is>
      </c>
      <c r="L3416" t="n">
        <v>0</v>
      </c>
      <c r="M3416" t="n">
        <v>0</v>
      </c>
      <c r="O3416" t="inlineStr">
        <is>
          <t>TR425</t>
        </is>
      </c>
      <c r="Q3416" s="114" t="n">
        <v>0</v>
      </c>
      <c r="R3416" s="114" t="n">
        <v>65</v>
      </c>
      <c r="S3416" s="114" t="n">
        <v>0</v>
      </c>
      <c r="T3416" t="n">
        <v>0</v>
      </c>
    </row>
    <row r="3417">
      <c r="A3417" t="inlineStr">
        <is>
          <t>ttJTrans</t>
        </is>
      </c>
      <c r="B3417" s="38" t="inlineStr">
        <is>
          <t>0-4100</t>
        </is>
      </c>
      <c r="C3417" t="inlineStr">
        <is>
          <t>EQ</t>
        </is>
      </c>
      <c r="E3417" t="inlineStr">
        <is>
          <t>EQ</t>
        </is>
      </c>
      <c r="G3417" s="128" t="inlineStr"/>
      <c r="H3417" s="127" t="n">
        <v>46124</v>
      </c>
      <c r="J3417" s="38" t="inlineStr">
        <is>
          <t>0-4100</t>
        </is>
      </c>
      <c r="K3417" t="inlineStr">
        <is>
          <t>TR428 CARRY-ON 5X8 UTILITY TRAILER (CHARGED TO 22-4001) CARRY-ON 5X8 UTILITY TRAILER (CHARGED TO 22-4001)</t>
        </is>
      </c>
      <c r="L3417" t="n">
        <v>0</v>
      </c>
      <c r="M3417" t="n">
        <v>0</v>
      </c>
      <c r="O3417" t="inlineStr">
        <is>
          <t>TR428</t>
        </is>
      </c>
      <c r="Q3417" s="114" t="n">
        <v>0</v>
      </c>
      <c r="R3417" s="114" t="n">
        <v>15</v>
      </c>
      <c r="S3417" s="114" t="n">
        <v>0</v>
      </c>
      <c r="T3417" t="n">
        <v>0</v>
      </c>
    </row>
    <row r="3418">
      <c r="A3418" t="inlineStr">
        <is>
          <t>ttJTrans</t>
        </is>
      </c>
      <c r="B3418" s="38" t="inlineStr">
        <is>
          <t>0-4100</t>
        </is>
      </c>
      <c r="C3418" t="inlineStr">
        <is>
          <t>EQ</t>
        </is>
      </c>
      <c r="E3418" t="inlineStr">
        <is>
          <t>EQ</t>
        </is>
      </c>
      <c r="G3418" s="128" t="inlineStr"/>
      <c r="H3418" s="127" t="n">
        <v>46124</v>
      </c>
      <c r="J3418" s="38" t="inlineStr">
        <is>
          <t>0-4100</t>
        </is>
      </c>
      <c r="K3418" t="inlineStr">
        <is>
          <t>FE017 7' ROTARY CUTTER 7' ROTARY CUTTER</t>
        </is>
      </c>
      <c r="L3418" t="n">
        <v>0</v>
      </c>
      <c r="M3418" t="n">
        <v>0</v>
      </c>
      <c r="O3418" t="inlineStr">
        <is>
          <t>FE017</t>
        </is>
      </c>
      <c r="Q3418" s="114" t="n">
        <v>0</v>
      </c>
      <c r="R3418" s="114" t="n">
        <v>0</v>
      </c>
      <c r="S3418" s="114" t="n">
        <v>0</v>
      </c>
      <c r="T3418" t="n">
        <v>0</v>
      </c>
    </row>
    <row r="3419">
      <c r="A3419" t="inlineStr">
        <is>
          <t>ttJTrans</t>
        </is>
      </c>
      <c r="B3419" s="38" t="inlineStr">
        <is>
          <t>0-4100</t>
        </is>
      </c>
      <c r="C3419" t="inlineStr">
        <is>
          <t>EQ</t>
        </is>
      </c>
      <c r="E3419" t="inlineStr">
        <is>
          <t>EQ</t>
        </is>
      </c>
      <c r="G3419" s="128" t="inlineStr"/>
      <c r="H3419" s="127" t="n">
        <v>46124</v>
      </c>
      <c r="J3419" s="38" t="inlineStr">
        <is>
          <t>0-4100</t>
        </is>
      </c>
      <c r="K3419" t="inlineStr">
        <is>
          <t>FE017 7' ROTARY CUTTER 7' ROTARY CUTTER</t>
        </is>
      </c>
      <c r="L3419" t="n">
        <v>0</v>
      </c>
      <c r="M3419" t="n">
        <v>0</v>
      </c>
      <c r="O3419" t="inlineStr">
        <is>
          <t>FE017</t>
        </is>
      </c>
      <c r="Q3419" s="114" t="n">
        <v>0</v>
      </c>
      <c r="R3419" s="114" t="n">
        <v>0</v>
      </c>
      <c r="S3419" s="114" t="n">
        <v>0</v>
      </c>
      <c r="T3419" t="n">
        <v>0</v>
      </c>
    </row>
    <row r="3420">
      <c r="A3420" t="inlineStr">
        <is>
          <t>ttJTrans</t>
        </is>
      </c>
      <c r="B3420" s="38" t="inlineStr">
        <is>
          <t>0-4100</t>
        </is>
      </c>
      <c r="C3420" t="inlineStr">
        <is>
          <t>EQ</t>
        </is>
      </c>
      <c r="E3420" t="inlineStr">
        <is>
          <t>EQ</t>
        </is>
      </c>
      <c r="G3420" s="128" t="inlineStr"/>
      <c r="H3420" s="127" t="n">
        <v>46124</v>
      </c>
      <c r="J3420" s="38" t="inlineStr">
        <is>
          <t>0-4100</t>
        </is>
      </c>
      <c r="K3420" t="inlineStr">
        <is>
          <t>FE017 7' ROTARY CUTTER 7' ROTARY CUTTER</t>
        </is>
      </c>
      <c r="L3420" t="n">
        <v>0</v>
      </c>
      <c r="M3420" t="n">
        <v>0</v>
      </c>
      <c r="O3420" t="inlineStr">
        <is>
          <t>FE017</t>
        </is>
      </c>
      <c r="Q3420" s="114" t="n">
        <v>0</v>
      </c>
      <c r="R3420" s="114" t="n">
        <v>0</v>
      </c>
      <c r="S3420" s="114" t="n">
        <v>0</v>
      </c>
      <c r="T3420" t="n">
        <v>0</v>
      </c>
    </row>
    <row r="3421">
      <c r="A3421" t="inlineStr">
        <is>
          <t>ttJTrans</t>
        </is>
      </c>
      <c r="B3421" s="38" t="inlineStr">
        <is>
          <t>0-4100</t>
        </is>
      </c>
      <c r="C3421" t="inlineStr">
        <is>
          <t>EQ</t>
        </is>
      </c>
      <c r="E3421" t="inlineStr">
        <is>
          <t>EQ</t>
        </is>
      </c>
      <c r="G3421" s="128" t="inlineStr"/>
      <c r="H3421" s="127" t="n">
        <v>46124</v>
      </c>
      <c r="J3421" s="38" t="inlineStr">
        <is>
          <t>0-4100</t>
        </is>
      </c>
      <c r="K3421" t="inlineStr">
        <is>
          <t>FE017 7' ROTARY CUTTER 7' ROTARY CUTTER</t>
        </is>
      </c>
      <c r="L3421" t="n">
        <v>0</v>
      </c>
      <c r="M3421" t="n">
        <v>0</v>
      </c>
      <c r="O3421" t="inlineStr">
        <is>
          <t>FE017</t>
        </is>
      </c>
      <c r="Q3421" s="114" t="n">
        <v>0</v>
      </c>
      <c r="R3421" s="114" t="n">
        <v>0</v>
      </c>
      <c r="S3421" s="114" t="n">
        <v>0</v>
      </c>
      <c r="T3421" t="n">
        <v>0</v>
      </c>
    </row>
    <row r="3422">
      <c r="A3422" t="inlineStr">
        <is>
          <t>ttJTrans</t>
        </is>
      </c>
      <c r="B3422" s="38" t="inlineStr">
        <is>
          <t>0-4100</t>
        </is>
      </c>
      <c r="C3422" t="inlineStr">
        <is>
          <t>EQ</t>
        </is>
      </c>
      <c r="E3422" t="inlineStr">
        <is>
          <t>EQ</t>
        </is>
      </c>
      <c r="G3422" s="128" t="inlineStr"/>
      <c r="H3422" s="127" t="n">
        <v>46124</v>
      </c>
      <c r="J3422" s="38" t="inlineStr">
        <is>
          <t>0-4100</t>
        </is>
      </c>
      <c r="K3422" t="inlineStr">
        <is>
          <t>FE017 7' ROTARY CUTTER 7' ROTARY CUTTER</t>
        </is>
      </c>
      <c r="L3422" t="n">
        <v>0</v>
      </c>
      <c r="M3422" t="n">
        <v>0</v>
      </c>
      <c r="O3422" t="inlineStr">
        <is>
          <t>FE017</t>
        </is>
      </c>
      <c r="Q3422" s="114" t="n">
        <v>0</v>
      </c>
      <c r="R3422" s="114" t="n">
        <v>0</v>
      </c>
      <c r="S3422" s="114" t="n">
        <v>0</v>
      </c>
      <c r="T3422" t="n">
        <v>0</v>
      </c>
    </row>
    <row r="3423">
      <c r="A3423" t="inlineStr">
        <is>
          <t>ttJTrans</t>
        </is>
      </c>
      <c r="B3423" s="38" t="inlineStr">
        <is>
          <t>0-4100</t>
        </is>
      </c>
      <c r="C3423" t="inlineStr">
        <is>
          <t>EQ</t>
        </is>
      </c>
      <c r="E3423" t="inlineStr">
        <is>
          <t>EQ</t>
        </is>
      </c>
      <c r="G3423" s="128" t="inlineStr"/>
      <c r="H3423" s="127" t="n">
        <v>46124</v>
      </c>
      <c r="J3423" s="38" t="inlineStr">
        <is>
          <t>0-4100</t>
        </is>
      </c>
      <c r="K3423" t="inlineStr">
        <is>
          <t>FT011 JOHN DEERE 6130M TRACTOR W/ 620R LOADER JOHN DEERE 6130M TRACTOR W/ 620R LOADER</t>
        </is>
      </c>
      <c r="L3423" t="n">
        <v>0</v>
      </c>
      <c r="M3423" t="n">
        <v>0</v>
      </c>
      <c r="O3423" t="inlineStr">
        <is>
          <t>FT011</t>
        </is>
      </c>
      <c r="Q3423" s="114" t="n">
        <v>0</v>
      </c>
      <c r="R3423" s="114" t="n">
        <v>291.67</v>
      </c>
      <c r="S3423" s="114" t="n">
        <v>0</v>
      </c>
      <c r="T3423" t="n">
        <v>0</v>
      </c>
    </row>
    <row r="3424">
      <c r="A3424" t="inlineStr">
        <is>
          <t>ttJTrans</t>
        </is>
      </c>
      <c r="B3424" s="38" t="inlineStr">
        <is>
          <t>0-4100</t>
        </is>
      </c>
      <c r="C3424" t="inlineStr">
        <is>
          <t>EQ</t>
        </is>
      </c>
      <c r="E3424" t="inlineStr">
        <is>
          <t>EQ</t>
        </is>
      </c>
      <c r="G3424" s="128" t="inlineStr"/>
      <c r="H3424" s="127" t="n">
        <v>46124</v>
      </c>
      <c r="J3424" s="38" t="inlineStr">
        <is>
          <t>0-4100</t>
        </is>
      </c>
      <c r="K3424" t="inlineStr">
        <is>
          <t>FT011 JOHN DEERE 6130M TRACTOR W/ 620R LOADER JOHN DEERE 6130M TRACTOR W/ 620R LOADER</t>
        </is>
      </c>
      <c r="L3424" t="n">
        <v>0</v>
      </c>
      <c r="M3424" t="n">
        <v>0</v>
      </c>
      <c r="O3424" t="inlineStr">
        <is>
          <t>FT011</t>
        </is>
      </c>
      <c r="Q3424" s="114" t="n">
        <v>0</v>
      </c>
      <c r="R3424" s="114" t="n">
        <v>291.67</v>
      </c>
      <c r="S3424" s="114" t="n">
        <v>0</v>
      </c>
      <c r="T3424" t="n">
        <v>0</v>
      </c>
    </row>
    <row r="3425">
      <c r="A3425" t="inlineStr">
        <is>
          <t>ttJTrans</t>
        </is>
      </c>
      <c r="B3425" s="38" t="inlineStr">
        <is>
          <t>0-4100</t>
        </is>
      </c>
      <c r="C3425" t="inlineStr">
        <is>
          <t>EQ</t>
        </is>
      </c>
      <c r="E3425" t="inlineStr">
        <is>
          <t>EQ</t>
        </is>
      </c>
      <c r="G3425" s="128" t="inlineStr"/>
      <c r="H3425" s="127" t="n">
        <v>46124</v>
      </c>
      <c r="J3425" s="38" t="inlineStr">
        <is>
          <t>0-4100</t>
        </is>
      </c>
      <c r="K3425" t="inlineStr">
        <is>
          <t>FT011 JOHN DEERE 6130M TRACTOR W/ 620R LOADER JOHN DEERE 6130M TRACTOR W/ 620R LOADER</t>
        </is>
      </c>
      <c r="L3425" t="n">
        <v>0</v>
      </c>
      <c r="M3425" t="n">
        <v>0</v>
      </c>
      <c r="O3425" t="inlineStr">
        <is>
          <t>FT011</t>
        </is>
      </c>
      <c r="Q3425" s="114" t="n">
        <v>0</v>
      </c>
      <c r="R3425" s="114" t="n">
        <v>291.67</v>
      </c>
      <c r="S3425" s="114" t="n">
        <v>0</v>
      </c>
      <c r="T3425" t="n">
        <v>0</v>
      </c>
    </row>
    <row r="3426">
      <c r="A3426" t="inlineStr">
        <is>
          <t>ttJTrans</t>
        </is>
      </c>
      <c r="B3426" s="38" t="inlineStr">
        <is>
          <t>0-4100</t>
        </is>
      </c>
      <c r="C3426" t="inlineStr">
        <is>
          <t>EQ</t>
        </is>
      </c>
      <c r="E3426" t="inlineStr">
        <is>
          <t>EQ</t>
        </is>
      </c>
      <c r="G3426" s="128" t="inlineStr"/>
      <c r="H3426" s="127" t="n">
        <v>46124</v>
      </c>
      <c r="J3426" s="38" t="inlineStr">
        <is>
          <t>0-4100</t>
        </is>
      </c>
      <c r="K3426" t="inlineStr">
        <is>
          <t>FT011 JOHN DEERE 6130M TRACTOR W/ 620R LOADER JOHN DEERE 6130M TRACTOR W/ 620R LOADER</t>
        </is>
      </c>
      <c r="L3426" t="n">
        <v>0</v>
      </c>
      <c r="M3426" t="n">
        <v>0</v>
      </c>
      <c r="O3426" t="inlineStr">
        <is>
          <t>FT011</t>
        </is>
      </c>
      <c r="Q3426" s="114" t="n">
        <v>0</v>
      </c>
      <c r="R3426" s="114" t="n">
        <v>291.67</v>
      </c>
      <c r="S3426" s="114" t="n">
        <v>0</v>
      </c>
      <c r="T3426" t="n">
        <v>0</v>
      </c>
    </row>
    <row r="3427">
      <c r="A3427" t="inlineStr">
        <is>
          <t>ttJTrans</t>
        </is>
      </c>
      <c r="B3427" s="38" t="inlineStr">
        <is>
          <t>0-4100</t>
        </is>
      </c>
      <c r="C3427" t="inlineStr">
        <is>
          <t>EQ</t>
        </is>
      </c>
      <c r="E3427" t="inlineStr">
        <is>
          <t>EQ</t>
        </is>
      </c>
      <c r="G3427" s="128" t="inlineStr"/>
      <c r="H3427" s="127" t="n">
        <v>46124</v>
      </c>
      <c r="J3427" s="38" t="inlineStr">
        <is>
          <t>0-4100</t>
        </is>
      </c>
      <c r="K3427" t="inlineStr">
        <is>
          <t>FT011 JOHN DEERE 6130M TRACTOR W/ 620R LOADER JOHN DEERE 6130M TRACTOR W/ 620R LOADER</t>
        </is>
      </c>
      <c r="L3427" t="n">
        <v>0</v>
      </c>
      <c r="M3427" t="n">
        <v>0</v>
      </c>
      <c r="O3427" t="inlineStr">
        <is>
          <t>FT011</t>
        </is>
      </c>
      <c r="Q3427" s="114" t="n">
        <v>0</v>
      </c>
      <c r="R3427" s="114" t="n">
        <v>291.67</v>
      </c>
      <c r="S3427" s="114" t="n">
        <v>0</v>
      </c>
      <c r="T3427" t="n">
        <v>0</v>
      </c>
    </row>
    <row r="3428">
      <c r="A3428" t="inlineStr">
        <is>
          <t>ttJTrans</t>
        </is>
      </c>
      <c r="B3428" s="38" t="inlineStr">
        <is>
          <t>0-4100</t>
        </is>
      </c>
      <c r="C3428" t="inlineStr">
        <is>
          <t>EQ</t>
        </is>
      </c>
      <c r="E3428" t="inlineStr">
        <is>
          <t>EQ</t>
        </is>
      </c>
      <c r="G3428" s="128" t="inlineStr"/>
      <c r="H3428" s="127" t="n">
        <v>46124</v>
      </c>
      <c r="J3428" s="38" t="inlineStr">
        <is>
          <t>0-4100</t>
        </is>
      </c>
      <c r="K3428" t="inlineStr">
        <is>
          <t>WLD146 SILT FENCE PLOW - SKID STEER SILT FENCE PLOW - SKID STEER</t>
        </is>
      </c>
      <c r="L3428" t="n">
        <v>0</v>
      </c>
      <c r="M3428" t="n">
        <v>0</v>
      </c>
      <c r="O3428" t="inlineStr">
        <is>
          <t>WLD146</t>
        </is>
      </c>
      <c r="Q3428" s="114" t="n">
        <v>0</v>
      </c>
      <c r="R3428" s="114" t="n">
        <v>50</v>
      </c>
      <c r="S3428" s="114" t="n">
        <v>0</v>
      </c>
      <c r="T3428" t="n">
        <v>0</v>
      </c>
    </row>
    <row r="3429">
      <c r="A3429" t="inlineStr">
        <is>
          <t>ttJTrans</t>
        </is>
      </c>
      <c r="B3429" s="38" t="inlineStr">
        <is>
          <t>0-4100</t>
        </is>
      </c>
      <c r="C3429" t="inlineStr">
        <is>
          <t>EQ</t>
        </is>
      </c>
      <c r="E3429" t="inlineStr">
        <is>
          <t>EQ</t>
        </is>
      </c>
      <c r="G3429" s="128" t="inlineStr"/>
      <c r="H3429" s="127" t="n">
        <v>46124</v>
      </c>
      <c r="J3429" s="38" t="inlineStr">
        <is>
          <t>0-4100</t>
        </is>
      </c>
      <c r="K3429" t="inlineStr">
        <is>
          <t>WLD146 SILT FENCE PLOW - SKID STEER SILT FENCE PLOW - SKID STEER</t>
        </is>
      </c>
      <c r="L3429" t="n">
        <v>0</v>
      </c>
      <c r="M3429" t="n">
        <v>0</v>
      </c>
      <c r="O3429" t="inlineStr">
        <is>
          <t>WLD146</t>
        </is>
      </c>
      <c r="Q3429" s="114" t="n">
        <v>0</v>
      </c>
      <c r="R3429" s="114" t="n">
        <v>50</v>
      </c>
      <c r="S3429" s="114" t="n">
        <v>0</v>
      </c>
      <c r="T3429" t="n">
        <v>0</v>
      </c>
    </row>
    <row r="3430">
      <c r="A3430" t="inlineStr">
        <is>
          <t>ttJTrans</t>
        </is>
      </c>
      <c r="B3430" s="38" t="inlineStr">
        <is>
          <t>0-4100</t>
        </is>
      </c>
      <c r="C3430" t="inlineStr">
        <is>
          <t>EQ</t>
        </is>
      </c>
      <c r="E3430" t="inlineStr">
        <is>
          <t>EQ</t>
        </is>
      </c>
      <c r="G3430" s="128" t="inlineStr"/>
      <c r="H3430" s="127" t="n">
        <v>46124</v>
      </c>
      <c r="J3430" s="38" t="inlineStr">
        <is>
          <t>0-4100</t>
        </is>
      </c>
      <c r="K3430" t="inlineStr">
        <is>
          <t>WLD146 SILT FENCE PLOW - SKID STEER SILT FENCE PLOW - SKID STEER</t>
        </is>
      </c>
      <c r="L3430" t="n">
        <v>0</v>
      </c>
      <c r="M3430" t="n">
        <v>0</v>
      </c>
      <c r="O3430" t="inlineStr">
        <is>
          <t>WLD146</t>
        </is>
      </c>
      <c r="Q3430" s="114" t="n">
        <v>0</v>
      </c>
      <c r="R3430" s="114" t="n">
        <v>50</v>
      </c>
      <c r="S3430" s="114" t="n">
        <v>0</v>
      </c>
      <c r="T3430" t="n">
        <v>0</v>
      </c>
    </row>
    <row r="3431">
      <c r="A3431" t="inlineStr">
        <is>
          <t>ttJTrans</t>
        </is>
      </c>
      <c r="B3431" s="38" t="inlineStr">
        <is>
          <t>0-4100</t>
        </is>
      </c>
      <c r="C3431" t="inlineStr">
        <is>
          <t>EQ</t>
        </is>
      </c>
      <c r="E3431" t="inlineStr">
        <is>
          <t>EQ</t>
        </is>
      </c>
      <c r="G3431" s="128" t="inlineStr"/>
      <c r="H3431" s="127" t="n">
        <v>46124</v>
      </c>
      <c r="J3431" s="38" t="inlineStr">
        <is>
          <t>0-4100</t>
        </is>
      </c>
      <c r="K3431" t="inlineStr">
        <is>
          <t>WLD146 SILT FENCE PLOW - SKID STEER SILT FENCE PLOW - SKID STEER</t>
        </is>
      </c>
      <c r="L3431" t="n">
        <v>0</v>
      </c>
      <c r="M3431" t="n">
        <v>0</v>
      </c>
      <c r="O3431" t="inlineStr">
        <is>
          <t>WLD146</t>
        </is>
      </c>
      <c r="Q3431" s="114" t="n">
        <v>0</v>
      </c>
      <c r="R3431" s="114" t="n">
        <v>50</v>
      </c>
      <c r="S3431" s="114" t="n">
        <v>0</v>
      </c>
      <c r="T3431" t="n">
        <v>0</v>
      </c>
    </row>
    <row r="3432">
      <c r="A3432" t="inlineStr">
        <is>
          <t>ttJTrans</t>
        </is>
      </c>
      <c r="B3432" s="38" t="inlineStr">
        <is>
          <t>0-4100</t>
        </is>
      </c>
      <c r="C3432" t="inlineStr">
        <is>
          <t>EQ</t>
        </is>
      </c>
      <c r="E3432" t="inlineStr">
        <is>
          <t>EQ</t>
        </is>
      </c>
      <c r="G3432" s="128" t="inlineStr"/>
      <c r="H3432" s="127" t="n">
        <v>46124</v>
      </c>
      <c r="J3432" s="38" t="inlineStr">
        <is>
          <t>0-4100</t>
        </is>
      </c>
      <c r="K3432" t="inlineStr">
        <is>
          <t>WLD146 SILT FENCE PLOW - SKID STEER SILT FENCE PLOW - SKID STEER</t>
        </is>
      </c>
      <c r="L3432" t="n">
        <v>0</v>
      </c>
      <c r="M3432" t="n">
        <v>0</v>
      </c>
      <c r="O3432" t="inlineStr">
        <is>
          <t>WLD146</t>
        </is>
      </c>
      <c r="Q3432" s="114" t="n">
        <v>0</v>
      </c>
      <c r="R3432" s="114" t="n">
        <v>50</v>
      </c>
      <c r="S3432" s="114" t="n">
        <v>0</v>
      </c>
      <c r="T3432" t="n">
        <v>0</v>
      </c>
    </row>
    <row r="3433">
      <c r="A3433" t="inlineStr">
        <is>
          <t>ttJTrans</t>
        </is>
      </c>
      <c r="B3433" s="38" t="inlineStr">
        <is>
          <t>0-4100</t>
        </is>
      </c>
      <c r="C3433" t="inlineStr">
        <is>
          <t>EQ</t>
        </is>
      </c>
      <c r="E3433" t="inlineStr">
        <is>
          <t>EQ</t>
        </is>
      </c>
      <c r="G3433" s="128" t="inlineStr"/>
      <c r="H3433" s="127" t="n">
        <v>46124</v>
      </c>
      <c r="J3433" s="38" t="inlineStr">
        <is>
          <t>0-4100</t>
        </is>
      </c>
      <c r="K3433" t="inlineStr">
        <is>
          <t>RT1385 2024 RAM 2500 TRADESMAN GAS 4X4 CREW CAB 8FT BED W/ DRAGUP TANK &amp; TOOLBOX COMBO 2024 RAM 2500 TRADESMAN GAS 4X4 CREW CAB 8FT BED W/ DRAGUP TANK &amp; TOOLBOX COMBO</t>
        </is>
      </c>
      <c r="L3433" t="n">
        <v>0</v>
      </c>
      <c r="M3433" t="n">
        <v>0</v>
      </c>
      <c r="O3433" t="inlineStr">
        <is>
          <t>RT1385</t>
        </is>
      </c>
      <c r="Q3433" s="114" t="n">
        <v>0</v>
      </c>
      <c r="R3433" s="114" t="n">
        <v>79.14</v>
      </c>
      <c r="S3433" s="114" t="n">
        <v>0</v>
      </c>
      <c r="T3433" t="n">
        <v>0</v>
      </c>
    </row>
    <row r="3434">
      <c r="A3434" t="inlineStr">
        <is>
          <t>ttJTrans</t>
        </is>
      </c>
      <c r="B3434" s="38" t="inlineStr">
        <is>
          <t>0-4100</t>
        </is>
      </c>
      <c r="C3434" t="inlineStr">
        <is>
          <t>EQ</t>
        </is>
      </c>
      <c r="E3434" t="inlineStr">
        <is>
          <t>EQ</t>
        </is>
      </c>
      <c r="G3434" s="128" t="inlineStr"/>
      <c r="H3434" s="127" t="n">
        <v>46124</v>
      </c>
      <c r="J3434" s="38" t="inlineStr">
        <is>
          <t>0-4100</t>
        </is>
      </c>
      <c r="K3434" t="inlineStr">
        <is>
          <t>RT1385 2024 RAM 2500 TRADESMAN GAS 4X4 CREW CAB 8FT BED W/ DRAGUP TANK &amp; TOOLBOX COMBO 2024 RAM 2500 TRADESMAN GAS 4X4 CREW CAB 8FT BED W/ DRAGUP TANK &amp; TOOLBOX COMBO</t>
        </is>
      </c>
      <c r="L3434" t="n">
        <v>0</v>
      </c>
      <c r="M3434" t="n">
        <v>0</v>
      </c>
      <c r="O3434" t="inlineStr">
        <is>
          <t>RT1385</t>
        </is>
      </c>
      <c r="Q3434" s="114" t="n">
        <v>0</v>
      </c>
      <c r="R3434" s="114" t="n">
        <v>79.14</v>
      </c>
      <c r="S3434" s="114" t="n">
        <v>0</v>
      </c>
      <c r="T3434" t="n">
        <v>0</v>
      </c>
    </row>
    <row r="3435">
      <c r="A3435" t="inlineStr">
        <is>
          <t>ttJTrans</t>
        </is>
      </c>
      <c r="B3435" s="38" t="inlineStr">
        <is>
          <t>0-4100</t>
        </is>
      </c>
      <c r="C3435" t="inlineStr">
        <is>
          <t>EQ</t>
        </is>
      </c>
      <c r="E3435" t="inlineStr">
        <is>
          <t>EQ</t>
        </is>
      </c>
      <c r="G3435" s="128" t="inlineStr"/>
      <c r="H3435" s="127" t="n">
        <v>46124</v>
      </c>
      <c r="J3435" s="38" t="inlineStr">
        <is>
          <t>0-4100</t>
        </is>
      </c>
      <c r="K3435" t="inlineStr">
        <is>
          <t>RT1385 2024 RAM 2500 TRADESMAN GAS 4X4 CREW CAB 8FT BED W/ DRAGUP TANK &amp; TOOLBOX COMBO 2024 RAM 2500 TRADESMAN GAS 4X4 CREW CAB 8FT BED W/ DRAGUP TANK &amp; TOOLBOX COMBO</t>
        </is>
      </c>
      <c r="L3435" t="n">
        <v>0</v>
      </c>
      <c r="M3435" t="n">
        <v>0</v>
      </c>
      <c r="O3435" t="inlineStr">
        <is>
          <t>RT1385</t>
        </is>
      </c>
      <c r="Q3435" s="114" t="n">
        <v>0</v>
      </c>
      <c r="R3435" s="114" t="n">
        <v>79.14</v>
      </c>
      <c r="S3435" s="114" t="n">
        <v>0</v>
      </c>
      <c r="T3435" t="n">
        <v>0</v>
      </c>
    </row>
    <row r="3436">
      <c r="A3436" t="inlineStr">
        <is>
          <t>ttJTrans</t>
        </is>
      </c>
      <c r="B3436" s="38" t="inlineStr">
        <is>
          <t>0-4100</t>
        </is>
      </c>
      <c r="C3436" t="inlineStr">
        <is>
          <t>EQ</t>
        </is>
      </c>
      <c r="E3436" t="inlineStr">
        <is>
          <t>EQ</t>
        </is>
      </c>
      <c r="G3436" s="128" t="inlineStr"/>
      <c r="H3436" s="127" t="n">
        <v>46124</v>
      </c>
      <c r="J3436" s="38" t="inlineStr">
        <is>
          <t>0-4100</t>
        </is>
      </c>
      <c r="K3436" t="inlineStr">
        <is>
          <t>RT1385 2024 RAM 2500 TRADESMAN GAS 4X4 CREW CAB 8FT BED W/ DRAGUP TANK &amp; TOOLBOX COMBO 2024 RAM 2500 TRADESMAN GAS 4X4 CREW CAB 8FT BED W/ DRAGUP TANK &amp; TOOLBOX COMBO</t>
        </is>
      </c>
      <c r="L3436" t="n">
        <v>0</v>
      </c>
      <c r="M3436" t="n">
        <v>0</v>
      </c>
      <c r="O3436" t="inlineStr">
        <is>
          <t>RT1385</t>
        </is>
      </c>
      <c r="Q3436" s="114" t="n">
        <v>0</v>
      </c>
      <c r="R3436" s="114" t="n">
        <v>79.14</v>
      </c>
      <c r="S3436" s="114" t="n">
        <v>0</v>
      </c>
      <c r="T3436" t="n">
        <v>0</v>
      </c>
    </row>
    <row r="3437">
      <c r="A3437" t="inlineStr">
        <is>
          <t>ttJTrans</t>
        </is>
      </c>
      <c r="B3437" s="38" t="inlineStr">
        <is>
          <t>0-4100</t>
        </is>
      </c>
      <c r="C3437" t="inlineStr">
        <is>
          <t>EQ</t>
        </is>
      </c>
      <c r="E3437" t="inlineStr">
        <is>
          <t>EQ</t>
        </is>
      </c>
      <c r="G3437" s="128" t="inlineStr"/>
      <c r="H3437" s="127" t="n">
        <v>46124</v>
      </c>
      <c r="J3437" s="38" t="inlineStr">
        <is>
          <t>0-4100</t>
        </is>
      </c>
      <c r="K3437" t="inlineStr">
        <is>
          <t>RT1385 2024 RAM 2500 TRADESMAN GAS 4X4 CREW CAB 8FT BED W/ DRAGUP TANK &amp; TOOLBOX COMBO 2024 RAM 2500 TRADESMAN GAS 4X4 CREW CAB 8FT BED W/ DRAGUP TANK &amp; TOOLBOX COMBO</t>
        </is>
      </c>
      <c r="L3437" t="n">
        <v>0</v>
      </c>
      <c r="M3437" t="n">
        <v>0</v>
      </c>
      <c r="O3437" t="inlineStr">
        <is>
          <t>RT1385</t>
        </is>
      </c>
      <c r="Q3437" s="114" t="n">
        <v>0</v>
      </c>
      <c r="R3437" s="114" t="n">
        <v>79.14</v>
      </c>
      <c r="S3437" s="114" t="n">
        <v>0</v>
      </c>
      <c r="T3437" t="n">
        <v>0</v>
      </c>
    </row>
    <row r="3438">
      <c r="A3438" t="inlineStr">
        <is>
          <t>ttJTrans</t>
        </is>
      </c>
      <c r="B3438" s="38" t="inlineStr">
        <is>
          <t>0-4100</t>
        </is>
      </c>
      <c r="C3438" t="inlineStr">
        <is>
          <t>EQ</t>
        </is>
      </c>
      <c r="E3438" t="inlineStr">
        <is>
          <t>EQ</t>
        </is>
      </c>
      <c r="G3438" s="128" t="inlineStr"/>
      <c r="H3438" s="127" t="n">
        <v>46124</v>
      </c>
      <c r="J3438" s="38" t="inlineStr">
        <is>
          <t>0-4100</t>
        </is>
      </c>
      <c r="K3438" t="inlineStr">
        <is>
          <t>SSAUGKIT1 SKIDPRO SP300 PLANETARY AUGER DRIVE KIT W/ CRADLE &amp; MOUNT SKIDPRO SP300 PLANETARY AUGER DRIVE KIT W/ CRADLE &amp; MOUNT</t>
        </is>
      </c>
      <c r="L3438" t="n">
        <v>0</v>
      </c>
      <c r="M3438" t="n">
        <v>0</v>
      </c>
      <c r="O3438" t="inlineStr">
        <is>
          <t>SSAUGKIT1</t>
        </is>
      </c>
      <c r="Q3438" s="114" t="n">
        <v>0</v>
      </c>
      <c r="R3438" s="114" t="n">
        <v>35</v>
      </c>
      <c r="S3438" s="114" t="n">
        <v>0</v>
      </c>
      <c r="T3438" t="n">
        <v>0</v>
      </c>
    </row>
    <row r="3439">
      <c r="A3439" t="inlineStr">
        <is>
          <t>ttJTrans</t>
        </is>
      </c>
      <c r="B3439" s="38" t="inlineStr">
        <is>
          <t>0-4100</t>
        </is>
      </c>
      <c r="C3439" t="inlineStr">
        <is>
          <t>EQ</t>
        </is>
      </c>
      <c r="E3439" t="inlineStr">
        <is>
          <t>EQ</t>
        </is>
      </c>
      <c r="G3439" s="128" t="inlineStr"/>
      <c r="H3439" s="127" t="n">
        <v>46124</v>
      </c>
      <c r="J3439" s="38" t="inlineStr">
        <is>
          <t>0-4100</t>
        </is>
      </c>
      <c r="K3439" t="inlineStr">
        <is>
          <t>SSAUGKIT1 SKIDPRO SP300 PLANETARY AUGER DRIVE KIT W/ CRADLE &amp; MOUNT SKIDPRO SP300 PLANETARY AUGER DRIVE KIT W/ CRADLE &amp; MOUNT</t>
        </is>
      </c>
      <c r="L3439" t="n">
        <v>0</v>
      </c>
      <c r="M3439" t="n">
        <v>0</v>
      </c>
      <c r="O3439" t="inlineStr">
        <is>
          <t>SSAUGKIT1</t>
        </is>
      </c>
      <c r="Q3439" s="114" t="n">
        <v>0</v>
      </c>
      <c r="R3439" s="114" t="n">
        <v>35</v>
      </c>
      <c r="S3439" s="114" t="n">
        <v>0</v>
      </c>
      <c r="T3439" t="n">
        <v>0</v>
      </c>
    </row>
    <row r="3440">
      <c r="A3440" t="inlineStr">
        <is>
          <t>ttJTrans</t>
        </is>
      </c>
      <c r="B3440" s="38" t="inlineStr">
        <is>
          <t>0-4100</t>
        </is>
      </c>
      <c r="C3440" t="inlineStr">
        <is>
          <t>EQ</t>
        </is>
      </c>
      <c r="E3440" t="inlineStr">
        <is>
          <t>EQ</t>
        </is>
      </c>
      <c r="G3440" s="128" t="inlineStr"/>
      <c r="H3440" s="127" t="n">
        <v>46124</v>
      </c>
      <c r="J3440" s="38" t="inlineStr">
        <is>
          <t>0-4100</t>
        </is>
      </c>
      <c r="K3440" t="inlineStr">
        <is>
          <t>SSAUGKIT1 SKIDPRO SP300 PLANETARY AUGER DRIVE KIT W/ CRADLE &amp; MOUNT SKIDPRO SP300 PLANETARY AUGER DRIVE KIT W/ CRADLE &amp; MOUNT</t>
        </is>
      </c>
      <c r="L3440" t="n">
        <v>0</v>
      </c>
      <c r="M3440" t="n">
        <v>0</v>
      </c>
      <c r="O3440" t="inlineStr">
        <is>
          <t>SSAUGKIT1</t>
        </is>
      </c>
      <c r="Q3440" s="114" t="n">
        <v>0</v>
      </c>
      <c r="R3440" s="114" t="n">
        <v>35</v>
      </c>
      <c r="S3440" s="114" t="n">
        <v>0</v>
      </c>
      <c r="T3440" t="n">
        <v>0</v>
      </c>
    </row>
    <row r="3441">
      <c r="A3441" t="inlineStr">
        <is>
          <t>ttJTrans</t>
        </is>
      </c>
      <c r="B3441" s="38" t="inlineStr">
        <is>
          <t>0-4100</t>
        </is>
      </c>
      <c r="C3441" t="inlineStr">
        <is>
          <t>EQ</t>
        </is>
      </c>
      <c r="E3441" t="inlineStr">
        <is>
          <t>EQ</t>
        </is>
      </c>
      <c r="G3441" s="128" t="inlineStr"/>
      <c r="H3441" s="127" t="n">
        <v>46124</v>
      </c>
      <c r="J3441" s="38" t="inlineStr">
        <is>
          <t>0-4100</t>
        </is>
      </c>
      <c r="K3441" t="inlineStr">
        <is>
          <t>SSAUGKIT1 SKIDPRO SP300 PLANETARY AUGER DRIVE KIT W/ CRADLE &amp; MOUNT SKIDPRO SP300 PLANETARY AUGER DRIVE KIT W/ CRADLE &amp; MOUNT</t>
        </is>
      </c>
      <c r="L3441" t="n">
        <v>0</v>
      </c>
      <c r="M3441" t="n">
        <v>0</v>
      </c>
      <c r="O3441" t="inlineStr">
        <is>
          <t>SSAUGKIT1</t>
        </is>
      </c>
      <c r="Q3441" s="114" t="n">
        <v>0</v>
      </c>
      <c r="R3441" s="114" t="n">
        <v>35</v>
      </c>
      <c r="S3441" s="114" t="n">
        <v>0</v>
      </c>
      <c r="T3441" t="n">
        <v>0</v>
      </c>
    </row>
    <row r="3442">
      <c r="A3442" t="inlineStr">
        <is>
          <t>ttJTrans</t>
        </is>
      </c>
      <c r="B3442" s="38" t="inlineStr">
        <is>
          <t>0-4100</t>
        </is>
      </c>
      <c r="C3442" t="inlineStr">
        <is>
          <t>EQ</t>
        </is>
      </c>
      <c r="E3442" t="inlineStr">
        <is>
          <t>EQ</t>
        </is>
      </c>
      <c r="G3442" s="128" t="inlineStr"/>
      <c r="H3442" s="127" t="n">
        <v>46124</v>
      </c>
      <c r="J3442" s="38" t="inlineStr">
        <is>
          <t>0-4100</t>
        </is>
      </c>
      <c r="K3442" t="inlineStr">
        <is>
          <t>SSAUGKIT1 SKIDPRO SP300 PLANETARY AUGER DRIVE KIT W/ CRADLE &amp; MOUNT SKIDPRO SP300 PLANETARY AUGER DRIVE KIT W/ CRADLE &amp; MOUNT</t>
        </is>
      </c>
      <c r="L3442" t="n">
        <v>0</v>
      </c>
      <c r="M3442" t="n">
        <v>0</v>
      </c>
      <c r="O3442" t="inlineStr">
        <is>
          <t>SSAUGKIT1</t>
        </is>
      </c>
      <c r="Q3442" s="114" t="n">
        <v>0</v>
      </c>
      <c r="R3442" s="114" t="n">
        <v>35</v>
      </c>
      <c r="S3442" s="114" t="n">
        <v>0</v>
      </c>
      <c r="T3442" t="n">
        <v>0</v>
      </c>
    </row>
    <row r="3443">
      <c r="A3443" t="inlineStr">
        <is>
          <t>ttJTrans</t>
        </is>
      </c>
      <c r="B3443" s="38" t="inlineStr">
        <is>
          <t>0-4100</t>
        </is>
      </c>
      <c r="C3443" t="inlineStr">
        <is>
          <t>EQ</t>
        </is>
      </c>
      <c r="E3443" t="inlineStr">
        <is>
          <t>EQ</t>
        </is>
      </c>
      <c r="G3443" s="128" t="inlineStr"/>
      <c r="H3443" s="127" t="n">
        <v>46124</v>
      </c>
      <c r="J3443" s="38" t="inlineStr">
        <is>
          <t>0-4100</t>
        </is>
      </c>
      <c r="K3443" t="inlineStr">
        <is>
          <t>TR425 20FT ENCLOSED CARGO TRAILER (CHARGED TO 22-4001) 20FT ENCLOSED CARGO TRAILER (CHARGED TO 22-4001)</t>
        </is>
      </c>
      <c r="L3443" t="n">
        <v>0</v>
      </c>
      <c r="M3443" t="n">
        <v>0</v>
      </c>
      <c r="O3443" t="inlineStr">
        <is>
          <t>TR425</t>
        </is>
      </c>
      <c r="Q3443" s="114" t="n">
        <v>0</v>
      </c>
      <c r="R3443" s="114" t="n">
        <v>65</v>
      </c>
      <c r="S3443" s="114" t="n">
        <v>0</v>
      </c>
      <c r="T3443" t="n">
        <v>0</v>
      </c>
    </row>
    <row r="3444">
      <c r="A3444" t="inlineStr">
        <is>
          <t>ttJTrans</t>
        </is>
      </c>
      <c r="B3444" s="38" t="inlineStr">
        <is>
          <t>0-4100</t>
        </is>
      </c>
      <c r="C3444" t="inlineStr">
        <is>
          <t>EQ</t>
        </is>
      </c>
      <c r="E3444" t="inlineStr">
        <is>
          <t>EQ</t>
        </is>
      </c>
      <c r="G3444" s="128" t="inlineStr"/>
      <c r="H3444" s="127" t="n">
        <v>46124</v>
      </c>
      <c r="J3444" s="38" t="inlineStr">
        <is>
          <t>0-4100</t>
        </is>
      </c>
      <c r="K3444" t="inlineStr">
        <is>
          <t>TR425 20FT ENCLOSED CARGO TRAILER (CHARGED TO 22-4001) 20FT ENCLOSED CARGO TRAILER (CHARGED TO 22-4001)</t>
        </is>
      </c>
      <c r="L3444" t="n">
        <v>0</v>
      </c>
      <c r="M3444" t="n">
        <v>0</v>
      </c>
      <c r="O3444" t="inlineStr">
        <is>
          <t>TR425</t>
        </is>
      </c>
      <c r="Q3444" s="114" t="n">
        <v>0</v>
      </c>
      <c r="R3444" s="114" t="n">
        <v>65</v>
      </c>
      <c r="S3444" s="114" t="n">
        <v>0</v>
      </c>
      <c r="T3444" t="n">
        <v>0</v>
      </c>
    </row>
    <row r="3445">
      <c r="A3445" t="inlineStr">
        <is>
          <t>ttJTrans</t>
        </is>
      </c>
      <c r="B3445" s="38" t="inlineStr">
        <is>
          <t>0-4100</t>
        </is>
      </c>
      <c r="C3445" t="inlineStr">
        <is>
          <t>EQ</t>
        </is>
      </c>
      <c r="E3445" t="inlineStr">
        <is>
          <t>EQ</t>
        </is>
      </c>
      <c r="G3445" s="128" t="inlineStr"/>
      <c r="H3445" s="127" t="n">
        <v>46124</v>
      </c>
      <c r="J3445" s="38" t="inlineStr">
        <is>
          <t>0-4100</t>
        </is>
      </c>
      <c r="K3445" t="inlineStr">
        <is>
          <t>TR425 20FT ENCLOSED CARGO TRAILER (CHARGED TO 22-4001) 20FT ENCLOSED CARGO TRAILER (CHARGED TO 22-4001)</t>
        </is>
      </c>
      <c r="L3445" t="n">
        <v>0</v>
      </c>
      <c r="M3445" t="n">
        <v>0</v>
      </c>
      <c r="O3445" t="inlineStr">
        <is>
          <t>TR425</t>
        </is>
      </c>
      <c r="Q3445" s="114" t="n">
        <v>0</v>
      </c>
      <c r="R3445" s="114" t="n">
        <v>65</v>
      </c>
      <c r="S3445" s="114" t="n">
        <v>0</v>
      </c>
      <c r="T3445" t="n">
        <v>0</v>
      </c>
    </row>
    <row r="3446">
      <c r="A3446" t="inlineStr">
        <is>
          <t>ttJTrans</t>
        </is>
      </c>
      <c r="B3446" s="38" t="inlineStr">
        <is>
          <t>0-4100</t>
        </is>
      </c>
      <c r="C3446" t="inlineStr">
        <is>
          <t>EQ</t>
        </is>
      </c>
      <c r="E3446" t="inlineStr">
        <is>
          <t>EQ</t>
        </is>
      </c>
      <c r="G3446" s="128" t="inlineStr"/>
      <c r="H3446" s="127" t="n">
        <v>46124</v>
      </c>
      <c r="J3446" s="38" t="inlineStr">
        <is>
          <t>0-4100</t>
        </is>
      </c>
      <c r="K3446" t="inlineStr">
        <is>
          <t>TR425 20FT ENCLOSED CARGO TRAILER (CHARGED TO 22-4001) 20FT ENCLOSED CARGO TRAILER (CHARGED TO 22-4001)</t>
        </is>
      </c>
      <c r="L3446" t="n">
        <v>0</v>
      </c>
      <c r="M3446" t="n">
        <v>0</v>
      </c>
      <c r="O3446" t="inlineStr">
        <is>
          <t>TR425</t>
        </is>
      </c>
      <c r="Q3446" s="114" t="n">
        <v>0</v>
      </c>
      <c r="R3446" s="114" t="n">
        <v>65</v>
      </c>
      <c r="S3446" s="114" t="n">
        <v>0</v>
      </c>
      <c r="T3446" t="n">
        <v>0</v>
      </c>
    </row>
    <row r="3447">
      <c r="A3447" t="inlineStr">
        <is>
          <t>ttJTrans</t>
        </is>
      </c>
      <c r="B3447" s="38" t="inlineStr">
        <is>
          <t>0-4100</t>
        </is>
      </c>
      <c r="C3447" t="inlineStr">
        <is>
          <t>EQ</t>
        </is>
      </c>
      <c r="E3447" t="inlineStr">
        <is>
          <t>EQ</t>
        </is>
      </c>
      <c r="G3447" s="128" t="inlineStr"/>
      <c r="H3447" s="127" t="n">
        <v>46124</v>
      </c>
      <c r="J3447" s="38" t="inlineStr">
        <is>
          <t>0-4100</t>
        </is>
      </c>
      <c r="K3447" t="inlineStr">
        <is>
          <t>TR425 20FT ENCLOSED CARGO TRAILER (CHARGED TO 22-4001) 20FT ENCLOSED CARGO TRAILER (CHARGED TO 22-4001)</t>
        </is>
      </c>
      <c r="L3447" t="n">
        <v>0</v>
      </c>
      <c r="M3447" t="n">
        <v>0</v>
      </c>
      <c r="O3447" t="inlineStr">
        <is>
          <t>TR425</t>
        </is>
      </c>
      <c r="Q3447" s="114" t="n">
        <v>0</v>
      </c>
      <c r="R3447" s="114" t="n">
        <v>65</v>
      </c>
      <c r="S3447" s="114" t="n">
        <v>0</v>
      </c>
      <c r="T3447" t="n">
        <v>0</v>
      </c>
    </row>
    <row r="3448">
      <c r="A3448" t="inlineStr">
        <is>
          <t>ttJTrans</t>
        </is>
      </c>
      <c r="B3448" s="38" t="inlineStr">
        <is>
          <t>0-4100</t>
        </is>
      </c>
      <c r="C3448" t="inlineStr">
        <is>
          <t>EQ</t>
        </is>
      </c>
      <c r="E3448" t="inlineStr">
        <is>
          <t>EQ</t>
        </is>
      </c>
      <c r="G3448" s="128" t="inlineStr"/>
      <c r="H3448" s="127" t="n">
        <v>46124</v>
      </c>
      <c r="J3448" s="38" t="inlineStr">
        <is>
          <t>0-4100</t>
        </is>
      </c>
      <c r="K3448" t="inlineStr">
        <is>
          <t>TR428 CARRY-ON 5X8 UTILITY TRAILER (CHARGED TO 22-4001) CARRY-ON 5X8 UTILITY TRAILER (CHARGED TO 22-4001)</t>
        </is>
      </c>
      <c r="L3448" t="n">
        <v>0</v>
      </c>
      <c r="M3448" t="n">
        <v>0</v>
      </c>
      <c r="O3448" t="inlineStr">
        <is>
          <t>TR428</t>
        </is>
      </c>
      <c r="Q3448" s="114" t="n">
        <v>0</v>
      </c>
      <c r="R3448" s="114" t="n">
        <v>15</v>
      </c>
      <c r="S3448" s="114" t="n">
        <v>0</v>
      </c>
      <c r="T3448" t="n">
        <v>0</v>
      </c>
    </row>
    <row r="3449">
      <c r="A3449" t="inlineStr">
        <is>
          <t>ttJTrans</t>
        </is>
      </c>
      <c r="B3449" s="38" t="inlineStr">
        <is>
          <t>0-4100</t>
        </is>
      </c>
      <c r="C3449" t="inlineStr">
        <is>
          <t>EQ</t>
        </is>
      </c>
      <c r="E3449" t="inlineStr">
        <is>
          <t>EQ</t>
        </is>
      </c>
      <c r="G3449" s="128" t="inlineStr"/>
      <c r="H3449" s="127" t="n">
        <v>46124</v>
      </c>
      <c r="J3449" s="38" t="inlineStr">
        <is>
          <t>0-4100</t>
        </is>
      </c>
      <c r="K3449" t="inlineStr">
        <is>
          <t>TR428 CARRY-ON 5X8 UTILITY TRAILER (CHARGED TO 22-4001) CARRY-ON 5X8 UTILITY TRAILER (CHARGED TO 22-4001)</t>
        </is>
      </c>
      <c r="L3449" t="n">
        <v>0</v>
      </c>
      <c r="M3449" t="n">
        <v>0</v>
      </c>
      <c r="O3449" t="inlineStr">
        <is>
          <t>TR428</t>
        </is>
      </c>
      <c r="Q3449" s="114" t="n">
        <v>0</v>
      </c>
      <c r="R3449" s="114" t="n">
        <v>15</v>
      </c>
      <c r="S3449" s="114" t="n">
        <v>0</v>
      </c>
      <c r="T3449" t="n">
        <v>0</v>
      </c>
    </row>
    <row r="3450">
      <c r="A3450" t="inlineStr">
        <is>
          <t>ttJTrans</t>
        </is>
      </c>
      <c r="B3450" s="38" t="inlineStr">
        <is>
          <t>0-4100</t>
        </is>
      </c>
      <c r="C3450" t="inlineStr">
        <is>
          <t>EQ</t>
        </is>
      </c>
      <c r="E3450" t="inlineStr">
        <is>
          <t>EQ</t>
        </is>
      </c>
      <c r="G3450" s="128" t="inlineStr"/>
      <c r="H3450" s="127" t="n">
        <v>46124</v>
      </c>
      <c r="J3450" s="38" t="inlineStr">
        <is>
          <t>0-4100</t>
        </is>
      </c>
      <c r="K3450" t="inlineStr">
        <is>
          <t>TR428 CARRY-ON 5X8 UTILITY TRAILER (CHARGED TO 22-4001) CARRY-ON 5X8 UTILITY TRAILER (CHARGED TO 22-4001)</t>
        </is>
      </c>
      <c r="L3450" t="n">
        <v>0</v>
      </c>
      <c r="M3450" t="n">
        <v>0</v>
      </c>
      <c r="O3450" t="inlineStr">
        <is>
          <t>TR428</t>
        </is>
      </c>
      <c r="Q3450" s="114" t="n">
        <v>0</v>
      </c>
      <c r="R3450" s="114" t="n">
        <v>15</v>
      </c>
      <c r="S3450" s="114" t="n">
        <v>0</v>
      </c>
      <c r="T3450" t="n">
        <v>0</v>
      </c>
    </row>
    <row r="3451">
      <c r="A3451" t="inlineStr">
        <is>
          <t>ttJTrans</t>
        </is>
      </c>
      <c r="B3451" s="38" t="inlineStr">
        <is>
          <t>0-4100</t>
        </is>
      </c>
      <c r="C3451" t="inlineStr">
        <is>
          <t>EQ</t>
        </is>
      </c>
      <c r="E3451" t="inlineStr">
        <is>
          <t>EQ</t>
        </is>
      </c>
      <c r="G3451" s="128" t="inlineStr"/>
      <c r="H3451" s="127" t="n">
        <v>46124</v>
      </c>
      <c r="J3451" s="38" t="inlineStr">
        <is>
          <t>0-4100</t>
        </is>
      </c>
      <c r="K3451" t="inlineStr">
        <is>
          <t>TR428 CARRY-ON 5X8 UTILITY TRAILER (CHARGED TO 22-4001) CARRY-ON 5X8 UTILITY TRAILER (CHARGED TO 22-4001)</t>
        </is>
      </c>
      <c r="L3451" t="n">
        <v>0</v>
      </c>
      <c r="M3451" t="n">
        <v>0</v>
      </c>
      <c r="O3451" t="inlineStr">
        <is>
          <t>TR428</t>
        </is>
      </c>
      <c r="Q3451" s="114" t="n">
        <v>0</v>
      </c>
      <c r="R3451" s="114" t="n">
        <v>15</v>
      </c>
      <c r="S3451" s="114" t="n">
        <v>0</v>
      </c>
      <c r="T3451" t="n">
        <v>0</v>
      </c>
    </row>
    <row r="3452">
      <c r="A3452" t="inlineStr">
        <is>
          <t>ttJTrans</t>
        </is>
      </c>
      <c r="B3452" s="38" t="inlineStr">
        <is>
          <t>0-4100</t>
        </is>
      </c>
      <c r="C3452" t="inlineStr">
        <is>
          <t>EQ</t>
        </is>
      </c>
      <c r="E3452" t="inlineStr">
        <is>
          <t>EQ</t>
        </is>
      </c>
      <c r="G3452" s="128" t="inlineStr"/>
      <c r="H3452" s="127" t="n">
        <v>46124</v>
      </c>
      <c r="J3452" s="38" t="inlineStr">
        <is>
          <t>0-4100</t>
        </is>
      </c>
      <c r="K3452" t="inlineStr">
        <is>
          <t>TR428 CARRY-ON 5X8 UTILITY TRAILER (CHARGED TO 22-4001) CARRY-ON 5X8 UTILITY TRAILER (CHARGED TO 22-4001)</t>
        </is>
      </c>
      <c r="L3452" t="n">
        <v>0</v>
      </c>
      <c r="M3452" t="n">
        <v>0</v>
      </c>
      <c r="O3452" t="inlineStr">
        <is>
          <t>TR428</t>
        </is>
      </c>
      <c r="Q3452" s="114" t="n">
        <v>0</v>
      </c>
      <c r="R3452" s="114" t="n">
        <v>15</v>
      </c>
      <c r="S3452" s="114" t="n">
        <v>0</v>
      </c>
      <c r="T3452" t="n">
        <v>0</v>
      </c>
    </row>
    <row r="3453">
      <c r="A3453" t="inlineStr">
        <is>
          <t>ttJTrans</t>
        </is>
      </c>
      <c r="B3453" s="38" t="inlineStr">
        <is>
          <t>0-4100</t>
        </is>
      </c>
      <c r="C3453" t="inlineStr">
        <is>
          <t>EQ</t>
        </is>
      </c>
      <c r="E3453" t="inlineStr">
        <is>
          <t>EQ</t>
        </is>
      </c>
      <c r="G3453" s="128" t="inlineStr"/>
      <c r="H3453" s="127" t="n">
        <v>46124</v>
      </c>
      <c r="J3453" s="38" t="inlineStr">
        <is>
          <t>0-4100</t>
        </is>
      </c>
      <c r="K3453" t="inlineStr">
        <is>
          <t>TR145 20' CARGO TRAILER 20' CARGO TRAILER</t>
        </is>
      </c>
      <c r="L3453" t="n">
        <v>0</v>
      </c>
      <c r="M3453" t="n">
        <v>0</v>
      </c>
      <c r="O3453" t="inlineStr">
        <is>
          <t>TR145</t>
        </is>
      </c>
      <c r="Q3453" s="114" t="n">
        <v>0</v>
      </c>
      <c r="R3453" s="114" t="n">
        <v>65</v>
      </c>
      <c r="S3453" s="114" t="n">
        <v>0</v>
      </c>
      <c r="T3453" t="n">
        <v>0</v>
      </c>
    </row>
    <row r="3454">
      <c r="A3454" t="inlineStr">
        <is>
          <t>ttJTrans</t>
        </is>
      </c>
      <c r="B3454" s="38" t="inlineStr">
        <is>
          <t>0-4100</t>
        </is>
      </c>
      <c r="C3454" t="inlineStr">
        <is>
          <t>EQ</t>
        </is>
      </c>
      <c r="E3454" t="inlineStr">
        <is>
          <t>EQ</t>
        </is>
      </c>
      <c r="G3454" s="128" t="inlineStr"/>
      <c r="H3454" s="127" t="n">
        <v>46124</v>
      </c>
      <c r="J3454" s="38" t="inlineStr">
        <is>
          <t>0-4100</t>
        </is>
      </c>
      <c r="K3454" t="inlineStr">
        <is>
          <t>TR145 20' CARGO TRAILER 20' CARGO TRAILER</t>
        </is>
      </c>
      <c r="L3454" t="n">
        <v>0</v>
      </c>
      <c r="M3454" t="n">
        <v>0</v>
      </c>
      <c r="O3454" t="inlineStr">
        <is>
          <t>TR145</t>
        </is>
      </c>
      <c r="Q3454" s="114" t="n">
        <v>0</v>
      </c>
      <c r="R3454" s="114" t="n">
        <v>65</v>
      </c>
      <c r="S3454" s="114" t="n">
        <v>0</v>
      </c>
      <c r="T3454" t="n">
        <v>0</v>
      </c>
    </row>
    <row r="3455">
      <c r="A3455" t="inlineStr">
        <is>
          <t>ttJTrans</t>
        </is>
      </c>
      <c r="B3455" s="38" t="inlineStr">
        <is>
          <t>0-4100</t>
        </is>
      </c>
      <c r="C3455" t="inlineStr">
        <is>
          <t>EQ</t>
        </is>
      </c>
      <c r="E3455" t="inlineStr">
        <is>
          <t>EQ</t>
        </is>
      </c>
      <c r="G3455" s="128" t="inlineStr"/>
      <c r="H3455" s="127" t="n">
        <v>46124</v>
      </c>
      <c r="J3455" s="38" t="inlineStr">
        <is>
          <t>0-4100</t>
        </is>
      </c>
      <c r="K3455" t="inlineStr">
        <is>
          <t>TR145 20' CARGO TRAILER 20' CARGO TRAILER</t>
        </is>
      </c>
      <c r="L3455" t="n">
        <v>0</v>
      </c>
      <c r="M3455" t="n">
        <v>0</v>
      </c>
      <c r="O3455" t="inlineStr">
        <is>
          <t>TR145</t>
        </is>
      </c>
      <c r="Q3455" s="114" t="n">
        <v>0</v>
      </c>
      <c r="R3455" s="114" t="n">
        <v>65</v>
      </c>
      <c r="S3455" s="114" t="n">
        <v>0</v>
      </c>
      <c r="T3455" t="n">
        <v>0</v>
      </c>
    </row>
    <row r="3456">
      <c r="A3456" t="inlineStr">
        <is>
          <t>ttJTrans</t>
        </is>
      </c>
      <c r="B3456" s="38" t="inlineStr">
        <is>
          <t>0-4100</t>
        </is>
      </c>
      <c r="C3456" t="inlineStr">
        <is>
          <t>EQ</t>
        </is>
      </c>
      <c r="E3456" t="inlineStr">
        <is>
          <t>EQ</t>
        </is>
      </c>
      <c r="G3456" s="128" t="inlineStr"/>
      <c r="H3456" s="127" t="n">
        <v>46131</v>
      </c>
      <c r="J3456" s="38" t="inlineStr">
        <is>
          <t>0-4100</t>
        </is>
      </c>
      <c r="K3456" t="inlineStr">
        <is>
          <t>FE017 7' ROTARY CUTTER 7' ROTARY CUTTER</t>
        </is>
      </c>
      <c r="L3456" t="n">
        <v>0</v>
      </c>
      <c r="M3456" t="n">
        <v>0</v>
      </c>
      <c r="O3456" t="inlineStr">
        <is>
          <t>FE017</t>
        </is>
      </c>
      <c r="Q3456" s="114" t="n">
        <v>0</v>
      </c>
      <c r="R3456" s="114" t="n">
        <v>0</v>
      </c>
      <c r="S3456" s="114" t="n">
        <v>0</v>
      </c>
      <c r="T3456" t="n">
        <v>0</v>
      </c>
    </row>
    <row r="3457">
      <c r="A3457" t="inlineStr">
        <is>
          <t>ttJTrans</t>
        </is>
      </c>
      <c r="B3457" s="38" t="inlineStr">
        <is>
          <t>0-4100</t>
        </is>
      </c>
      <c r="C3457" t="inlineStr">
        <is>
          <t>EQ</t>
        </is>
      </c>
      <c r="E3457" t="inlineStr">
        <is>
          <t>EQ</t>
        </is>
      </c>
      <c r="G3457" s="128" t="inlineStr"/>
      <c r="H3457" s="127" t="n">
        <v>46131</v>
      </c>
      <c r="J3457" s="38" t="inlineStr">
        <is>
          <t>0-4100</t>
        </is>
      </c>
      <c r="K3457" t="inlineStr">
        <is>
          <t>FE017 7' ROTARY CUTTER 7' ROTARY CUTTER</t>
        </is>
      </c>
      <c r="L3457" t="n">
        <v>0</v>
      </c>
      <c r="M3457" t="n">
        <v>0</v>
      </c>
      <c r="O3457" t="inlineStr">
        <is>
          <t>FE017</t>
        </is>
      </c>
      <c r="Q3457" s="114" t="n">
        <v>0</v>
      </c>
      <c r="R3457" s="114" t="n">
        <v>0</v>
      </c>
      <c r="S3457" s="114" t="n">
        <v>0</v>
      </c>
      <c r="T3457" t="n">
        <v>0</v>
      </c>
    </row>
    <row r="3458">
      <c r="A3458" t="inlineStr">
        <is>
          <t>ttJTrans</t>
        </is>
      </c>
      <c r="B3458" s="38" t="inlineStr">
        <is>
          <t>0-4100</t>
        </is>
      </c>
      <c r="C3458" t="inlineStr">
        <is>
          <t>EQ</t>
        </is>
      </c>
      <c r="E3458" t="inlineStr">
        <is>
          <t>EQ</t>
        </is>
      </c>
      <c r="G3458" s="128" t="inlineStr"/>
      <c r="H3458" s="127" t="n">
        <v>46131</v>
      </c>
      <c r="J3458" s="38" t="inlineStr">
        <is>
          <t>0-4100</t>
        </is>
      </c>
      <c r="K3458" t="inlineStr">
        <is>
          <t>FE017 7' ROTARY CUTTER 7' ROTARY CUTTER</t>
        </is>
      </c>
      <c r="L3458" t="n">
        <v>0</v>
      </c>
      <c r="M3458" t="n">
        <v>0</v>
      </c>
      <c r="O3458" t="inlineStr">
        <is>
          <t>FE017</t>
        </is>
      </c>
      <c r="Q3458" s="114" t="n">
        <v>0</v>
      </c>
      <c r="R3458" s="114" t="n">
        <v>0</v>
      </c>
      <c r="S3458" s="114" t="n">
        <v>0</v>
      </c>
      <c r="T3458" t="n">
        <v>0</v>
      </c>
    </row>
    <row r="3459">
      <c r="A3459" t="inlineStr">
        <is>
          <t>ttJTrans</t>
        </is>
      </c>
      <c r="B3459" s="38" t="inlineStr">
        <is>
          <t>0-4100</t>
        </is>
      </c>
      <c r="C3459" t="inlineStr">
        <is>
          <t>EQ</t>
        </is>
      </c>
      <c r="E3459" t="inlineStr">
        <is>
          <t>EQ</t>
        </is>
      </c>
      <c r="G3459" s="128" t="inlineStr"/>
      <c r="H3459" s="127" t="n">
        <v>46131</v>
      </c>
      <c r="J3459" s="38" t="inlineStr">
        <is>
          <t>0-4100</t>
        </is>
      </c>
      <c r="K3459" t="inlineStr">
        <is>
          <t>FE017 7' ROTARY CUTTER 7' ROTARY CUTTER</t>
        </is>
      </c>
      <c r="L3459" t="n">
        <v>0</v>
      </c>
      <c r="M3459" t="n">
        <v>0</v>
      </c>
      <c r="O3459" t="inlineStr">
        <is>
          <t>FE017</t>
        </is>
      </c>
      <c r="Q3459" s="114" t="n">
        <v>0</v>
      </c>
      <c r="R3459" s="114" t="n">
        <v>0</v>
      </c>
      <c r="S3459" s="114" t="n">
        <v>0</v>
      </c>
      <c r="T3459" t="n">
        <v>0</v>
      </c>
    </row>
    <row r="3460">
      <c r="A3460" t="inlineStr">
        <is>
          <t>ttJTrans</t>
        </is>
      </c>
      <c r="B3460" s="38" t="inlineStr">
        <is>
          <t>0-4100</t>
        </is>
      </c>
      <c r="C3460" t="inlineStr">
        <is>
          <t>EQ</t>
        </is>
      </c>
      <c r="E3460" t="inlineStr">
        <is>
          <t>EQ</t>
        </is>
      </c>
      <c r="G3460" s="128" t="inlineStr"/>
      <c r="H3460" s="127" t="n">
        <v>46131</v>
      </c>
      <c r="J3460" s="38" t="inlineStr">
        <is>
          <t>0-4100</t>
        </is>
      </c>
      <c r="K3460" t="inlineStr">
        <is>
          <t>FE017 7' ROTARY CUTTER 7' ROTARY CUTTER</t>
        </is>
      </c>
      <c r="L3460" t="n">
        <v>0</v>
      </c>
      <c r="M3460" t="n">
        <v>0</v>
      </c>
      <c r="O3460" t="inlineStr">
        <is>
          <t>FE017</t>
        </is>
      </c>
      <c r="Q3460" s="114" t="n">
        <v>0</v>
      </c>
      <c r="R3460" s="114" t="n">
        <v>0</v>
      </c>
      <c r="S3460" s="114" t="n">
        <v>0</v>
      </c>
      <c r="T3460" t="n">
        <v>0</v>
      </c>
    </row>
    <row r="3461">
      <c r="A3461" t="inlineStr">
        <is>
          <t>ttJTrans</t>
        </is>
      </c>
      <c r="B3461" s="38" t="inlineStr">
        <is>
          <t>0-4100</t>
        </is>
      </c>
      <c r="C3461" t="inlineStr">
        <is>
          <t>EQ</t>
        </is>
      </c>
      <c r="E3461" t="inlineStr">
        <is>
          <t>EQ</t>
        </is>
      </c>
      <c r="G3461" s="128" t="inlineStr"/>
      <c r="H3461" s="127" t="n">
        <v>46131</v>
      </c>
      <c r="J3461" s="38" t="inlineStr">
        <is>
          <t>0-4100</t>
        </is>
      </c>
      <c r="K3461" t="inlineStr">
        <is>
          <t>FE017 7' ROTARY CUTTER 7' ROTARY CUTTER</t>
        </is>
      </c>
      <c r="L3461" t="n">
        <v>0</v>
      </c>
      <c r="M3461" t="n">
        <v>0</v>
      </c>
      <c r="O3461" t="inlineStr">
        <is>
          <t>FE017</t>
        </is>
      </c>
      <c r="Q3461" s="114" t="n">
        <v>0</v>
      </c>
      <c r="R3461" s="114" t="n">
        <v>0</v>
      </c>
      <c r="S3461" s="114" t="n">
        <v>0</v>
      </c>
      <c r="T3461" t="n">
        <v>0</v>
      </c>
    </row>
    <row r="3462">
      <c r="A3462" t="inlineStr">
        <is>
          <t>ttJTrans</t>
        </is>
      </c>
      <c r="B3462" s="38" t="inlineStr">
        <is>
          <t>0-4100</t>
        </is>
      </c>
      <c r="C3462" t="inlineStr">
        <is>
          <t>EQ</t>
        </is>
      </c>
      <c r="E3462" t="inlineStr">
        <is>
          <t>EQ</t>
        </is>
      </c>
      <c r="G3462" s="128" t="inlineStr"/>
      <c r="H3462" s="127" t="n">
        <v>46131</v>
      </c>
      <c r="J3462" s="38" t="inlineStr">
        <is>
          <t>0-4100</t>
        </is>
      </c>
      <c r="K3462" t="inlineStr">
        <is>
          <t>FT011 JOHN DEERE 6130M TRACTOR W/ 620R LOADER JOHN DEERE 6130M TRACTOR W/ 620R LOADER</t>
        </is>
      </c>
      <c r="L3462" t="n">
        <v>0</v>
      </c>
      <c r="M3462" t="n">
        <v>0</v>
      </c>
      <c r="O3462" t="inlineStr">
        <is>
          <t>FT011</t>
        </is>
      </c>
      <c r="Q3462" s="114" t="n">
        <v>0</v>
      </c>
      <c r="R3462" s="114" t="n">
        <v>291.67</v>
      </c>
      <c r="S3462" s="114" t="n">
        <v>0</v>
      </c>
      <c r="T3462" t="n">
        <v>0</v>
      </c>
    </row>
    <row r="3463">
      <c r="A3463" t="inlineStr">
        <is>
          <t>ttJTrans</t>
        </is>
      </c>
      <c r="B3463" s="38" t="inlineStr">
        <is>
          <t>0-4100</t>
        </is>
      </c>
      <c r="C3463" t="inlineStr">
        <is>
          <t>EQ</t>
        </is>
      </c>
      <c r="E3463" t="inlineStr">
        <is>
          <t>EQ</t>
        </is>
      </c>
      <c r="G3463" s="128" t="inlineStr"/>
      <c r="H3463" s="127" t="n">
        <v>46131</v>
      </c>
      <c r="J3463" s="38" t="inlineStr">
        <is>
          <t>0-4100</t>
        </is>
      </c>
      <c r="K3463" t="inlineStr">
        <is>
          <t>FT011 JOHN DEERE 6130M TRACTOR W/ 620R LOADER JOHN DEERE 6130M TRACTOR W/ 620R LOADER</t>
        </is>
      </c>
      <c r="L3463" t="n">
        <v>0</v>
      </c>
      <c r="M3463" t="n">
        <v>0</v>
      </c>
      <c r="O3463" t="inlineStr">
        <is>
          <t>FT011</t>
        </is>
      </c>
      <c r="Q3463" s="114" t="n">
        <v>0</v>
      </c>
      <c r="R3463" s="114" t="n">
        <v>291.67</v>
      </c>
      <c r="S3463" s="114" t="n">
        <v>0</v>
      </c>
      <c r="T3463" t="n">
        <v>0</v>
      </c>
    </row>
    <row r="3464">
      <c r="A3464" t="inlineStr">
        <is>
          <t>ttJTrans</t>
        </is>
      </c>
      <c r="B3464" s="38" t="inlineStr">
        <is>
          <t>0-4100</t>
        </is>
      </c>
      <c r="C3464" t="inlineStr">
        <is>
          <t>EQ</t>
        </is>
      </c>
      <c r="E3464" t="inlineStr">
        <is>
          <t>EQ</t>
        </is>
      </c>
      <c r="G3464" s="128" t="inlineStr"/>
      <c r="H3464" s="127" t="n">
        <v>46131</v>
      </c>
      <c r="J3464" s="38" t="inlineStr">
        <is>
          <t>0-4100</t>
        </is>
      </c>
      <c r="K3464" t="inlineStr">
        <is>
          <t>FT011 JOHN DEERE 6130M TRACTOR W/ 620R LOADER JOHN DEERE 6130M TRACTOR W/ 620R LOADER</t>
        </is>
      </c>
      <c r="L3464" t="n">
        <v>0</v>
      </c>
      <c r="M3464" t="n">
        <v>0</v>
      </c>
      <c r="O3464" t="inlineStr">
        <is>
          <t>FT011</t>
        </is>
      </c>
      <c r="Q3464" s="114" t="n">
        <v>0</v>
      </c>
      <c r="R3464" s="114" t="n">
        <v>291.67</v>
      </c>
      <c r="S3464" s="114" t="n">
        <v>0</v>
      </c>
      <c r="T3464" t="n">
        <v>0</v>
      </c>
    </row>
    <row r="3465">
      <c r="A3465" t="inlineStr">
        <is>
          <t>ttJTrans</t>
        </is>
      </c>
      <c r="B3465" s="38" t="inlineStr">
        <is>
          <t>0-4100</t>
        </is>
      </c>
      <c r="C3465" t="inlineStr">
        <is>
          <t>EQ</t>
        </is>
      </c>
      <c r="E3465" t="inlineStr">
        <is>
          <t>EQ</t>
        </is>
      </c>
      <c r="G3465" s="128" t="inlineStr"/>
      <c r="H3465" s="127" t="n">
        <v>46131</v>
      </c>
      <c r="J3465" s="38" t="inlineStr">
        <is>
          <t>0-4100</t>
        </is>
      </c>
      <c r="K3465" t="inlineStr">
        <is>
          <t>FT011 JOHN DEERE 6130M TRACTOR W/ 620R LOADER JOHN DEERE 6130M TRACTOR W/ 620R LOADER</t>
        </is>
      </c>
      <c r="L3465" t="n">
        <v>0</v>
      </c>
      <c r="M3465" t="n">
        <v>0</v>
      </c>
      <c r="O3465" t="inlineStr">
        <is>
          <t>FT011</t>
        </is>
      </c>
      <c r="Q3465" s="114" t="n">
        <v>0</v>
      </c>
      <c r="R3465" s="114" t="n">
        <v>291.67</v>
      </c>
      <c r="S3465" s="114" t="n">
        <v>0</v>
      </c>
      <c r="T3465" t="n">
        <v>0</v>
      </c>
    </row>
    <row r="3466">
      <c r="A3466" t="inlineStr">
        <is>
          <t>ttJTrans</t>
        </is>
      </c>
      <c r="B3466" s="38" t="inlineStr">
        <is>
          <t>0-4100</t>
        </is>
      </c>
      <c r="C3466" t="inlineStr">
        <is>
          <t>EQ</t>
        </is>
      </c>
      <c r="E3466" t="inlineStr">
        <is>
          <t>EQ</t>
        </is>
      </c>
      <c r="G3466" s="128" t="inlineStr"/>
      <c r="H3466" s="127" t="n">
        <v>46131</v>
      </c>
      <c r="J3466" s="38" t="inlineStr">
        <is>
          <t>0-4100</t>
        </is>
      </c>
      <c r="K3466" t="inlineStr">
        <is>
          <t>FT011 JOHN DEERE 6130M TRACTOR W/ 620R LOADER JOHN DEERE 6130M TRACTOR W/ 620R LOADER</t>
        </is>
      </c>
      <c r="L3466" t="n">
        <v>0</v>
      </c>
      <c r="M3466" t="n">
        <v>0</v>
      </c>
      <c r="O3466" t="inlineStr">
        <is>
          <t>FT011</t>
        </is>
      </c>
      <c r="Q3466" s="114" t="n">
        <v>0</v>
      </c>
      <c r="R3466" s="114" t="n">
        <v>291.67</v>
      </c>
      <c r="S3466" s="114" t="n">
        <v>0</v>
      </c>
      <c r="T3466" t="n">
        <v>0</v>
      </c>
    </row>
    <row r="3467">
      <c r="A3467" t="inlineStr">
        <is>
          <t>ttJTrans</t>
        </is>
      </c>
      <c r="B3467" s="38" t="inlineStr">
        <is>
          <t>0-4100</t>
        </is>
      </c>
      <c r="C3467" t="inlineStr">
        <is>
          <t>EQ</t>
        </is>
      </c>
      <c r="E3467" t="inlineStr">
        <is>
          <t>EQ</t>
        </is>
      </c>
      <c r="G3467" s="128" t="inlineStr"/>
      <c r="H3467" s="127" t="n">
        <v>46131</v>
      </c>
      <c r="J3467" s="38" t="inlineStr">
        <is>
          <t>0-4100</t>
        </is>
      </c>
      <c r="K3467" t="inlineStr">
        <is>
          <t>FT011 JOHN DEERE 6130M TRACTOR W/ 620R LOADER JOHN DEERE 6130M TRACTOR W/ 620R LOADER</t>
        </is>
      </c>
      <c r="L3467" t="n">
        <v>0</v>
      </c>
      <c r="M3467" t="n">
        <v>0</v>
      </c>
      <c r="O3467" t="inlineStr">
        <is>
          <t>FT011</t>
        </is>
      </c>
      <c r="Q3467" s="114" t="n">
        <v>0</v>
      </c>
      <c r="R3467" s="114" t="n">
        <v>291.67</v>
      </c>
      <c r="S3467" s="114" t="n">
        <v>0</v>
      </c>
      <c r="T3467" t="n">
        <v>0</v>
      </c>
    </row>
    <row r="3468">
      <c r="A3468" t="inlineStr">
        <is>
          <t>ttJTrans</t>
        </is>
      </c>
      <c r="B3468" s="38" t="inlineStr">
        <is>
          <t>0-4100</t>
        </is>
      </c>
      <c r="C3468" t="inlineStr">
        <is>
          <t>EQ</t>
        </is>
      </c>
      <c r="E3468" t="inlineStr">
        <is>
          <t>EQ</t>
        </is>
      </c>
      <c r="G3468" s="128" t="inlineStr"/>
      <c r="H3468" s="127" t="n">
        <v>46131</v>
      </c>
      <c r="J3468" s="38" t="inlineStr">
        <is>
          <t>0-4100</t>
        </is>
      </c>
      <c r="K3468" t="inlineStr">
        <is>
          <t>WLD146 SILT FENCE PLOW - SKID STEER SILT FENCE PLOW - SKID STEER</t>
        </is>
      </c>
      <c r="L3468" t="n">
        <v>0</v>
      </c>
      <c r="M3468" t="n">
        <v>0</v>
      </c>
      <c r="O3468" t="inlineStr">
        <is>
          <t>WLD146</t>
        </is>
      </c>
      <c r="Q3468" s="114" t="n">
        <v>0</v>
      </c>
      <c r="R3468" s="114" t="n">
        <v>50</v>
      </c>
      <c r="S3468" s="114" t="n">
        <v>0</v>
      </c>
      <c r="T3468" t="n">
        <v>0</v>
      </c>
    </row>
    <row r="3469">
      <c r="A3469" t="inlineStr">
        <is>
          <t>ttJTrans</t>
        </is>
      </c>
      <c r="B3469" s="38" t="inlineStr">
        <is>
          <t>0-4100</t>
        </is>
      </c>
      <c r="C3469" t="inlineStr">
        <is>
          <t>EQ</t>
        </is>
      </c>
      <c r="E3469" t="inlineStr">
        <is>
          <t>EQ</t>
        </is>
      </c>
      <c r="G3469" s="128" t="inlineStr"/>
      <c r="H3469" s="127" t="n">
        <v>46131</v>
      </c>
      <c r="J3469" s="38" t="inlineStr">
        <is>
          <t>0-4100</t>
        </is>
      </c>
      <c r="K3469" t="inlineStr">
        <is>
          <t>WLD146 SILT FENCE PLOW - SKID STEER SILT FENCE PLOW - SKID STEER</t>
        </is>
      </c>
      <c r="L3469" t="n">
        <v>0</v>
      </c>
      <c r="M3469" t="n">
        <v>0</v>
      </c>
      <c r="O3469" t="inlineStr">
        <is>
          <t>WLD146</t>
        </is>
      </c>
      <c r="Q3469" s="114" t="n">
        <v>0</v>
      </c>
      <c r="R3469" s="114" t="n">
        <v>50</v>
      </c>
      <c r="S3469" s="114" t="n">
        <v>0</v>
      </c>
      <c r="T3469" t="n">
        <v>0</v>
      </c>
    </row>
    <row r="3470">
      <c r="A3470" t="inlineStr">
        <is>
          <t>ttJTrans</t>
        </is>
      </c>
      <c r="B3470" s="38" t="inlineStr">
        <is>
          <t>0-4100</t>
        </is>
      </c>
      <c r="C3470" t="inlineStr">
        <is>
          <t>EQ</t>
        </is>
      </c>
      <c r="E3470" t="inlineStr">
        <is>
          <t>EQ</t>
        </is>
      </c>
      <c r="G3470" s="128" t="inlineStr"/>
      <c r="H3470" s="127" t="n">
        <v>46131</v>
      </c>
      <c r="J3470" s="38" t="inlineStr">
        <is>
          <t>0-4100</t>
        </is>
      </c>
      <c r="K3470" t="inlineStr">
        <is>
          <t>WLD146 SILT FENCE PLOW - SKID STEER SILT FENCE PLOW - SKID STEER</t>
        </is>
      </c>
      <c r="L3470" t="n">
        <v>0</v>
      </c>
      <c r="M3470" t="n">
        <v>0</v>
      </c>
      <c r="O3470" t="inlineStr">
        <is>
          <t>WLD146</t>
        </is>
      </c>
      <c r="Q3470" s="114" t="n">
        <v>0</v>
      </c>
      <c r="R3470" s="114" t="n">
        <v>50</v>
      </c>
      <c r="S3470" s="114" t="n">
        <v>0</v>
      </c>
      <c r="T3470" t="n">
        <v>0</v>
      </c>
    </row>
    <row r="3471">
      <c r="A3471" t="inlineStr">
        <is>
          <t>ttJTrans</t>
        </is>
      </c>
      <c r="B3471" s="38" t="inlineStr">
        <is>
          <t>0-4100</t>
        </is>
      </c>
      <c r="C3471" t="inlineStr">
        <is>
          <t>EQ</t>
        </is>
      </c>
      <c r="E3471" t="inlineStr">
        <is>
          <t>EQ</t>
        </is>
      </c>
      <c r="G3471" s="128" t="inlineStr"/>
      <c r="H3471" s="127" t="n">
        <v>46131</v>
      </c>
      <c r="J3471" s="38" t="inlineStr">
        <is>
          <t>0-4100</t>
        </is>
      </c>
      <c r="K3471" t="inlineStr">
        <is>
          <t>WLD146 SILT FENCE PLOW - SKID STEER SILT FENCE PLOW - SKID STEER</t>
        </is>
      </c>
      <c r="L3471" t="n">
        <v>0</v>
      </c>
      <c r="M3471" t="n">
        <v>0</v>
      </c>
      <c r="O3471" t="inlineStr">
        <is>
          <t>WLD146</t>
        </is>
      </c>
      <c r="Q3471" s="114" t="n">
        <v>0</v>
      </c>
      <c r="R3471" s="114" t="n">
        <v>50</v>
      </c>
      <c r="S3471" s="114" t="n">
        <v>0</v>
      </c>
      <c r="T3471" t="n">
        <v>0</v>
      </c>
    </row>
    <row r="3472">
      <c r="A3472" t="inlineStr">
        <is>
          <t>ttJTrans</t>
        </is>
      </c>
      <c r="B3472" s="38" t="inlineStr">
        <is>
          <t>0-4100</t>
        </is>
      </c>
      <c r="C3472" t="inlineStr">
        <is>
          <t>EQ</t>
        </is>
      </c>
      <c r="E3472" t="inlineStr">
        <is>
          <t>EQ</t>
        </is>
      </c>
      <c r="G3472" s="128" t="inlineStr"/>
      <c r="H3472" s="127" t="n">
        <v>46131</v>
      </c>
      <c r="J3472" s="38" t="inlineStr">
        <is>
          <t>0-4100</t>
        </is>
      </c>
      <c r="K3472" t="inlineStr">
        <is>
          <t>WLD146 SILT FENCE PLOW - SKID STEER SILT FENCE PLOW - SKID STEER</t>
        </is>
      </c>
      <c r="L3472" t="n">
        <v>0</v>
      </c>
      <c r="M3472" t="n">
        <v>0</v>
      </c>
      <c r="O3472" t="inlineStr">
        <is>
          <t>WLD146</t>
        </is>
      </c>
      <c r="Q3472" s="114" t="n">
        <v>0</v>
      </c>
      <c r="R3472" s="114" t="n">
        <v>50</v>
      </c>
      <c r="S3472" s="114" t="n">
        <v>0</v>
      </c>
      <c r="T3472" t="n">
        <v>0</v>
      </c>
    </row>
    <row r="3473">
      <c r="A3473" t="inlineStr">
        <is>
          <t>ttJTrans</t>
        </is>
      </c>
      <c r="B3473" s="38" t="inlineStr">
        <is>
          <t>0-4100</t>
        </is>
      </c>
      <c r="C3473" t="inlineStr">
        <is>
          <t>EQ</t>
        </is>
      </c>
      <c r="E3473" t="inlineStr">
        <is>
          <t>EQ</t>
        </is>
      </c>
      <c r="G3473" s="128" t="inlineStr"/>
      <c r="H3473" s="127" t="n">
        <v>46131</v>
      </c>
      <c r="J3473" s="38" t="inlineStr">
        <is>
          <t>0-4100</t>
        </is>
      </c>
      <c r="K3473" t="inlineStr">
        <is>
          <t>WLD146 SILT FENCE PLOW - SKID STEER SILT FENCE PLOW - SKID STEER</t>
        </is>
      </c>
      <c r="L3473" t="n">
        <v>0</v>
      </c>
      <c r="M3473" t="n">
        <v>0</v>
      </c>
      <c r="O3473" t="inlineStr">
        <is>
          <t>WLD146</t>
        </is>
      </c>
      <c r="Q3473" s="114" t="n">
        <v>0</v>
      </c>
      <c r="R3473" s="114" t="n">
        <v>50</v>
      </c>
      <c r="S3473" s="114" t="n">
        <v>0</v>
      </c>
      <c r="T3473" t="n">
        <v>0</v>
      </c>
    </row>
    <row r="3474">
      <c r="A3474" t="inlineStr">
        <is>
          <t>ttJTrans</t>
        </is>
      </c>
      <c r="B3474" s="38" t="inlineStr">
        <is>
          <t>0-4100</t>
        </is>
      </c>
      <c r="C3474" t="inlineStr">
        <is>
          <t>EQ</t>
        </is>
      </c>
      <c r="E3474" t="inlineStr">
        <is>
          <t>EQ</t>
        </is>
      </c>
      <c r="G3474" s="128" t="inlineStr"/>
      <c r="H3474" s="127" t="n">
        <v>46131</v>
      </c>
      <c r="J3474" s="38" t="inlineStr">
        <is>
          <t>0-4100</t>
        </is>
      </c>
      <c r="K3474" t="inlineStr">
        <is>
          <t>RT1447 2024 FORD F250 XL STX CREW CAB DIESEL SWB 2024 FORD F250 XL STX CREW CAB DIESEL SWB</t>
        </is>
      </c>
      <c r="L3474" t="n">
        <v>0</v>
      </c>
      <c r="M3474" t="n">
        <v>0</v>
      </c>
      <c r="O3474" t="inlineStr">
        <is>
          <t>RT1447</t>
        </is>
      </c>
      <c r="Q3474" s="114" t="n">
        <v>0</v>
      </c>
      <c r="R3474" s="114" t="n">
        <v>79.14</v>
      </c>
      <c r="S3474" s="114" t="n">
        <v>0</v>
      </c>
      <c r="T3474" t="n">
        <v>0</v>
      </c>
    </row>
    <row r="3475">
      <c r="A3475" t="inlineStr">
        <is>
          <t>ttJTrans</t>
        </is>
      </c>
      <c r="B3475" s="38" t="inlineStr">
        <is>
          <t>0-4100</t>
        </is>
      </c>
      <c r="C3475" t="inlineStr">
        <is>
          <t>EQ</t>
        </is>
      </c>
      <c r="E3475" t="inlineStr">
        <is>
          <t>EQ</t>
        </is>
      </c>
      <c r="G3475" s="128" t="inlineStr"/>
      <c r="H3475" s="127" t="n">
        <v>46131</v>
      </c>
      <c r="J3475" s="38" t="inlineStr">
        <is>
          <t>0-4100</t>
        </is>
      </c>
      <c r="K3475" t="inlineStr">
        <is>
          <t>RT1447 2024 FORD F250 XL STX CREW CAB DIESEL SWB 2024 FORD F250 XL STX CREW CAB DIESEL SWB</t>
        </is>
      </c>
      <c r="L3475" t="n">
        <v>0</v>
      </c>
      <c r="M3475" t="n">
        <v>0</v>
      </c>
      <c r="O3475" t="inlineStr">
        <is>
          <t>RT1447</t>
        </is>
      </c>
      <c r="Q3475" s="114" t="n">
        <v>0</v>
      </c>
      <c r="R3475" s="114" t="n">
        <v>79.14</v>
      </c>
      <c r="S3475" s="114" t="n">
        <v>0</v>
      </c>
      <c r="T3475" t="n">
        <v>0</v>
      </c>
    </row>
    <row r="3476">
      <c r="A3476" t="inlineStr">
        <is>
          <t>ttJTrans</t>
        </is>
      </c>
      <c r="B3476" s="38" t="inlineStr">
        <is>
          <t>0-4100</t>
        </is>
      </c>
      <c r="C3476" t="inlineStr">
        <is>
          <t>EQ</t>
        </is>
      </c>
      <c r="E3476" t="inlineStr">
        <is>
          <t>EQ</t>
        </is>
      </c>
      <c r="G3476" s="128" t="inlineStr"/>
      <c r="H3476" s="127" t="n">
        <v>46131</v>
      </c>
      <c r="J3476" s="38" t="inlineStr">
        <is>
          <t>0-4100</t>
        </is>
      </c>
      <c r="K3476" t="inlineStr">
        <is>
          <t>RT1385 2024 RAM 2500 TRADESMAN GAS 4X4 CREW CAB 8FT BED W/ DRAGUP TANK &amp; TOOLBOX COMBO 2024 RAM 2500 TRADESMAN GAS 4X4 CREW CAB 8FT BED W/ DRAGUP TANK &amp; TOOLBOX COMBO</t>
        </is>
      </c>
      <c r="L3476" t="n">
        <v>0</v>
      </c>
      <c r="M3476" t="n">
        <v>0</v>
      </c>
      <c r="O3476" t="inlineStr">
        <is>
          <t>RT1385</t>
        </is>
      </c>
      <c r="Q3476" s="114" t="n">
        <v>0</v>
      </c>
      <c r="R3476" s="114" t="n">
        <v>79.14</v>
      </c>
      <c r="S3476" s="114" t="n">
        <v>0</v>
      </c>
      <c r="T3476" t="n">
        <v>0</v>
      </c>
    </row>
    <row r="3477">
      <c r="A3477" t="inlineStr">
        <is>
          <t>ttJTrans</t>
        </is>
      </c>
      <c r="B3477" s="38" t="inlineStr">
        <is>
          <t>0-4100</t>
        </is>
      </c>
      <c r="C3477" t="inlineStr">
        <is>
          <t>EQ</t>
        </is>
      </c>
      <c r="E3477" t="inlineStr">
        <is>
          <t>EQ</t>
        </is>
      </c>
      <c r="G3477" s="128" t="inlineStr"/>
      <c r="H3477" s="127" t="n">
        <v>46131</v>
      </c>
      <c r="J3477" s="38" t="inlineStr">
        <is>
          <t>0-4100</t>
        </is>
      </c>
      <c r="K3477" t="inlineStr">
        <is>
          <t>RT1385 2024 RAM 2500 TRADESMAN GAS 4X4 CREW CAB 8FT BED W/ DRAGUP TANK &amp; TOOLBOX COMBO 2024 RAM 2500 TRADESMAN GAS 4X4 CREW CAB 8FT BED W/ DRAGUP TANK &amp; TOOLBOX COMBO</t>
        </is>
      </c>
      <c r="L3477" t="n">
        <v>0</v>
      </c>
      <c r="M3477" t="n">
        <v>0</v>
      </c>
      <c r="O3477" t="inlineStr">
        <is>
          <t>RT1385</t>
        </is>
      </c>
      <c r="Q3477" s="114" t="n">
        <v>0</v>
      </c>
      <c r="R3477" s="114" t="n">
        <v>79.14</v>
      </c>
      <c r="S3477" s="114" t="n">
        <v>0</v>
      </c>
      <c r="T3477" t="n">
        <v>0</v>
      </c>
    </row>
    <row r="3478">
      <c r="A3478" t="inlineStr">
        <is>
          <t>ttJTrans</t>
        </is>
      </c>
      <c r="B3478" s="38" t="inlineStr">
        <is>
          <t>0-4100</t>
        </is>
      </c>
      <c r="C3478" t="inlineStr">
        <is>
          <t>EQ</t>
        </is>
      </c>
      <c r="E3478" t="inlineStr">
        <is>
          <t>EQ</t>
        </is>
      </c>
      <c r="G3478" s="128" t="inlineStr"/>
      <c r="H3478" s="127" t="n">
        <v>46131</v>
      </c>
      <c r="J3478" s="38" t="inlineStr">
        <is>
          <t>0-4100</t>
        </is>
      </c>
      <c r="K3478" t="inlineStr">
        <is>
          <t>RT1385 2024 RAM 2500 TRADESMAN GAS 4X4 CREW CAB 8FT BED W/ DRAGUP TANK &amp; TOOLBOX COMBO 2024 RAM 2500 TRADESMAN GAS 4X4 CREW CAB 8FT BED W/ DRAGUP TANK &amp; TOOLBOX COMBO</t>
        </is>
      </c>
      <c r="L3478" t="n">
        <v>0</v>
      </c>
      <c r="M3478" t="n">
        <v>0</v>
      </c>
      <c r="O3478" t="inlineStr">
        <is>
          <t>RT1385</t>
        </is>
      </c>
      <c r="Q3478" s="114" t="n">
        <v>0</v>
      </c>
      <c r="R3478" s="114" t="n">
        <v>79.14</v>
      </c>
      <c r="S3478" s="114" t="n">
        <v>0</v>
      </c>
      <c r="T3478" t="n">
        <v>0</v>
      </c>
    </row>
    <row r="3479">
      <c r="A3479" t="inlineStr">
        <is>
          <t>ttJTrans</t>
        </is>
      </c>
      <c r="B3479" s="38" t="inlineStr">
        <is>
          <t>0-4100</t>
        </is>
      </c>
      <c r="C3479" t="inlineStr">
        <is>
          <t>EQ</t>
        </is>
      </c>
      <c r="E3479" t="inlineStr">
        <is>
          <t>EQ</t>
        </is>
      </c>
      <c r="G3479" s="128" t="inlineStr"/>
      <c r="H3479" s="127" t="n">
        <v>46131</v>
      </c>
      <c r="J3479" s="38" t="inlineStr">
        <is>
          <t>0-4100</t>
        </is>
      </c>
      <c r="K3479" t="inlineStr">
        <is>
          <t>RT1385 2024 RAM 2500 TRADESMAN GAS 4X4 CREW CAB 8FT BED W/ DRAGUP TANK &amp; TOOLBOX COMBO 2024 RAM 2500 TRADESMAN GAS 4X4 CREW CAB 8FT BED W/ DRAGUP TANK &amp; TOOLBOX COMBO</t>
        </is>
      </c>
      <c r="L3479" t="n">
        <v>0</v>
      </c>
      <c r="M3479" t="n">
        <v>0</v>
      </c>
      <c r="O3479" t="inlineStr">
        <is>
          <t>RT1385</t>
        </is>
      </c>
      <c r="Q3479" s="114" t="n">
        <v>0</v>
      </c>
      <c r="R3479" s="114" t="n">
        <v>79.14</v>
      </c>
      <c r="S3479" s="114" t="n">
        <v>0</v>
      </c>
      <c r="T3479" t="n">
        <v>0</v>
      </c>
    </row>
    <row r="3480">
      <c r="A3480" t="inlineStr">
        <is>
          <t>ttJTrans</t>
        </is>
      </c>
      <c r="B3480" s="38" t="inlineStr">
        <is>
          <t>0-4100</t>
        </is>
      </c>
      <c r="C3480" t="inlineStr">
        <is>
          <t>EQ</t>
        </is>
      </c>
      <c r="E3480" t="inlineStr">
        <is>
          <t>EQ</t>
        </is>
      </c>
      <c r="G3480" s="128" t="inlineStr"/>
      <c r="H3480" s="127" t="n">
        <v>46131</v>
      </c>
      <c r="J3480" s="38" t="inlineStr">
        <is>
          <t>0-4100</t>
        </is>
      </c>
      <c r="K3480" t="inlineStr">
        <is>
          <t>RT1385 2024 RAM 2500 TRADESMAN GAS 4X4 CREW CAB 8FT BED W/ DRAGUP TANK &amp; TOOLBOX COMBO 2024 RAM 2500 TRADESMAN GAS 4X4 CREW CAB 8FT BED W/ DRAGUP TANK &amp; TOOLBOX COMBO</t>
        </is>
      </c>
      <c r="L3480" t="n">
        <v>0</v>
      </c>
      <c r="M3480" t="n">
        <v>0</v>
      </c>
      <c r="O3480" t="inlineStr">
        <is>
          <t>RT1385</t>
        </is>
      </c>
      <c r="Q3480" s="114" t="n">
        <v>0</v>
      </c>
      <c r="R3480" s="114" t="n">
        <v>79.14</v>
      </c>
      <c r="S3480" s="114" t="n">
        <v>0</v>
      </c>
      <c r="T3480" t="n">
        <v>0</v>
      </c>
    </row>
    <row r="3481">
      <c r="A3481" t="inlineStr">
        <is>
          <t>ttJTrans</t>
        </is>
      </c>
      <c r="B3481" s="38" t="inlineStr">
        <is>
          <t>0-4100</t>
        </is>
      </c>
      <c r="C3481" t="inlineStr">
        <is>
          <t>EQ</t>
        </is>
      </c>
      <c r="E3481" t="inlineStr">
        <is>
          <t>EQ</t>
        </is>
      </c>
      <c r="G3481" s="128" t="inlineStr"/>
      <c r="H3481" s="127" t="n">
        <v>46131</v>
      </c>
      <c r="J3481" s="38" t="inlineStr">
        <is>
          <t>0-4100</t>
        </is>
      </c>
      <c r="K3481" t="inlineStr">
        <is>
          <t>RT1385 2024 RAM 2500 TRADESMAN GAS 4X4 CREW CAB 8FT BED W/ DRAGUP TANK &amp; TOOLBOX COMBO 2024 RAM 2500 TRADESMAN GAS 4X4 CREW CAB 8FT BED W/ DRAGUP TANK &amp; TOOLBOX COMBO</t>
        </is>
      </c>
      <c r="L3481" t="n">
        <v>0</v>
      </c>
      <c r="M3481" t="n">
        <v>0</v>
      </c>
      <c r="O3481" t="inlineStr">
        <is>
          <t>RT1385</t>
        </is>
      </c>
      <c r="Q3481" s="114" t="n">
        <v>0</v>
      </c>
      <c r="R3481" s="114" t="n">
        <v>79.14</v>
      </c>
      <c r="S3481" s="114" t="n">
        <v>0</v>
      </c>
      <c r="T3481" t="n">
        <v>0</v>
      </c>
    </row>
    <row r="3482">
      <c r="A3482" t="inlineStr">
        <is>
          <t>ttJTrans</t>
        </is>
      </c>
      <c r="B3482" s="38" t="inlineStr">
        <is>
          <t>0-4100</t>
        </is>
      </c>
      <c r="C3482" t="inlineStr">
        <is>
          <t>EQ</t>
        </is>
      </c>
      <c r="E3482" t="inlineStr">
        <is>
          <t>EQ</t>
        </is>
      </c>
      <c r="G3482" s="128" t="inlineStr"/>
      <c r="H3482" s="127" t="n">
        <v>46131</v>
      </c>
      <c r="J3482" s="38" t="inlineStr">
        <is>
          <t>0-4100</t>
        </is>
      </c>
      <c r="K3482" t="inlineStr">
        <is>
          <t>SSAUGKIT1 SKIDPRO SP300 PLANETARY AUGER DRIVE KIT W/ CRADLE &amp; MOUNT SKIDPRO SP300 PLANETARY AUGER DRIVE KIT W/ CRADLE &amp; MOUNT</t>
        </is>
      </c>
      <c r="L3482" t="n">
        <v>0</v>
      </c>
      <c r="M3482" t="n">
        <v>0</v>
      </c>
      <c r="O3482" t="inlineStr">
        <is>
          <t>SSAUGKIT1</t>
        </is>
      </c>
      <c r="Q3482" s="114" t="n">
        <v>0</v>
      </c>
      <c r="R3482" s="114" t="n">
        <v>35</v>
      </c>
      <c r="S3482" s="114" t="n">
        <v>0</v>
      </c>
      <c r="T3482" t="n">
        <v>0</v>
      </c>
    </row>
    <row r="3483">
      <c r="A3483" t="inlineStr">
        <is>
          <t>ttJTrans</t>
        </is>
      </c>
      <c r="B3483" s="38" t="inlineStr">
        <is>
          <t>0-4100</t>
        </is>
      </c>
      <c r="C3483" t="inlineStr">
        <is>
          <t>EQ</t>
        </is>
      </c>
      <c r="E3483" t="inlineStr">
        <is>
          <t>EQ</t>
        </is>
      </c>
      <c r="G3483" s="128" t="inlineStr"/>
      <c r="H3483" s="127" t="n">
        <v>46131</v>
      </c>
      <c r="J3483" s="38" t="inlineStr">
        <is>
          <t>0-4100</t>
        </is>
      </c>
      <c r="K3483" t="inlineStr">
        <is>
          <t>SSAUGKIT1 SKIDPRO SP300 PLANETARY AUGER DRIVE KIT W/ CRADLE &amp; MOUNT SKIDPRO SP300 PLANETARY AUGER DRIVE KIT W/ CRADLE &amp; MOUNT</t>
        </is>
      </c>
      <c r="L3483" t="n">
        <v>0</v>
      </c>
      <c r="M3483" t="n">
        <v>0</v>
      </c>
      <c r="O3483" t="inlineStr">
        <is>
          <t>SSAUGKIT1</t>
        </is>
      </c>
      <c r="Q3483" s="114" t="n">
        <v>0</v>
      </c>
      <c r="R3483" s="114" t="n">
        <v>35</v>
      </c>
      <c r="S3483" s="114" t="n">
        <v>0</v>
      </c>
      <c r="T3483" t="n">
        <v>0</v>
      </c>
    </row>
    <row r="3484">
      <c r="A3484" t="inlineStr">
        <is>
          <t>ttJTrans</t>
        </is>
      </c>
      <c r="B3484" s="38" t="inlineStr">
        <is>
          <t>0-4100</t>
        </is>
      </c>
      <c r="C3484" t="inlineStr">
        <is>
          <t>EQ</t>
        </is>
      </c>
      <c r="E3484" t="inlineStr">
        <is>
          <t>EQ</t>
        </is>
      </c>
      <c r="G3484" s="128" t="inlineStr"/>
      <c r="H3484" s="127" t="n">
        <v>46131</v>
      </c>
      <c r="J3484" s="38" t="inlineStr">
        <is>
          <t>0-4100</t>
        </is>
      </c>
      <c r="K3484" t="inlineStr">
        <is>
          <t>SSAUGKIT1 SKIDPRO SP300 PLANETARY AUGER DRIVE KIT W/ CRADLE &amp; MOUNT SKIDPRO SP300 PLANETARY AUGER DRIVE KIT W/ CRADLE &amp; MOUNT</t>
        </is>
      </c>
      <c r="L3484" t="n">
        <v>0</v>
      </c>
      <c r="M3484" t="n">
        <v>0</v>
      </c>
      <c r="O3484" t="inlineStr">
        <is>
          <t>SSAUGKIT1</t>
        </is>
      </c>
      <c r="Q3484" s="114" t="n">
        <v>0</v>
      </c>
      <c r="R3484" s="114" t="n">
        <v>35</v>
      </c>
      <c r="S3484" s="114" t="n">
        <v>0</v>
      </c>
      <c r="T3484" t="n">
        <v>0</v>
      </c>
    </row>
    <row r="3485">
      <c r="A3485" t="inlineStr">
        <is>
          <t>ttJTrans</t>
        </is>
      </c>
      <c r="B3485" s="38" t="inlineStr">
        <is>
          <t>0-4100</t>
        </is>
      </c>
      <c r="C3485" t="inlineStr">
        <is>
          <t>EQ</t>
        </is>
      </c>
      <c r="E3485" t="inlineStr">
        <is>
          <t>EQ</t>
        </is>
      </c>
      <c r="G3485" s="128" t="inlineStr"/>
      <c r="H3485" s="127" t="n">
        <v>46131</v>
      </c>
      <c r="J3485" s="38" t="inlineStr">
        <is>
          <t>0-4100</t>
        </is>
      </c>
      <c r="K3485" t="inlineStr">
        <is>
          <t>SSAUGKIT1 SKIDPRO SP300 PLANETARY AUGER DRIVE KIT W/ CRADLE &amp; MOUNT SKIDPRO SP300 PLANETARY AUGER DRIVE KIT W/ CRADLE &amp; MOUNT</t>
        </is>
      </c>
      <c r="L3485" t="n">
        <v>0</v>
      </c>
      <c r="M3485" t="n">
        <v>0</v>
      </c>
      <c r="O3485" t="inlineStr">
        <is>
          <t>SSAUGKIT1</t>
        </is>
      </c>
      <c r="Q3485" s="114" t="n">
        <v>0</v>
      </c>
      <c r="R3485" s="114" t="n">
        <v>35</v>
      </c>
      <c r="S3485" s="114" t="n">
        <v>0</v>
      </c>
      <c r="T3485" t="n">
        <v>0</v>
      </c>
    </row>
    <row r="3486">
      <c r="A3486" t="inlineStr">
        <is>
          <t>ttJTrans</t>
        </is>
      </c>
      <c r="B3486" s="38" t="inlineStr">
        <is>
          <t>0-4100</t>
        </is>
      </c>
      <c r="C3486" t="inlineStr">
        <is>
          <t>EQ</t>
        </is>
      </c>
      <c r="E3486" t="inlineStr">
        <is>
          <t>EQ</t>
        </is>
      </c>
      <c r="G3486" s="128" t="inlineStr"/>
      <c r="H3486" s="127" t="n">
        <v>46131</v>
      </c>
      <c r="J3486" s="38" t="inlineStr">
        <is>
          <t>0-4100</t>
        </is>
      </c>
      <c r="K3486" t="inlineStr">
        <is>
          <t>SSAUGKIT1 SKIDPRO SP300 PLANETARY AUGER DRIVE KIT W/ CRADLE &amp; MOUNT SKIDPRO SP300 PLANETARY AUGER DRIVE KIT W/ CRADLE &amp; MOUNT</t>
        </is>
      </c>
      <c r="L3486" t="n">
        <v>0</v>
      </c>
      <c r="M3486" t="n">
        <v>0</v>
      </c>
      <c r="O3486" t="inlineStr">
        <is>
          <t>SSAUGKIT1</t>
        </is>
      </c>
      <c r="Q3486" s="114" t="n">
        <v>0</v>
      </c>
      <c r="R3486" s="114" t="n">
        <v>35</v>
      </c>
      <c r="S3486" s="114" t="n">
        <v>0</v>
      </c>
      <c r="T3486" t="n">
        <v>0</v>
      </c>
    </row>
    <row r="3487">
      <c r="A3487" t="inlineStr">
        <is>
          <t>ttJTrans</t>
        </is>
      </c>
      <c r="B3487" s="38" t="inlineStr">
        <is>
          <t>0-4100</t>
        </is>
      </c>
      <c r="C3487" t="inlineStr">
        <is>
          <t>EQ</t>
        </is>
      </c>
      <c r="E3487" t="inlineStr">
        <is>
          <t>EQ</t>
        </is>
      </c>
      <c r="G3487" s="128" t="inlineStr"/>
      <c r="H3487" s="127" t="n">
        <v>46131</v>
      </c>
      <c r="J3487" s="38" t="inlineStr">
        <is>
          <t>0-4100</t>
        </is>
      </c>
      <c r="K3487" t="inlineStr">
        <is>
          <t>SSAUGKIT1 SKIDPRO SP300 PLANETARY AUGER DRIVE KIT W/ CRADLE &amp; MOUNT SKIDPRO SP300 PLANETARY AUGER DRIVE KIT W/ CRADLE &amp; MOUNT</t>
        </is>
      </c>
      <c r="L3487" t="n">
        <v>0</v>
      </c>
      <c r="M3487" t="n">
        <v>0</v>
      </c>
      <c r="O3487" t="inlineStr">
        <is>
          <t>SSAUGKIT1</t>
        </is>
      </c>
      <c r="Q3487" s="114" t="n">
        <v>0</v>
      </c>
      <c r="R3487" s="114" t="n">
        <v>35</v>
      </c>
      <c r="S3487" s="114" t="n">
        <v>0</v>
      </c>
      <c r="T3487" t="n">
        <v>0</v>
      </c>
    </row>
    <row r="3488">
      <c r="A3488" t="inlineStr">
        <is>
          <t>ttJTrans</t>
        </is>
      </c>
      <c r="B3488" s="38" t="inlineStr">
        <is>
          <t>0-4100</t>
        </is>
      </c>
      <c r="C3488" t="inlineStr">
        <is>
          <t>EQ</t>
        </is>
      </c>
      <c r="E3488" t="inlineStr">
        <is>
          <t>EQ</t>
        </is>
      </c>
      <c r="G3488" s="128" t="inlineStr"/>
      <c r="H3488" s="127" t="n">
        <v>46131</v>
      </c>
      <c r="J3488" s="38" t="inlineStr">
        <is>
          <t>0-4100</t>
        </is>
      </c>
      <c r="K3488" t="inlineStr">
        <is>
          <t>TR425 20FT ENCLOSED CARGO TRAILER (CHARGED TO 22-4001) 20FT ENCLOSED CARGO TRAILER (CHARGED TO 22-4001)</t>
        </is>
      </c>
      <c r="L3488" t="n">
        <v>0</v>
      </c>
      <c r="M3488" t="n">
        <v>0</v>
      </c>
      <c r="O3488" t="inlineStr">
        <is>
          <t>TR425</t>
        </is>
      </c>
      <c r="Q3488" s="114" t="n">
        <v>0</v>
      </c>
      <c r="R3488" s="114" t="n">
        <v>65</v>
      </c>
      <c r="S3488" s="114" t="n">
        <v>0</v>
      </c>
      <c r="T3488" t="n">
        <v>0</v>
      </c>
    </row>
    <row r="3489">
      <c r="A3489" t="inlineStr">
        <is>
          <t>ttJTrans</t>
        </is>
      </c>
      <c r="B3489" s="38" t="inlineStr">
        <is>
          <t>0-4100</t>
        </is>
      </c>
      <c r="C3489" t="inlineStr">
        <is>
          <t>EQ</t>
        </is>
      </c>
      <c r="E3489" t="inlineStr">
        <is>
          <t>EQ</t>
        </is>
      </c>
      <c r="G3489" s="128" t="inlineStr"/>
      <c r="H3489" s="127" t="n">
        <v>46131</v>
      </c>
      <c r="J3489" s="38" t="inlineStr">
        <is>
          <t>0-4100</t>
        </is>
      </c>
      <c r="K3489" t="inlineStr">
        <is>
          <t>TR425 20FT ENCLOSED CARGO TRAILER (CHARGED TO 22-4001) 20FT ENCLOSED CARGO TRAILER (CHARGED TO 22-4001)</t>
        </is>
      </c>
      <c r="L3489" t="n">
        <v>0</v>
      </c>
      <c r="M3489" t="n">
        <v>0</v>
      </c>
      <c r="O3489" t="inlineStr">
        <is>
          <t>TR425</t>
        </is>
      </c>
      <c r="Q3489" s="114" t="n">
        <v>0</v>
      </c>
      <c r="R3489" s="114" t="n">
        <v>65</v>
      </c>
      <c r="S3489" s="114" t="n">
        <v>0</v>
      </c>
      <c r="T3489" t="n">
        <v>0</v>
      </c>
    </row>
    <row r="3490">
      <c r="A3490" t="inlineStr">
        <is>
          <t>ttJTrans</t>
        </is>
      </c>
      <c r="B3490" s="38" t="inlineStr">
        <is>
          <t>0-4100</t>
        </is>
      </c>
      <c r="C3490" t="inlineStr">
        <is>
          <t>EQ</t>
        </is>
      </c>
      <c r="E3490" t="inlineStr">
        <is>
          <t>EQ</t>
        </is>
      </c>
      <c r="G3490" s="128" t="inlineStr"/>
      <c r="H3490" s="127" t="n">
        <v>46131</v>
      </c>
      <c r="J3490" s="38" t="inlineStr">
        <is>
          <t>0-4100</t>
        </is>
      </c>
      <c r="K3490" t="inlineStr">
        <is>
          <t>TR425 20FT ENCLOSED CARGO TRAILER (CHARGED TO 22-4001) 20FT ENCLOSED CARGO TRAILER (CHARGED TO 22-4001)</t>
        </is>
      </c>
      <c r="L3490" t="n">
        <v>0</v>
      </c>
      <c r="M3490" t="n">
        <v>0</v>
      </c>
      <c r="O3490" t="inlineStr">
        <is>
          <t>TR425</t>
        </is>
      </c>
      <c r="Q3490" s="114" t="n">
        <v>0</v>
      </c>
      <c r="R3490" s="114" t="n">
        <v>65</v>
      </c>
      <c r="S3490" s="114" t="n">
        <v>0</v>
      </c>
      <c r="T3490" t="n">
        <v>0</v>
      </c>
    </row>
    <row r="3491">
      <c r="A3491" t="inlineStr">
        <is>
          <t>ttJTrans</t>
        </is>
      </c>
      <c r="B3491" s="38" t="inlineStr">
        <is>
          <t>0-4100</t>
        </is>
      </c>
      <c r="C3491" t="inlineStr">
        <is>
          <t>EQ</t>
        </is>
      </c>
      <c r="E3491" t="inlineStr">
        <is>
          <t>EQ</t>
        </is>
      </c>
      <c r="G3491" s="128" t="inlineStr"/>
      <c r="H3491" s="127" t="n">
        <v>46131</v>
      </c>
      <c r="J3491" s="38" t="inlineStr">
        <is>
          <t>0-4100</t>
        </is>
      </c>
      <c r="K3491" t="inlineStr">
        <is>
          <t>TR425 20FT ENCLOSED CARGO TRAILER (CHARGED TO 22-4001) 20FT ENCLOSED CARGO TRAILER (CHARGED TO 22-4001)</t>
        </is>
      </c>
      <c r="L3491" t="n">
        <v>0</v>
      </c>
      <c r="M3491" t="n">
        <v>0</v>
      </c>
      <c r="O3491" t="inlineStr">
        <is>
          <t>TR425</t>
        </is>
      </c>
      <c r="Q3491" s="114" t="n">
        <v>0</v>
      </c>
      <c r="R3491" s="114" t="n">
        <v>65</v>
      </c>
      <c r="S3491" s="114" t="n">
        <v>0</v>
      </c>
      <c r="T3491" t="n">
        <v>0</v>
      </c>
    </row>
    <row r="3492">
      <c r="A3492" t="inlineStr">
        <is>
          <t>ttJTrans</t>
        </is>
      </c>
      <c r="B3492" s="38" t="inlineStr">
        <is>
          <t>0-4100</t>
        </is>
      </c>
      <c r="C3492" t="inlineStr">
        <is>
          <t>EQ</t>
        </is>
      </c>
      <c r="E3492" t="inlineStr">
        <is>
          <t>EQ</t>
        </is>
      </c>
      <c r="G3492" s="128" t="inlineStr"/>
      <c r="H3492" s="127" t="n">
        <v>46131</v>
      </c>
      <c r="J3492" s="38" t="inlineStr">
        <is>
          <t>0-4100</t>
        </is>
      </c>
      <c r="K3492" t="inlineStr">
        <is>
          <t>TR425 20FT ENCLOSED CARGO TRAILER (CHARGED TO 22-4001) 20FT ENCLOSED CARGO TRAILER (CHARGED TO 22-4001)</t>
        </is>
      </c>
      <c r="L3492" t="n">
        <v>0</v>
      </c>
      <c r="M3492" t="n">
        <v>0</v>
      </c>
      <c r="O3492" t="inlineStr">
        <is>
          <t>TR425</t>
        </is>
      </c>
      <c r="Q3492" s="114" t="n">
        <v>0</v>
      </c>
      <c r="R3492" s="114" t="n">
        <v>65</v>
      </c>
      <c r="S3492" s="114" t="n">
        <v>0</v>
      </c>
      <c r="T3492" t="n">
        <v>0</v>
      </c>
    </row>
    <row r="3493">
      <c r="A3493" t="inlineStr">
        <is>
          <t>ttJTrans</t>
        </is>
      </c>
      <c r="B3493" s="38" t="inlineStr">
        <is>
          <t>0-4100</t>
        </is>
      </c>
      <c r="C3493" t="inlineStr">
        <is>
          <t>EQ</t>
        </is>
      </c>
      <c r="E3493" t="inlineStr">
        <is>
          <t>EQ</t>
        </is>
      </c>
      <c r="G3493" s="128" t="inlineStr"/>
      <c r="H3493" s="127" t="n">
        <v>46131</v>
      </c>
      <c r="J3493" s="38" t="inlineStr">
        <is>
          <t>0-4100</t>
        </is>
      </c>
      <c r="K3493" t="inlineStr">
        <is>
          <t>TR425 20FT ENCLOSED CARGO TRAILER (CHARGED TO 22-4001) 20FT ENCLOSED CARGO TRAILER (CHARGED TO 22-4001)</t>
        </is>
      </c>
      <c r="L3493" t="n">
        <v>0</v>
      </c>
      <c r="M3493" t="n">
        <v>0</v>
      </c>
      <c r="O3493" t="inlineStr">
        <is>
          <t>TR425</t>
        </is>
      </c>
      <c r="Q3493" s="114" t="n">
        <v>0</v>
      </c>
      <c r="R3493" s="114" t="n">
        <v>65</v>
      </c>
      <c r="S3493" s="114" t="n">
        <v>0</v>
      </c>
      <c r="T3493" t="n">
        <v>0</v>
      </c>
    </row>
    <row r="3494">
      <c r="A3494" t="inlineStr">
        <is>
          <t>ttJTrans</t>
        </is>
      </c>
      <c r="B3494" s="38" t="inlineStr">
        <is>
          <t>0-4100</t>
        </is>
      </c>
      <c r="C3494" t="inlineStr">
        <is>
          <t>EQ</t>
        </is>
      </c>
      <c r="E3494" t="inlineStr">
        <is>
          <t>EQ</t>
        </is>
      </c>
      <c r="G3494" s="128" t="inlineStr"/>
      <c r="H3494" s="127" t="n">
        <v>46131</v>
      </c>
      <c r="J3494" s="38" t="inlineStr">
        <is>
          <t>0-4100</t>
        </is>
      </c>
      <c r="K3494" t="inlineStr">
        <is>
          <t>TR428 CARRY-ON 5X8 UTILITY TRAILER (CHARGED TO 22-4001) CARRY-ON 5X8 UTILITY TRAILER (CHARGED TO 22-4001)</t>
        </is>
      </c>
      <c r="L3494" t="n">
        <v>0</v>
      </c>
      <c r="M3494" t="n">
        <v>0</v>
      </c>
      <c r="O3494" t="inlineStr">
        <is>
          <t>TR428</t>
        </is>
      </c>
      <c r="Q3494" s="114" t="n">
        <v>0</v>
      </c>
      <c r="R3494" s="114" t="n">
        <v>15</v>
      </c>
      <c r="S3494" s="114" t="n">
        <v>0</v>
      </c>
      <c r="T3494" t="n">
        <v>0</v>
      </c>
    </row>
    <row r="3495">
      <c r="A3495" t="inlineStr">
        <is>
          <t>ttJTrans</t>
        </is>
      </c>
      <c r="B3495" s="38" t="inlineStr">
        <is>
          <t>0-4100</t>
        </is>
      </c>
      <c r="C3495" t="inlineStr">
        <is>
          <t>EQ</t>
        </is>
      </c>
      <c r="E3495" t="inlineStr">
        <is>
          <t>EQ</t>
        </is>
      </c>
      <c r="G3495" s="128" t="inlineStr"/>
      <c r="H3495" s="127" t="n">
        <v>46131</v>
      </c>
      <c r="J3495" s="38" t="inlineStr">
        <is>
          <t>0-4100</t>
        </is>
      </c>
      <c r="K3495" t="inlineStr">
        <is>
          <t>TR428 CARRY-ON 5X8 UTILITY TRAILER (CHARGED TO 22-4001) CARRY-ON 5X8 UTILITY TRAILER (CHARGED TO 22-4001)</t>
        </is>
      </c>
      <c r="L3495" t="n">
        <v>0</v>
      </c>
      <c r="M3495" t="n">
        <v>0</v>
      </c>
      <c r="O3495" t="inlineStr">
        <is>
          <t>TR428</t>
        </is>
      </c>
      <c r="Q3495" s="114" t="n">
        <v>0</v>
      </c>
      <c r="R3495" s="114" t="n">
        <v>15</v>
      </c>
      <c r="S3495" s="114" t="n">
        <v>0</v>
      </c>
      <c r="T3495" t="n">
        <v>0</v>
      </c>
    </row>
    <row r="3496">
      <c r="A3496" t="inlineStr">
        <is>
          <t>ttJTrans</t>
        </is>
      </c>
      <c r="B3496" s="38" t="inlineStr">
        <is>
          <t>0-4100</t>
        </is>
      </c>
      <c r="C3496" t="inlineStr">
        <is>
          <t>EQ</t>
        </is>
      </c>
      <c r="E3496" t="inlineStr">
        <is>
          <t>EQ</t>
        </is>
      </c>
      <c r="G3496" s="128" t="inlineStr"/>
      <c r="H3496" s="127" t="n">
        <v>46131</v>
      </c>
      <c r="J3496" s="38" t="inlineStr">
        <is>
          <t>0-4100</t>
        </is>
      </c>
      <c r="K3496" t="inlineStr">
        <is>
          <t>TR428 CARRY-ON 5X8 UTILITY TRAILER (CHARGED TO 22-4001) CARRY-ON 5X8 UTILITY TRAILER (CHARGED TO 22-4001)</t>
        </is>
      </c>
      <c r="L3496" t="n">
        <v>0</v>
      </c>
      <c r="M3496" t="n">
        <v>0</v>
      </c>
      <c r="O3496" t="inlineStr">
        <is>
          <t>TR428</t>
        </is>
      </c>
      <c r="Q3496" s="114" t="n">
        <v>0</v>
      </c>
      <c r="R3496" s="114" t="n">
        <v>15</v>
      </c>
      <c r="S3496" s="114" t="n">
        <v>0</v>
      </c>
      <c r="T3496" t="n">
        <v>0</v>
      </c>
    </row>
    <row r="3497">
      <c r="A3497" t="inlineStr">
        <is>
          <t>ttJTrans</t>
        </is>
      </c>
      <c r="B3497" s="38" t="inlineStr">
        <is>
          <t>0-4100</t>
        </is>
      </c>
      <c r="C3497" t="inlineStr">
        <is>
          <t>EQ</t>
        </is>
      </c>
      <c r="E3497" t="inlineStr">
        <is>
          <t>EQ</t>
        </is>
      </c>
      <c r="G3497" s="128" t="inlineStr"/>
      <c r="H3497" s="127" t="n">
        <v>46131</v>
      </c>
      <c r="J3497" s="38" t="inlineStr">
        <is>
          <t>0-4100</t>
        </is>
      </c>
      <c r="K3497" t="inlineStr">
        <is>
          <t>TR428 CARRY-ON 5X8 UTILITY TRAILER (CHARGED TO 22-4001) CARRY-ON 5X8 UTILITY TRAILER (CHARGED TO 22-4001)</t>
        </is>
      </c>
      <c r="L3497" t="n">
        <v>0</v>
      </c>
      <c r="M3497" t="n">
        <v>0</v>
      </c>
      <c r="O3497" t="inlineStr">
        <is>
          <t>TR428</t>
        </is>
      </c>
      <c r="Q3497" s="114" t="n">
        <v>0</v>
      </c>
      <c r="R3497" s="114" t="n">
        <v>15</v>
      </c>
      <c r="S3497" s="114" t="n">
        <v>0</v>
      </c>
      <c r="T3497" t="n">
        <v>0</v>
      </c>
    </row>
    <row r="3498">
      <c r="A3498" t="inlineStr">
        <is>
          <t>ttJTrans</t>
        </is>
      </c>
      <c r="B3498" s="38" t="inlineStr">
        <is>
          <t>0-4100</t>
        </is>
      </c>
      <c r="C3498" t="inlineStr">
        <is>
          <t>EQ</t>
        </is>
      </c>
      <c r="E3498" t="inlineStr">
        <is>
          <t>EQ</t>
        </is>
      </c>
      <c r="G3498" s="128" t="inlineStr"/>
      <c r="H3498" s="127" t="n">
        <v>46131</v>
      </c>
      <c r="J3498" s="38" t="inlineStr">
        <is>
          <t>0-4100</t>
        </is>
      </c>
      <c r="K3498" t="inlineStr">
        <is>
          <t>TR428 CARRY-ON 5X8 UTILITY TRAILER (CHARGED TO 22-4001) CARRY-ON 5X8 UTILITY TRAILER (CHARGED TO 22-4001)</t>
        </is>
      </c>
      <c r="L3498" t="n">
        <v>0</v>
      </c>
      <c r="M3498" t="n">
        <v>0</v>
      </c>
      <c r="O3498" t="inlineStr">
        <is>
          <t>TR428</t>
        </is>
      </c>
      <c r="Q3498" s="114" t="n">
        <v>0</v>
      </c>
      <c r="R3498" s="114" t="n">
        <v>15</v>
      </c>
      <c r="S3498" s="114" t="n">
        <v>0</v>
      </c>
      <c r="T3498" t="n">
        <v>0</v>
      </c>
    </row>
    <row r="3499">
      <c r="A3499" t="inlineStr">
        <is>
          <t>ttJTrans</t>
        </is>
      </c>
      <c r="B3499" s="38" t="inlineStr">
        <is>
          <t>0-4100</t>
        </is>
      </c>
      <c r="C3499" t="inlineStr">
        <is>
          <t>EQ</t>
        </is>
      </c>
      <c r="E3499" t="inlineStr">
        <is>
          <t>EQ</t>
        </is>
      </c>
      <c r="G3499" s="128" t="inlineStr"/>
      <c r="H3499" s="127" t="n">
        <v>46131</v>
      </c>
      <c r="J3499" s="38" t="inlineStr">
        <is>
          <t>0-4100</t>
        </is>
      </c>
      <c r="K3499" t="inlineStr">
        <is>
          <t>TR428 CARRY-ON 5X8 UTILITY TRAILER (CHARGED TO 22-4001) CARRY-ON 5X8 UTILITY TRAILER (CHARGED TO 22-4001)</t>
        </is>
      </c>
      <c r="L3499" t="n">
        <v>0</v>
      </c>
      <c r="M3499" t="n">
        <v>0</v>
      </c>
      <c r="O3499" t="inlineStr">
        <is>
          <t>TR428</t>
        </is>
      </c>
      <c r="Q3499" s="114" t="n">
        <v>0</v>
      </c>
      <c r="R3499" s="114" t="n">
        <v>15</v>
      </c>
      <c r="S3499" s="114" t="n">
        <v>0</v>
      </c>
      <c r="T3499" t="n">
        <v>0</v>
      </c>
    </row>
    <row r="3500">
      <c r="A3500" t="inlineStr">
        <is>
          <t>ttJTrans</t>
        </is>
      </c>
      <c r="B3500" s="38" t="inlineStr">
        <is>
          <t>0-4100</t>
        </is>
      </c>
      <c r="C3500" t="inlineStr">
        <is>
          <t>EQ</t>
        </is>
      </c>
      <c r="E3500" t="inlineStr">
        <is>
          <t>EQ</t>
        </is>
      </c>
      <c r="G3500" s="128" t="inlineStr"/>
      <c r="H3500" s="127" t="n">
        <v>46131</v>
      </c>
      <c r="J3500" s="38" t="inlineStr">
        <is>
          <t>0-4100</t>
        </is>
      </c>
      <c r="K3500" t="inlineStr">
        <is>
          <t>TR145 20' CARGO TRAILER 20' CARGO TRAILER</t>
        </is>
      </c>
      <c r="L3500" t="n">
        <v>0</v>
      </c>
      <c r="M3500" t="n">
        <v>0</v>
      </c>
      <c r="O3500" t="inlineStr">
        <is>
          <t>TR145</t>
        </is>
      </c>
      <c r="Q3500" s="114" t="n">
        <v>0</v>
      </c>
      <c r="R3500" s="114" t="n">
        <v>65</v>
      </c>
      <c r="S3500" s="114" t="n">
        <v>0</v>
      </c>
      <c r="T3500" t="n">
        <v>0</v>
      </c>
    </row>
    <row r="3501">
      <c r="A3501" t="inlineStr">
        <is>
          <t>ttJTrans</t>
        </is>
      </c>
      <c r="B3501" s="38" t="inlineStr">
        <is>
          <t>0-4100</t>
        </is>
      </c>
      <c r="C3501" t="inlineStr">
        <is>
          <t>EQ</t>
        </is>
      </c>
      <c r="E3501" t="inlineStr">
        <is>
          <t>EQ</t>
        </is>
      </c>
      <c r="G3501" s="128" t="inlineStr"/>
      <c r="H3501" s="127" t="n">
        <v>46131</v>
      </c>
      <c r="J3501" s="38" t="inlineStr">
        <is>
          <t>0-4100</t>
        </is>
      </c>
      <c r="K3501" t="inlineStr">
        <is>
          <t>TR145 20' CARGO TRAILER 20' CARGO TRAILER</t>
        </is>
      </c>
      <c r="L3501" t="n">
        <v>0</v>
      </c>
      <c r="M3501" t="n">
        <v>0</v>
      </c>
      <c r="O3501" t="inlineStr">
        <is>
          <t>TR145</t>
        </is>
      </c>
      <c r="Q3501" s="114" t="n">
        <v>0</v>
      </c>
      <c r="R3501" s="114" t="n">
        <v>65</v>
      </c>
      <c r="S3501" s="114" t="n">
        <v>0</v>
      </c>
      <c r="T3501" t="n">
        <v>0</v>
      </c>
    </row>
    <row r="3502">
      <c r="A3502" t="inlineStr">
        <is>
          <t>ttJTrans</t>
        </is>
      </c>
      <c r="B3502" s="38" t="inlineStr">
        <is>
          <t>0-4100</t>
        </is>
      </c>
      <c r="C3502" t="inlineStr">
        <is>
          <t>EQ</t>
        </is>
      </c>
      <c r="E3502" t="inlineStr">
        <is>
          <t>EQ</t>
        </is>
      </c>
      <c r="G3502" s="128" t="inlineStr"/>
      <c r="H3502" s="127" t="n">
        <v>46131</v>
      </c>
      <c r="J3502" s="38" t="inlineStr">
        <is>
          <t>0-4100</t>
        </is>
      </c>
      <c r="K3502" t="inlineStr">
        <is>
          <t>TR145 20' CARGO TRAILER 20' CARGO TRAILER</t>
        </is>
      </c>
      <c r="L3502" t="n">
        <v>0</v>
      </c>
      <c r="M3502" t="n">
        <v>0</v>
      </c>
      <c r="O3502" t="inlineStr">
        <is>
          <t>TR145</t>
        </is>
      </c>
      <c r="Q3502" s="114" t="n">
        <v>0</v>
      </c>
      <c r="R3502" s="114" t="n">
        <v>65</v>
      </c>
      <c r="S3502" s="114" t="n">
        <v>0</v>
      </c>
      <c r="T3502" t="n">
        <v>0</v>
      </c>
    </row>
    <row r="3503">
      <c r="A3503" t="inlineStr">
        <is>
          <t>ttJTrans</t>
        </is>
      </c>
      <c r="B3503" s="38" t="inlineStr">
        <is>
          <t>0-4100</t>
        </is>
      </c>
      <c r="C3503" t="inlineStr">
        <is>
          <t>EQ</t>
        </is>
      </c>
      <c r="E3503" t="inlineStr">
        <is>
          <t>EQ</t>
        </is>
      </c>
      <c r="G3503" s="128" t="inlineStr"/>
      <c r="H3503" s="127" t="n">
        <v>46131</v>
      </c>
      <c r="J3503" s="38" t="inlineStr">
        <is>
          <t>0-4100</t>
        </is>
      </c>
      <c r="K3503" t="inlineStr">
        <is>
          <t>TR145 20' CARGO TRAILER 20' CARGO TRAILER</t>
        </is>
      </c>
      <c r="L3503" t="n">
        <v>0</v>
      </c>
      <c r="M3503" t="n">
        <v>0</v>
      </c>
      <c r="O3503" t="inlineStr">
        <is>
          <t>TR145</t>
        </is>
      </c>
      <c r="Q3503" s="114" t="n">
        <v>0</v>
      </c>
      <c r="R3503" s="114" t="n">
        <v>65</v>
      </c>
      <c r="S3503" s="114" t="n">
        <v>0</v>
      </c>
      <c r="T3503" t="n">
        <v>0</v>
      </c>
    </row>
    <row r="3504">
      <c r="A3504" t="inlineStr">
        <is>
          <t>ttJTrans</t>
        </is>
      </c>
      <c r="B3504" s="38" t="inlineStr">
        <is>
          <t>0-4100</t>
        </is>
      </c>
      <c r="C3504" t="inlineStr">
        <is>
          <t>EQ</t>
        </is>
      </c>
      <c r="E3504" t="inlineStr">
        <is>
          <t>EQ</t>
        </is>
      </c>
      <c r="G3504" s="128" t="inlineStr"/>
      <c r="H3504" s="127" t="n">
        <v>46131</v>
      </c>
      <c r="J3504" s="38" t="inlineStr">
        <is>
          <t>0-4100</t>
        </is>
      </c>
      <c r="K3504" t="inlineStr">
        <is>
          <t>TR145 20' CARGO TRAILER 20' CARGO TRAILER</t>
        </is>
      </c>
      <c r="L3504" t="n">
        <v>0</v>
      </c>
      <c r="M3504" t="n">
        <v>0</v>
      </c>
      <c r="O3504" t="inlineStr">
        <is>
          <t>TR145</t>
        </is>
      </c>
      <c r="Q3504" s="114" t="n">
        <v>0</v>
      </c>
      <c r="R3504" s="114" t="n">
        <v>65</v>
      </c>
      <c r="S3504" s="114" t="n">
        <v>0</v>
      </c>
      <c r="T3504" t="n">
        <v>0</v>
      </c>
    </row>
    <row r="3505">
      <c r="A3505" t="inlineStr">
        <is>
          <t>ttJTrans</t>
        </is>
      </c>
      <c r="B3505" s="38" t="inlineStr">
        <is>
          <t>0-4100</t>
        </is>
      </c>
      <c r="C3505" t="inlineStr">
        <is>
          <t>EQ</t>
        </is>
      </c>
      <c r="E3505" t="inlineStr">
        <is>
          <t>EQ</t>
        </is>
      </c>
      <c r="G3505" s="128" t="inlineStr"/>
      <c r="H3505" s="127" t="n">
        <v>46131</v>
      </c>
      <c r="J3505" s="38" t="inlineStr">
        <is>
          <t>0-4100</t>
        </is>
      </c>
      <c r="K3505" t="inlineStr">
        <is>
          <t>TR145 20' CARGO TRAILER 20' CARGO TRAILER</t>
        </is>
      </c>
      <c r="L3505" t="n">
        <v>0</v>
      </c>
      <c r="M3505" t="n">
        <v>0</v>
      </c>
      <c r="O3505" t="inlineStr">
        <is>
          <t>TR145</t>
        </is>
      </c>
      <c r="Q3505" s="114" t="n">
        <v>0</v>
      </c>
      <c r="R3505" s="114" t="n">
        <v>65</v>
      </c>
      <c r="S3505" s="114" t="n">
        <v>0</v>
      </c>
      <c r="T3505" t="n">
        <v>0</v>
      </c>
    </row>
    <row r="3506">
      <c r="A3506" t="inlineStr">
        <is>
          <t>ttJTrans</t>
        </is>
      </c>
      <c r="B3506" s="38" t="inlineStr">
        <is>
          <t>0-4100</t>
        </is>
      </c>
      <c r="C3506" t="inlineStr">
        <is>
          <t>EQ</t>
        </is>
      </c>
      <c r="E3506" t="inlineStr">
        <is>
          <t>EQ</t>
        </is>
      </c>
      <c r="G3506" s="128" t="inlineStr"/>
      <c r="H3506" s="127" t="n">
        <v>46138</v>
      </c>
      <c r="J3506" s="38" t="inlineStr">
        <is>
          <t>0-4100</t>
        </is>
      </c>
      <c r="K3506" t="inlineStr">
        <is>
          <t>FE017 7' ROTARY CUTTER 7' ROTARY CUTTER</t>
        </is>
      </c>
      <c r="L3506" t="n">
        <v>0</v>
      </c>
      <c r="M3506" t="n">
        <v>0</v>
      </c>
      <c r="O3506" t="inlineStr">
        <is>
          <t>FE017</t>
        </is>
      </c>
      <c r="Q3506" s="114" t="n">
        <v>0</v>
      </c>
      <c r="R3506" s="114" t="n">
        <v>0</v>
      </c>
      <c r="S3506" s="114" t="n">
        <v>0</v>
      </c>
      <c r="T3506" t="n">
        <v>0</v>
      </c>
    </row>
    <row r="3507">
      <c r="A3507" t="inlineStr">
        <is>
          <t>ttJTrans</t>
        </is>
      </c>
      <c r="B3507" s="38" t="inlineStr">
        <is>
          <t>0-4100</t>
        </is>
      </c>
      <c r="C3507" t="inlineStr">
        <is>
          <t>EQ</t>
        </is>
      </c>
      <c r="E3507" t="inlineStr">
        <is>
          <t>EQ</t>
        </is>
      </c>
      <c r="G3507" s="128" t="inlineStr"/>
      <c r="H3507" s="127" t="n">
        <v>46138</v>
      </c>
      <c r="J3507" s="38" t="inlineStr">
        <is>
          <t>0-4100</t>
        </is>
      </c>
      <c r="K3507" t="inlineStr">
        <is>
          <t>FE017 7' ROTARY CUTTER 7' ROTARY CUTTER</t>
        </is>
      </c>
      <c r="L3507" t="n">
        <v>0</v>
      </c>
      <c r="M3507" t="n">
        <v>0</v>
      </c>
      <c r="O3507" t="inlineStr">
        <is>
          <t>FE017</t>
        </is>
      </c>
      <c r="Q3507" s="114" t="n">
        <v>0</v>
      </c>
      <c r="R3507" s="114" t="n">
        <v>0</v>
      </c>
      <c r="S3507" s="114" t="n">
        <v>0</v>
      </c>
      <c r="T3507" t="n">
        <v>0</v>
      </c>
    </row>
    <row r="3508">
      <c r="A3508" t="inlineStr">
        <is>
          <t>ttJTrans</t>
        </is>
      </c>
      <c r="B3508" s="38" t="inlineStr">
        <is>
          <t>0-4100</t>
        </is>
      </c>
      <c r="C3508" t="inlineStr">
        <is>
          <t>EQ</t>
        </is>
      </c>
      <c r="E3508" t="inlineStr">
        <is>
          <t>EQ</t>
        </is>
      </c>
      <c r="G3508" s="128" t="inlineStr"/>
      <c r="H3508" s="127" t="n">
        <v>46138</v>
      </c>
      <c r="J3508" s="38" t="inlineStr">
        <is>
          <t>0-4100</t>
        </is>
      </c>
      <c r="K3508" t="inlineStr">
        <is>
          <t>FE017 7' ROTARY CUTTER 7' ROTARY CUTTER</t>
        </is>
      </c>
      <c r="L3508" t="n">
        <v>0</v>
      </c>
      <c r="M3508" t="n">
        <v>0</v>
      </c>
      <c r="O3508" t="inlineStr">
        <is>
          <t>FE017</t>
        </is>
      </c>
      <c r="Q3508" s="114" t="n">
        <v>0</v>
      </c>
      <c r="R3508" s="114" t="n">
        <v>0</v>
      </c>
      <c r="S3508" s="114" t="n">
        <v>0</v>
      </c>
      <c r="T3508" t="n">
        <v>0</v>
      </c>
    </row>
    <row r="3509">
      <c r="A3509" t="inlineStr">
        <is>
          <t>ttJTrans</t>
        </is>
      </c>
      <c r="B3509" s="38" t="inlineStr">
        <is>
          <t>0-4100</t>
        </is>
      </c>
      <c r="C3509" t="inlineStr">
        <is>
          <t>EQ</t>
        </is>
      </c>
      <c r="E3509" t="inlineStr">
        <is>
          <t>EQ</t>
        </is>
      </c>
      <c r="G3509" s="128" t="inlineStr"/>
      <c r="H3509" s="127" t="n">
        <v>46138</v>
      </c>
      <c r="J3509" s="38" t="inlineStr">
        <is>
          <t>0-4100</t>
        </is>
      </c>
      <c r="K3509" t="inlineStr">
        <is>
          <t>FT011 JOHN DEERE 6130M TRACTOR W/ 620R LOADER JOHN DEERE 6130M TRACTOR W/ 620R LOADER</t>
        </is>
      </c>
      <c r="L3509" t="n">
        <v>0</v>
      </c>
      <c r="M3509" t="n">
        <v>0</v>
      </c>
      <c r="O3509" t="inlineStr">
        <is>
          <t>FT011</t>
        </is>
      </c>
      <c r="Q3509" s="114" t="n">
        <v>0</v>
      </c>
      <c r="R3509" s="114" t="n">
        <v>291.67</v>
      </c>
      <c r="S3509" s="114" t="n">
        <v>0</v>
      </c>
      <c r="T3509" t="n">
        <v>0</v>
      </c>
    </row>
    <row r="3510">
      <c r="A3510" t="inlineStr">
        <is>
          <t>ttJTrans</t>
        </is>
      </c>
      <c r="B3510" s="38" t="inlineStr">
        <is>
          <t>0-4100</t>
        </is>
      </c>
      <c r="C3510" t="inlineStr">
        <is>
          <t>EQ</t>
        </is>
      </c>
      <c r="E3510" t="inlineStr">
        <is>
          <t>EQ</t>
        </is>
      </c>
      <c r="G3510" s="128" t="inlineStr"/>
      <c r="H3510" s="127" t="n">
        <v>46138</v>
      </c>
      <c r="J3510" s="38" t="inlineStr">
        <is>
          <t>0-4100</t>
        </is>
      </c>
      <c r="K3510" t="inlineStr">
        <is>
          <t>FT011 JOHN DEERE 6130M TRACTOR W/ 620R LOADER JOHN DEERE 6130M TRACTOR W/ 620R LOADER</t>
        </is>
      </c>
      <c r="L3510" t="n">
        <v>0</v>
      </c>
      <c r="M3510" t="n">
        <v>0</v>
      </c>
      <c r="O3510" t="inlineStr">
        <is>
          <t>FT011</t>
        </is>
      </c>
      <c r="Q3510" s="114" t="n">
        <v>0</v>
      </c>
      <c r="R3510" s="114" t="n">
        <v>291.67</v>
      </c>
      <c r="S3510" s="114" t="n">
        <v>0</v>
      </c>
      <c r="T3510" t="n">
        <v>0</v>
      </c>
    </row>
    <row r="3511">
      <c r="A3511" t="inlineStr">
        <is>
          <t>ttJTrans</t>
        </is>
      </c>
      <c r="B3511" s="38" t="inlineStr">
        <is>
          <t>0-4100</t>
        </is>
      </c>
      <c r="C3511" t="inlineStr">
        <is>
          <t>EQ</t>
        </is>
      </c>
      <c r="E3511" t="inlineStr">
        <is>
          <t>EQ</t>
        </is>
      </c>
      <c r="G3511" s="128" t="inlineStr"/>
      <c r="H3511" s="127" t="n">
        <v>46138</v>
      </c>
      <c r="J3511" s="38" t="inlineStr">
        <is>
          <t>0-4100</t>
        </is>
      </c>
      <c r="K3511" t="inlineStr">
        <is>
          <t>FT011 JOHN DEERE 6130M TRACTOR W/ 620R LOADER JOHN DEERE 6130M TRACTOR W/ 620R LOADER</t>
        </is>
      </c>
      <c r="L3511" t="n">
        <v>0</v>
      </c>
      <c r="M3511" t="n">
        <v>0</v>
      </c>
      <c r="O3511" t="inlineStr">
        <is>
          <t>FT011</t>
        </is>
      </c>
      <c r="Q3511" s="114" t="n">
        <v>0</v>
      </c>
      <c r="R3511" s="114" t="n">
        <v>291.67</v>
      </c>
      <c r="S3511" s="114" t="n">
        <v>0</v>
      </c>
      <c r="T3511" t="n">
        <v>0</v>
      </c>
    </row>
    <row r="3512">
      <c r="A3512" t="inlineStr">
        <is>
          <t>ttJTrans</t>
        </is>
      </c>
      <c r="B3512" s="38" t="inlineStr">
        <is>
          <t>0-4100</t>
        </is>
      </c>
      <c r="C3512" t="inlineStr">
        <is>
          <t>EQ</t>
        </is>
      </c>
      <c r="E3512" t="inlineStr">
        <is>
          <t>EQ</t>
        </is>
      </c>
      <c r="G3512" s="128" t="inlineStr"/>
      <c r="H3512" s="127" t="n">
        <v>46138</v>
      </c>
      <c r="J3512" s="38" t="inlineStr">
        <is>
          <t>0-4100</t>
        </is>
      </c>
      <c r="K3512" t="inlineStr">
        <is>
          <t>WLD146 SILT FENCE PLOW - SKID STEER SILT FENCE PLOW - SKID STEER</t>
        </is>
      </c>
      <c r="L3512" t="n">
        <v>0</v>
      </c>
      <c r="M3512" t="n">
        <v>0</v>
      </c>
      <c r="O3512" t="inlineStr">
        <is>
          <t>WLD146</t>
        </is>
      </c>
      <c r="Q3512" s="114" t="n">
        <v>0</v>
      </c>
      <c r="R3512" s="114" t="n">
        <v>50</v>
      </c>
      <c r="S3512" s="114" t="n">
        <v>0</v>
      </c>
      <c r="T3512" t="n">
        <v>0</v>
      </c>
    </row>
    <row r="3513">
      <c r="A3513" t="inlineStr">
        <is>
          <t>ttJTrans</t>
        </is>
      </c>
      <c r="B3513" s="38" t="inlineStr">
        <is>
          <t>0-4100</t>
        </is>
      </c>
      <c r="C3513" t="inlineStr">
        <is>
          <t>EQ</t>
        </is>
      </c>
      <c r="E3513" t="inlineStr">
        <is>
          <t>EQ</t>
        </is>
      </c>
      <c r="G3513" s="128" t="inlineStr"/>
      <c r="H3513" s="127" t="n">
        <v>46138</v>
      </c>
      <c r="J3513" s="38" t="inlineStr">
        <is>
          <t>0-4100</t>
        </is>
      </c>
      <c r="K3513" t="inlineStr">
        <is>
          <t>WLD146 SILT FENCE PLOW - SKID STEER SILT FENCE PLOW - SKID STEER</t>
        </is>
      </c>
      <c r="L3513" t="n">
        <v>0</v>
      </c>
      <c r="M3513" t="n">
        <v>0</v>
      </c>
      <c r="O3513" t="inlineStr">
        <is>
          <t>WLD146</t>
        </is>
      </c>
      <c r="Q3513" s="114" t="n">
        <v>0</v>
      </c>
      <c r="R3513" s="114" t="n">
        <v>50</v>
      </c>
      <c r="S3513" s="114" t="n">
        <v>0</v>
      </c>
      <c r="T3513" t="n">
        <v>0</v>
      </c>
    </row>
    <row r="3514">
      <c r="A3514" t="inlineStr">
        <is>
          <t>ttJTrans</t>
        </is>
      </c>
      <c r="B3514" s="38" t="inlineStr">
        <is>
          <t>0-4100</t>
        </is>
      </c>
      <c r="C3514" t="inlineStr">
        <is>
          <t>EQ</t>
        </is>
      </c>
      <c r="E3514" t="inlineStr">
        <is>
          <t>EQ</t>
        </is>
      </c>
      <c r="G3514" s="128" t="inlineStr"/>
      <c r="H3514" s="127" t="n">
        <v>46138</v>
      </c>
      <c r="J3514" s="38" t="inlineStr">
        <is>
          <t>0-4100</t>
        </is>
      </c>
      <c r="K3514" t="inlineStr">
        <is>
          <t>WLD146 SILT FENCE PLOW - SKID STEER SILT FENCE PLOW - SKID STEER</t>
        </is>
      </c>
      <c r="L3514" t="n">
        <v>0</v>
      </c>
      <c r="M3514" t="n">
        <v>0</v>
      </c>
      <c r="O3514" t="inlineStr">
        <is>
          <t>WLD146</t>
        </is>
      </c>
      <c r="Q3514" s="114" t="n">
        <v>0</v>
      </c>
      <c r="R3514" s="114" t="n">
        <v>50</v>
      </c>
      <c r="S3514" s="114" t="n">
        <v>0</v>
      </c>
      <c r="T3514" t="n">
        <v>0</v>
      </c>
    </row>
    <row r="3515">
      <c r="A3515" t="inlineStr">
        <is>
          <t>ttJTrans</t>
        </is>
      </c>
      <c r="B3515" s="38" t="inlineStr">
        <is>
          <t>0-4100</t>
        </is>
      </c>
      <c r="C3515" t="inlineStr">
        <is>
          <t>EQ</t>
        </is>
      </c>
      <c r="E3515" t="inlineStr">
        <is>
          <t>EQ</t>
        </is>
      </c>
      <c r="G3515" s="128" t="inlineStr"/>
      <c r="H3515" s="127" t="n">
        <v>46138</v>
      </c>
      <c r="J3515" s="38" t="inlineStr">
        <is>
          <t>0-4100</t>
        </is>
      </c>
      <c r="K3515" t="inlineStr">
        <is>
          <t>RT1385 2024 RAM 2500 TRADESMAN GAS 4X4 CREW CAB 8FT BED W/ DRAGUP TANK &amp; TOOLBOX COMBO 2024 RAM 2500 TRADESMAN GAS 4X4 CREW CAB 8FT BED W/ DRAGUP TANK &amp; TOOLBOX COMBO</t>
        </is>
      </c>
      <c r="L3515" t="n">
        <v>0</v>
      </c>
      <c r="M3515" t="n">
        <v>0</v>
      </c>
      <c r="O3515" t="inlineStr">
        <is>
          <t>RT1385</t>
        </is>
      </c>
      <c r="Q3515" s="114" t="n">
        <v>0</v>
      </c>
      <c r="R3515" s="114" t="n">
        <v>79.14</v>
      </c>
      <c r="S3515" s="114" t="n">
        <v>0</v>
      </c>
      <c r="T3515" t="n">
        <v>0</v>
      </c>
    </row>
    <row r="3516">
      <c r="A3516" t="inlineStr">
        <is>
          <t>ttJTrans</t>
        </is>
      </c>
      <c r="B3516" s="38" t="inlineStr">
        <is>
          <t>0-4100</t>
        </is>
      </c>
      <c r="C3516" t="inlineStr">
        <is>
          <t>EQ</t>
        </is>
      </c>
      <c r="E3516" t="inlineStr">
        <is>
          <t>EQ</t>
        </is>
      </c>
      <c r="G3516" s="128" t="inlineStr"/>
      <c r="H3516" s="127" t="n">
        <v>46138</v>
      </c>
      <c r="J3516" s="38" t="inlineStr">
        <is>
          <t>0-4100</t>
        </is>
      </c>
      <c r="K3516" t="inlineStr">
        <is>
          <t>RT1385 2024 RAM 2500 TRADESMAN GAS 4X4 CREW CAB 8FT BED W/ DRAGUP TANK &amp; TOOLBOX COMBO 2024 RAM 2500 TRADESMAN GAS 4X4 CREW CAB 8FT BED W/ DRAGUP TANK &amp; TOOLBOX COMBO</t>
        </is>
      </c>
      <c r="L3516" t="n">
        <v>0</v>
      </c>
      <c r="M3516" t="n">
        <v>0</v>
      </c>
      <c r="O3516" t="inlineStr">
        <is>
          <t>RT1385</t>
        </is>
      </c>
      <c r="Q3516" s="114" t="n">
        <v>0</v>
      </c>
      <c r="R3516" s="114" t="n">
        <v>79.14</v>
      </c>
      <c r="S3516" s="114" t="n">
        <v>0</v>
      </c>
      <c r="T3516" t="n">
        <v>0</v>
      </c>
    </row>
    <row r="3517">
      <c r="A3517" t="inlineStr">
        <is>
          <t>ttJTrans</t>
        </is>
      </c>
      <c r="B3517" s="38" t="inlineStr">
        <is>
          <t>0-4100</t>
        </is>
      </c>
      <c r="C3517" t="inlineStr">
        <is>
          <t>EQ</t>
        </is>
      </c>
      <c r="E3517" t="inlineStr">
        <is>
          <t>EQ</t>
        </is>
      </c>
      <c r="G3517" s="128" t="inlineStr"/>
      <c r="H3517" s="127" t="n">
        <v>46138</v>
      </c>
      <c r="J3517" s="38" t="inlineStr">
        <is>
          <t>0-4100</t>
        </is>
      </c>
      <c r="K3517" t="inlineStr">
        <is>
          <t>RT1385 2024 RAM 2500 TRADESMAN GAS 4X4 CREW CAB 8FT BED W/ DRAGUP TANK &amp; TOOLBOX COMBO 2024 RAM 2500 TRADESMAN GAS 4X4 CREW CAB 8FT BED W/ DRAGUP TANK &amp; TOOLBOX COMBO</t>
        </is>
      </c>
      <c r="L3517" t="n">
        <v>0</v>
      </c>
      <c r="M3517" t="n">
        <v>0</v>
      </c>
      <c r="O3517" t="inlineStr">
        <is>
          <t>RT1385</t>
        </is>
      </c>
      <c r="Q3517" s="114" t="n">
        <v>0</v>
      </c>
      <c r="R3517" s="114" t="n">
        <v>79.14</v>
      </c>
      <c r="S3517" s="114" t="n">
        <v>0</v>
      </c>
      <c r="T3517" t="n">
        <v>0</v>
      </c>
    </row>
    <row r="3518">
      <c r="A3518" t="inlineStr">
        <is>
          <t>ttJTrans</t>
        </is>
      </c>
      <c r="B3518" s="38" t="inlineStr">
        <is>
          <t>0-4100</t>
        </is>
      </c>
      <c r="C3518" t="inlineStr">
        <is>
          <t>EQ</t>
        </is>
      </c>
      <c r="E3518" t="inlineStr">
        <is>
          <t>EQ</t>
        </is>
      </c>
      <c r="G3518" s="128" t="inlineStr"/>
      <c r="H3518" s="127" t="n">
        <v>46138</v>
      </c>
      <c r="J3518" s="38" t="inlineStr">
        <is>
          <t>0-4100</t>
        </is>
      </c>
      <c r="K3518" t="inlineStr">
        <is>
          <t>SSAUGKIT1 SKIDPRO SP300 PLANETARY AUGER DRIVE KIT W/ CRADLE &amp; MOUNT SKIDPRO SP300 PLANETARY AUGER DRIVE KIT W/ CRADLE &amp; MOUNT</t>
        </is>
      </c>
      <c r="L3518" t="n">
        <v>0</v>
      </c>
      <c r="M3518" t="n">
        <v>0</v>
      </c>
      <c r="O3518" t="inlineStr">
        <is>
          <t>SSAUGKIT1</t>
        </is>
      </c>
      <c r="Q3518" s="114" t="n">
        <v>0</v>
      </c>
      <c r="R3518" s="114" t="n">
        <v>35</v>
      </c>
      <c r="S3518" s="114" t="n">
        <v>0</v>
      </c>
      <c r="T3518" t="n">
        <v>0</v>
      </c>
    </row>
    <row r="3519">
      <c r="A3519" t="inlineStr">
        <is>
          <t>ttJTrans</t>
        </is>
      </c>
      <c r="B3519" s="38" t="inlineStr">
        <is>
          <t>0-4100</t>
        </is>
      </c>
      <c r="C3519" t="inlineStr">
        <is>
          <t>EQ</t>
        </is>
      </c>
      <c r="E3519" t="inlineStr">
        <is>
          <t>EQ</t>
        </is>
      </c>
      <c r="G3519" s="128" t="inlineStr"/>
      <c r="H3519" s="127" t="n">
        <v>46138</v>
      </c>
      <c r="J3519" s="38" t="inlineStr">
        <is>
          <t>0-4100</t>
        </is>
      </c>
      <c r="K3519" t="inlineStr">
        <is>
          <t>SSAUGKIT1 SKIDPRO SP300 PLANETARY AUGER DRIVE KIT W/ CRADLE &amp; MOUNT SKIDPRO SP300 PLANETARY AUGER DRIVE KIT W/ CRADLE &amp; MOUNT</t>
        </is>
      </c>
      <c r="L3519" t="n">
        <v>0</v>
      </c>
      <c r="M3519" t="n">
        <v>0</v>
      </c>
      <c r="O3519" t="inlineStr">
        <is>
          <t>SSAUGKIT1</t>
        </is>
      </c>
      <c r="Q3519" s="114" t="n">
        <v>0</v>
      </c>
      <c r="R3519" s="114" t="n">
        <v>35</v>
      </c>
      <c r="S3519" s="114" t="n">
        <v>0</v>
      </c>
      <c r="T3519" t="n">
        <v>0</v>
      </c>
    </row>
    <row r="3520">
      <c r="A3520" t="inlineStr">
        <is>
          <t>ttJTrans</t>
        </is>
      </c>
      <c r="B3520" s="38" t="inlineStr">
        <is>
          <t>0-4100</t>
        </is>
      </c>
      <c r="C3520" t="inlineStr">
        <is>
          <t>EQ</t>
        </is>
      </c>
      <c r="E3520" t="inlineStr">
        <is>
          <t>EQ</t>
        </is>
      </c>
      <c r="G3520" s="128" t="inlineStr"/>
      <c r="H3520" s="127" t="n">
        <v>46138</v>
      </c>
      <c r="J3520" s="38" t="inlineStr">
        <is>
          <t>0-4100</t>
        </is>
      </c>
      <c r="K3520" t="inlineStr">
        <is>
          <t>SSAUGKIT1 SKIDPRO SP300 PLANETARY AUGER DRIVE KIT W/ CRADLE &amp; MOUNT SKIDPRO SP300 PLANETARY AUGER DRIVE KIT W/ CRADLE &amp; MOUNT</t>
        </is>
      </c>
      <c r="L3520" t="n">
        <v>0</v>
      </c>
      <c r="M3520" t="n">
        <v>0</v>
      </c>
      <c r="O3520" t="inlineStr">
        <is>
          <t>SSAUGKIT1</t>
        </is>
      </c>
      <c r="Q3520" s="114" t="n">
        <v>0</v>
      </c>
      <c r="R3520" s="114" t="n">
        <v>35</v>
      </c>
      <c r="S3520" s="114" t="n">
        <v>0</v>
      </c>
      <c r="T3520" t="n">
        <v>0</v>
      </c>
    </row>
    <row r="3521">
      <c r="A3521" t="inlineStr">
        <is>
          <t>ttJTrans</t>
        </is>
      </c>
      <c r="B3521" s="38" t="inlineStr">
        <is>
          <t>0-4100</t>
        </is>
      </c>
      <c r="C3521" t="inlineStr">
        <is>
          <t>EQ</t>
        </is>
      </c>
      <c r="E3521" t="inlineStr">
        <is>
          <t>EQ</t>
        </is>
      </c>
      <c r="G3521" s="128" t="inlineStr"/>
      <c r="H3521" s="127" t="n">
        <v>46138</v>
      </c>
      <c r="J3521" s="38" t="inlineStr">
        <is>
          <t>0-4100</t>
        </is>
      </c>
      <c r="K3521" t="inlineStr">
        <is>
          <t>TR425 20FT ENCLOSED CARGO TRAILER (CHARGED TO 22-4001) 20FT ENCLOSED CARGO TRAILER (CHARGED TO 22-4001)</t>
        </is>
      </c>
      <c r="L3521" t="n">
        <v>0</v>
      </c>
      <c r="M3521" t="n">
        <v>0</v>
      </c>
      <c r="O3521" t="inlineStr">
        <is>
          <t>TR425</t>
        </is>
      </c>
      <c r="Q3521" s="114" t="n">
        <v>0</v>
      </c>
      <c r="R3521" s="114" t="n">
        <v>65</v>
      </c>
      <c r="S3521" s="114" t="n">
        <v>0</v>
      </c>
      <c r="T3521" t="n">
        <v>0</v>
      </c>
    </row>
    <row r="3522">
      <c r="A3522" t="inlineStr">
        <is>
          <t>ttJTrans</t>
        </is>
      </c>
      <c r="B3522" s="38" t="inlineStr">
        <is>
          <t>0-4100</t>
        </is>
      </c>
      <c r="C3522" t="inlineStr">
        <is>
          <t>EQ</t>
        </is>
      </c>
      <c r="E3522" t="inlineStr">
        <is>
          <t>EQ</t>
        </is>
      </c>
      <c r="G3522" s="128" t="inlineStr"/>
      <c r="H3522" s="127" t="n">
        <v>46138</v>
      </c>
      <c r="J3522" s="38" t="inlineStr">
        <is>
          <t>0-4100</t>
        </is>
      </c>
      <c r="K3522" t="inlineStr">
        <is>
          <t>TR425 20FT ENCLOSED CARGO TRAILER (CHARGED TO 22-4001) 20FT ENCLOSED CARGO TRAILER (CHARGED TO 22-4001)</t>
        </is>
      </c>
      <c r="L3522" t="n">
        <v>0</v>
      </c>
      <c r="M3522" t="n">
        <v>0</v>
      </c>
      <c r="O3522" t="inlineStr">
        <is>
          <t>TR425</t>
        </is>
      </c>
      <c r="Q3522" s="114" t="n">
        <v>0</v>
      </c>
      <c r="R3522" s="114" t="n">
        <v>65</v>
      </c>
      <c r="S3522" s="114" t="n">
        <v>0</v>
      </c>
      <c r="T3522" t="n">
        <v>0</v>
      </c>
    </row>
    <row r="3523">
      <c r="A3523" t="inlineStr">
        <is>
          <t>ttJTrans</t>
        </is>
      </c>
      <c r="B3523" s="38" t="inlineStr">
        <is>
          <t>0-4100</t>
        </is>
      </c>
      <c r="C3523" t="inlineStr">
        <is>
          <t>EQ</t>
        </is>
      </c>
      <c r="E3523" t="inlineStr">
        <is>
          <t>EQ</t>
        </is>
      </c>
      <c r="G3523" s="128" t="inlineStr"/>
      <c r="H3523" s="127" t="n">
        <v>46138</v>
      </c>
      <c r="J3523" s="38" t="inlineStr">
        <is>
          <t>0-4100</t>
        </is>
      </c>
      <c r="K3523" t="inlineStr">
        <is>
          <t>TR425 20FT ENCLOSED CARGO TRAILER (CHARGED TO 22-4001) 20FT ENCLOSED CARGO TRAILER (CHARGED TO 22-4001)</t>
        </is>
      </c>
      <c r="L3523" t="n">
        <v>0</v>
      </c>
      <c r="M3523" t="n">
        <v>0</v>
      </c>
      <c r="O3523" t="inlineStr">
        <is>
          <t>TR425</t>
        </is>
      </c>
      <c r="Q3523" s="114" t="n">
        <v>0</v>
      </c>
      <c r="R3523" s="114" t="n">
        <v>65</v>
      </c>
      <c r="S3523" s="114" t="n">
        <v>0</v>
      </c>
      <c r="T3523" t="n">
        <v>0</v>
      </c>
    </row>
    <row r="3524">
      <c r="A3524" t="inlineStr">
        <is>
          <t>ttJTrans</t>
        </is>
      </c>
      <c r="B3524" s="38" t="inlineStr">
        <is>
          <t>0-4100</t>
        </is>
      </c>
      <c r="C3524" t="inlineStr">
        <is>
          <t>EQ</t>
        </is>
      </c>
      <c r="E3524" t="inlineStr">
        <is>
          <t>EQ</t>
        </is>
      </c>
      <c r="G3524" s="128" t="inlineStr"/>
      <c r="H3524" s="127" t="n">
        <v>46138</v>
      </c>
      <c r="J3524" s="38" t="inlineStr">
        <is>
          <t>0-4100</t>
        </is>
      </c>
      <c r="K3524" t="inlineStr">
        <is>
          <t>TR428 CARRY-ON 5X8 UTILITY TRAILER (CHARGED TO 22-4001) CARRY-ON 5X8 UTILITY TRAILER (CHARGED TO 22-4001)</t>
        </is>
      </c>
      <c r="L3524" t="n">
        <v>0</v>
      </c>
      <c r="M3524" t="n">
        <v>0</v>
      </c>
      <c r="O3524" t="inlineStr">
        <is>
          <t>TR428</t>
        </is>
      </c>
      <c r="Q3524" s="114" t="n">
        <v>0</v>
      </c>
      <c r="R3524" s="114" t="n">
        <v>15</v>
      </c>
      <c r="S3524" s="114" t="n">
        <v>0</v>
      </c>
      <c r="T3524" t="n">
        <v>0</v>
      </c>
    </row>
    <row r="3525">
      <c r="A3525" t="inlineStr">
        <is>
          <t>ttJTrans</t>
        </is>
      </c>
      <c r="B3525" s="38" t="inlineStr">
        <is>
          <t>0-4100</t>
        </is>
      </c>
      <c r="C3525" t="inlineStr">
        <is>
          <t>EQ</t>
        </is>
      </c>
      <c r="E3525" t="inlineStr">
        <is>
          <t>EQ</t>
        </is>
      </c>
      <c r="G3525" s="128" t="inlineStr"/>
      <c r="H3525" s="127" t="n">
        <v>46138</v>
      </c>
      <c r="J3525" s="38" t="inlineStr">
        <is>
          <t>0-4100</t>
        </is>
      </c>
      <c r="K3525" t="inlineStr">
        <is>
          <t>TR428 CARRY-ON 5X8 UTILITY TRAILER (CHARGED TO 22-4001) CARRY-ON 5X8 UTILITY TRAILER (CHARGED TO 22-4001)</t>
        </is>
      </c>
      <c r="L3525" t="n">
        <v>0</v>
      </c>
      <c r="M3525" t="n">
        <v>0</v>
      </c>
      <c r="O3525" t="inlineStr">
        <is>
          <t>TR428</t>
        </is>
      </c>
      <c r="Q3525" s="114" t="n">
        <v>0</v>
      </c>
      <c r="R3525" s="114" t="n">
        <v>15</v>
      </c>
      <c r="S3525" s="114" t="n">
        <v>0</v>
      </c>
      <c r="T3525" t="n">
        <v>0</v>
      </c>
    </row>
    <row r="3526">
      <c r="A3526" t="inlineStr">
        <is>
          <t>ttJTrans</t>
        </is>
      </c>
      <c r="B3526" s="38" t="inlineStr">
        <is>
          <t>0-4100</t>
        </is>
      </c>
      <c r="C3526" t="inlineStr">
        <is>
          <t>EQ</t>
        </is>
      </c>
      <c r="E3526" t="inlineStr">
        <is>
          <t>EQ</t>
        </is>
      </c>
      <c r="G3526" s="128" t="inlineStr"/>
      <c r="H3526" s="127" t="n">
        <v>46138</v>
      </c>
      <c r="J3526" s="38" t="inlineStr">
        <is>
          <t>0-4100</t>
        </is>
      </c>
      <c r="K3526" t="inlineStr">
        <is>
          <t>TR428 CARRY-ON 5X8 UTILITY TRAILER (CHARGED TO 22-4001) CARRY-ON 5X8 UTILITY TRAILER (CHARGED TO 22-4001)</t>
        </is>
      </c>
      <c r="L3526" t="n">
        <v>0</v>
      </c>
      <c r="M3526" t="n">
        <v>0</v>
      </c>
      <c r="O3526" t="inlineStr">
        <is>
          <t>TR428</t>
        </is>
      </c>
      <c r="Q3526" s="114" t="n">
        <v>0</v>
      </c>
      <c r="R3526" s="114" t="n">
        <v>15</v>
      </c>
      <c r="S3526" s="114" t="n">
        <v>0</v>
      </c>
      <c r="T3526" t="n">
        <v>0</v>
      </c>
    </row>
    <row r="3527">
      <c r="A3527" t="inlineStr">
        <is>
          <t>ttJTrans</t>
        </is>
      </c>
      <c r="B3527" s="38" t="inlineStr">
        <is>
          <t>0-4100</t>
        </is>
      </c>
      <c r="C3527" t="inlineStr">
        <is>
          <t>EQ</t>
        </is>
      </c>
      <c r="E3527" t="inlineStr">
        <is>
          <t>EQ</t>
        </is>
      </c>
      <c r="G3527" s="128" t="inlineStr"/>
      <c r="H3527" s="127" t="n">
        <v>46138</v>
      </c>
      <c r="J3527" s="38" t="inlineStr">
        <is>
          <t>0-4100</t>
        </is>
      </c>
      <c r="K3527" t="inlineStr">
        <is>
          <t>TR145 20' CARGO TRAILER 20' CARGO TRAILER</t>
        </is>
      </c>
      <c r="L3527" t="n">
        <v>0</v>
      </c>
      <c r="M3527" t="n">
        <v>0</v>
      </c>
      <c r="O3527" t="inlineStr">
        <is>
          <t>TR145</t>
        </is>
      </c>
      <c r="Q3527" s="114" t="n">
        <v>0</v>
      </c>
      <c r="R3527" s="114" t="n">
        <v>65</v>
      </c>
      <c r="S3527" s="114" t="n">
        <v>0</v>
      </c>
      <c r="T3527" t="n">
        <v>0</v>
      </c>
    </row>
    <row r="3528">
      <c r="A3528" t="inlineStr">
        <is>
          <t>ttJTrans</t>
        </is>
      </c>
      <c r="B3528" s="38" t="inlineStr">
        <is>
          <t>0-4100</t>
        </is>
      </c>
      <c r="C3528" t="inlineStr">
        <is>
          <t>EQ</t>
        </is>
      </c>
      <c r="E3528" t="inlineStr">
        <is>
          <t>EQ</t>
        </is>
      </c>
      <c r="G3528" s="128" t="inlineStr"/>
      <c r="H3528" s="127" t="n">
        <v>46138</v>
      </c>
      <c r="J3528" s="38" t="inlineStr">
        <is>
          <t>0-4100</t>
        </is>
      </c>
      <c r="K3528" t="inlineStr">
        <is>
          <t>TR145 20' CARGO TRAILER 20' CARGO TRAILER</t>
        </is>
      </c>
      <c r="L3528" t="n">
        <v>0</v>
      </c>
      <c r="M3528" t="n">
        <v>0</v>
      </c>
      <c r="O3528" t="inlineStr">
        <is>
          <t>TR145</t>
        </is>
      </c>
      <c r="Q3528" s="114" t="n">
        <v>0</v>
      </c>
      <c r="R3528" s="114" t="n">
        <v>65</v>
      </c>
      <c r="S3528" s="114" t="n">
        <v>0</v>
      </c>
      <c r="T3528" t="n">
        <v>0</v>
      </c>
    </row>
    <row r="3529">
      <c r="A3529" t="inlineStr">
        <is>
          <t>ttJTrans</t>
        </is>
      </c>
      <c r="B3529" s="38" t="inlineStr">
        <is>
          <t>0-4100</t>
        </is>
      </c>
      <c r="C3529" t="inlineStr">
        <is>
          <t>EQ</t>
        </is>
      </c>
      <c r="E3529" t="inlineStr">
        <is>
          <t>EQ</t>
        </is>
      </c>
      <c r="G3529" s="128" t="inlineStr"/>
      <c r="H3529" s="127" t="n">
        <v>46138</v>
      </c>
      <c r="J3529" s="38" t="inlineStr">
        <is>
          <t>0-4100</t>
        </is>
      </c>
      <c r="K3529" t="inlineStr">
        <is>
          <t>TR145 20' CARGO TRAILER 20' CARGO TRAILER</t>
        </is>
      </c>
      <c r="L3529" t="n">
        <v>0</v>
      </c>
      <c r="M3529" t="n">
        <v>0</v>
      </c>
      <c r="O3529" t="inlineStr">
        <is>
          <t>TR145</t>
        </is>
      </c>
      <c r="Q3529" s="114" t="n">
        <v>0</v>
      </c>
      <c r="R3529" s="114" t="n">
        <v>65</v>
      </c>
      <c r="S3529" s="114" t="n">
        <v>0</v>
      </c>
      <c r="T3529" t="n">
        <v>0</v>
      </c>
    </row>
    <row r="3530">
      <c r="A3530" t="inlineStr">
        <is>
          <t>ttJTrans</t>
        </is>
      </c>
      <c r="B3530" s="38" t="inlineStr">
        <is>
          <t>0-4100</t>
        </is>
      </c>
      <c r="C3530" t="inlineStr">
        <is>
          <t>EQ</t>
        </is>
      </c>
      <c r="E3530" t="inlineStr">
        <is>
          <t>EQ</t>
        </is>
      </c>
      <c r="G3530" s="128" t="inlineStr"/>
      <c r="H3530" s="127" t="n">
        <v>46142</v>
      </c>
      <c r="J3530" s="38" t="inlineStr">
        <is>
          <t>0-4100</t>
        </is>
      </c>
      <c r="K3530" t="inlineStr">
        <is>
          <t>FE017 7' ROTARY CUTTER 7' ROTARY CUTTER</t>
        </is>
      </c>
      <c r="L3530" t="n">
        <v>0</v>
      </c>
      <c r="M3530" t="n">
        <v>0</v>
      </c>
      <c r="O3530" t="inlineStr">
        <is>
          <t>FE017</t>
        </is>
      </c>
      <c r="Q3530" s="114" t="n">
        <v>0</v>
      </c>
      <c r="R3530" s="114" t="n">
        <v>0</v>
      </c>
      <c r="S3530" s="114" t="n">
        <v>0</v>
      </c>
      <c r="T3530" t="n">
        <v>0</v>
      </c>
    </row>
    <row r="3531">
      <c r="A3531" t="inlineStr">
        <is>
          <t>ttJTrans</t>
        </is>
      </c>
      <c r="B3531" s="38" t="inlineStr">
        <is>
          <t>0-4100</t>
        </is>
      </c>
      <c r="C3531" t="inlineStr">
        <is>
          <t>EQ</t>
        </is>
      </c>
      <c r="E3531" t="inlineStr">
        <is>
          <t>EQ</t>
        </is>
      </c>
      <c r="G3531" s="128" t="inlineStr"/>
      <c r="H3531" s="127" t="n">
        <v>46142</v>
      </c>
      <c r="J3531" s="38" t="inlineStr">
        <is>
          <t>0-4100</t>
        </is>
      </c>
      <c r="K3531" t="inlineStr">
        <is>
          <t>FE017 7' ROTARY CUTTER 7' ROTARY CUTTER</t>
        </is>
      </c>
      <c r="L3531" t="n">
        <v>0</v>
      </c>
      <c r="M3531" t="n">
        <v>0</v>
      </c>
      <c r="O3531" t="inlineStr">
        <is>
          <t>FE017</t>
        </is>
      </c>
      <c r="Q3531" s="114" t="n">
        <v>0</v>
      </c>
      <c r="R3531" s="114" t="n">
        <v>0</v>
      </c>
      <c r="S3531" s="114" t="n">
        <v>0</v>
      </c>
      <c r="T3531" t="n">
        <v>0</v>
      </c>
    </row>
    <row r="3532">
      <c r="A3532" t="inlineStr">
        <is>
          <t>ttJTrans</t>
        </is>
      </c>
      <c r="B3532" s="38" t="inlineStr">
        <is>
          <t>0-4100</t>
        </is>
      </c>
      <c r="C3532" t="inlineStr">
        <is>
          <t>EQ</t>
        </is>
      </c>
      <c r="E3532" t="inlineStr">
        <is>
          <t>EQ</t>
        </is>
      </c>
      <c r="G3532" s="128" t="inlineStr"/>
      <c r="H3532" s="127" t="n">
        <v>46142</v>
      </c>
      <c r="J3532" s="38" t="inlineStr">
        <is>
          <t>0-4100</t>
        </is>
      </c>
      <c r="K3532" t="inlineStr">
        <is>
          <t>FE017 7' ROTARY CUTTER 7' ROTARY CUTTER</t>
        </is>
      </c>
      <c r="L3532" t="n">
        <v>0</v>
      </c>
      <c r="M3532" t="n">
        <v>0</v>
      </c>
      <c r="O3532" t="inlineStr">
        <is>
          <t>FE017</t>
        </is>
      </c>
      <c r="Q3532" s="114" t="n">
        <v>0</v>
      </c>
      <c r="R3532" s="114" t="n">
        <v>0</v>
      </c>
      <c r="S3532" s="114" t="n">
        <v>0</v>
      </c>
      <c r="T3532" t="n">
        <v>0</v>
      </c>
    </row>
    <row r="3533">
      <c r="A3533" t="inlineStr">
        <is>
          <t>ttJTrans</t>
        </is>
      </c>
      <c r="B3533" s="38" t="inlineStr">
        <is>
          <t>0-4100</t>
        </is>
      </c>
      <c r="C3533" t="inlineStr">
        <is>
          <t>EQ</t>
        </is>
      </c>
      <c r="E3533" t="inlineStr">
        <is>
          <t>EQ</t>
        </is>
      </c>
      <c r="G3533" s="128" t="inlineStr"/>
      <c r="H3533" s="127" t="n">
        <v>46142</v>
      </c>
      <c r="J3533" s="38" t="inlineStr">
        <is>
          <t>0-4100</t>
        </is>
      </c>
      <c r="K3533" t="inlineStr">
        <is>
          <t>FE017 7' ROTARY CUTTER 7' ROTARY CUTTER</t>
        </is>
      </c>
      <c r="L3533" t="n">
        <v>0</v>
      </c>
      <c r="M3533" t="n">
        <v>0</v>
      </c>
      <c r="O3533" t="inlineStr">
        <is>
          <t>FE017</t>
        </is>
      </c>
      <c r="Q3533" s="114" t="n">
        <v>0</v>
      </c>
      <c r="R3533" s="114" t="n">
        <v>0</v>
      </c>
      <c r="S3533" s="114" t="n">
        <v>0</v>
      </c>
      <c r="T3533" t="n">
        <v>0</v>
      </c>
    </row>
    <row r="3534">
      <c r="A3534" t="inlineStr">
        <is>
          <t>ttJTrans</t>
        </is>
      </c>
      <c r="B3534" s="38" t="inlineStr">
        <is>
          <t>0-4100</t>
        </is>
      </c>
      <c r="C3534" t="inlineStr">
        <is>
          <t>EQ</t>
        </is>
      </c>
      <c r="E3534" t="inlineStr">
        <is>
          <t>EQ</t>
        </is>
      </c>
      <c r="G3534" s="128" t="inlineStr"/>
      <c r="H3534" s="127" t="n">
        <v>46142</v>
      </c>
      <c r="J3534" s="38" t="inlineStr">
        <is>
          <t>0-4100</t>
        </is>
      </c>
      <c r="K3534" t="inlineStr">
        <is>
          <t>FT011 JOHN DEERE 6130M TRACTOR W/ 620R LOADER JOHN DEERE 6130M TRACTOR W/ 620R LOADER</t>
        </is>
      </c>
      <c r="L3534" t="n">
        <v>0</v>
      </c>
      <c r="M3534" t="n">
        <v>0</v>
      </c>
      <c r="O3534" t="inlineStr">
        <is>
          <t>FT011</t>
        </is>
      </c>
      <c r="Q3534" s="114" t="n">
        <v>0</v>
      </c>
      <c r="R3534" s="114" t="n">
        <v>291.67</v>
      </c>
      <c r="S3534" s="114" t="n">
        <v>0</v>
      </c>
      <c r="T3534" t="n">
        <v>0</v>
      </c>
    </row>
    <row r="3535">
      <c r="A3535" t="inlineStr">
        <is>
          <t>ttJTrans</t>
        </is>
      </c>
      <c r="B3535" s="38" t="inlineStr">
        <is>
          <t>0-4100</t>
        </is>
      </c>
      <c r="C3535" t="inlineStr">
        <is>
          <t>EQ</t>
        </is>
      </c>
      <c r="E3535" t="inlineStr">
        <is>
          <t>EQ</t>
        </is>
      </c>
      <c r="G3535" s="128" t="inlineStr"/>
      <c r="H3535" s="127" t="n">
        <v>46142</v>
      </c>
      <c r="J3535" s="38" t="inlineStr">
        <is>
          <t>0-4100</t>
        </is>
      </c>
      <c r="K3535" t="inlineStr">
        <is>
          <t>FT011 JOHN DEERE 6130M TRACTOR W/ 620R LOADER JOHN DEERE 6130M TRACTOR W/ 620R LOADER</t>
        </is>
      </c>
      <c r="L3535" t="n">
        <v>0</v>
      </c>
      <c r="M3535" t="n">
        <v>0</v>
      </c>
      <c r="O3535" t="inlineStr">
        <is>
          <t>FT011</t>
        </is>
      </c>
      <c r="Q3535" s="114" t="n">
        <v>0</v>
      </c>
      <c r="R3535" s="114" t="n">
        <v>291.67</v>
      </c>
      <c r="S3535" s="114" t="n">
        <v>0</v>
      </c>
      <c r="T3535" t="n">
        <v>0</v>
      </c>
    </row>
    <row r="3536">
      <c r="A3536" t="inlineStr">
        <is>
          <t>ttJTrans</t>
        </is>
      </c>
      <c r="B3536" s="38" t="inlineStr">
        <is>
          <t>0-4100</t>
        </is>
      </c>
      <c r="C3536" t="inlineStr">
        <is>
          <t>EQ</t>
        </is>
      </c>
      <c r="E3536" t="inlineStr">
        <is>
          <t>EQ</t>
        </is>
      </c>
      <c r="G3536" s="128" t="inlineStr"/>
      <c r="H3536" s="127" t="n">
        <v>46142</v>
      </c>
      <c r="J3536" s="38" t="inlineStr">
        <is>
          <t>0-4100</t>
        </is>
      </c>
      <c r="K3536" t="inlineStr">
        <is>
          <t>FT011 JOHN DEERE 6130M TRACTOR W/ 620R LOADER JOHN DEERE 6130M TRACTOR W/ 620R LOADER</t>
        </is>
      </c>
      <c r="L3536" t="n">
        <v>0</v>
      </c>
      <c r="M3536" t="n">
        <v>0</v>
      </c>
      <c r="O3536" t="inlineStr">
        <is>
          <t>FT011</t>
        </is>
      </c>
      <c r="Q3536" s="114" t="n">
        <v>0</v>
      </c>
      <c r="R3536" s="114" t="n">
        <v>291.67</v>
      </c>
      <c r="S3536" s="114" t="n">
        <v>0</v>
      </c>
      <c r="T3536" t="n">
        <v>0</v>
      </c>
    </row>
    <row r="3537">
      <c r="A3537" t="inlineStr">
        <is>
          <t>ttJTrans</t>
        </is>
      </c>
      <c r="B3537" s="38" t="inlineStr">
        <is>
          <t>0-4100</t>
        </is>
      </c>
      <c r="C3537" t="inlineStr">
        <is>
          <t>EQ</t>
        </is>
      </c>
      <c r="E3537" t="inlineStr">
        <is>
          <t>EQ</t>
        </is>
      </c>
      <c r="G3537" s="128" t="inlineStr"/>
      <c r="H3537" s="127" t="n">
        <v>46142</v>
      </c>
      <c r="J3537" s="38" t="inlineStr">
        <is>
          <t>0-4100</t>
        </is>
      </c>
      <c r="K3537" t="inlineStr">
        <is>
          <t>FT011 JOHN DEERE 6130M TRACTOR W/ 620R LOADER JOHN DEERE 6130M TRACTOR W/ 620R LOADER</t>
        </is>
      </c>
      <c r="L3537" t="n">
        <v>0</v>
      </c>
      <c r="M3537" t="n">
        <v>0</v>
      </c>
      <c r="O3537" t="inlineStr">
        <is>
          <t>FT011</t>
        </is>
      </c>
      <c r="Q3537" s="114" t="n">
        <v>0</v>
      </c>
      <c r="R3537" s="114" t="n">
        <v>291.67</v>
      </c>
      <c r="S3537" s="114" t="n">
        <v>0</v>
      </c>
      <c r="T3537" t="n">
        <v>0</v>
      </c>
    </row>
    <row r="3538">
      <c r="A3538" t="inlineStr">
        <is>
          <t>ttJTrans</t>
        </is>
      </c>
      <c r="B3538" s="38" t="inlineStr">
        <is>
          <t>0-4100</t>
        </is>
      </c>
      <c r="C3538" t="inlineStr">
        <is>
          <t>EQ</t>
        </is>
      </c>
      <c r="E3538" t="inlineStr">
        <is>
          <t>EQ</t>
        </is>
      </c>
      <c r="G3538" s="128" t="inlineStr"/>
      <c r="H3538" s="127" t="n">
        <v>46142</v>
      </c>
      <c r="J3538" s="38" t="inlineStr">
        <is>
          <t>0-4100</t>
        </is>
      </c>
      <c r="K3538" t="inlineStr">
        <is>
          <t>WLD146 SILT FENCE PLOW - SKID STEER SILT FENCE PLOW - SKID STEER</t>
        </is>
      </c>
      <c r="L3538" t="n">
        <v>0</v>
      </c>
      <c r="M3538" t="n">
        <v>0</v>
      </c>
      <c r="O3538" t="inlineStr">
        <is>
          <t>WLD146</t>
        </is>
      </c>
      <c r="Q3538" s="114" t="n">
        <v>0</v>
      </c>
      <c r="R3538" s="114" t="n">
        <v>50</v>
      </c>
      <c r="S3538" s="114" t="n">
        <v>0</v>
      </c>
      <c r="T3538" t="n">
        <v>0</v>
      </c>
    </row>
    <row r="3539">
      <c r="A3539" t="inlineStr">
        <is>
          <t>ttJTrans</t>
        </is>
      </c>
      <c r="B3539" s="38" t="inlineStr">
        <is>
          <t>0-4100</t>
        </is>
      </c>
      <c r="C3539" t="inlineStr">
        <is>
          <t>EQ</t>
        </is>
      </c>
      <c r="E3539" t="inlineStr">
        <is>
          <t>EQ</t>
        </is>
      </c>
      <c r="G3539" s="128" t="inlineStr"/>
      <c r="H3539" s="127" t="n">
        <v>46142</v>
      </c>
      <c r="J3539" s="38" t="inlineStr">
        <is>
          <t>0-4100</t>
        </is>
      </c>
      <c r="K3539" t="inlineStr">
        <is>
          <t>WLD146 SILT FENCE PLOW - SKID STEER SILT FENCE PLOW - SKID STEER</t>
        </is>
      </c>
      <c r="L3539" t="n">
        <v>0</v>
      </c>
      <c r="M3539" t="n">
        <v>0</v>
      </c>
      <c r="O3539" t="inlineStr">
        <is>
          <t>WLD146</t>
        </is>
      </c>
      <c r="Q3539" s="114" t="n">
        <v>0</v>
      </c>
      <c r="R3539" s="114" t="n">
        <v>50</v>
      </c>
      <c r="S3539" s="114" t="n">
        <v>0</v>
      </c>
      <c r="T3539" t="n">
        <v>0</v>
      </c>
    </row>
    <row r="3540">
      <c r="A3540" t="inlineStr">
        <is>
          <t>ttJTrans</t>
        </is>
      </c>
      <c r="B3540" s="38" t="inlineStr">
        <is>
          <t>0-4100</t>
        </is>
      </c>
      <c r="C3540" t="inlineStr">
        <is>
          <t>EQ</t>
        </is>
      </c>
      <c r="E3540" t="inlineStr">
        <is>
          <t>EQ</t>
        </is>
      </c>
      <c r="G3540" s="128" t="inlineStr"/>
      <c r="H3540" s="127" t="n">
        <v>46142</v>
      </c>
      <c r="J3540" s="38" t="inlineStr">
        <is>
          <t>0-4100</t>
        </is>
      </c>
      <c r="K3540" t="inlineStr">
        <is>
          <t>WLD146 SILT FENCE PLOW - SKID STEER SILT FENCE PLOW - SKID STEER</t>
        </is>
      </c>
      <c r="L3540" t="n">
        <v>0</v>
      </c>
      <c r="M3540" t="n">
        <v>0</v>
      </c>
      <c r="O3540" t="inlineStr">
        <is>
          <t>WLD146</t>
        </is>
      </c>
      <c r="Q3540" s="114" t="n">
        <v>0</v>
      </c>
      <c r="R3540" s="114" t="n">
        <v>50</v>
      </c>
      <c r="S3540" s="114" t="n">
        <v>0</v>
      </c>
      <c r="T3540" t="n">
        <v>0</v>
      </c>
    </row>
    <row r="3541">
      <c r="A3541" t="inlineStr">
        <is>
          <t>ttJTrans</t>
        </is>
      </c>
      <c r="B3541" s="38" t="inlineStr">
        <is>
          <t>0-4100</t>
        </is>
      </c>
      <c r="C3541" t="inlineStr">
        <is>
          <t>EQ</t>
        </is>
      </c>
      <c r="E3541" t="inlineStr">
        <is>
          <t>EQ</t>
        </is>
      </c>
      <c r="G3541" s="128" t="inlineStr"/>
      <c r="H3541" s="127" t="n">
        <v>46142</v>
      </c>
      <c r="J3541" s="38" t="inlineStr">
        <is>
          <t>0-4100</t>
        </is>
      </c>
      <c r="K3541" t="inlineStr">
        <is>
          <t>WLD146 SILT FENCE PLOW - SKID STEER SILT FENCE PLOW - SKID STEER</t>
        </is>
      </c>
      <c r="L3541" t="n">
        <v>0</v>
      </c>
      <c r="M3541" t="n">
        <v>0</v>
      </c>
      <c r="O3541" t="inlineStr">
        <is>
          <t>WLD146</t>
        </is>
      </c>
      <c r="Q3541" s="114" t="n">
        <v>0</v>
      </c>
      <c r="R3541" s="114" t="n">
        <v>50</v>
      </c>
      <c r="S3541" s="114" t="n">
        <v>0</v>
      </c>
      <c r="T3541" t="n">
        <v>0</v>
      </c>
    </row>
    <row r="3542">
      <c r="A3542" t="inlineStr">
        <is>
          <t>ttJTrans</t>
        </is>
      </c>
      <c r="B3542" s="38" t="inlineStr">
        <is>
          <t>0-4100</t>
        </is>
      </c>
      <c r="C3542" t="inlineStr">
        <is>
          <t>EQ</t>
        </is>
      </c>
      <c r="E3542" t="inlineStr">
        <is>
          <t>EQ</t>
        </is>
      </c>
      <c r="G3542" s="128" t="inlineStr"/>
      <c r="H3542" s="127" t="n">
        <v>46142</v>
      </c>
      <c r="J3542" s="38" t="inlineStr">
        <is>
          <t>0-4100</t>
        </is>
      </c>
      <c r="K3542" t="inlineStr">
        <is>
          <t>RT1385 2024 RAM 2500 TRADESMAN GAS 4X4 CREW CAB 8FT BED W/ DRAGUP TANK &amp; TOOLBOX COMBO 2024 RAM 2500 TRADESMAN GAS 4X4 CREW CAB 8FT BED W/ DRAGUP TANK &amp; TOOLBOX COMBO</t>
        </is>
      </c>
      <c r="L3542" t="n">
        <v>0</v>
      </c>
      <c r="M3542" t="n">
        <v>0</v>
      </c>
      <c r="O3542" t="inlineStr">
        <is>
          <t>RT1385</t>
        </is>
      </c>
      <c r="Q3542" s="114" t="n">
        <v>0</v>
      </c>
      <c r="R3542" s="114" t="n">
        <v>79.14</v>
      </c>
      <c r="S3542" s="114" t="n">
        <v>0</v>
      </c>
      <c r="T3542" t="n">
        <v>0</v>
      </c>
    </row>
    <row r="3543">
      <c r="A3543" t="inlineStr">
        <is>
          <t>ttJTrans</t>
        </is>
      </c>
      <c r="B3543" s="38" t="inlineStr">
        <is>
          <t>0-4100</t>
        </is>
      </c>
      <c r="C3543" t="inlineStr">
        <is>
          <t>EQ</t>
        </is>
      </c>
      <c r="E3543" t="inlineStr">
        <is>
          <t>EQ</t>
        </is>
      </c>
      <c r="G3543" s="128" t="inlineStr"/>
      <c r="H3543" s="127" t="n">
        <v>46142</v>
      </c>
      <c r="J3543" s="38" t="inlineStr">
        <is>
          <t>0-4100</t>
        </is>
      </c>
      <c r="K3543" t="inlineStr">
        <is>
          <t>RT1385 2024 RAM 2500 TRADESMAN GAS 4X4 CREW CAB 8FT BED W/ DRAGUP TANK &amp; TOOLBOX COMBO 2024 RAM 2500 TRADESMAN GAS 4X4 CREW CAB 8FT BED W/ DRAGUP TANK &amp; TOOLBOX COMBO</t>
        </is>
      </c>
      <c r="L3543" t="n">
        <v>0</v>
      </c>
      <c r="M3543" t="n">
        <v>0</v>
      </c>
      <c r="O3543" t="inlineStr">
        <is>
          <t>RT1385</t>
        </is>
      </c>
      <c r="Q3543" s="114" t="n">
        <v>0</v>
      </c>
      <c r="R3543" s="114" t="n">
        <v>79.14</v>
      </c>
      <c r="S3543" s="114" t="n">
        <v>0</v>
      </c>
      <c r="T3543" t="n">
        <v>0</v>
      </c>
    </row>
    <row r="3544">
      <c r="A3544" t="inlineStr">
        <is>
          <t>ttJTrans</t>
        </is>
      </c>
      <c r="B3544" s="38" t="inlineStr">
        <is>
          <t>0-4100</t>
        </is>
      </c>
      <c r="C3544" t="inlineStr">
        <is>
          <t>EQ</t>
        </is>
      </c>
      <c r="E3544" t="inlineStr">
        <is>
          <t>EQ</t>
        </is>
      </c>
      <c r="G3544" s="128" t="inlineStr"/>
      <c r="H3544" s="127" t="n">
        <v>46142</v>
      </c>
      <c r="J3544" s="38" t="inlineStr">
        <is>
          <t>0-4100</t>
        </is>
      </c>
      <c r="K3544" t="inlineStr">
        <is>
          <t>RT1385 2024 RAM 2500 TRADESMAN GAS 4X4 CREW CAB 8FT BED W/ DRAGUP TANK &amp; TOOLBOX COMBO 2024 RAM 2500 TRADESMAN GAS 4X4 CREW CAB 8FT BED W/ DRAGUP TANK &amp; TOOLBOX COMBO</t>
        </is>
      </c>
      <c r="L3544" t="n">
        <v>0</v>
      </c>
      <c r="M3544" t="n">
        <v>0</v>
      </c>
      <c r="O3544" t="inlineStr">
        <is>
          <t>RT1385</t>
        </is>
      </c>
      <c r="Q3544" s="114" t="n">
        <v>0</v>
      </c>
      <c r="R3544" s="114" t="n">
        <v>79.14</v>
      </c>
      <c r="S3544" s="114" t="n">
        <v>0</v>
      </c>
      <c r="T3544" t="n">
        <v>0</v>
      </c>
    </row>
    <row r="3545">
      <c r="A3545" t="inlineStr">
        <is>
          <t>ttJTrans</t>
        </is>
      </c>
      <c r="B3545" s="38" t="inlineStr">
        <is>
          <t>0-4100</t>
        </is>
      </c>
      <c r="C3545" t="inlineStr">
        <is>
          <t>EQ</t>
        </is>
      </c>
      <c r="E3545" t="inlineStr">
        <is>
          <t>EQ</t>
        </is>
      </c>
      <c r="G3545" s="128" t="inlineStr"/>
      <c r="H3545" s="127" t="n">
        <v>46142</v>
      </c>
      <c r="J3545" s="38" t="inlineStr">
        <is>
          <t>0-4100</t>
        </is>
      </c>
      <c r="K3545" t="inlineStr">
        <is>
          <t>RT1385 2024 RAM 2500 TRADESMAN GAS 4X4 CREW CAB 8FT BED W/ DRAGUP TANK &amp; TOOLBOX COMBO 2024 RAM 2500 TRADESMAN GAS 4X4 CREW CAB 8FT BED W/ DRAGUP TANK &amp; TOOLBOX COMBO</t>
        </is>
      </c>
      <c r="L3545" t="n">
        <v>0</v>
      </c>
      <c r="M3545" t="n">
        <v>0</v>
      </c>
      <c r="O3545" t="inlineStr">
        <is>
          <t>RT1385</t>
        </is>
      </c>
      <c r="Q3545" s="114" t="n">
        <v>0</v>
      </c>
      <c r="R3545" s="114" t="n">
        <v>79.14</v>
      </c>
      <c r="S3545" s="114" t="n">
        <v>0</v>
      </c>
      <c r="T3545" t="n">
        <v>0</v>
      </c>
    </row>
    <row r="3546">
      <c r="A3546" t="inlineStr">
        <is>
          <t>ttJTrans</t>
        </is>
      </c>
      <c r="B3546" s="38" t="inlineStr">
        <is>
          <t>0-4100</t>
        </is>
      </c>
      <c r="C3546" t="inlineStr">
        <is>
          <t>EQ</t>
        </is>
      </c>
      <c r="E3546" t="inlineStr">
        <is>
          <t>EQ</t>
        </is>
      </c>
      <c r="G3546" s="128" t="inlineStr"/>
      <c r="H3546" s="127" t="n">
        <v>46142</v>
      </c>
      <c r="J3546" s="38" t="inlineStr">
        <is>
          <t>0-4100</t>
        </is>
      </c>
      <c r="K3546" t="inlineStr">
        <is>
          <t>TR425 20FT ENCLOSED CARGO TRAILER (CHARGED TO 22-4001) 20FT ENCLOSED CARGO TRAILER (CHARGED TO 22-4001)</t>
        </is>
      </c>
      <c r="L3546" t="n">
        <v>0</v>
      </c>
      <c r="M3546" t="n">
        <v>0</v>
      </c>
      <c r="O3546" t="inlineStr">
        <is>
          <t>TR425</t>
        </is>
      </c>
      <c r="Q3546" s="114" t="n">
        <v>0</v>
      </c>
      <c r="R3546" s="114" t="n">
        <v>65</v>
      </c>
      <c r="S3546" s="114" t="n">
        <v>0</v>
      </c>
      <c r="T3546" t="n">
        <v>0</v>
      </c>
    </row>
    <row r="3547">
      <c r="A3547" t="inlineStr">
        <is>
          <t>ttJTrans</t>
        </is>
      </c>
      <c r="B3547" s="38" t="inlineStr">
        <is>
          <t>0-4100</t>
        </is>
      </c>
      <c r="C3547" t="inlineStr">
        <is>
          <t>EQ</t>
        </is>
      </c>
      <c r="E3547" t="inlineStr">
        <is>
          <t>EQ</t>
        </is>
      </c>
      <c r="G3547" s="128" t="inlineStr"/>
      <c r="H3547" s="127" t="n">
        <v>46142</v>
      </c>
      <c r="J3547" s="38" t="inlineStr">
        <is>
          <t>0-4100</t>
        </is>
      </c>
      <c r="K3547" t="inlineStr">
        <is>
          <t>TR425 20FT ENCLOSED CARGO TRAILER (CHARGED TO 22-4001) 20FT ENCLOSED CARGO TRAILER (CHARGED TO 22-4001)</t>
        </is>
      </c>
      <c r="L3547" t="n">
        <v>0</v>
      </c>
      <c r="M3547" t="n">
        <v>0</v>
      </c>
      <c r="O3547" t="inlineStr">
        <is>
          <t>TR425</t>
        </is>
      </c>
      <c r="Q3547" s="114" t="n">
        <v>0</v>
      </c>
      <c r="R3547" s="114" t="n">
        <v>65</v>
      </c>
      <c r="S3547" s="114" t="n">
        <v>0</v>
      </c>
      <c r="T3547" t="n">
        <v>0</v>
      </c>
    </row>
    <row r="3548">
      <c r="A3548" t="inlineStr">
        <is>
          <t>ttJTrans</t>
        </is>
      </c>
      <c r="B3548" s="38" t="inlineStr">
        <is>
          <t>0-4100</t>
        </is>
      </c>
      <c r="C3548" t="inlineStr">
        <is>
          <t>EQ</t>
        </is>
      </c>
      <c r="E3548" t="inlineStr">
        <is>
          <t>EQ</t>
        </is>
      </c>
      <c r="G3548" s="128" t="inlineStr"/>
      <c r="H3548" s="127" t="n">
        <v>46142</v>
      </c>
      <c r="J3548" s="38" t="inlineStr">
        <is>
          <t>0-4100</t>
        </is>
      </c>
      <c r="K3548" t="inlineStr">
        <is>
          <t>TR425 20FT ENCLOSED CARGO TRAILER (CHARGED TO 22-4001) 20FT ENCLOSED CARGO TRAILER (CHARGED TO 22-4001)</t>
        </is>
      </c>
      <c r="L3548" t="n">
        <v>0</v>
      </c>
      <c r="M3548" t="n">
        <v>0</v>
      </c>
      <c r="O3548" t="inlineStr">
        <is>
          <t>TR425</t>
        </is>
      </c>
      <c r="Q3548" s="114" t="n">
        <v>0</v>
      </c>
      <c r="R3548" s="114" t="n">
        <v>65</v>
      </c>
      <c r="S3548" s="114" t="n">
        <v>0</v>
      </c>
      <c r="T3548" t="n">
        <v>0</v>
      </c>
    </row>
    <row r="3549">
      <c r="A3549" t="inlineStr">
        <is>
          <t>ttJTrans</t>
        </is>
      </c>
      <c r="B3549" s="38" t="inlineStr">
        <is>
          <t>0-4100</t>
        </is>
      </c>
      <c r="C3549" t="inlineStr">
        <is>
          <t>EQ</t>
        </is>
      </c>
      <c r="E3549" t="inlineStr">
        <is>
          <t>EQ</t>
        </is>
      </c>
      <c r="G3549" s="128" t="inlineStr"/>
      <c r="H3549" s="127" t="n">
        <v>46142</v>
      </c>
      <c r="J3549" s="38" t="inlineStr">
        <is>
          <t>0-4100</t>
        </is>
      </c>
      <c r="K3549" t="inlineStr">
        <is>
          <t>TR425 20FT ENCLOSED CARGO TRAILER (CHARGED TO 22-4001) 20FT ENCLOSED CARGO TRAILER (CHARGED TO 22-4001)</t>
        </is>
      </c>
      <c r="L3549" t="n">
        <v>0</v>
      </c>
      <c r="M3549" t="n">
        <v>0</v>
      </c>
      <c r="O3549" t="inlineStr">
        <is>
          <t>TR425</t>
        </is>
      </c>
      <c r="Q3549" s="114" t="n">
        <v>0</v>
      </c>
      <c r="R3549" s="114" t="n">
        <v>65</v>
      </c>
      <c r="S3549" s="114" t="n">
        <v>0</v>
      </c>
      <c r="T3549" t="n">
        <v>0</v>
      </c>
    </row>
    <row r="3550">
      <c r="A3550" t="inlineStr">
        <is>
          <t>ttJTrans</t>
        </is>
      </c>
      <c r="B3550" s="38" t="inlineStr">
        <is>
          <t>0-4100</t>
        </is>
      </c>
      <c r="C3550" t="inlineStr">
        <is>
          <t>EQ</t>
        </is>
      </c>
      <c r="E3550" t="inlineStr">
        <is>
          <t>EQ</t>
        </is>
      </c>
      <c r="G3550" s="128" t="inlineStr"/>
      <c r="H3550" s="127" t="n">
        <v>46142</v>
      </c>
      <c r="J3550" s="38" t="inlineStr">
        <is>
          <t>0-4100</t>
        </is>
      </c>
      <c r="K3550" t="inlineStr">
        <is>
          <t>TR428 CARRY-ON 5X8 UTILITY TRAILER (CHARGED TO 22-4001) CARRY-ON 5X8 UTILITY TRAILER (CHARGED TO 22-4001)</t>
        </is>
      </c>
      <c r="L3550" t="n">
        <v>0</v>
      </c>
      <c r="M3550" t="n">
        <v>0</v>
      </c>
      <c r="O3550" t="inlineStr">
        <is>
          <t>TR428</t>
        </is>
      </c>
      <c r="Q3550" s="114" t="n">
        <v>0</v>
      </c>
      <c r="R3550" s="114" t="n">
        <v>15</v>
      </c>
      <c r="S3550" s="114" t="n">
        <v>0</v>
      </c>
      <c r="T3550" t="n">
        <v>0</v>
      </c>
    </row>
    <row r="3551">
      <c r="A3551" t="inlineStr">
        <is>
          <t>ttJTrans</t>
        </is>
      </c>
      <c r="B3551" s="38" t="inlineStr">
        <is>
          <t>0-4100</t>
        </is>
      </c>
      <c r="C3551" t="inlineStr">
        <is>
          <t>EQ</t>
        </is>
      </c>
      <c r="E3551" t="inlineStr">
        <is>
          <t>EQ</t>
        </is>
      </c>
      <c r="G3551" s="128" t="inlineStr"/>
      <c r="H3551" s="127" t="n">
        <v>46142</v>
      </c>
      <c r="J3551" s="38" t="inlineStr">
        <is>
          <t>0-4100</t>
        </is>
      </c>
      <c r="K3551" t="inlineStr">
        <is>
          <t>TR428 CARRY-ON 5X8 UTILITY TRAILER (CHARGED TO 22-4001) CARRY-ON 5X8 UTILITY TRAILER (CHARGED TO 22-4001)</t>
        </is>
      </c>
      <c r="L3551" t="n">
        <v>0</v>
      </c>
      <c r="M3551" t="n">
        <v>0</v>
      </c>
      <c r="O3551" t="inlineStr">
        <is>
          <t>TR428</t>
        </is>
      </c>
      <c r="Q3551" s="114" t="n">
        <v>0</v>
      </c>
      <c r="R3551" s="114" t="n">
        <v>15</v>
      </c>
      <c r="S3551" s="114" t="n">
        <v>0</v>
      </c>
      <c r="T3551" t="n">
        <v>0</v>
      </c>
    </row>
    <row r="3552">
      <c r="A3552" t="inlineStr">
        <is>
          <t>ttJTrans</t>
        </is>
      </c>
      <c r="B3552" s="38" t="inlineStr">
        <is>
          <t>0-4100</t>
        </is>
      </c>
      <c r="C3552" t="inlineStr">
        <is>
          <t>EQ</t>
        </is>
      </c>
      <c r="E3552" t="inlineStr">
        <is>
          <t>EQ</t>
        </is>
      </c>
      <c r="G3552" s="128" t="inlineStr"/>
      <c r="H3552" s="127" t="n">
        <v>46142</v>
      </c>
      <c r="J3552" s="38" t="inlineStr">
        <is>
          <t>0-4100</t>
        </is>
      </c>
      <c r="K3552" t="inlineStr">
        <is>
          <t>TR428 CARRY-ON 5X8 UTILITY TRAILER (CHARGED TO 22-4001) CARRY-ON 5X8 UTILITY TRAILER (CHARGED TO 22-4001)</t>
        </is>
      </c>
      <c r="L3552" t="n">
        <v>0</v>
      </c>
      <c r="M3552" t="n">
        <v>0</v>
      </c>
      <c r="O3552" t="inlineStr">
        <is>
          <t>TR428</t>
        </is>
      </c>
      <c r="Q3552" s="114" t="n">
        <v>0</v>
      </c>
      <c r="R3552" s="114" t="n">
        <v>15</v>
      </c>
      <c r="S3552" s="114" t="n">
        <v>0</v>
      </c>
      <c r="T3552" t="n">
        <v>0</v>
      </c>
    </row>
    <row r="3553">
      <c r="A3553" t="inlineStr">
        <is>
          <t>ttJTrans</t>
        </is>
      </c>
      <c r="B3553" s="38" t="inlineStr">
        <is>
          <t>0-4100</t>
        </is>
      </c>
      <c r="C3553" t="inlineStr">
        <is>
          <t>EQ</t>
        </is>
      </c>
      <c r="E3553" t="inlineStr">
        <is>
          <t>EQ</t>
        </is>
      </c>
      <c r="G3553" s="128" t="inlineStr"/>
      <c r="H3553" s="127" t="n">
        <v>46142</v>
      </c>
      <c r="J3553" s="38" t="inlineStr">
        <is>
          <t>0-4100</t>
        </is>
      </c>
      <c r="K3553" t="inlineStr">
        <is>
          <t>TR428 CARRY-ON 5X8 UTILITY TRAILER (CHARGED TO 22-4001) CARRY-ON 5X8 UTILITY TRAILER (CHARGED TO 22-4001)</t>
        </is>
      </c>
      <c r="L3553" t="n">
        <v>0</v>
      </c>
      <c r="M3553" t="n">
        <v>0</v>
      </c>
      <c r="O3553" t="inlineStr">
        <is>
          <t>TR428</t>
        </is>
      </c>
      <c r="Q3553" s="114" t="n">
        <v>0</v>
      </c>
      <c r="R3553" s="114" t="n">
        <v>15</v>
      </c>
      <c r="S3553" s="114" t="n">
        <v>0</v>
      </c>
      <c r="T3553" t="n">
        <v>0</v>
      </c>
    </row>
    <row r="3554">
      <c r="A3554" t="inlineStr">
        <is>
          <t>ttJTrans</t>
        </is>
      </c>
      <c r="B3554" s="38" t="inlineStr">
        <is>
          <t>0-4100</t>
        </is>
      </c>
      <c r="C3554" t="inlineStr">
        <is>
          <t>EQ</t>
        </is>
      </c>
      <c r="E3554" t="inlineStr">
        <is>
          <t>EQ</t>
        </is>
      </c>
      <c r="G3554" s="128" t="inlineStr"/>
      <c r="H3554" s="127" t="n">
        <v>46142</v>
      </c>
      <c r="J3554" s="38" t="inlineStr">
        <is>
          <t>0-4100</t>
        </is>
      </c>
      <c r="K3554" t="inlineStr">
        <is>
          <t>TR145 20' CARGO TRAILER 20' CARGO TRAILER</t>
        </is>
      </c>
      <c r="L3554" t="n">
        <v>0</v>
      </c>
      <c r="M3554" t="n">
        <v>0</v>
      </c>
      <c r="O3554" t="inlineStr">
        <is>
          <t>TR145</t>
        </is>
      </c>
      <c r="Q3554" s="114" t="n">
        <v>0</v>
      </c>
      <c r="R3554" s="114" t="n">
        <v>65</v>
      </c>
      <c r="S3554" s="114" t="n">
        <v>0</v>
      </c>
      <c r="T3554" t="n">
        <v>0</v>
      </c>
    </row>
    <row r="3555">
      <c r="A3555" t="inlineStr">
        <is>
          <t>ttJTrans</t>
        </is>
      </c>
      <c r="B3555" s="38" t="inlineStr">
        <is>
          <t>0-4100</t>
        </is>
      </c>
      <c r="C3555" t="inlineStr">
        <is>
          <t>EQ</t>
        </is>
      </c>
      <c r="E3555" t="inlineStr">
        <is>
          <t>EQ</t>
        </is>
      </c>
      <c r="G3555" s="128" t="inlineStr"/>
      <c r="H3555" s="127" t="n">
        <v>46142</v>
      </c>
      <c r="J3555" s="38" t="inlineStr">
        <is>
          <t>0-4100</t>
        </is>
      </c>
      <c r="K3555" t="inlineStr">
        <is>
          <t>TR145 20' CARGO TRAILER 20' CARGO TRAILER</t>
        </is>
      </c>
      <c r="L3555" t="n">
        <v>0</v>
      </c>
      <c r="M3555" t="n">
        <v>0</v>
      </c>
      <c r="O3555" t="inlineStr">
        <is>
          <t>TR145</t>
        </is>
      </c>
      <c r="Q3555" s="114" t="n">
        <v>0</v>
      </c>
      <c r="R3555" s="114" t="n">
        <v>65</v>
      </c>
      <c r="S3555" s="114" t="n">
        <v>0</v>
      </c>
      <c r="T3555" t="n">
        <v>0</v>
      </c>
    </row>
    <row r="3556">
      <c r="A3556" t="inlineStr">
        <is>
          <t>ttJTrans</t>
        </is>
      </c>
      <c r="B3556" s="38" t="inlineStr">
        <is>
          <t>0-4100</t>
        </is>
      </c>
      <c r="C3556" t="inlineStr">
        <is>
          <t>EQ</t>
        </is>
      </c>
      <c r="E3556" t="inlineStr">
        <is>
          <t>EQ</t>
        </is>
      </c>
      <c r="G3556" s="128" t="inlineStr"/>
      <c r="H3556" s="127" t="n">
        <v>46142</v>
      </c>
      <c r="J3556" s="38" t="inlineStr">
        <is>
          <t>0-4100</t>
        </is>
      </c>
      <c r="K3556" t="inlineStr">
        <is>
          <t>TR145 20' CARGO TRAILER 20' CARGO TRAILER</t>
        </is>
      </c>
      <c r="L3556" t="n">
        <v>0</v>
      </c>
      <c r="M3556" t="n">
        <v>0</v>
      </c>
      <c r="O3556" t="inlineStr">
        <is>
          <t>TR145</t>
        </is>
      </c>
      <c r="Q3556" s="114" t="n">
        <v>0</v>
      </c>
      <c r="R3556" s="114" t="n">
        <v>65</v>
      </c>
      <c r="S3556" s="114" t="n">
        <v>0</v>
      </c>
      <c r="T3556" t="n">
        <v>0</v>
      </c>
    </row>
    <row r="3557">
      <c r="A3557" t="inlineStr">
        <is>
          <t>ttJTrans</t>
        </is>
      </c>
      <c r="B3557" s="38" t="inlineStr">
        <is>
          <t>0-4100</t>
        </is>
      </c>
      <c r="C3557" t="inlineStr">
        <is>
          <t>EQ</t>
        </is>
      </c>
      <c r="E3557" t="inlineStr">
        <is>
          <t>EQ</t>
        </is>
      </c>
      <c r="G3557" s="128" t="inlineStr"/>
      <c r="H3557" s="127" t="n">
        <v>46142</v>
      </c>
      <c r="J3557" s="38" t="inlineStr">
        <is>
          <t>0-4100</t>
        </is>
      </c>
      <c r="K3557" t="inlineStr">
        <is>
          <t>TR145 20' CARGO TRAILER 20' CARGO TRAILER</t>
        </is>
      </c>
      <c r="L3557" t="n">
        <v>0</v>
      </c>
      <c r="M3557" t="n">
        <v>0</v>
      </c>
      <c r="O3557" t="inlineStr">
        <is>
          <t>TR145</t>
        </is>
      </c>
      <c r="Q3557" s="114" t="n">
        <v>0</v>
      </c>
      <c r="R3557" s="114" t="n">
        <v>65</v>
      </c>
      <c r="S3557" s="114" t="n">
        <v>0</v>
      </c>
      <c r="T3557" t="n">
        <v>0</v>
      </c>
    </row>
    <row r="3558">
      <c r="A3558" t="inlineStr">
        <is>
          <t>ttJTrans</t>
        </is>
      </c>
      <c r="B3558" s="38" t="inlineStr">
        <is>
          <t>0-4100</t>
        </is>
      </c>
      <c r="C3558" t="inlineStr">
        <is>
          <t>EQ</t>
        </is>
      </c>
      <c r="E3558" t="inlineStr">
        <is>
          <t>EQ</t>
        </is>
      </c>
      <c r="G3558" s="128" t="inlineStr"/>
      <c r="H3558" s="127" t="n">
        <v>46145</v>
      </c>
      <c r="J3558" s="38" t="inlineStr">
        <is>
          <t>0-4100</t>
        </is>
      </c>
      <c r="K3558" t="inlineStr">
        <is>
          <t>FE017 7' ROTARY CUTTER 7' ROTARY CUTTER</t>
        </is>
      </c>
      <c r="L3558" t="n">
        <v>0</v>
      </c>
      <c r="M3558" t="n">
        <v>0</v>
      </c>
      <c r="O3558" t="inlineStr">
        <is>
          <t>FE017</t>
        </is>
      </c>
      <c r="Q3558" s="114" t="n">
        <v>0</v>
      </c>
      <c r="R3558" s="114" t="n">
        <v>0</v>
      </c>
      <c r="S3558" s="114" t="n">
        <v>0</v>
      </c>
      <c r="T3558" t="n">
        <v>0</v>
      </c>
    </row>
    <row r="3559">
      <c r="A3559" t="inlineStr">
        <is>
          <t>ttJTrans</t>
        </is>
      </c>
      <c r="B3559" s="38" t="inlineStr">
        <is>
          <t>0-4100</t>
        </is>
      </c>
      <c r="C3559" t="inlineStr">
        <is>
          <t>EQ</t>
        </is>
      </c>
      <c r="E3559" t="inlineStr">
        <is>
          <t>EQ</t>
        </is>
      </c>
      <c r="G3559" s="128" t="inlineStr"/>
      <c r="H3559" s="127" t="n">
        <v>46145</v>
      </c>
      <c r="J3559" s="38" t="inlineStr">
        <is>
          <t>0-4100</t>
        </is>
      </c>
      <c r="K3559" t="inlineStr">
        <is>
          <t>FE017 7' ROTARY CUTTER 7' ROTARY CUTTER</t>
        </is>
      </c>
      <c r="L3559" t="n">
        <v>0</v>
      </c>
      <c r="M3559" t="n">
        <v>0</v>
      </c>
      <c r="O3559" t="inlineStr">
        <is>
          <t>FE017</t>
        </is>
      </c>
      <c r="Q3559" s="114" t="n">
        <v>0</v>
      </c>
      <c r="R3559" s="114" t="n">
        <v>0</v>
      </c>
      <c r="S3559" s="114" t="n">
        <v>0</v>
      </c>
      <c r="T3559" t="n">
        <v>0</v>
      </c>
    </row>
    <row r="3560">
      <c r="A3560" t="inlineStr">
        <is>
          <t>ttJTrans</t>
        </is>
      </c>
      <c r="B3560" s="38" t="inlineStr">
        <is>
          <t>0-4100</t>
        </is>
      </c>
      <c r="C3560" t="inlineStr">
        <is>
          <t>EQ</t>
        </is>
      </c>
      <c r="E3560" t="inlineStr">
        <is>
          <t>EQ</t>
        </is>
      </c>
      <c r="G3560" s="128" t="inlineStr"/>
      <c r="H3560" s="127" t="n">
        <v>46145</v>
      </c>
      <c r="J3560" s="38" t="inlineStr">
        <is>
          <t>0-4100</t>
        </is>
      </c>
      <c r="K3560" t="inlineStr">
        <is>
          <t>FT011 JOHN DEERE 6130M TRACTOR W/ 620R LOADER JOHN DEERE 6130M TRACTOR W/ 620R LOADER</t>
        </is>
      </c>
      <c r="L3560" t="n">
        <v>0</v>
      </c>
      <c r="M3560" t="n">
        <v>0</v>
      </c>
      <c r="O3560" t="inlineStr">
        <is>
          <t>FT011</t>
        </is>
      </c>
      <c r="Q3560" s="114" t="n">
        <v>0</v>
      </c>
      <c r="R3560" s="114" t="n">
        <v>291.67</v>
      </c>
      <c r="S3560" s="114" t="n">
        <v>0</v>
      </c>
      <c r="T3560" t="n">
        <v>0</v>
      </c>
    </row>
    <row r="3561">
      <c r="A3561" t="inlineStr">
        <is>
          <t>ttJTrans</t>
        </is>
      </c>
      <c r="B3561" s="38" t="inlineStr">
        <is>
          <t>0-4100</t>
        </is>
      </c>
      <c r="C3561" t="inlineStr">
        <is>
          <t>EQ</t>
        </is>
      </c>
      <c r="E3561" t="inlineStr">
        <is>
          <t>EQ</t>
        </is>
      </c>
      <c r="G3561" s="128" t="inlineStr"/>
      <c r="H3561" s="127" t="n">
        <v>46145</v>
      </c>
      <c r="J3561" s="38" t="inlineStr">
        <is>
          <t>0-4100</t>
        </is>
      </c>
      <c r="K3561" t="inlineStr">
        <is>
          <t>FT011 JOHN DEERE 6130M TRACTOR W/ 620R LOADER JOHN DEERE 6130M TRACTOR W/ 620R LOADER</t>
        </is>
      </c>
      <c r="L3561" t="n">
        <v>0</v>
      </c>
      <c r="M3561" t="n">
        <v>0</v>
      </c>
      <c r="O3561" t="inlineStr">
        <is>
          <t>FT011</t>
        </is>
      </c>
      <c r="Q3561" s="114" t="n">
        <v>0</v>
      </c>
      <c r="R3561" s="114" t="n">
        <v>291.67</v>
      </c>
      <c r="S3561" s="114" t="n">
        <v>0</v>
      </c>
      <c r="T3561" t="n">
        <v>0</v>
      </c>
    </row>
    <row r="3562">
      <c r="A3562" t="inlineStr">
        <is>
          <t>ttJTrans</t>
        </is>
      </c>
      <c r="B3562" s="38" t="inlineStr">
        <is>
          <t>0-4100</t>
        </is>
      </c>
      <c r="C3562" t="inlineStr">
        <is>
          <t>EQ</t>
        </is>
      </c>
      <c r="E3562" t="inlineStr">
        <is>
          <t>EQ</t>
        </is>
      </c>
      <c r="G3562" s="128" t="inlineStr"/>
      <c r="H3562" s="127" t="n">
        <v>46145</v>
      </c>
      <c r="J3562" s="38" t="inlineStr">
        <is>
          <t>0-4100</t>
        </is>
      </c>
      <c r="K3562" t="inlineStr">
        <is>
          <t>WLD146 SILT FENCE PLOW - SKID STEER SILT FENCE PLOW - SKID STEER</t>
        </is>
      </c>
      <c r="L3562" t="n">
        <v>0</v>
      </c>
      <c r="M3562" t="n">
        <v>0</v>
      </c>
      <c r="O3562" t="inlineStr">
        <is>
          <t>WLD146</t>
        </is>
      </c>
      <c r="Q3562" s="114" t="n">
        <v>0</v>
      </c>
      <c r="R3562" s="114" t="n">
        <v>50</v>
      </c>
      <c r="S3562" s="114" t="n">
        <v>0</v>
      </c>
      <c r="T3562" t="n">
        <v>0</v>
      </c>
    </row>
    <row r="3563">
      <c r="A3563" t="inlineStr">
        <is>
          <t>ttJTrans</t>
        </is>
      </c>
      <c r="B3563" s="38" t="inlineStr">
        <is>
          <t>0-4100</t>
        </is>
      </c>
      <c r="C3563" t="inlineStr">
        <is>
          <t>EQ</t>
        </is>
      </c>
      <c r="E3563" t="inlineStr">
        <is>
          <t>EQ</t>
        </is>
      </c>
      <c r="G3563" s="128" t="inlineStr"/>
      <c r="H3563" s="127" t="n">
        <v>46145</v>
      </c>
      <c r="J3563" s="38" t="inlineStr">
        <is>
          <t>0-4100</t>
        </is>
      </c>
      <c r="K3563" t="inlineStr">
        <is>
          <t>WLD146 SILT FENCE PLOW - SKID STEER SILT FENCE PLOW - SKID STEER</t>
        </is>
      </c>
      <c r="L3563" t="n">
        <v>0</v>
      </c>
      <c r="M3563" t="n">
        <v>0</v>
      </c>
      <c r="O3563" t="inlineStr">
        <is>
          <t>WLD146</t>
        </is>
      </c>
      <c r="Q3563" s="114" t="n">
        <v>0</v>
      </c>
      <c r="R3563" s="114" t="n">
        <v>50</v>
      </c>
      <c r="S3563" s="114" t="n">
        <v>0</v>
      </c>
      <c r="T3563" t="n">
        <v>0</v>
      </c>
    </row>
    <row r="3564">
      <c r="A3564" t="inlineStr">
        <is>
          <t>ttJTrans</t>
        </is>
      </c>
      <c r="B3564" s="38" t="inlineStr">
        <is>
          <t>0-4100</t>
        </is>
      </c>
      <c r="C3564" t="inlineStr">
        <is>
          <t>EQ</t>
        </is>
      </c>
      <c r="E3564" t="inlineStr">
        <is>
          <t>EQ</t>
        </is>
      </c>
      <c r="G3564" s="128" t="inlineStr"/>
      <c r="H3564" s="127" t="n">
        <v>46145</v>
      </c>
      <c r="J3564" s="38" t="inlineStr">
        <is>
          <t>0-4100</t>
        </is>
      </c>
      <c r="K3564" t="inlineStr">
        <is>
          <t>RT1385 2024 RAM 2500 TRADESMAN GAS 4X4 CREW CAB 8FT BED W/ DRAGUP TANK &amp; TOOLBOX COMBO 2024 RAM 2500 TRADESMAN GAS 4X4 CREW CAB 8FT BED W/ DRAGUP TANK &amp; TOOLBOX COMBO</t>
        </is>
      </c>
      <c r="L3564" t="n">
        <v>0</v>
      </c>
      <c r="M3564" t="n">
        <v>0</v>
      </c>
      <c r="O3564" t="inlineStr">
        <is>
          <t>RT1385</t>
        </is>
      </c>
      <c r="Q3564" s="114" t="n">
        <v>0</v>
      </c>
      <c r="R3564" s="114" t="n">
        <v>79.14</v>
      </c>
      <c r="S3564" s="114" t="n">
        <v>0</v>
      </c>
      <c r="T3564" t="n">
        <v>0</v>
      </c>
    </row>
    <row r="3565">
      <c r="A3565" t="inlineStr">
        <is>
          <t>ttJTrans</t>
        </is>
      </c>
      <c r="B3565" s="38" t="inlineStr">
        <is>
          <t>0-4100</t>
        </is>
      </c>
      <c r="C3565" t="inlineStr">
        <is>
          <t>EQ</t>
        </is>
      </c>
      <c r="E3565" t="inlineStr">
        <is>
          <t>EQ</t>
        </is>
      </c>
      <c r="G3565" s="128" t="inlineStr"/>
      <c r="H3565" s="127" t="n">
        <v>46145</v>
      </c>
      <c r="J3565" s="38" t="inlineStr">
        <is>
          <t>0-4100</t>
        </is>
      </c>
      <c r="K3565" t="inlineStr">
        <is>
          <t>RT1385 2024 RAM 2500 TRADESMAN GAS 4X4 CREW CAB 8FT BED W/ DRAGUP TANK &amp; TOOLBOX COMBO 2024 RAM 2500 TRADESMAN GAS 4X4 CREW CAB 8FT BED W/ DRAGUP TANK &amp; TOOLBOX COMBO</t>
        </is>
      </c>
      <c r="L3565" t="n">
        <v>0</v>
      </c>
      <c r="M3565" t="n">
        <v>0</v>
      </c>
      <c r="O3565" t="inlineStr">
        <is>
          <t>RT1385</t>
        </is>
      </c>
      <c r="Q3565" s="114" t="n">
        <v>0</v>
      </c>
      <c r="R3565" s="114" t="n">
        <v>79.14</v>
      </c>
      <c r="S3565" s="114" t="n">
        <v>0</v>
      </c>
      <c r="T3565" t="n">
        <v>0</v>
      </c>
    </row>
    <row r="3566">
      <c r="A3566" t="inlineStr">
        <is>
          <t>ttJTrans</t>
        </is>
      </c>
      <c r="B3566" s="38" t="inlineStr">
        <is>
          <t>0-4100</t>
        </is>
      </c>
      <c r="C3566" t="inlineStr">
        <is>
          <t>EQ</t>
        </is>
      </c>
      <c r="E3566" t="inlineStr">
        <is>
          <t>EQ</t>
        </is>
      </c>
      <c r="G3566" s="128" t="inlineStr"/>
      <c r="H3566" s="127" t="n">
        <v>46145</v>
      </c>
      <c r="J3566" s="38" t="inlineStr">
        <is>
          <t>0-4100</t>
        </is>
      </c>
      <c r="K3566" t="inlineStr">
        <is>
          <t>TR425 20FT ENCLOSED CARGO TRAILER (CHARGED TO 22-4001) 20FT ENCLOSED CARGO TRAILER (CHARGED TO 22-4001)</t>
        </is>
      </c>
      <c r="L3566" t="n">
        <v>0</v>
      </c>
      <c r="M3566" t="n">
        <v>0</v>
      </c>
      <c r="O3566" t="inlineStr">
        <is>
          <t>TR425</t>
        </is>
      </c>
      <c r="Q3566" s="114" t="n">
        <v>0</v>
      </c>
      <c r="R3566" s="114" t="n">
        <v>65</v>
      </c>
      <c r="S3566" s="114" t="n">
        <v>0</v>
      </c>
      <c r="T3566" t="n">
        <v>0</v>
      </c>
    </row>
    <row r="3567">
      <c r="A3567" t="inlineStr">
        <is>
          <t>ttJTrans</t>
        </is>
      </c>
      <c r="B3567" s="38" t="inlineStr">
        <is>
          <t>0-4100</t>
        </is>
      </c>
      <c r="C3567" t="inlineStr">
        <is>
          <t>EQ</t>
        </is>
      </c>
      <c r="E3567" t="inlineStr">
        <is>
          <t>EQ</t>
        </is>
      </c>
      <c r="G3567" s="128" t="inlineStr"/>
      <c r="H3567" s="127" t="n">
        <v>46145</v>
      </c>
      <c r="J3567" s="38" t="inlineStr">
        <is>
          <t>0-4100</t>
        </is>
      </c>
      <c r="K3567" t="inlineStr">
        <is>
          <t>TR425 20FT ENCLOSED CARGO TRAILER (CHARGED TO 22-4001) 20FT ENCLOSED CARGO TRAILER (CHARGED TO 22-4001)</t>
        </is>
      </c>
      <c r="L3567" t="n">
        <v>0</v>
      </c>
      <c r="M3567" t="n">
        <v>0</v>
      </c>
      <c r="O3567" t="inlineStr">
        <is>
          <t>TR425</t>
        </is>
      </c>
      <c r="Q3567" s="114" t="n">
        <v>0</v>
      </c>
      <c r="R3567" s="114" t="n">
        <v>65</v>
      </c>
      <c r="S3567" s="114" t="n">
        <v>0</v>
      </c>
      <c r="T3567" t="n">
        <v>0</v>
      </c>
    </row>
    <row r="3568">
      <c r="A3568" t="inlineStr">
        <is>
          <t>ttJTrans</t>
        </is>
      </c>
      <c r="B3568" s="38" t="inlineStr">
        <is>
          <t>0-4100</t>
        </is>
      </c>
      <c r="C3568" t="inlineStr">
        <is>
          <t>EQ</t>
        </is>
      </c>
      <c r="E3568" t="inlineStr">
        <is>
          <t>EQ</t>
        </is>
      </c>
      <c r="G3568" s="128" t="inlineStr"/>
      <c r="H3568" s="127" t="n">
        <v>46145</v>
      </c>
      <c r="J3568" s="38" t="inlineStr">
        <is>
          <t>0-4100</t>
        </is>
      </c>
      <c r="K3568" t="inlineStr">
        <is>
          <t>TR428 CARRY-ON 5X8 UTILITY TRAILER (CHARGED TO 22-4001) CARRY-ON 5X8 UTILITY TRAILER (CHARGED TO 22-4001)</t>
        </is>
      </c>
      <c r="L3568" t="n">
        <v>0</v>
      </c>
      <c r="M3568" t="n">
        <v>0</v>
      </c>
      <c r="O3568" t="inlineStr">
        <is>
          <t>TR428</t>
        </is>
      </c>
      <c r="Q3568" s="114" t="n">
        <v>0</v>
      </c>
      <c r="R3568" s="114" t="n">
        <v>15</v>
      </c>
      <c r="S3568" s="114" t="n">
        <v>0</v>
      </c>
      <c r="T3568" t="n">
        <v>0</v>
      </c>
    </row>
    <row r="3569">
      <c r="A3569" t="inlineStr">
        <is>
          <t>ttJTrans</t>
        </is>
      </c>
      <c r="B3569" s="38" t="inlineStr">
        <is>
          <t>0-4100</t>
        </is>
      </c>
      <c r="C3569" t="inlineStr">
        <is>
          <t>EQ</t>
        </is>
      </c>
      <c r="E3569" t="inlineStr">
        <is>
          <t>EQ</t>
        </is>
      </c>
      <c r="G3569" s="128" t="inlineStr"/>
      <c r="H3569" s="127" t="n">
        <v>46145</v>
      </c>
      <c r="J3569" s="38" t="inlineStr">
        <is>
          <t>0-4100</t>
        </is>
      </c>
      <c r="K3569" t="inlineStr">
        <is>
          <t>TR428 CARRY-ON 5X8 UTILITY TRAILER (CHARGED TO 22-4001) CARRY-ON 5X8 UTILITY TRAILER (CHARGED TO 22-4001)</t>
        </is>
      </c>
      <c r="L3569" t="n">
        <v>0</v>
      </c>
      <c r="M3569" t="n">
        <v>0</v>
      </c>
      <c r="O3569" t="inlineStr">
        <is>
          <t>TR428</t>
        </is>
      </c>
      <c r="Q3569" s="114" t="n">
        <v>0</v>
      </c>
      <c r="R3569" s="114" t="n">
        <v>15</v>
      </c>
      <c r="S3569" s="114" t="n">
        <v>0</v>
      </c>
      <c r="T3569" t="n">
        <v>0</v>
      </c>
    </row>
    <row r="3570">
      <c r="A3570" t="inlineStr">
        <is>
          <t>ttJTrans</t>
        </is>
      </c>
      <c r="B3570" s="38" t="inlineStr">
        <is>
          <t>0-4100</t>
        </is>
      </c>
      <c r="C3570" t="inlineStr">
        <is>
          <t>EQ</t>
        </is>
      </c>
      <c r="E3570" t="inlineStr">
        <is>
          <t>EQ</t>
        </is>
      </c>
      <c r="G3570" s="128" t="inlineStr"/>
      <c r="H3570" s="127" t="n">
        <v>46145</v>
      </c>
      <c r="J3570" s="38" t="inlineStr">
        <is>
          <t>0-4100</t>
        </is>
      </c>
      <c r="K3570" t="inlineStr">
        <is>
          <t>TR145 20' CARGO TRAILER 20' CARGO TRAILER</t>
        </is>
      </c>
      <c r="L3570" t="n">
        <v>0</v>
      </c>
      <c r="M3570" t="n">
        <v>0</v>
      </c>
      <c r="O3570" t="inlineStr">
        <is>
          <t>TR145</t>
        </is>
      </c>
      <c r="Q3570" s="114" t="n">
        <v>0</v>
      </c>
      <c r="R3570" s="114" t="n">
        <v>65</v>
      </c>
      <c r="S3570" s="114" t="n">
        <v>0</v>
      </c>
      <c r="T3570" t="n">
        <v>0</v>
      </c>
    </row>
    <row r="3571">
      <c r="A3571" t="inlineStr">
        <is>
          <t>ttJTrans</t>
        </is>
      </c>
      <c r="B3571" s="38" t="inlineStr">
        <is>
          <t>0-4100</t>
        </is>
      </c>
      <c r="C3571" t="inlineStr">
        <is>
          <t>EQ</t>
        </is>
      </c>
      <c r="E3571" t="inlineStr">
        <is>
          <t>EQ</t>
        </is>
      </c>
      <c r="G3571" s="128" t="inlineStr"/>
      <c r="H3571" s="127" t="n">
        <v>46145</v>
      </c>
      <c r="J3571" s="38" t="inlineStr">
        <is>
          <t>0-4100</t>
        </is>
      </c>
      <c r="K3571" t="inlineStr">
        <is>
          <t>TR145 20' CARGO TRAILER 20' CARGO TRAILER</t>
        </is>
      </c>
      <c r="L3571" t="n">
        <v>0</v>
      </c>
      <c r="M3571" t="n">
        <v>0</v>
      </c>
      <c r="O3571" t="inlineStr">
        <is>
          <t>TR145</t>
        </is>
      </c>
      <c r="Q3571" s="114" t="n">
        <v>0</v>
      </c>
      <c r="R3571" s="114" t="n">
        <v>65</v>
      </c>
      <c r="S3571" s="114" t="n">
        <v>0</v>
      </c>
      <c r="T3571" t="n">
        <v>0</v>
      </c>
    </row>
    <row r="3572">
      <c r="A3572" t="inlineStr">
        <is>
          <t>ttJTrans</t>
        </is>
      </c>
      <c r="B3572" s="38" t="inlineStr">
        <is>
          <t>0-4100</t>
        </is>
      </c>
      <c r="C3572" t="inlineStr">
        <is>
          <t>EQ</t>
        </is>
      </c>
      <c r="E3572" t="inlineStr">
        <is>
          <t>EQ</t>
        </is>
      </c>
      <c r="G3572" s="128" t="inlineStr"/>
      <c r="H3572" s="127" t="n">
        <v>46145</v>
      </c>
      <c r="J3572" s="38" t="inlineStr">
        <is>
          <t>0-4100</t>
        </is>
      </c>
      <c r="K3572" t="inlineStr">
        <is>
          <t>BH235 2023 KOMATSU PC88MR-11 EXCAVATOR 2023 KOMATSU PC88MR-11 EXCAVATOR</t>
        </is>
      </c>
      <c r="L3572" t="n">
        <v>0</v>
      </c>
      <c r="M3572" t="n">
        <v>0</v>
      </c>
      <c r="O3572" t="inlineStr">
        <is>
          <t>BH235</t>
        </is>
      </c>
      <c r="Q3572" s="114" t="n">
        <v>0</v>
      </c>
      <c r="R3572" s="114" t="n">
        <v>125</v>
      </c>
      <c r="S3572" s="114" t="n">
        <v>0</v>
      </c>
      <c r="T3572" t="n">
        <v>0</v>
      </c>
    </row>
    <row r="3573">
      <c r="A3573" t="inlineStr">
        <is>
          <t>ttJTrans</t>
        </is>
      </c>
      <c r="B3573" s="38" t="inlineStr">
        <is>
          <t>0-4100</t>
        </is>
      </c>
      <c r="C3573" t="inlineStr">
        <is>
          <t>EQ</t>
        </is>
      </c>
      <c r="E3573" t="inlineStr">
        <is>
          <t>EQ</t>
        </is>
      </c>
      <c r="G3573" s="128" t="inlineStr"/>
      <c r="H3573" s="127" t="n">
        <v>46145</v>
      </c>
      <c r="J3573" s="38" t="inlineStr">
        <is>
          <t>0-4100</t>
        </is>
      </c>
      <c r="K3573" t="inlineStr">
        <is>
          <t>BH235 2023 KOMATSU PC88MR-11 EXCAVATOR 2023 KOMATSU PC88MR-11 EXCAVATOR</t>
        </is>
      </c>
      <c r="L3573" t="n">
        <v>0</v>
      </c>
      <c r="M3573" t="n">
        <v>0</v>
      </c>
      <c r="O3573" t="inlineStr">
        <is>
          <t>BH235</t>
        </is>
      </c>
      <c r="Q3573" s="114" t="n">
        <v>0</v>
      </c>
      <c r="R3573" s="114" t="n">
        <v>125</v>
      </c>
      <c r="S3573" s="114" t="n">
        <v>0</v>
      </c>
      <c r="T3573" t="n">
        <v>0</v>
      </c>
    </row>
    <row r="3574">
      <c r="A3574" t="inlineStr">
        <is>
          <t>ttJTrans</t>
        </is>
      </c>
      <c r="B3574" s="38" t="inlineStr">
        <is>
          <t>0-4100</t>
        </is>
      </c>
      <c r="C3574" t="inlineStr">
        <is>
          <t>EQ</t>
        </is>
      </c>
      <c r="E3574" t="inlineStr">
        <is>
          <t>EQ</t>
        </is>
      </c>
      <c r="G3574" s="128" t="inlineStr"/>
      <c r="H3574" s="127" t="n">
        <v>46145</v>
      </c>
      <c r="J3574" s="38" t="inlineStr">
        <is>
          <t>0-4100</t>
        </is>
      </c>
      <c r="K3574" t="inlineStr">
        <is>
          <t>SSRAKE03 TITAN SSL-84 GRAPPLE RAKE TITAN SSL-84 GRAPPLE RAKE</t>
        </is>
      </c>
      <c r="L3574" t="n">
        <v>0</v>
      </c>
      <c r="M3574" t="n">
        <v>0</v>
      </c>
      <c r="O3574" t="inlineStr">
        <is>
          <t>SSRAKE03</t>
        </is>
      </c>
      <c r="Q3574" s="114" t="n">
        <v>0</v>
      </c>
      <c r="R3574" s="114" t="n">
        <v>0</v>
      </c>
      <c r="S3574" s="114" t="n">
        <v>0</v>
      </c>
      <c r="T3574" t="n">
        <v>0</v>
      </c>
    </row>
    <row r="3575">
      <c r="A3575" t="inlineStr">
        <is>
          <t>ttJTrans</t>
        </is>
      </c>
      <c r="B3575" s="38" t="inlineStr">
        <is>
          <t>0-4100</t>
        </is>
      </c>
      <c r="C3575" t="inlineStr">
        <is>
          <t>EQ</t>
        </is>
      </c>
      <c r="E3575" t="inlineStr">
        <is>
          <t>EQ</t>
        </is>
      </c>
      <c r="G3575" s="128" t="inlineStr"/>
      <c r="H3575" s="127" t="n">
        <v>46145</v>
      </c>
      <c r="J3575" s="38" t="inlineStr">
        <is>
          <t>0-4100</t>
        </is>
      </c>
      <c r="K3575" t="inlineStr">
        <is>
          <t>SSRAKE03 TITAN SSL-84 GRAPPLE RAKE TITAN SSL-84 GRAPPLE RAKE</t>
        </is>
      </c>
      <c r="L3575" t="n">
        <v>0</v>
      </c>
      <c r="M3575" t="n">
        <v>0</v>
      </c>
      <c r="O3575" t="inlineStr">
        <is>
          <t>SSRAKE03</t>
        </is>
      </c>
      <c r="Q3575" s="114" t="n">
        <v>0</v>
      </c>
      <c r="R3575" s="114" t="n">
        <v>0</v>
      </c>
      <c r="S3575" s="114" t="n">
        <v>0</v>
      </c>
      <c r="T3575" t="n">
        <v>0</v>
      </c>
    </row>
    <row r="3576">
      <c r="A3576" t="inlineStr">
        <is>
          <t>ttJTrans</t>
        </is>
      </c>
      <c r="B3576" s="38" t="inlineStr">
        <is>
          <t>0-4100</t>
        </is>
      </c>
      <c r="C3576" t="inlineStr">
        <is>
          <t>EQ</t>
        </is>
      </c>
      <c r="E3576" t="inlineStr">
        <is>
          <t>EQ</t>
        </is>
      </c>
      <c r="G3576" s="128" t="inlineStr"/>
      <c r="H3576" s="127" t="n">
        <v>46152</v>
      </c>
      <c r="J3576" s="38" t="inlineStr">
        <is>
          <t>0-4100</t>
        </is>
      </c>
      <c r="K3576" t="inlineStr">
        <is>
          <t>FE017 7' ROTARY CUTTER 7' ROTARY CUTTER</t>
        </is>
      </c>
      <c r="L3576" t="n">
        <v>0</v>
      </c>
      <c r="M3576" t="n">
        <v>0</v>
      </c>
      <c r="O3576" t="inlineStr">
        <is>
          <t>FE017</t>
        </is>
      </c>
      <c r="Q3576" s="114" t="n">
        <v>0</v>
      </c>
      <c r="R3576" s="114" t="n">
        <v>0</v>
      </c>
      <c r="S3576" s="114" t="n">
        <v>0</v>
      </c>
      <c r="T3576" t="n">
        <v>0</v>
      </c>
    </row>
    <row r="3577">
      <c r="A3577" t="inlineStr">
        <is>
          <t>ttJTrans</t>
        </is>
      </c>
      <c r="B3577" s="38" t="inlineStr">
        <is>
          <t>0-4100</t>
        </is>
      </c>
      <c r="C3577" t="inlineStr">
        <is>
          <t>EQ</t>
        </is>
      </c>
      <c r="E3577" t="inlineStr">
        <is>
          <t>EQ</t>
        </is>
      </c>
      <c r="G3577" s="128" t="inlineStr"/>
      <c r="H3577" s="127" t="n">
        <v>46152</v>
      </c>
      <c r="J3577" s="38" t="inlineStr">
        <is>
          <t>0-4100</t>
        </is>
      </c>
      <c r="K3577" t="inlineStr">
        <is>
          <t>FE017 7' ROTARY CUTTER 7' ROTARY CUTTER</t>
        </is>
      </c>
      <c r="L3577" t="n">
        <v>0</v>
      </c>
      <c r="M3577" t="n">
        <v>0</v>
      </c>
      <c r="O3577" t="inlineStr">
        <is>
          <t>FE017</t>
        </is>
      </c>
      <c r="Q3577" s="114" t="n">
        <v>0</v>
      </c>
      <c r="R3577" s="114" t="n">
        <v>0</v>
      </c>
      <c r="S3577" s="114" t="n">
        <v>0</v>
      </c>
      <c r="T3577" t="n">
        <v>0</v>
      </c>
    </row>
    <row r="3578">
      <c r="A3578" t="inlineStr">
        <is>
          <t>ttJTrans</t>
        </is>
      </c>
      <c r="B3578" s="38" t="inlineStr">
        <is>
          <t>0-4100</t>
        </is>
      </c>
      <c r="C3578" t="inlineStr">
        <is>
          <t>EQ</t>
        </is>
      </c>
      <c r="E3578" t="inlineStr">
        <is>
          <t>EQ</t>
        </is>
      </c>
      <c r="G3578" s="128" t="inlineStr"/>
      <c r="H3578" s="127" t="n">
        <v>46152</v>
      </c>
      <c r="J3578" s="38" t="inlineStr">
        <is>
          <t>0-4100</t>
        </is>
      </c>
      <c r="K3578" t="inlineStr">
        <is>
          <t>FE017 7' ROTARY CUTTER 7' ROTARY CUTTER</t>
        </is>
      </c>
      <c r="L3578" t="n">
        <v>0</v>
      </c>
      <c r="M3578" t="n">
        <v>0</v>
      </c>
      <c r="O3578" t="inlineStr">
        <is>
          <t>FE017</t>
        </is>
      </c>
      <c r="Q3578" s="114" t="n">
        <v>0</v>
      </c>
      <c r="R3578" s="114" t="n">
        <v>0</v>
      </c>
      <c r="S3578" s="114" t="n">
        <v>0</v>
      </c>
      <c r="T3578" t="n">
        <v>0</v>
      </c>
    </row>
    <row r="3579">
      <c r="A3579" t="inlineStr">
        <is>
          <t>ttJTrans</t>
        </is>
      </c>
      <c r="B3579" s="38" t="inlineStr">
        <is>
          <t>0-4100</t>
        </is>
      </c>
      <c r="C3579" t="inlineStr">
        <is>
          <t>EQ</t>
        </is>
      </c>
      <c r="E3579" t="inlineStr">
        <is>
          <t>EQ</t>
        </is>
      </c>
      <c r="G3579" s="128" t="inlineStr"/>
      <c r="H3579" s="127" t="n">
        <v>46152</v>
      </c>
      <c r="J3579" s="38" t="inlineStr">
        <is>
          <t>0-4100</t>
        </is>
      </c>
      <c r="K3579" t="inlineStr">
        <is>
          <t>FE017 7' ROTARY CUTTER 7' ROTARY CUTTER</t>
        </is>
      </c>
      <c r="L3579" t="n">
        <v>0</v>
      </c>
      <c r="M3579" t="n">
        <v>0</v>
      </c>
      <c r="O3579" t="inlineStr">
        <is>
          <t>FE017</t>
        </is>
      </c>
      <c r="Q3579" s="114" t="n">
        <v>0</v>
      </c>
      <c r="R3579" s="114" t="n">
        <v>0</v>
      </c>
      <c r="S3579" s="114" t="n">
        <v>0</v>
      </c>
      <c r="T3579" t="n">
        <v>0</v>
      </c>
    </row>
    <row r="3580">
      <c r="A3580" t="inlineStr">
        <is>
          <t>ttJTrans</t>
        </is>
      </c>
      <c r="B3580" s="38" t="inlineStr">
        <is>
          <t>0-4100</t>
        </is>
      </c>
      <c r="C3580" t="inlineStr">
        <is>
          <t>EQ</t>
        </is>
      </c>
      <c r="E3580" t="inlineStr">
        <is>
          <t>EQ</t>
        </is>
      </c>
      <c r="G3580" s="128" t="inlineStr"/>
      <c r="H3580" s="127" t="n">
        <v>46152</v>
      </c>
      <c r="J3580" s="38" t="inlineStr">
        <is>
          <t>0-4100</t>
        </is>
      </c>
      <c r="K3580" t="inlineStr">
        <is>
          <t>FE017 7' ROTARY CUTTER 7' ROTARY CUTTER</t>
        </is>
      </c>
      <c r="L3580" t="n">
        <v>0</v>
      </c>
      <c r="M3580" t="n">
        <v>0</v>
      </c>
      <c r="O3580" t="inlineStr">
        <is>
          <t>FE017</t>
        </is>
      </c>
      <c r="Q3580" s="114" t="n">
        <v>0</v>
      </c>
      <c r="R3580" s="114" t="n">
        <v>0</v>
      </c>
      <c r="S3580" s="114" t="n">
        <v>0</v>
      </c>
      <c r="T3580" t="n">
        <v>0</v>
      </c>
    </row>
    <row r="3581">
      <c r="A3581" t="inlineStr">
        <is>
          <t>ttJTrans</t>
        </is>
      </c>
      <c r="B3581" s="38" t="inlineStr">
        <is>
          <t>0-4100</t>
        </is>
      </c>
      <c r="C3581" t="inlineStr">
        <is>
          <t>EQ</t>
        </is>
      </c>
      <c r="E3581" t="inlineStr">
        <is>
          <t>EQ</t>
        </is>
      </c>
      <c r="G3581" s="128" t="inlineStr"/>
      <c r="H3581" s="127" t="n">
        <v>46152</v>
      </c>
      <c r="J3581" s="38" t="inlineStr">
        <is>
          <t>0-4100</t>
        </is>
      </c>
      <c r="K3581" t="inlineStr">
        <is>
          <t>FE017 7' ROTARY CUTTER 7' ROTARY CUTTER</t>
        </is>
      </c>
      <c r="L3581" t="n">
        <v>0</v>
      </c>
      <c r="M3581" t="n">
        <v>0</v>
      </c>
      <c r="O3581" t="inlineStr">
        <is>
          <t>FE017</t>
        </is>
      </c>
      <c r="Q3581" s="114" t="n">
        <v>0</v>
      </c>
      <c r="R3581" s="114" t="n">
        <v>0</v>
      </c>
      <c r="S3581" s="114" t="n">
        <v>0</v>
      </c>
      <c r="T3581" t="n">
        <v>0</v>
      </c>
    </row>
    <row r="3582">
      <c r="A3582" t="inlineStr">
        <is>
          <t>ttJTrans</t>
        </is>
      </c>
      <c r="B3582" s="38" t="inlineStr">
        <is>
          <t>0-4100</t>
        </is>
      </c>
      <c r="C3582" t="inlineStr">
        <is>
          <t>EQ</t>
        </is>
      </c>
      <c r="E3582" t="inlineStr">
        <is>
          <t>EQ</t>
        </is>
      </c>
      <c r="G3582" s="128" t="inlineStr"/>
      <c r="H3582" s="127" t="n">
        <v>46152</v>
      </c>
      <c r="J3582" s="38" t="inlineStr">
        <is>
          <t>0-4100</t>
        </is>
      </c>
      <c r="K3582" t="inlineStr">
        <is>
          <t>FT011 JOHN DEERE 6130M TRACTOR W/ 620R LOADER JOHN DEERE 6130M TRACTOR W/ 620R LOADER</t>
        </is>
      </c>
      <c r="L3582" t="n">
        <v>0</v>
      </c>
      <c r="M3582" t="n">
        <v>0</v>
      </c>
      <c r="O3582" t="inlineStr">
        <is>
          <t>FT011</t>
        </is>
      </c>
      <c r="Q3582" s="114" t="n">
        <v>0</v>
      </c>
      <c r="R3582" s="114" t="n">
        <v>291.67</v>
      </c>
      <c r="S3582" s="114" t="n">
        <v>0</v>
      </c>
      <c r="T3582" t="n">
        <v>0</v>
      </c>
    </row>
    <row r="3583">
      <c r="A3583" t="inlineStr">
        <is>
          <t>ttJTrans</t>
        </is>
      </c>
      <c r="B3583" s="38" t="inlineStr">
        <is>
          <t>0-4100</t>
        </is>
      </c>
      <c r="C3583" t="inlineStr">
        <is>
          <t>EQ</t>
        </is>
      </c>
      <c r="E3583" t="inlineStr">
        <is>
          <t>EQ</t>
        </is>
      </c>
      <c r="G3583" s="128" t="inlineStr"/>
      <c r="H3583" s="127" t="n">
        <v>46152</v>
      </c>
      <c r="J3583" s="38" t="inlineStr">
        <is>
          <t>0-4100</t>
        </is>
      </c>
      <c r="K3583" t="inlineStr">
        <is>
          <t>FT011 JOHN DEERE 6130M TRACTOR W/ 620R LOADER JOHN DEERE 6130M TRACTOR W/ 620R LOADER</t>
        </is>
      </c>
      <c r="L3583" t="n">
        <v>0</v>
      </c>
      <c r="M3583" t="n">
        <v>0</v>
      </c>
      <c r="O3583" t="inlineStr">
        <is>
          <t>FT011</t>
        </is>
      </c>
      <c r="Q3583" s="114" t="n">
        <v>0</v>
      </c>
      <c r="R3583" s="114" t="n">
        <v>291.67</v>
      </c>
      <c r="S3583" s="114" t="n">
        <v>0</v>
      </c>
      <c r="T3583" t="n">
        <v>0</v>
      </c>
    </row>
    <row r="3584">
      <c r="A3584" t="inlineStr">
        <is>
          <t>ttJTrans</t>
        </is>
      </c>
      <c r="B3584" s="38" t="inlineStr">
        <is>
          <t>0-4100</t>
        </is>
      </c>
      <c r="C3584" t="inlineStr">
        <is>
          <t>EQ</t>
        </is>
      </c>
      <c r="E3584" t="inlineStr">
        <is>
          <t>EQ</t>
        </is>
      </c>
      <c r="G3584" s="128" t="inlineStr"/>
      <c r="H3584" s="127" t="n">
        <v>46152</v>
      </c>
      <c r="J3584" s="38" t="inlineStr">
        <is>
          <t>0-4100</t>
        </is>
      </c>
      <c r="K3584" t="inlineStr">
        <is>
          <t>FT011 JOHN DEERE 6130M TRACTOR W/ 620R LOADER JOHN DEERE 6130M TRACTOR W/ 620R LOADER</t>
        </is>
      </c>
      <c r="L3584" t="n">
        <v>0</v>
      </c>
      <c r="M3584" t="n">
        <v>0</v>
      </c>
      <c r="O3584" t="inlineStr">
        <is>
          <t>FT011</t>
        </is>
      </c>
      <c r="Q3584" s="114" t="n">
        <v>0</v>
      </c>
      <c r="R3584" s="114" t="n">
        <v>291.67</v>
      </c>
      <c r="S3584" s="114" t="n">
        <v>0</v>
      </c>
      <c r="T3584" t="n">
        <v>0</v>
      </c>
    </row>
    <row r="3585">
      <c r="A3585" t="inlineStr">
        <is>
          <t>ttJTrans</t>
        </is>
      </c>
      <c r="B3585" s="38" t="inlineStr">
        <is>
          <t>0-4100</t>
        </is>
      </c>
      <c r="C3585" t="inlineStr">
        <is>
          <t>EQ</t>
        </is>
      </c>
      <c r="E3585" t="inlineStr">
        <is>
          <t>EQ</t>
        </is>
      </c>
      <c r="G3585" s="128" t="inlineStr"/>
      <c r="H3585" s="127" t="n">
        <v>46152</v>
      </c>
      <c r="J3585" s="38" t="inlineStr">
        <is>
          <t>0-4100</t>
        </is>
      </c>
      <c r="K3585" t="inlineStr">
        <is>
          <t>WLD146 SILT FENCE PLOW - SKID STEER SILT FENCE PLOW - SKID STEER</t>
        </is>
      </c>
      <c r="L3585" t="n">
        <v>0</v>
      </c>
      <c r="M3585" t="n">
        <v>0</v>
      </c>
      <c r="O3585" t="inlineStr">
        <is>
          <t>WLD146</t>
        </is>
      </c>
      <c r="Q3585" s="114" t="n">
        <v>0</v>
      </c>
      <c r="R3585" s="114" t="n">
        <v>50</v>
      </c>
      <c r="S3585" s="114" t="n">
        <v>0</v>
      </c>
      <c r="T3585" t="n">
        <v>0</v>
      </c>
    </row>
    <row r="3586">
      <c r="A3586" t="inlineStr">
        <is>
          <t>ttJTrans</t>
        </is>
      </c>
      <c r="B3586" s="38" t="inlineStr">
        <is>
          <t>0-4100</t>
        </is>
      </c>
      <c r="C3586" t="inlineStr">
        <is>
          <t>EQ</t>
        </is>
      </c>
      <c r="E3586" t="inlineStr">
        <is>
          <t>EQ</t>
        </is>
      </c>
      <c r="G3586" s="128" t="inlineStr"/>
      <c r="H3586" s="127" t="n">
        <v>46152</v>
      </c>
      <c r="J3586" s="38" t="inlineStr">
        <is>
          <t>0-4100</t>
        </is>
      </c>
      <c r="K3586" t="inlineStr">
        <is>
          <t>WLD146 SILT FENCE PLOW - SKID STEER SILT FENCE PLOW - SKID STEER</t>
        </is>
      </c>
      <c r="L3586" t="n">
        <v>0</v>
      </c>
      <c r="M3586" t="n">
        <v>0</v>
      </c>
      <c r="O3586" t="inlineStr">
        <is>
          <t>WLD146</t>
        </is>
      </c>
      <c r="Q3586" s="114" t="n">
        <v>0</v>
      </c>
      <c r="R3586" s="114" t="n">
        <v>50</v>
      </c>
      <c r="S3586" s="114" t="n">
        <v>0</v>
      </c>
      <c r="T3586" t="n">
        <v>0</v>
      </c>
    </row>
    <row r="3587">
      <c r="A3587" t="inlineStr">
        <is>
          <t>ttJTrans</t>
        </is>
      </c>
      <c r="B3587" s="38" t="inlineStr">
        <is>
          <t>0-4100</t>
        </is>
      </c>
      <c r="C3587" t="inlineStr">
        <is>
          <t>EQ</t>
        </is>
      </c>
      <c r="E3587" t="inlineStr">
        <is>
          <t>EQ</t>
        </is>
      </c>
      <c r="G3587" s="128" t="inlineStr"/>
      <c r="H3587" s="127" t="n">
        <v>46152</v>
      </c>
      <c r="J3587" s="38" t="inlineStr">
        <is>
          <t>0-4100</t>
        </is>
      </c>
      <c r="K3587" t="inlineStr">
        <is>
          <t>WLD146 SILT FENCE PLOW - SKID STEER SILT FENCE PLOW - SKID STEER</t>
        </is>
      </c>
      <c r="L3587" t="n">
        <v>0</v>
      </c>
      <c r="M3587" t="n">
        <v>0</v>
      </c>
      <c r="O3587" t="inlineStr">
        <is>
          <t>WLD146</t>
        </is>
      </c>
      <c r="Q3587" s="114" t="n">
        <v>0</v>
      </c>
      <c r="R3587" s="114" t="n">
        <v>50</v>
      </c>
      <c r="S3587" s="114" t="n">
        <v>0</v>
      </c>
      <c r="T3587" t="n">
        <v>0</v>
      </c>
    </row>
    <row r="3588">
      <c r="A3588" t="inlineStr">
        <is>
          <t>ttJTrans</t>
        </is>
      </c>
      <c r="B3588" s="38" t="inlineStr">
        <is>
          <t>0-4100</t>
        </is>
      </c>
      <c r="C3588" t="inlineStr">
        <is>
          <t>EQ</t>
        </is>
      </c>
      <c r="E3588" t="inlineStr">
        <is>
          <t>EQ</t>
        </is>
      </c>
      <c r="G3588" s="128" t="inlineStr"/>
      <c r="H3588" s="127" t="n">
        <v>46152</v>
      </c>
      <c r="J3588" s="38" t="inlineStr">
        <is>
          <t>0-4100</t>
        </is>
      </c>
      <c r="K3588" t="inlineStr">
        <is>
          <t>WLD146 SILT FENCE PLOW - SKID STEER SILT FENCE PLOW - SKID STEER</t>
        </is>
      </c>
      <c r="L3588" t="n">
        <v>0</v>
      </c>
      <c r="M3588" t="n">
        <v>0</v>
      </c>
      <c r="O3588" t="inlineStr">
        <is>
          <t>WLD146</t>
        </is>
      </c>
      <c r="Q3588" s="114" t="n">
        <v>0</v>
      </c>
      <c r="R3588" s="114" t="n">
        <v>50</v>
      </c>
      <c r="S3588" s="114" t="n">
        <v>0</v>
      </c>
      <c r="T3588" t="n">
        <v>0</v>
      </c>
    </row>
    <row r="3589">
      <c r="A3589" t="inlineStr">
        <is>
          <t>ttJTrans</t>
        </is>
      </c>
      <c r="B3589" s="38" t="inlineStr">
        <is>
          <t>0-4100</t>
        </is>
      </c>
      <c r="C3589" t="inlineStr">
        <is>
          <t>EQ</t>
        </is>
      </c>
      <c r="E3589" t="inlineStr">
        <is>
          <t>EQ</t>
        </is>
      </c>
      <c r="G3589" s="128" t="inlineStr"/>
      <c r="H3589" s="127" t="n">
        <v>46152</v>
      </c>
      <c r="J3589" s="38" t="inlineStr">
        <is>
          <t>0-4100</t>
        </is>
      </c>
      <c r="K3589" t="inlineStr">
        <is>
          <t>WLD146 SILT FENCE PLOW - SKID STEER SILT FENCE PLOW - SKID STEER</t>
        </is>
      </c>
      <c r="L3589" t="n">
        <v>0</v>
      </c>
      <c r="M3589" t="n">
        <v>0</v>
      </c>
      <c r="O3589" t="inlineStr">
        <is>
          <t>WLD146</t>
        </is>
      </c>
      <c r="Q3589" s="114" t="n">
        <v>0</v>
      </c>
      <c r="R3589" s="114" t="n">
        <v>50</v>
      </c>
      <c r="S3589" s="114" t="n">
        <v>0</v>
      </c>
      <c r="T3589" t="n">
        <v>0</v>
      </c>
    </row>
    <row r="3590">
      <c r="A3590" t="inlineStr">
        <is>
          <t>ttJTrans</t>
        </is>
      </c>
      <c r="B3590" s="38" t="inlineStr">
        <is>
          <t>0-4100</t>
        </is>
      </c>
      <c r="C3590" t="inlineStr">
        <is>
          <t>EQ</t>
        </is>
      </c>
      <c r="E3590" t="inlineStr">
        <is>
          <t>EQ</t>
        </is>
      </c>
      <c r="G3590" s="128" t="inlineStr"/>
      <c r="H3590" s="127" t="n">
        <v>46152</v>
      </c>
      <c r="J3590" s="38" t="inlineStr">
        <is>
          <t>0-4100</t>
        </is>
      </c>
      <c r="K3590" t="inlineStr">
        <is>
          <t>WLD146 SILT FENCE PLOW - SKID STEER SILT FENCE PLOW - SKID STEER</t>
        </is>
      </c>
      <c r="L3590" t="n">
        <v>0</v>
      </c>
      <c r="M3590" t="n">
        <v>0</v>
      </c>
      <c r="O3590" t="inlineStr">
        <is>
          <t>WLD146</t>
        </is>
      </c>
      <c r="Q3590" s="114" t="n">
        <v>0</v>
      </c>
      <c r="R3590" s="114" t="n">
        <v>50</v>
      </c>
      <c r="S3590" s="114" t="n">
        <v>0</v>
      </c>
      <c r="T3590" t="n">
        <v>0</v>
      </c>
    </row>
    <row r="3591">
      <c r="A3591" t="inlineStr">
        <is>
          <t>ttJTrans</t>
        </is>
      </c>
      <c r="B3591" s="38" t="inlineStr">
        <is>
          <t>0-4100</t>
        </is>
      </c>
      <c r="C3591" t="inlineStr">
        <is>
          <t>EQ</t>
        </is>
      </c>
      <c r="E3591" t="inlineStr">
        <is>
          <t>EQ</t>
        </is>
      </c>
      <c r="G3591" s="128" t="inlineStr"/>
      <c r="H3591" s="127" t="n">
        <v>46152</v>
      </c>
      <c r="J3591" s="38" t="inlineStr">
        <is>
          <t>0-4100</t>
        </is>
      </c>
      <c r="K3591" t="inlineStr">
        <is>
          <t>RT1447 2024 FORD F250 XL STX CREW CAB DIESEL SWB 2024 FORD F250 XL STX CREW CAB DIESEL SWB</t>
        </is>
      </c>
      <c r="L3591" t="n">
        <v>0</v>
      </c>
      <c r="M3591" t="n">
        <v>0</v>
      </c>
      <c r="O3591" t="inlineStr">
        <is>
          <t>RT1447</t>
        </is>
      </c>
      <c r="Q3591" s="114" t="n">
        <v>0</v>
      </c>
      <c r="R3591" s="114" t="n">
        <v>79.14</v>
      </c>
      <c r="S3591" s="114" t="n">
        <v>0</v>
      </c>
      <c r="T3591" t="n">
        <v>0</v>
      </c>
    </row>
    <row r="3592">
      <c r="A3592" t="inlineStr">
        <is>
          <t>ttJTrans</t>
        </is>
      </c>
      <c r="B3592" s="38" t="inlineStr">
        <is>
          <t>0-4100</t>
        </is>
      </c>
      <c r="C3592" t="inlineStr">
        <is>
          <t>EQ</t>
        </is>
      </c>
      <c r="E3592" t="inlineStr">
        <is>
          <t>EQ</t>
        </is>
      </c>
      <c r="G3592" s="128" t="inlineStr"/>
      <c r="H3592" s="127" t="n">
        <v>46152</v>
      </c>
      <c r="J3592" s="38" t="inlineStr">
        <is>
          <t>0-4100</t>
        </is>
      </c>
      <c r="K3592" t="inlineStr">
        <is>
          <t>RT1385 2024 RAM 2500 TRADESMAN GAS 4X4 CREW CAB 8FT BED W/ DRAGUP TANK &amp; TOOLBOX COMBO 2024 RAM 2500 TRADESMAN GAS 4X4 CREW CAB 8FT BED W/ DRAGUP TANK &amp; TOOLBOX COMBO</t>
        </is>
      </c>
      <c r="L3592" t="n">
        <v>0</v>
      </c>
      <c r="M3592" t="n">
        <v>0</v>
      </c>
      <c r="O3592" t="inlineStr">
        <is>
          <t>RT1385</t>
        </is>
      </c>
      <c r="Q3592" s="114" t="n">
        <v>0</v>
      </c>
      <c r="R3592" s="114" t="n">
        <v>79.14</v>
      </c>
      <c r="S3592" s="114" t="n">
        <v>0</v>
      </c>
      <c r="T3592" t="n">
        <v>0</v>
      </c>
    </row>
    <row r="3593">
      <c r="A3593" t="inlineStr">
        <is>
          <t>ttJTrans</t>
        </is>
      </c>
      <c r="B3593" s="38" t="inlineStr">
        <is>
          <t>0-4100</t>
        </is>
      </c>
      <c r="C3593" t="inlineStr">
        <is>
          <t>EQ</t>
        </is>
      </c>
      <c r="E3593" t="inlineStr">
        <is>
          <t>EQ</t>
        </is>
      </c>
      <c r="G3593" s="128" t="inlineStr"/>
      <c r="H3593" s="127" t="n">
        <v>46152</v>
      </c>
      <c r="J3593" s="38" t="inlineStr">
        <is>
          <t>0-4100</t>
        </is>
      </c>
      <c r="K3593" t="inlineStr">
        <is>
          <t>RT1385 2024 RAM 2500 TRADESMAN GAS 4X4 CREW CAB 8FT BED W/ DRAGUP TANK &amp; TOOLBOX COMBO 2024 RAM 2500 TRADESMAN GAS 4X4 CREW CAB 8FT BED W/ DRAGUP TANK &amp; TOOLBOX COMBO</t>
        </is>
      </c>
      <c r="L3593" t="n">
        <v>0</v>
      </c>
      <c r="M3593" t="n">
        <v>0</v>
      </c>
      <c r="O3593" t="inlineStr">
        <is>
          <t>RT1385</t>
        </is>
      </c>
      <c r="Q3593" s="114" t="n">
        <v>0</v>
      </c>
      <c r="R3593" s="114" t="n">
        <v>79.14</v>
      </c>
      <c r="S3593" s="114" t="n">
        <v>0</v>
      </c>
      <c r="T3593" t="n">
        <v>0</v>
      </c>
    </row>
    <row r="3594">
      <c r="A3594" t="inlineStr">
        <is>
          <t>ttJTrans</t>
        </is>
      </c>
      <c r="B3594" s="38" t="inlineStr">
        <is>
          <t>0-4100</t>
        </is>
      </c>
      <c r="C3594" t="inlineStr">
        <is>
          <t>EQ</t>
        </is>
      </c>
      <c r="E3594" t="inlineStr">
        <is>
          <t>EQ</t>
        </is>
      </c>
      <c r="G3594" s="128" t="inlineStr"/>
      <c r="H3594" s="127" t="n">
        <v>46152</v>
      </c>
      <c r="J3594" s="38" t="inlineStr">
        <is>
          <t>0-4100</t>
        </is>
      </c>
      <c r="K3594" t="inlineStr">
        <is>
          <t>SSAUGKIT1 SKIDPRO SP300 PLANETARY AUGER DRIVE KIT W/ CRADLE &amp; MOUNT SKIDPRO SP300 PLANETARY AUGER DRIVE KIT W/ CRADLE &amp; MOUNT</t>
        </is>
      </c>
      <c r="L3594" t="n">
        <v>0</v>
      </c>
      <c r="M3594" t="n">
        <v>0</v>
      </c>
      <c r="O3594" t="inlineStr">
        <is>
          <t>SSAUGKIT1</t>
        </is>
      </c>
      <c r="Q3594" s="114" t="n">
        <v>0</v>
      </c>
      <c r="R3594" s="114" t="n">
        <v>35</v>
      </c>
      <c r="S3594" s="114" t="n">
        <v>0</v>
      </c>
      <c r="T3594" t="n">
        <v>0</v>
      </c>
    </row>
    <row r="3595">
      <c r="A3595" t="inlineStr">
        <is>
          <t>ttJTrans</t>
        </is>
      </c>
      <c r="B3595" s="38" t="inlineStr">
        <is>
          <t>0-4100</t>
        </is>
      </c>
      <c r="C3595" t="inlineStr">
        <is>
          <t>EQ</t>
        </is>
      </c>
      <c r="E3595" t="inlineStr">
        <is>
          <t>EQ</t>
        </is>
      </c>
      <c r="G3595" s="128" t="inlineStr"/>
      <c r="H3595" s="127" t="n">
        <v>46152</v>
      </c>
      <c r="J3595" s="38" t="inlineStr">
        <is>
          <t>0-4100</t>
        </is>
      </c>
      <c r="K3595" t="inlineStr">
        <is>
          <t>SSAUGKIT1 SKIDPRO SP300 PLANETARY AUGER DRIVE KIT W/ CRADLE &amp; MOUNT SKIDPRO SP300 PLANETARY AUGER DRIVE KIT W/ CRADLE &amp; MOUNT</t>
        </is>
      </c>
      <c r="L3595" t="n">
        <v>0</v>
      </c>
      <c r="M3595" t="n">
        <v>0</v>
      </c>
      <c r="O3595" t="inlineStr">
        <is>
          <t>SSAUGKIT1</t>
        </is>
      </c>
      <c r="Q3595" s="114" t="n">
        <v>0</v>
      </c>
      <c r="R3595" s="114" t="n">
        <v>35</v>
      </c>
      <c r="S3595" s="114" t="n">
        <v>0</v>
      </c>
      <c r="T3595" t="n">
        <v>0</v>
      </c>
    </row>
    <row r="3596">
      <c r="A3596" t="inlineStr">
        <is>
          <t>ttJTrans</t>
        </is>
      </c>
      <c r="B3596" s="38" t="inlineStr">
        <is>
          <t>0-4100</t>
        </is>
      </c>
      <c r="C3596" t="inlineStr">
        <is>
          <t>EQ</t>
        </is>
      </c>
      <c r="E3596" t="inlineStr">
        <is>
          <t>EQ</t>
        </is>
      </c>
      <c r="G3596" s="128" t="inlineStr"/>
      <c r="H3596" s="127" t="n">
        <v>46152</v>
      </c>
      <c r="J3596" s="38" t="inlineStr">
        <is>
          <t>0-4100</t>
        </is>
      </c>
      <c r="K3596" t="inlineStr">
        <is>
          <t>SSAUGKIT1 SKIDPRO SP300 PLANETARY AUGER DRIVE KIT W/ CRADLE &amp; MOUNT SKIDPRO SP300 PLANETARY AUGER DRIVE KIT W/ CRADLE &amp; MOUNT</t>
        </is>
      </c>
      <c r="L3596" t="n">
        <v>0</v>
      </c>
      <c r="M3596" t="n">
        <v>0</v>
      </c>
      <c r="O3596" t="inlineStr">
        <is>
          <t>SSAUGKIT1</t>
        </is>
      </c>
      <c r="Q3596" s="114" t="n">
        <v>0</v>
      </c>
      <c r="R3596" s="114" t="n">
        <v>35</v>
      </c>
      <c r="S3596" s="114" t="n">
        <v>0</v>
      </c>
      <c r="T3596" t="n">
        <v>0</v>
      </c>
    </row>
    <row r="3597">
      <c r="A3597" t="inlineStr">
        <is>
          <t>ttJTrans</t>
        </is>
      </c>
      <c r="B3597" s="38" t="inlineStr">
        <is>
          <t>0-4100</t>
        </is>
      </c>
      <c r="C3597" t="inlineStr">
        <is>
          <t>EQ</t>
        </is>
      </c>
      <c r="E3597" t="inlineStr">
        <is>
          <t>EQ</t>
        </is>
      </c>
      <c r="G3597" s="128" t="inlineStr"/>
      <c r="H3597" s="127" t="n">
        <v>46152</v>
      </c>
      <c r="J3597" s="38" t="inlineStr">
        <is>
          <t>0-4100</t>
        </is>
      </c>
      <c r="K3597" t="inlineStr">
        <is>
          <t>TR425 20FT ENCLOSED CARGO TRAILER (CHARGED TO 22-4001) 20FT ENCLOSED CARGO TRAILER (CHARGED TO 22-4001)</t>
        </is>
      </c>
      <c r="L3597" t="n">
        <v>0</v>
      </c>
      <c r="M3597" t="n">
        <v>0</v>
      </c>
      <c r="O3597" t="inlineStr">
        <is>
          <t>TR425</t>
        </is>
      </c>
      <c r="Q3597" s="114" t="n">
        <v>0</v>
      </c>
      <c r="R3597" s="114" t="n">
        <v>65</v>
      </c>
      <c r="S3597" s="114" t="n">
        <v>0</v>
      </c>
      <c r="T3597" t="n">
        <v>0</v>
      </c>
    </row>
    <row r="3598">
      <c r="A3598" t="inlineStr">
        <is>
          <t>ttJTrans</t>
        </is>
      </c>
      <c r="B3598" s="38" t="inlineStr">
        <is>
          <t>0-4100</t>
        </is>
      </c>
      <c r="C3598" t="inlineStr">
        <is>
          <t>EQ</t>
        </is>
      </c>
      <c r="E3598" t="inlineStr">
        <is>
          <t>EQ</t>
        </is>
      </c>
      <c r="G3598" s="128" t="inlineStr"/>
      <c r="H3598" s="127" t="n">
        <v>46152</v>
      </c>
      <c r="J3598" s="38" t="inlineStr">
        <is>
          <t>0-4100</t>
        </is>
      </c>
      <c r="K3598" t="inlineStr">
        <is>
          <t>TR428 CARRY-ON 5X8 UTILITY TRAILER (CHARGED TO 22-4001) CARRY-ON 5X8 UTILITY TRAILER (CHARGED TO 22-4001)</t>
        </is>
      </c>
      <c r="L3598" t="n">
        <v>0</v>
      </c>
      <c r="M3598" t="n">
        <v>0</v>
      </c>
      <c r="O3598" t="inlineStr">
        <is>
          <t>TR428</t>
        </is>
      </c>
      <c r="Q3598" s="114" t="n">
        <v>0</v>
      </c>
      <c r="R3598" s="114" t="n">
        <v>15</v>
      </c>
      <c r="S3598" s="114" t="n">
        <v>0</v>
      </c>
      <c r="T3598" t="n">
        <v>0</v>
      </c>
    </row>
    <row r="3599">
      <c r="A3599" t="inlineStr">
        <is>
          <t>ttJTrans</t>
        </is>
      </c>
      <c r="B3599" s="38" t="inlineStr">
        <is>
          <t>0-4100</t>
        </is>
      </c>
      <c r="C3599" t="inlineStr">
        <is>
          <t>EQ</t>
        </is>
      </c>
      <c r="E3599" t="inlineStr">
        <is>
          <t>EQ</t>
        </is>
      </c>
      <c r="G3599" s="128" t="inlineStr"/>
      <c r="H3599" s="127" t="n">
        <v>46152</v>
      </c>
      <c r="J3599" s="38" t="inlineStr">
        <is>
          <t>0-4100</t>
        </is>
      </c>
      <c r="K3599" t="inlineStr">
        <is>
          <t>TR428 CARRY-ON 5X8 UTILITY TRAILER (CHARGED TO 22-4001) CARRY-ON 5X8 UTILITY TRAILER (CHARGED TO 22-4001)</t>
        </is>
      </c>
      <c r="L3599" t="n">
        <v>0</v>
      </c>
      <c r="M3599" t="n">
        <v>0</v>
      </c>
      <c r="O3599" t="inlineStr">
        <is>
          <t>TR428</t>
        </is>
      </c>
      <c r="Q3599" s="114" t="n">
        <v>0</v>
      </c>
      <c r="R3599" s="114" t="n">
        <v>15</v>
      </c>
      <c r="S3599" s="114" t="n">
        <v>0</v>
      </c>
      <c r="T3599" t="n">
        <v>0</v>
      </c>
    </row>
    <row r="3600">
      <c r="A3600" t="inlineStr">
        <is>
          <t>ttJTrans</t>
        </is>
      </c>
      <c r="B3600" s="38" t="inlineStr">
        <is>
          <t>0-4100</t>
        </is>
      </c>
      <c r="C3600" t="inlineStr">
        <is>
          <t>EQ</t>
        </is>
      </c>
      <c r="E3600" t="inlineStr">
        <is>
          <t>EQ</t>
        </is>
      </c>
      <c r="G3600" s="128" t="inlineStr"/>
      <c r="H3600" s="127" t="n">
        <v>46152</v>
      </c>
      <c r="J3600" s="38" t="inlineStr">
        <is>
          <t>0-4100</t>
        </is>
      </c>
      <c r="K3600" t="inlineStr">
        <is>
          <t>TR428 CARRY-ON 5X8 UTILITY TRAILER (CHARGED TO 22-4001) CARRY-ON 5X8 UTILITY TRAILER (CHARGED TO 22-4001)</t>
        </is>
      </c>
      <c r="L3600" t="n">
        <v>0</v>
      </c>
      <c r="M3600" t="n">
        <v>0</v>
      </c>
      <c r="O3600" t="inlineStr">
        <is>
          <t>TR428</t>
        </is>
      </c>
      <c r="Q3600" s="114" t="n">
        <v>0</v>
      </c>
      <c r="R3600" s="114" t="n">
        <v>15</v>
      </c>
      <c r="S3600" s="114" t="n">
        <v>0</v>
      </c>
      <c r="T3600" t="n">
        <v>0</v>
      </c>
    </row>
    <row r="3601">
      <c r="A3601" t="inlineStr">
        <is>
          <t>ttJTrans</t>
        </is>
      </c>
      <c r="B3601" s="38" t="inlineStr">
        <is>
          <t>0-4100</t>
        </is>
      </c>
      <c r="C3601" t="inlineStr">
        <is>
          <t>EQ</t>
        </is>
      </c>
      <c r="E3601" t="inlineStr">
        <is>
          <t>EQ</t>
        </is>
      </c>
      <c r="G3601" s="128" t="inlineStr"/>
      <c r="H3601" s="127" t="n">
        <v>46152</v>
      </c>
      <c r="J3601" s="38" t="inlineStr">
        <is>
          <t>0-4100</t>
        </is>
      </c>
      <c r="K3601" t="inlineStr">
        <is>
          <t>TR428 CARRY-ON 5X8 UTILITY TRAILER (CHARGED TO 22-4001) CARRY-ON 5X8 UTILITY TRAILER (CHARGED TO 22-4001)</t>
        </is>
      </c>
      <c r="L3601" t="n">
        <v>0</v>
      </c>
      <c r="M3601" t="n">
        <v>0</v>
      </c>
      <c r="O3601" t="inlineStr">
        <is>
          <t>TR428</t>
        </is>
      </c>
      <c r="Q3601" s="114" t="n">
        <v>0</v>
      </c>
      <c r="R3601" s="114" t="n">
        <v>15</v>
      </c>
      <c r="S3601" s="114" t="n">
        <v>0</v>
      </c>
      <c r="T3601" t="n">
        <v>0</v>
      </c>
    </row>
    <row r="3602">
      <c r="A3602" t="inlineStr">
        <is>
          <t>ttJTrans</t>
        </is>
      </c>
      <c r="B3602" s="38" t="inlineStr">
        <is>
          <t>0-4100</t>
        </is>
      </c>
      <c r="C3602" t="inlineStr">
        <is>
          <t>EQ</t>
        </is>
      </c>
      <c r="E3602" t="inlineStr">
        <is>
          <t>EQ</t>
        </is>
      </c>
      <c r="G3602" s="128" t="inlineStr"/>
      <c r="H3602" s="127" t="n">
        <v>46152</v>
      </c>
      <c r="J3602" s="38" t="inlineStr">
        <is>
          <t>0-4100</t>
        </is>
      </c>
      <c r="K3602" t="inlineStr">
        <is>
          <t>TR428 CARRY-ON 5X8 UTILITY TRAILER (CHARGED TO 22-4001) CARRY-ON 5X8 UTILITY TRAILER (CHARGED TO 22-4001)</t>
        </is>
      </c>
      <c r="L3602" t="n">
        <v>0</v>
      </c>
      <c r="M3602" t="n">
        <v>0</v>
      </c>
      <c r="O3602" t="inlineStr">
        <is>
          <t>TR428</t>
        </is>
      </c>
      <c r="Q3602" s="114" t="n">
        <v>0</v>
      </c>
      <c r="R3602" s="114" t="n">
        <v>15</v>
      </c>
      <c r="S3602" s="114" t="n">
        <v>0</v>
      </c>
      <c r="T3602" t="n">
        <v>0</v>
      </c>
    </row>
    <row r="3603">
      <c r="A3603" t="inlineStr">
        <is>
          <t>ttJTrans</t>
        </is>
      </c>
      <c r="B3603" s="38" t="inlineStr">
        <is>
          <t>0-4100</t>
        </is>
      </c>
      <c r="C3603" t="inlineStr">
        <is>
          <t>EQ</t>
        </is>
      </c>
      <c r="E3603" t="inlineStr">
        <is>
          <t>EQ</t>
        </is>
      </c>
      <c r="G3603" s="128" t="inlineStr"/>
      <c r="H3603" s="127" t="n">
        <v>46152</v>
      </c>
      <c r="J3603" s="38" t="inlineStr">
        <is>
          <t>0-4100</t>
        </is>
      </c>
      <c r="K3603" t="inlineStr">
        <is>
          <t>TR428 CARRY-ON 5X8 UTILITY TRAILER (CHARGED TO 22-4001) CARRY-ON 5X8 UTILITY TRAILER (CHARGED TO 22-4001)</t>
        </is>
      </c>
      <c r="L3603" t="n">
        <v>0</v>
      </c>
      <c r="M3603" t="n">
        <v>0</v>
      </c>
      <c r="O3603" t="inlineStr">
        <is>
          <t>TR428</t>
        </is>
      </c>
      <c r="Q3603" s="114" t="n">
        <v>0</v>
      </c>
      <c r="R3603" s="114" t="n">
        <v>15</v>
      </c>
      <c r="S3603" s="114" t="n">
        <v>0</v>
      </c>
      <c r="T3603" t="n">
        <v>0</v>
      </c>
    </row>
    <row r="3604">
      <c r="A3604" t="inlineStr">
        <is>
          <t>ttJTrans</t>
        </is>
      </c>
      <c r="B3604" s="38" t="inlineStr">
        <is>
          <t>0-4100</t>
        </is>
      </c>
      <c r="C3604" t="inlineStr">
        <is>
          <t>EQ</t>
        </is>
      </c>
      <c r="E3604" t="inlineStr">
        <is>
          <t>EQ</t>
        </is>
      </c>
      <c r="G3604" s="128" t="inlineStr"/>
      <c r="H3604" s="127" t="n">
        <v>46152</v>
      </c>
      <c r="J3604" s="38" t="inlineStr">
        <is>
          <t>0-4100</t>
        </is>
      </c>
      <c r="K3604" t="inlineStr">
        <is>
          <t>TR145 20' CARGO TRAILER 20' CARGO TRAILER</t>
        </is>
      </c>
      <c r="L3604" t="n">
        <v>0</v>
      </c>
      <c r="M3604" t="n">
        <v>0</v>
      </c>
      <c r="O3604" t="inlineStr">
        <is>
          <t>TR145</t>
        </is>
      </c>
      <c r="Q3604" s="114" t="n">
        <v>0</v>
      </c>
      <c r="R3604" s="114" t="n">
        <v>65</v>
      </c>
      <c r="S3604" s="114" t="n">
        <v>0</v>
      </c>
      <c r="T3604" t="n">
        <v>0</v>
      </c>
    </row>
    <row r="3605">
      <c r="A3605" t="inlineStr">
        <is>
          <t>ttJTrans</t>
        </is>
      </c>
      <c r="B3605" s="38" t="inlineStr">
        <is>
          <t>0-4100</t>
        </is>
      </c>
      <c r="C3605" t="inlineStr">
        <is>
          <t>EQ</t>
        </is>
      </c>
      <c r="E3605" t="inlineStr">
        <is>
          <t>EQ</t>
        </is>
      </c>
      <c r="G3605" s="128" t="inlineStr"/>
      <c r="H3605" s="127" t="n">
        <v>46152</v>
      </c>
      <c r="J3605" s="38" t="inlineStr">
        <is>
          <t>0-4100</t>
        </is>
      </c>
      <c r="K3605" t="inlineStr">
        <is>
          <t>TR145 20' CARGO TRAILER 20' CARGO TRAILER</t>
        </is>
      </c>
      <c r="L3605" t="n">
        <v>0</v>
      </c>
      <c r="M3605" t="n">
        <v>0</v>
      </c>
      <c r="O3605" t="inlineStr">
        <is>
          <t>TR145</t>
        </is>
      </c>
      <c r="Q3605" s="114" t="n">
        <v>0</v>
      </c>
      <c r="R3605" s="114" t="n">
        <v>65</v>
      </c>
      <c r="S3605" s="114" t="n">
        <v>0</v>
      </c>
      <c r="T3605" t="n">
        <v>0</v>
      </c>
    </row>
    <row r="3606">
      <c r="A3606" t="inlineStr">
        <is>
          <t>ttJTrans</t>
        </is>
      </c>
      <c r="B3606" s="38" t="inlineStr">
        <is>
          <t>0-4100</t>
        </is>
      </c>
      <c r="C3606" t="inlineStr">
        <is>
          <t>EQ</t>
        </is>
      </c>
      <c r="E3606" t="inlineStr">
        <is>
          <t>EQ</t>
        </is>
      </c>
      <c r="G3606" s="128" t="inlineStr"/>
      <c r="H3606" s="127" t="n">
        <v>46152</v>
      </c>
      <c r="J3606" s="38" t="inlineStr">
        <is>
          <t>0-4100</t>
        </is>
      </c>
      <c r="K3606" t="inlineStr">
        <is>
          <t>BH235 2023 KOMATSU PC88MR-11 EXCAVATOR 2023 KOMATSU PC88MR-11 EXCAVATOR</t>
        </is>
      </c>
      <c r="L3606" t="n">
        <v>0</v>
      </c>
      <c r="M3606" t="n">
        <v>0</v>
      </c>
      <c r="O3606" t="inlineStr">
        <is>
          <t>BH235</t>
        </is>
      </c>
      <c r="Q3606" s="114" t="n">
        <v>0</v>
      </c>
      <c r="R3606" s="114" t="n">
        <v>125</v>
      </c>
      <c r="S3606" s="114" t="n">
        <v>0</v>
      </c>
      <c r="T3606" t="n">
        <v>0</v>
      </c>
    </row>
    <row r="3607">
      <c r="A3607" t="inlineStr">
        <is>
          <t>ttJTrans</t>
        </is>
      </c>
      <c r="B3607" s="38" t="inlineStr">
        <is>
          <t>0-4100</t>
        </is>
      </c>
      <c r="C3607" t="inlineStr">
        <is>
          <t>EQ</t>
        </is>
      </c>
      <c r="E3607" t="inlineStr">
        <is>
          <t>EQ</t>
        </is>
      </c>
      <c r="G3607" s="128" t="inlineStr"/>
      <c r="H3607" s="127" t="n">
        <v>46152</v>
      </c>
      <c r="J3607" s="38" t="inlineStr">
        <is>
          <t>0-4100</t>
        </is>
      </c>
      <c r="K3607" t="inlineStr">
        <is>
          <t>BH235 2023 KOMATSU PC88MR-11 EXCAVATOR 2023 KOMATSU PC88MR-11 EXCAVATOR</t>
        </is>
      </c>
      <c r="L3607" t="n">
        <v>0</v>
      </c>
      <c r="M3607" t="n">
        <v>0</v>
      </c>
      <c r="O3607" t="inlineStr">
        <is>
          <t>BH235</t>
        </is>
      </c>
      <c r="Q3607" s="114" t="n">
        <v>0</v>
      </c>
      <c r="R3607" s="114" t="n">
        <v>125</v>
      </c>
      <c r="S3607" s="114" t="n">
        <v>0</v>
      </c>
      <c r="T3607" t="n">
        <v>0</v>
      </c>
    </row>
    <row r="3608">
      <c r="A3608" t="inlineStr">
        <is>
          <t>ttJTrans</t>
        </is>
      </c>
      <c r="B3608" s="38" t="inlineStr">
        <is>
          <t>0-4100</t>
        </is>
      </c>
      <c r="C3608" t="inlineStr">
        <is>
          <t>EQ</t>
        </is>
      </c>
      <c r="E3608" t="inlineStr">
        <is>
          <t>EQ</t>
        </is>
      </c>
      <c r="G3608" s="128" t="inlineStr"/>
      <c r="H3608" s="127" t="n">
        <v>46152</v>
      </c>
      <c r="J3608" s="38" t="inlineStr">
        <is>
          <t>0-4100</t>
        </is>
      </c>
      <c r="K3608" t="inlineStr">
        <is>
          <t>BH235 2023 KOMATSU PC88MR-11 EXCAVATOR 2023 KOMATSU PC88MR-11 EXCAVATOR</t>
        </is>
      </c>
      <c r="L3608" t="n">
        <v>0</v>
      </c>
      <c r="M3608" t="n">
        <v>0</v>
      </c>
      <c r="O3608" t="inlineStr">
        <is>
          <t>BH235</t>
        </is>
      </c>
      <c r="Q3608" s="114" t="n">
        <v>0</v>
      </c>
      <c r="R3608" s="114" t="n">
        <v>125</v>
      </c>
      <c r="S3608" s="114" t="n">
        <v>0</v>
      </c>
      <c r="T3608" t="n">
        <v>0</v>
      </c>
    </row>
    <row r="3609">
      <c r="A3609" t="inlineStr">
        <is>
          <t>ttJTrans</t>
        </is>
      </c>
      <c r="B3609" s="38" t="inlineStr">
        <is>
          <t>0-4100</t>
        </is>
      </c>
      <c r="C3609" t="inlineStr">
        <is>
          <t>EQ</t>
        </is>
      </c>
      <c r="E3609" t="inlineStr">
        <is>
          <t>EQ</t>
        </is>
      </c>
      <c r="G3609" s="128" t="inlineStr"/>
      <c r="H3609" s="127" t="n">
        <v>46152</v>
      </c>
      <c r="J3609" s="38" t="inlineStr">
        <is>
          <t>0-4100</t>
        </is>
      </c>
      <c r="K3609" t="inlineStr">
        <is>
          <t>BH235 2023 KOMATSU PC88MR-11 EXCAVATOR 2023 KOMATSU PC88MR-11 EXCAVATOR</t>
        </is>
      </c>
      <c r="L3609" t="n">
        <v>0</v>
      </c>
      <c r="M3609" t="n">
        <v>0</v>
      </c>
      <c r="O3609" t="inlineStr">
        <is>
          <t>BH235</t>
        </is>
      </c>
      <c r="Q3609" s="114" t="n">
        <v>0</v>
      </c>
      <c r="R3609" s="114" t="n">
        <v>125</v>
      </c>
      <c r="S3609" s="114" t="n">
        <v>0</v>
      </c>
      <c r="T3609" t="n">
        <v>0</v>
      </c>
    </row>
    <row r="3610">
      <c r="A3610" t="inlineStr">
        <is>
          <t>ttJTrans</t>
        </is>
      </c>
      <c r="B3610" s="38" t="inlineStr">
        <is>
          <t>0-4100</t>
        </is>
      </c>
      <c r="C3610" t="inlineStr">
        <is>
          <t>EQ</t>
        </is>
      </c>
      <c r="E3610" t="inlineStr">
        <is>
          <t>EQ</t>
        </is>
      </c>
      <c r="G3610" s="128" t="inlineStr"/>
      <c r="H3610" s="127" t="n">
        <v>46152</v>
      </c>
      <c r="J3610" s="38" t="inlineStr">
        <is>
          <t>0-4100</t>
        </is>
      </c>
      <c r="K3610" t="inlineStr">
        <is>
          <t>BH235 2023 KOMATSU PC88MR-11 EXCAVATOR 2023 KOMATSU PC88MR-11 EXCAVATOR</t>
        </is>
      </c>
      <c r="L3610" t="n">
        <v>0</v>
      </c>
      <c r="M3610" t="n">
        <v>0</v>
      </c>
      <c r="O3610" t="inlineStr">
        <is>
          <t>BH235</t>
        </is>
      </c>
      <c r="Q3610" s="114" t="n">
        <v>0</v>
      </c>
      <c r="R3610" s="114" t="n">
        <v>125</v>
      </c>
      <c r="S3610" s="114" t="n">
        <v>0</v>
      </c>
      <c r="T3610" t="n">
        <v>0</v>
      </c>
    </row>
    <row r="3611">
      <c r="A3611" t="inlineStr">
        <is>
          <t>ttJTrans</t>
        </is>
      </c>
      <c r="B3611" s="38" t="inlineStr">
        <is>
          <t>0-4100</t>
        </is>
      </c>
      <c r="C3611" t="inlineStr">
        <is>
          <t>EQ</t>
        </is>
      </c>
      <c r="E3611" t="inlineStr">
        <is>
          <t>EQ</t>
        </is>
      </c>
      <c r="G3611" s="128" t="inlineStr"/>
      <c r="H3611" s="127" t="n">
        <v>46152</v>
      </c>
      <c r="J3611" s="38" t="inlineStr">
        <is>
          <t>0-4100</t>
        </is>
      </c>
      <c r="K3611" t="inlineStr">
        <is>
          <t>BH235 2023 KOMATSU PC88MR-11 EXCAVATOR 2023 KOMATSU PC88MR-11 EXCAVATOR</t>
        </is>
      </c>
      <c r="L3611" t="n">
        <v>0</v>
      </c>
      <c r="M3611" t="n">
        <v>0</v>
      </c>
      <c r="O3611" t="inlineStr">
        <is>
          <t>BH235</t>
        </is>
      </c>
      <c r="Q3611" s="114" t="n">
        <v>0</v>
      </c>
      <c r="R3611" s="114" t="n">
        <v>125</v>
      </c>
      <c r="S3611" s="114" t="n">
        <v>0</v>
      </c>
      <c r="T3611" t="n">
        <v>0</v>
      </c>
    </row>
    <row r="3612">
      <c r="A3612" t="inlineStr">
        <is>
          <t>ttJTrans</t>
        </is>
      </c>
      <c r="B3612" s="38" t="inlineStr">
        <is>
          <t>0-4100</t>
        </is>
      </c>
      <c r="C3612" t="inlineStr">
        <is>
          <t>EQ</t>
        </is>
      </c>
      <c r="E3612" t="inlineStr">
        <is>
          <t>EQ</t>
        </is>
      </c>
      <c r="G3612" s="128" t="inlineStr"/>
      <c r="H3612" s="127" t="n">
        <v>46152</v>
      </c>
      <c r="J3612" s="38" t="inlineStr">
        <is>
          <t>0-4100</t>
        </is>
      </c>
      <c r="K3612" t="inlineStr">
        <is>
          <t>SSRAKE03 TITAN SSL-84 GRAPPLE RAKE TITAN SSL-84 GRAPPLE RAKE</t>
        </is>
      </c>
      <c r="L3612" t="n">
        <v>0</v>
      </c>
      <c r="M3612" t="n">
        <v>0</v>
      </c>
      <c r="O3612" t="inlineStr">
        <is>
          <t>SSRAKE03</t>
        </is>
      </c>
      <c r="Q3612" s="114" t="n">
        <v>0</v>
      </c>
      <c r="R3612" s="114" t="n">
        <v>0</v>
      </c>
      <c r="S3612" s="114" t="n">
        <v>0</v>
      </c>
      <c r="T3612" t="n">
        <v>0</v>
      </c>
    </row>
    <row r="3613">
      <c r="A3613" t="inlineStr">
        <is>
          <t>ttJTrans</t>
        </is>
      </c>
      <c r="B3613" s="38" t="inlineStr">
        <is>
          <t>0-4100</t>
        </is>
      </c>
      <c r="C3613" t="inlineStr">
        <is>
          <t>EQ</t>
        </is>
      </c>
      <c r="E3613" t="inlineStr">
        <is>
          <t>EQ</t>
        </is>
      </c>
      <c r="G3613" s="128" t="inlineStr"/>
      <c r="H3613" s="127" t="n">
        <v>46152</v>
      </c>
      <c r="J3613" s="38" t="inlineStr">
        <is>
          <t>0-4100</t>
        </is>
      </c>
      <c r="K3613" t="inlineStr">
        <is>
          <t>SSRAKE03 TITAN SSL-84 GRAPPLE RAKE TITAN SSL-84 GRAPPLE RAKE</t>
        </is>
      </c>
      <c r="L3613" t="n">
        <v>0</v>
      </c>
      <c r="M3613" t="n">
        <v>0</v>
      </c>
      <c r="O3613" t="inlineStr">
        <is>
          <t>SSRAKE03</t>
        </is>
      </c>
      <c r="Q3613" s="114" t="n">
        <v>0</v>
      </c>
      <c r="R3613" s="114" t="n">
        <v>0</v>
      </c>
      <c r="S3613" s="114" t="n">
        <v>0</v>
      </c>
      <c r="T3613" t="n">
        <v>0</v>
      </c>
    </row>
    <row r="3614">
      <c r="A3614" t="inlineStr">
        <is>
          <t>ttJTrans</t>
        </is>
      </c>
      <c r="B3614" s="38" t="inlineStr">
        <is>
          <t>0-4100</t>
        </is>
      </c>
      <c r="C3614" t="inlineStr">
        <is>
          <t>EQ</t>
        </is>
      </c>
      <c r="E3614" t="inlineStr">
        <is>
          <t>EQ</t>
        </is>
      </c>
      <c r="G3614" s="128" t="inlineStr"/>
      <c r="H3614" s="127" t="n">
        <v>46159</v>
      </c>
      <c r="J3614" s="38" t="inlineStr">
        <is>
          <t>0-4100</t>
        </is>
      </c>
      <c r="K3614" t="inlineStr">
        <is>
          <t>FE017 7' ROTARY CUTTER 7' ROTARY CUTTER</t>
        </is>
      </c>
      <c r="L3614" t="n">
        <v>0</v>
      </c>
      <c r="M3614" t="n">
        <v>0</v>
      </c>
      <c r="O3614" t="inlineStr">
        <is>
          <t>FE017</t>
        </is>
      </c>
      <c r="Q3614" s="114" t="n">
        <v>0</v>
      </c>
      <c r="R3614" s="114" t="n">
        <v>0</v>
      </c>
      <c r="S3614" s="114" t="n">
        <v>0</v>
      </c>
      <c r="T3614" t="n">
        <v>0</v>
      </c>
    </row>
    <row r="3615">
      <c r="A3615" t="inlineStr">
        <is>
          <t>ttJTrans</t>
        </is>
      </c>
      <c r="B3615" s="38" t="inlineStr">
        <is>
          <t>0-4100</t>
        </is>
      </c>
      <c r="C3615" t="inlineStr">
        <is>
          <t>EQ</t>
        </is>
      </c>
      <c r="E3615" t="inlineStr">
        <is>
          <t>EQ</t>
        </is>
      </c>
      <c r="G3615" s="128" t="inlineStr"/>
      <c r="H3615" s="127" t="n">
        <v>46159</v>
      </c>
      <c r="J3615" s="38" t="inlineStr">
        <is>
          <t>0-4100</t>
        </is>
      </c>
      <c r="K3615" t="inlineStr">
        <is>
          <t>FE017 7' ROTARY CUTTER 7' ROTARY CUTTER</t>
        </is>
      </c>
      <c r="L3615" t="n">
        <v>0</v>
      </c>
      <c r="M3615" t="n">
        <v>0</v>
      </c>
      <c r="O3615" t="inlineStr">
        <is>
          <t>FE017</t>
        </is>
      </c>
      <c r="Q3615" s="114" t="n">
        <v>0</v>
      </c>
      <c r="R3615" s="114" t="n">
        <v>0</v>
      </c>
      <c r="S3615" s="114" t="n">
        <v>0</v>
      </c>
      <c r="T3615" t="n">
        <v>0</v>
      </c>
    </row>
    <row r="3616">
      <c r="A3616" t="inlineStr">
        <is>
          <t>ttJTrans</t>
        </is>
      </c>
      <c r="B3616" s="38" t="inlineStr">
        <is>
          <t>0-4100</t>
        </is>
      </c>
      <c r="C3616" t="inlineStr">
        <is>
          <t>EQ</t>
        </is>
      </c>
      <c r="E3616" t="inlineStr">
        <is>
          <t>EQ</t>
        </is>
      </c>
      <c r="G3616" s="128" t="inlineStr"/>
      <c r="H3616" s="127" t="n">
        <v>46159</v>
      </c>
      <c r="J3616" s="38" t="inlineStr">
        <is>
          <t>0-4100</t>
        </is>
      </c>
      <c r="K3616" t="inlineStr">
        <is>
          <t>FE017 7' ROTARY CUTTER 7' ROTARY CUTTER</t>
        </is>
      </c>
      <c r="L3616" t="n">
        <v>0</v>
      </c>
      <c r="M3616" t="n">
        <v>0</v>
      </c>
      <c r="O3616" t="inlineStr">
        <is>
          <t>FE017</t>
        </is>
      </c>
      <c r="Q3616" s="114" t="n">
        <v>0</v>
      </c>
      <c r="R3616" s="114" t="n">
        <v>0</v>
      </c>
      <c r="S3616" s="114" t="n">
        <v>0</v>
      </c>
      <c r="T3616" t="n">
        <v>0</v>
      </c>
    </row>
    <row r="3617">
      <c r="A3617" t="inlineStr">
        <is>
          <t>ttJTrans</t>
        </is>
      </c>
      <c r="B3617" s="38" t="inlineStr">
        <is>
          <t>0-4100</t>
        </is>
      </c>
      <c r="C3617" t="inlineStr">
        <is>
          <t>EQ</t>
        </is>
      </c>
      <c r="E3617" t="inlineStr">
        <is>
          <t>EQ</t>
        </is>
      </c>
      <c r="G3617" s="128" t="inlineStr"/>
      <c r="H3617" s="127" t="n">
        <v>46159</v>
      </c>
      <c r="J3617" s="38" t="inlineStr">
        <is>
          <t>0-4100</t>
        </is>
      </c>
      <c r="K3617" t="inlineStr">
        <is>
          <t>FE017 7' ROTARY CUTTER 7' ROTARY CUTTER</t>
        </is>
      </c>
      <c r="L3617" t="n">
        <v>0</v>
      </c>
      <c r="M3617" t="n">
        <v>0</v>
      </c>
      <c r="O3617" t="inlineStr">
        <is>
          <t>FE017</t>
        </is>
      </c>
      <c r="Q3617" s="114" t="n">
        <v>0</v>
      </c>
      <c r="R3617" s="114" t="n">
        <v>0</v>
      </c>
      <c r="S3617" s="114" t="n">
        <v>0</v>
      </c>
      <c r="T3617" t="n">
        <v>0</v>
      </c>
    </row>
    <row r="3618">
      <c r="A3618" t="inlineStr">
        <is>
          <t>ttJTrans</t>
        </is>
      </c>
      <c r="B3618" s="38" t="inlineStr">
        <is>
          <t>0-4100</t>
        </is>
      </c>
      <c r="C3618" t="inlineStr">
        <is>
          <t>EQ</t>
        </is>
      </c>
      <c r="E3618" t="inlineStr">
        <is>
          <t>EQ</t>
        </is>
      </c>
      <c r="G3618" s="128" t="inlineStr"/>
      <c r="H3618" s="127" t="n">
        <v>46159</v>
      </c>
      <c r="J3618" s="38" t="inlineStr">
        <is>
          <t>0-4100</t>
        </is>
      </c>
      <c r="K3618" t="inlineStr">
        <is>
          <t>FE017 7' ROTARY CUTTER 7' ROTARY CUTTER</t>
        </is>
      </c>
      <c r="L3618" t="n">
        <v>0</v>
      </c>
      <c r="M3618" t="n">
        <v>0</v>
      </c>
      <c r="O3618" t="inlineStr">
        <is>
          <t>FE017</t>
        </is>
      </c>
      <c r="Q3618" s="114" t="n">
        <v>0</v>
      </c>
      <c r="R3618" s="114" t="n">
        <v>0</v>
      </c>
      <c r="S3618" s="114" t="n">
        <v>0</v>
      </c>
      <c r="T3618" t="n">
        <v>0</v>
      </c>
    </row>
    <row r="3619">
      <c r="A3619" t="inlineStr">
        <is>
          <t>ttJTrans</t>
        </is>
      </c>
      <c r="B3619" s="38" t="inlineStr">
        <is>
          <t>0-4100</t>
        </is>
      </c>
      <c r="C3619" t="inlineStr">
        <is>
          <t>EQ</t>
        </is>
      </c>
      <c r="E3619" t="inlineStr">
        <is>
          <t>EQ</t>
        </is>
      </c>
      <c r="G3619" s="128" t="inlineStr"/>
      <c r="H3619" s="127" t="n">
        <v>46159</v>
      </c>
      <c r="J3619" s="38" t="inlineStr">
        <is>
          <t>0-4100</t>
        </is>
      </c>
      <c r="K3619" t="inlineStr">
        <is>
          <t>FE017 7' ROTARY CUTTER 7' ROTARY CUTTER</t>
        </is>
      </c>
      <c r="L3619" t="n">
        <v>0</v>
      </c>
      <c r="M3619" t="n">
        <v>0</v>
      </c>
      <c r="O3619" t="inlineStr">
        <is>
          <t>FE017</t>
        </is>
      </c>
      <c r="Q3619" s="114" t="n">
        <v>0</v>
      </c>
      <c r="R3619" s="114" t="n">
        <v>0</v>
      </c>
      <c r="S3619" s="114" t="n">
        <v>0</v>
      </c>
      <c r="T3619" t="n">
        <v>0</v>
      </c>
    </row>
    <row r="3620">
      <c r="A3620" t="inlineStr">
        <is>
          <t>ttJTrans</t>
        </is>
      </c>
      <c r="B3620" s="38" t="inlineStr">
        <is>
          <t>0-4100</t>
        </is>
      </c>
      <c r="C3620" t="inlineStr">
        <is>
          <t>EQ</t>
        </is>
      </c>
      <c r="E3620" t="inlineStr">
        <is>
          <t>EQ</t>
        </is>
      </c>
      <c r="G3620" s="128" t="inlineStr"/>
      <c r="H3620" s="127" t="n">
        <v>46159</v>
      </c>
      <c r="J3620" s="38" t="inlineStr">
        <is>
          <t>0-4100</t>
        </is>
      </c>
      <c r="K3620" t="inlineStr">
        <is>
          <t>FT011 JOHN DEERE 6130M TRACTOR W/ 620R LOADER JOHN DEERE 6130M TRACTOR W/ 620R LOADER</t>
        </is>
      </c>
      <c r="L3620" t="n">
        <v>0</v>
      </c>
      <c r="M3620" t="n">
        <v>0</v>
      </c>
      <c r="O3620" t="inlineStr">
        <is>
          <t>FT011</t>
        </is>
      </c>
      <c r="Q3620" s="114" t="n">
        <v>0</v>
      </c>
      <c r="R3620" s="114" t="n">
        <v>291.67</v>
      </c>
      <c r="S3620" s="114" t="n">
        <v>0</v>
      </c>
      <c r="T3620" t="n">
        <v>0</v>
      </c>
    </row>
    <row r="3621">
      <c r="A3621" t="inlineStr">
        <is>
          <t>ttJTrans</t>
        </is>
      </c>
      <c r="B3621" s="38" t="inlineStr">
        <is>
          <t>0-4100</t>
        </is>
      </c>
      <c r="C3621" t="inlineStr">
        <is>
          <t>EQ</t>
        </is>
      </c>
      <c r="E3621" t="inlineStr">
        <is>
          <t>EQ</t>
        </is>
      </c>
      <c r="G3621" s="128" t="inlineStr"/>
      <c r="H3621" s="127" t="n">
        <v>46159</v>
      </c>
      <c r="J3621" s="38" t="inlineStr">
        <is>
          <t>0-4100</t>
        </is>
      </c>
      <c r="K3621" t="inlineStr">
        <is>
          <t>FT011 JOHN DEERE 6130M TRACTOR W/ 620R LOADER JOHN DEERE 6130M TRACTOR W/ 620R LOADER</t>
        </is>
      </c>
      <c r="L3621" t="n">
        <v>0</v>
      </c>
      <c r="M3621" t="n">
        <v>0</v>
      </c>
      <c r="O3621" t="inlineStr">
        <is>
          <t>FT011</t>
        </is>
      </c>
      <c r="Q3621" s="114" t="n">
        <v>0</v>
      </c>
      <c r="R3621" s="114" t="n">
        <v>291.67</v>
      </c>
      <c r="S3621" s="114" t="n">
        <v>0</v>
      </c>
      <c r="T3621" t="n">
        <v>0</v>
      </c>
    </row>
    <row r="3622">
      <c r="A3622" t="inlineStr">
        <is>
          <t>ttJTrans</t>
        </is>
      </c>
      <c r="B3622" s="38" t="inlineStr">
        <is>
          <t>0-4100</t>
        </is>
      </c>
      <c r="C3622" t="inlineStr">
        <is>
          <t>EQ</t>
        </is>
      </c>
      <c r="E3622" t="inlineStr">
        <is>
          <t>EQ</t>
        </is>
      </c>
      <c r="G3622" s="128" t="inlineStr"/>
      <c r="H3622" s="127" t="n">
        <v>46159</v>
      </c>
      <c r="J3622" s="38" t="inlineStr">
        <is>
          <t>0-4100</t>
        </is>
      </c>
      <c r="K3622" t="inlineStr">
        <is>
          <t>WLD146 SILT FENCE PLOW - SKID STEER SILT FENCE PLOW - SKID STEER</t>
        </is>
      </c>
      <c r="L3622" t="n">
        <v>0</v>
      </c>
      <c r="M3622" t="n">
        <v>0</v>
      </c>
      <c r="O3622" t="inlineStr">
        <is>
          <t>WLD146</t>
        </is>
      </c>
      <c r="Q3622" s="114" t="n">
        <v>0</v>
      </c>
      <c r="R3622" s="114" t="n">
        <v>50</v>
      </c>
      <c r="S3622" s="114" t="n">
        <v>0</v>
      </c>
      <c r="T3622" t="n">
        <v>0</v>
      </c>
    </row>
    <row r="3623">
      <c r="A3623" t="inlineStr">
        <is>
          <t>ttJTrans</t>
        </is>
      </c>
      <c r="B3623" s="38" t="inlineStr">
        <is>
          <t>0-4100</t>
        </is>
      </c>
      <c r="C3623" t="inlineStr">
        <is>
          <t>EQ</t>
        </is>
      </c>
      <c r="E3623" t="inlineStr">
        <is>
          <t>EQ</t>
        </is>
      </c>
      <c r="G3623" s="128" t="inlineStr"/>
      <c r="H3623" s="127" t="n">
        <v>46159</v>
      </c>
      <c r="J3623" s="38" t="inlineStr">
        <is>
          <t>0-4100</t>
        </is>
      </c>
      <c r="K3623" t="inlineStr">
        <is>
          <t>WLD146 SILT FENCE PLOW - SKID STEER SILT FENCE PLOW - SKID STEER</t>
        </is>
      </c>
      <c r="L3623" t="n">
        <v>0</v>
      </c>
      <c r="M3623" t="n">
        <v>0</v>
      </c>
      <c r="O3623" t="inlineStr">
        <is>
          <t>WLD146</t>
        </is>
      </c>
      <c r="Q3623" s="114" t="n">
        <v>0</v>
      </c>
      <c r="R3623" s="114" t="n">
        <v>50</v>
      </c>
      <c r="S3623" s="114" t="n">
        <v>0</v>
      </c>
      <c r="T3623" t="n">
        <v>0</v>
      </c>
    </row>
    <row r="3624">
      <c r="A3624" t="inlineStr">
        <is>
          <t>ttJTrans</t>
        </is>
      </c>
      <c r="B3624" s="38" t="inlineStr">
        <is>
          <t>0-4100</t>
        </is>
      </c>
      <c r="C3624" t="inlineStr">
        <is>
          <t>EQ</t>
        </is>
      </c>
      <c r="E3624" t="inlineStr">
        <is>
          <t>EQ</t>
        </is>
      </c>
      <c r="G3624" s="128" t="inlineStr"/>
      <c r="H3624" s="127" t="n">
        <v>46159</v>
      </c>
      <c r="J3624" s="38" t="inlineStr">
        <is>
          <t>0-4100</t>
        </is>
      </c>
      <c r="K3624" t="inlineStr">
        <is>
          <t>WLD146 SILT FENCE PLOW - SKID STEER SILT FENCE PLOW - SKID STEER</t>
        </is>
      </c>
      <c r="L3624" t="n">
        <v>0</v>
      </c>
      <c r="M3624" t="n">
        <v>0</v>
      </c>
      <c r="O3624" t="inlineStr">
        <is>
          <t>WLD146</t>
        </is>
      </c>
      <c r="Q3624" s="114" t="n">
        <v>0</v>
      </c>
      <c r="R3624" s="114" t="n">
        <v>50</v>
      </c>
      <c r="S3624" s="114" t="n">
        <v>0</v>
      </c>
      <c r="T3624" t="n">
        <v>0</v>
      </c>
    </row>
    <row r="3625">
      <c r="A3625" t="inlineStr">
        <is>
          <t>ttJTrans</t>
        </is>
      </c>
      <c r="B3625" s="38" t="inlineStr">
        <is>
          <t>0-4100</t>
        </is>
      </c>
      <c r="C3625" t="inlineStr">
        <is>
          <t>EQ</t>
        </is>
      </c>
      <c r="E3625" t="inlineStr">
        <is>
          <t>EQ</t>
        </is>
      </c>
      <c r="G3625" s="128" t="inlineStr"/>
      <c r="H3625" s="127" t="n">
        <v>46159</v>
      </c>
      <c r="J3625" s="38" t="inlineStr">
        <is>
          <t>0-4100</t>
        </is>
      </c>
      <c r="K3625" t="inlineStr">
        <is>
          <t>WLD146 SILT FENCE PLOW - SKID STEER SILT FENCE PLOW - SKID STEER</t>
        </is>
      </c>
      <c r="L3625" t="n">
        <v>0</v>
      </c>
      <c r="M3625" t="n">
        <v>0</v>
      </c>
      <c r="O3625" t="inlineStr">
        <is>
          <t>WLD146</t>
        </is>
      </c>
      <c r="Q3625" s="114" t="n">
        <v>0</v>
      </c>
      <c r="R3625" s="114" t="n">
        <v>50</v>
      </c>
      <c r="S3625" s="114" t="n">
        <v>0</v>
      </c>
      <c r="T3625" t="n">
        <v>0</v>
      </c>
    </row>
    <row r="3626">
      <c r="A3626" t="inlineStr">
        <is>
          <t>ttJTrans</t>
        </is>
      </c>
      <c r="B3626" s="38" t="inlineStr">
        <is>
          <t>0-4100</t>
        </is>
      </c>
      <c r="C3626" t="inlineStr">
        <is>
          <t>EQ</t>
        </is>
      </c>
      <c r="E3626" t="inlineStr">
        <is>
          <t>EQ</t>
        </is>
      </c>
      <c r="G3626" s="128" t="inlineStr"/>
      <c r="H3626" s="127" t="n">
        <v>46159</v>
      </c>
      <c r="J3626" s="38" t="inlineStr">
        <is>
          <t>0-4100</t>
        </is>
      </c>
      <c r="K3626" t="inlineStr">
        <is>
          <t>WLD146 SILT FENCE PLOW - SKID STEER SILT FENCE PLOW - SKID STEER</t>
        </is>
      </c>
      <c r="L3626" t="n">
        <v>0</v>
      </c>
      <c r="M3626" t="n">
        <v>0</v>
      </c>
      <c r="O3626" t="inlineStr">
        <is>
          <t>WLD146</t>
        </is>
      </c>
      <c r="Q3626" s="114" t="n">
        <v>0</v>
      </c>
      <c r="R3626" s="114" t="n">
        <v>50</v>
      </c>
      <c r="S3626" s="114" t="n">
        <v>0</v>
      </c>
      <c r="T3626" t="n">
        <v>0</v>
      </c>
    </row>
    <row r="3627">
      <c r="A3627" t="inlineStr">
        <is>
          <t>ttJTrans</t>
        </is>
      </c>
      <c r="B3627" s="38" t="inlineStr">
        <is>
          <t>0-4100</t>
        </is>
      </c>
      <c r="C3627" t="inlineStr">
        <is>
          <t>EQ</t>
        </is>
      </c>
      <c r="E3627" t="inlineStr">
        <is>
          <t>EQ</t>
        </is>
      </c>
      <c r="G3627" s="128" t="inlineStr"/>
      <c r="H3627" s="127" t="n">
        <v>46159</v>
      </c>
      <c r="J3627" s="38" t="inlineStr">
        <is>
          <t>0-4100</t>
        </is>
      </c>
      <c r="K3627" t="inlineStr">
        <is>
          <t>WLD146 SILT FENCE PLOW - SKID STEER SILT FENCE PLOW - SKID STEER</t>
        </is>
      </c>
      <c r="L3627" t="n">
        <v>0</v>
      </c>
      <c r="M3627" t="n">
        <v>0</v>
      </c>
      <c r="O3627" t="inlineStr">
        <is>
          <t>WLD146</t>
        </is>
      </c>
      <c r="Q3627" s="114" t="n">
        <v>0</v>
      </c>
      <c r="R3627" s="114" t="n">
        <v>50</v>
      </c>
      <c r="S3627" s="114" t="n">
        <v>0</v>
      </c>
      <c r="T3627" t="n">
        <v>0</v>
      </c>
    </row>
    <row r="3628">
      <c r="A3628" t="inlineStr">
        <is>
          <t>ttJTrans</t>
        </is>
      </c>
      <c r="B3628" s="38" t="inlineStr">
        <is>
          <t>0-4100</t>
        </is>
      </c>
      <c r="C3628" t="inlineStr">
        <is>
          <t>EQ</t>
        </is>
      </c>
      <c r="E3628" t="inlineStr">
        <is>
          <t>EQ</t>
        </is>
      </c>
      <c r="G3628" s="128" t="inlineStr"/>
      <c r="H3628" s="127" t="n">
        <v>46159</v>
      </c>
      <c r="J3628" s="38" t="inlineStr">
        <is>
          <t>0-4100</t>
        </is>
      </c>
      <c r="K3628" t="inlineStr">
        <is>
          <t>RT1447 2024 FORD F250 XL STX CREW CAB DIESEL SWB 2024 FORD F250 XL STX CREW CAB DIESEL SWB</t>
        </is>
      </c>
      <c r="L3628" t="n">
        <v>0</v>
      </c>
      <c r="M3628" t="n">
        <v>0</v>
      </c>
      <c r="O3628" t="inlineStr">
        <is>
          <t>RT1447</t>
        </is>
      </c>
      <c r="Q3628" s="114" t="n">
        <v>0</v>
      </c>
      <c r="R3628" s="114" t="n">
        <v>79.14</v>
      </c>
      <c r="S3628" s="114" t="n">
        <v>0</v>
      </c>
      <c r="T3628" t="n">
        <v>0</v>
      </c>
    </row>
    <row r="3629">
      <c r="A3629" t="inlineStr">
        <is>
          <t>ttJTrans</t>
        </is>
      </c>
      <c r="B3629" s="38" t="inlineStr">
        <is>
          <t>0-4100</t>
        </is>
      </c>
      <c r="C3629" t="inlineStr">
        <is>
          <t>EQ</t>
        </is>
      </c>
      <c r="E3629" t="inlineStr">
        <is>
          <t>EQ</t>
        </is>
      </c>
      <c r="G3629" s="128" t="inlineStr"/>
      <c r="H3629" s="127" t="n">
        <v>46159</v>
      </c>
      <c r="J3629" s="38" t="inlineStr">
        <is>
          <t>0-4100</t>
        </is>
      </c>
      <c r="K3629" t="inlineStr">
        <is>
          <t>RT1385 2024 RAM 2500 TRADESMAN GAS 4X4 CREW CAB 8FT BED W/ DRAGUP TANK &amp; TOOLBOX COMBO 2024 RAM 2500 TRADESMAN GAS 4X4 CREW CAB 8FT BED W/ DRAGUP TANK &amp; TOOLBOX COMBO</t>
        </is>
      </c>
      <c r="L3629" t="n">
        <v>0</v>
      </c>
      <c r="M3629" t="n">
        <v>0</v>
      </c>
      <c r="O3629" t="inlineStr">
        <is>
          <t>RT1385</t>
        </is>
      </c>
      <c r="Q3629" s="114" t="n">
        <v>0</v>
      </c>
      <c r="R3629" s="114" t="n">
        <v>79.14</v>
      </c>
      <c r="S3629" s="114" t="n">
        <v>0</v>
      </c>
      <c r="T3629" t="n">
        <v>0</v>
      </c>
    </row>
    <row r="3630">
      <c r="A3630" t="inlineStr">
        <is>
          <t>ttJTrans</t>
        </is>
      </c>
      <c r="B3630" s="38" t="inlineStr">
        <is>
          <t>0-4100</t>
        </is>
      </c>
      <c r="C3630" t="inlineStr">
        <is>
          <t>EQ</t>
        </is>
      </c>
      <c r="E3630" t="inlineStr">
        <is>
          <t>EQ</t>
        </is>
      </c>
      <c r="G3630" s="128" t="inlineStr"/>
      <c r="H3630" s="127" t="n">
        <v>46159</v>
      </c>
      <c r="J3630" s="38" t="inlineStr">
        <is>
          <t>0-4100</t>
        </is>
      </c>
      <c r="K3630" t="inlineStr">
        <is>
          <t>SSAUGKIT1 SKIDPRO SP300 PLANETARY AUGER DRIVE KIT W/ CRADLE &amp; MOUNT SKIDPRO SP300 PLANETARY AUGER DRIVE KIT W/ CRADLE &amp; MOUNT</t>
        </is>
      </c>
      <c r="L3630" t="n">
        <v>0</v>
      </c>
      <c r="M3630" t="n">
        <v>0</v>
      </c>
      <c r="O3630" t="inlineStr">
        <is>
          <t>SSAUGKIT1</t>
        </is>
      </c>
      <c r="Q3630" s="114" t="n">
        <v>0</v>
      </c>
      <c r="R3630" s="114" t="n">
        <v>35</v>
      </c>
      <c r="S3630" s="114" t="n">
        <v>0</v>
      </c>
      <c r="T3630" t="n">
        <v>0</v>
      </c>
    </row>
    <row r="3631">
      <c r="A3631" t="inlineStr">
        <is>
          <t>ttJTrans</t>
        </is>
      </c>
      <c r="B3631" s="38" t="inlineStr">
        <is>
          <t>0-4100</t>
        </is>
      </c>
      <c r="C3631" t="inlineStr">
        <is>
          <t>EQ</t>
        </is>
      </c>
      <c r="E3631" t="inlineStr">
        <is>
          <t>EQ</t>
        </is>
      </c>
      <c r="G3631" s="128" t="inlineStr"/>
      <c r="H3631" s="127" t="n">
        <v>46159</v>
      </c>
      <c r="J3631" s="38" t="inlineStr">
        <is>
          <t>0-4100</t>
        </is>
      </c>
      <c r="K3631" t="inlineStr">
        <is>
          <t>SSAUGKIT1 SKIDPRO SP300 PLANETARY AUGER DRIVE KIT W/ CRADLE &amp; MOUNT SKIDPRO SP300 PLANETARY AUGER DRIVE KIT W/ CRADLE &amp; MOUNT</t>
        </is>
      </c>
      <c r="L3631" t="n">
        <v>0</v>
      </c>
      <c r="M3631" t="n">
        <v>0</v>
      </c>
      <c r="O3631" t="inlineStr">
        <is>
          <t>SSAUGKIT1</t>
        </is>
      </c>
      <c r="Q3631" s="114" t="n">
        <v>0</v>
      </c>
      <c r="R3631" s="114" t="n">
        <v>35</v>
      </c>
      <c r="S3631" s="114" t="n">
        <v>0</v>
      </c>
      <c r="T3631" t="n">
        <v>0</v>
      </c>
    </row>
    <row r="3632">
      <c r="A3632" t="inlineStr">
        <is>
          <t>ttJTrans</t>
        </is>
      </c>
      <c r="B3632" s="38" t="inlineStr">
        <is>
          <t>0-4100</t>
        </is>
      </c>
      <c r="C3632" t="inlineStr">
        <is>
          <t>EQ</t>
        </is>
      </c>
      <c r="E3632" t="inlineStr">
        <is>
          <t>EQ</t>
        </is>
      </c>
      <c r="G3632" s="128" t="inlineStr"/>
      <c r="H3632" s="127" t="n">
        <v>46159</v>
      </c>
      <c r="J3632" s="38" t="inlineStr">
        <is>
          <t>0-4100</t>
        </is>
      </c>
      <c r="K3632" t="inlineStr">
        <is>
          <t>SSAUGKIT1 SKIDPRO SP300 PLANETARY AUGER DRIVE KIT W/ CRADLE &amp; MOUNT SKIDPRO SP300 PLANETARY AUGER DRIVE KIT W/ CRADLE &amp; MOUNT</t>
        </is>
      </c>
      <c r="L3632" t="n">
        <v>0</v>
      </c>
      <c r="M3632" t="n">
        <v>0</v>
      </c>
      <c r="O3632" t="inlineStr">
        <is>
          <t>SSAUGKIT1</t>
        </is>
      </c>
      <c r="Q3632" s="114" t="n">
        <v>0</v>
      </c>
      <c r="R3632" s="114" t="n">
        <v>35</v>
      </c>
      <c r="S3632" s="114" t="n">
        <v>0</v>
      </c>
      <c r="T3632" t="n">
        <v>0</v>
      </c>
    </row>
    <row r="3633">
      <c r="A3633" t="inlineStr">
        <is>
          <t>ttJTrans</t>
        </is>
      </c>
      <c r="B3633" s="38" t="inlineStr">
        <is>
          <t>0-4100</t>
        </is>
      </c>
      <c r="C3633" t="inlineStr">
        <is>
          <t>EQ</t>
        </is>
      </c>
      <c r="E3633" t="inlineStr">
        <is>
          <t>EQ</t>
        </is>
      </c>
      <c r="G3633" s="128" t="inlineStr"/>
      <c r="H3633" s="127" t="n">
        <v>46159</v>
      </c>
      <c r="J3633" s="38" t="inlineStr">
        <is>
          <t>0-4100</t>
        </is>
      </c>
      <c r="K3633" t="inlineStr">
        <is>
          <t>SSAUGKIT1 SKIDPRO SP300 PLANETARY AUGER DRIVE KIT W/ CRADLE &amp; MOUNT SKIDPRO SP300 PLANETARY AUGER DRIVE KIT W/ CRADLE &amp; MOUNT</t>
        </is>
      </c>
      <c r="L3633" t="n">
        <v>0</v>
      </c>
      <c r="M3633" t="n">
        <v>0</v>
      </c>
      <c r="O3633" t="inlineStr">
        <is>
          <t>SSAUGKIT1</t>
        </is>
      </c>
      <c r="Q3633" s="114" t="n">
        <v>0</v>
      </c>
      <c r="R3633" s="114" t="n">
        <v>35</v>
      </c>
      <c r="S3633" s="114" t="n">
        <v>0</v>
      </c>
      <c r="T3633" t="n">
        <v>0</v>
      </c>
    </row>
    <row r="3634">
      <c r="A3634" t="inlineStr">
        <is>
          <t>ttJTrans</t>
        </is>
      </c>
      <c r="B3634" s="38" t="inlineStr">
        <is>
          <t>0-4100</t>
        </is>
      </c>
      <c r="C3634" t="inlineStr">
        <is>
          <t>EQ</t>
        </is>
      </c>
      <c r="E3634" t="inlineStr">
        <is>
          <t>EQ</t>
        </is>
      </c>
      <c r="G3634" s="128" t="inlineStr"/>
      <c r="H3634" s="127" t="n">
        <v>46159</v>
      </c>
      <c r="J3634" s="38" t="inlineStr">
        <is>
          <t>0-4100</t>
        </is>
      </c>
      <c r="K3634" t="inlineStr">
        <is>
          <t>TR428 CARRY-ON 5X8 UTILITY TRAILER (CHARGED TO 22-4001) CARRY-ON 5X8 UTILITY TRAILER (CHARGED TO 22-4001)</t>
        </is>
      </c>
      <c r="L3634" t="n">
        <v>0</v>
      </c>
      <c r="M3634" t="n">
        <v>0</v>
      </c>
      <c r="O3634" t="inlineStr">
        <is>
          <t>TR428</t>
        </is>
      </c>
      <c r="Q3634" s="114" t="n">
        <v>0</v>
      </c>
      <c r="R3634" s="114" t="n">
        <v>15</v>
      </c>
      <c r="S3634" s="114" t="n">
        <v>0</v>
      </c>
      <c r="T3634" t="n">
        <v>0</v>
      </c>
    </row>
    <row r="3635">
      <c r="A3635" t="inlineStr">
        <is>
          <t>ttJTrans</t>
        </is>
      </c>
      <c r="B3635" s="38" t="inlineStr">
        <is>
          <t>0-4100</t>
        </is>
      </c>
      <c r="C3635" t="inlineStr">
        <is>
          <t>EQ</t>
        </is>
      </c>
      <c r="E3635" t="inlineStr">
        <is>
          <t>EQ</t>
        </is>
      </c>
      <c r="G3635" s="128" t="inlineStr"/>
      <c r="H3635" s="127" t="n">
        <v>46159</v>
      </c>
      <c r="J3635" s="38" t="inlineStr">
        <is>
          <t>0-4100</t>
        </is>
      </c>
      <c r="K3635" t="inlineStr">
        <is>
          <t>TR428 CARRY-ON 5X8 UTILITY TRAILER (CHARGED TO 22-4001) CARRY-ON 5X8 UTILITY TRAILER (CHARGED TO 22-4001)</t>
        </is>
      </c>
      <c r="L3635" t="n">
        <v>0</v>
      </c>
      <c r="M3635" t="n">
        <v>0</v>
      </c>
      <c r="O3635" t="inlineStr">
        <is>
          <t>TR428</t>
        </is>
      </c>
      <c r="Q3635" s="114" t="n">
        <v>0</v>
      </c>
      <c r="R3635" s="114" t="n">
        <v>15</v>
      </c>
      <c r="S3635" s="114" t="n">
        <v>0</v>
      </c>
      <c r="T3635" t="n">
        <v>0</v>
      </c>
    </row>
    <row r="3636">
      <c r="A3636" t="inlineStr">
        <is>
          <t>ttJTrans</t>
        </is>
      </c>
      <c r="B3636" s="38" t="inlineStr">
        <is>
          <t>0-4100</t>
        </is>
      </c>
      <c r="C3636" t="inlineStr">
        <is>
          <t>EQ</t>
        </is>
      </c>
      <c r="E3636" t="inlineStr">
        <is>
          <t>EQ</t>
        </is>
      </c>
      <c r="G3636" s="128" t="inlineStr"/>
      <c r="H3636" s="127" t="n">
        <v>46159</v>
      </c>
      <c r="J3636" s="38" t="inlineStr">
        <is>
          <t>0-4100</t>
        </is>
      </c>
      <c r="K3636" t="inlineStr">
        <is>
          <t>TR428 CARRY-ON 5X8 UTILITY TRAILER (CHARGED TO 22-4001) CARRY-ON 5X8 UTILITY TRAILER (CHARGED TO 22-4001)</t>
        </is>
      </c>
      <c r="L3636" t="n">
        <v>0</v>
      </c>
      <c r="M3636" t="n">
        <v>0</v>
      </c>
      <c r="O3636" t="inlineStr">
        <is>
          <t>TR428</t>
        </is>
      </c>
      <c r="Q3636" s="114" t="n">
        <v>0</v>
      </c>
      <c r="R3636" s="114" t="n">
        <v>15</v>
      </c>
      <c r="S3636" s="114" t="n">
        <v>0</v>
      </c>
      <c r="T3636" t="n">
        <v>0</v>
      </c>
    </row>
    <row r="3637">
      <c r="A3637" t="inlineStr">
        <is>
          <t>ttJTrans</t>
        </is>
      </c>
      <c r="B3637" s="38" t="inlineStr">
        <is>
          <t>0-4100</t>
        </is>
      </c>
      <c r="C3637" t="inlineStr">
        <is>
          <t>EQ</t>
        </is>
      </c>
      <c r="E3637" t="inlineStr">
        <is>
          <t>EQ</t>
        </is>
      </c>
      <c r="G3637" s="128" t="inlineStr"/>
      <c r="H3637" s="127" t="n">
        <v>46159</v>
      </c>
      <c r="J3637" s="38" t="inlineStr">
        <is>
          <t>0-4100</t>
        </is>
      </c>
      <c r="K3637" t="inlineStr">
        <is>
          <t>TR428 CARRY-ON 5X8 UTILITY TRAILER (CHARGED TO 22-4001) CARRY-ON 5X8 UTILITY TRAILER (CHARGED TO 22-4001)</t>
        </is>
      </c>
      <c r="L3637" t="n">
        <v>0</v>
      </c>
      <c r="M3637" t="n">
        <v>0</v>
      </c>
      <c r="O3637" t="inlineStr">
        <is>
          <t>TR428</t>
        </is>
      </c>
      <c r="Q3637" s="114" t="n">
        <v>0</v>
      </c>
      <c r="R3637" s="114" t="n">
        <v>15</v>
      </c>
      <c r="S3637" s="114" t="n">
        <v>0</v>
      </c>
      <c r="T3637" t="n">
        <v>0</v>
      </c>
    </row>
    <row r="3638">
      <c r="A3638" t="inlineStr">
        <is>
          <t>ttJTrans</t>
        </is>
      </c>
      <c r="B3638" s="38" t="inlineStr">
        <is>
          <t>0-4100</t>
        </is>
      </c>
      <c r="C3638" t="inlineStr">
        <is>
          <t>EQ</t>
        </is>
      </c>
      <c r="E3638" t="inlineStr">
        <is>
          <t>EQ</t>
        </is>
      </c>
      <c r="G3638" s="128" t="inlineStr"/>
      <c r="H3638" s="127" t="n">
        <v>46159</v>
      </c>
      <c r="J3638" s="38" t="inlineStr">
        <is>
          <t>0-4100</t>
        </is>
      </c>
      <c r="K3638" t="inlineStr">
        <is>
          <t>TR428 CARRY-ON 5X8 UTILITY TRAILER (CHARGED TO 22-4001) CARRY-ON 5X8 UTILITY TRAILER (CHARGED TO 22-4001)</t>
        </is>
      </c>
      <c r="L3638" t="n">
        <v>0</v>
      </c>
      <c r="M3638" t="n">
        <v>0</v>
      </c>
      <c r="O3638" t="inlineStr">
        <is>
          <t>TR428</t>
        </is>
      </c>
      <c r="Q3638" s="114" t="n">
        <v>0</v>
      </c>
      <c r="R3638" s="114" t="n">
        <v>15</v>
      </c>
      <c r="S3638" s="114" t="n">
        <v>0</v>
      </c>
      <c r="T3638" t="n">
        <v>0</v>
      </c>
    </row>
    <row r="3639">
      <c r="A3639" t="inlineStr">
        <is>
          <t>ttJTrans</t>
        </is>
      </c>
      <c r="B3639" s="38" t="inlineStr">
        <is>
          <t>0-4100</t>
        </is>
      </c>
      <c r="C3639" t="inlineStr">
        <is>
          <t>EQ</t>
        </is>
      </c>
      <c r="E3639" t="inlineStr">
        <is>
          <t>EQ</t>
        </is>
      </c>
      <c r="G3639" s="128" t="inlineStr"/>
      <c r="H3639" s="127" t="n">
        <v>46159</v>
      </c>
      <c r="J3639" s="38" t="inlineStr">
        <is>
          <t>0-4100</t>
        </is>
      </c>
      <c r="K3639" t="inlineStr">
        <is>
          <t>TR428 CARRY-ON 5X8 UTILITY TRAILER (CHARGED TO 22-4001) CARRY-ON 5X8 UTILITY TRAILER (CHARGED TO 22-4001)</t>
        </is>
      </c>
      <c r="L3639" t="n">
        <v>0</v>
      </c>
      <c r="M3639" t="n">
        <v>0</v>
      </c>
      <c r="O3639" t="inlineStr">
        <is>
          <t>TR428</t>
        </is>
      </c>
      <c r="Q3639" s="114" t="n">
        <v>0</v>
      </c>
      <c r="R3639" s="114" t="n">
        <v>15</v>
      </c>
      <c r="S3639" s="114" t="n">
        <v>0</v>
      </c>
      <c r="T3639" t="n">
        <v>0</v>
      </c>
    </row>
    <row r="3640">
      <c r="A3640" t="inlineStr">
        <is>
          <t>ttJTrans</t>
        </is>
      </c>
      <c r="B3640" s="38" t="inlineStr">
        <is>
          <t>0-4100</t>
        </is>
      </c>
      <c r="C3640" t="inlineStr">
        <is>
          <t>EQ</t>
        </is>
      </c>
      <c r="E3640" t="inlineStr">
        <is>
          <t>EQ</t>
        </is>
      </c>
      <c r="G3640" s="128" t="inlineStr"/>
      <c r="H3640" s="127" t="n">
        <v>46159</v>
      </c>
      <c r="J3640" s="38" t="inlineStr">
        <is>
          <t>0-4100</t>
        </is>
      </c>
      <c r="K3640" t="inlineStr">
        <is>
          <t>TR145 20' CARGO TRAILER 20' CARGO TRAILER</t>
        </is>
      </c>
      <c r="L3640" t="n">
        <v>0</v>
      </c>
      <c r="M3640" t="n">
        <v>0</v>
      </c>
      <c r="O3640" t="inlineStr">
        <is>
          <t>TR145</t>
        </is>
      </c>
      <c r="Q3640" s="114" t="n">
        <v>0</v>
      </c>
      <c r="R3640" s="114" t="n">
        <v>65</v>
      </c>
      <c r="S3640" s="114" t="n">
        <v>0</v>
      </c>
      <c r="T3640" t="n">
        <v>0</v>
      </c>
    </row>
    <row r="3641">
      <c r="A3641" t="inlineStr">
        <is>
          <t>ttJTrans</t>
        </is>
      </c>
      <c r="B3641" s="38" t="inlineStr">
        <is>
          <t>0-4100</t>
        </is>
      </c>
      <c r="C3641" t="inlineStr">
        <is>
          <t>EQ</t>
        </is>
      </c>
      <c r="E3641" t="inlineStr">
        <is>
          <t>EQ</t>
        </is>
      </c>
      <c r="G3641" s="128" t="inlineStr"/>
      <c r="H3641" s="127" t="n">
        <v>46159</v>
      </c>
      <c r="J3641" s="38" t="inlineStr">
        <is>
          <t>0-4100</t>
        </is>
      </c>
      <c r="K3641" t="inlineStr">
        <is>
          <t>BH235 2023 KOMATSU PC88MR-11 EXCAVATOR 2023 KOMATSU PC88MR-11 EXCAVATOR</t>
        </is>
      </c>
      <c r="L3641" t="n">
        <v>0</v>
      </c>
      <c r="M3641" t="n">
        <v>0</v>
      </c>
      <c r="O3641" t="inlineStr">
        <is>
          <t>BH235</t>
        </is>
      </c>
      <c r="Q3641" s="114" t="n">
        <v>0</v>
      </c>
      <c r="R3641" s="114" t="n">
        <v>125</v>
      </c>
      <c r="S3641" s="114" t="n">
        <v>0</v>
      </c>
      <c r="T3641" t="n">
        <v>0</v>
      </c>
    </row>
    <row r="3642">
      <c r="A3642" t="inlineStr">
        <is>
          <t>ttJTrans</t>
        </is>
      </c>
      <c r="B3642" s="38" t="inlineStr">
        <is>
          <t>0-4100</t>
        </is>
      </c>
      <c r="C3642" t="inlineStr">
        <is>
          <t>EQ</t>
        </is>
      </c>
      <c r="E3642" t="inlineStr">
        <is>
          <t>EQ</t>
        </is>
      </c>
      <c r="G3642" s="128" t="inlineStr"/>
      <c r="H3642" s="127" t="n">
        <v>46159</v>
      </c>
      <c r="J3642" s="38" t="inlineStr">
        <is>
          <t>0-4100</t>
        </is>
      </c>
      <c r="K3642" t="inlineStr">
        <is>
          <t>BH235 2023 KOMATSU PC88MR-11 EXCAVATOR 2023 KOMATSU PC88MR-11 EXCAVATOR</t>
        </is>
      </c>
      <c r="L3642" t="n">
        <v>0</v>
      </c>
      <c r="M3642" t="n">
        <v>0</v>
      </c>
      <c r="O3642" t="inlineStr">
        <is>
          <t>BH235</t>
        </is>
      </c>
      <c r="Q3642" s="114" t="n">
        <v>0</v>
      </c>
      <c r="R3642" s="114" t="n">
        <v>125</v>
      </c>
      <c r="S3642" s="114" t="n">
        <v>0</v>
      </c>
      <c r="T3642" t="n">
        <v>0</v>
      </c>
    </row>
    <row r="3643">
      <c r="A3643" t="inlineStr">
        <is>
          <t>ttJTrans</t>
        </is>
      </c>
      <c r="B3643" s="38" t="inlineStr">
        <is>
          <t>0-4100</t>
        </is>
      </c>
      <c r="C3643" t="inlineStr">
        <is>
          <t>EQ</t>
        </is>
      </c>
      <c r="E3643" t="inlineStr">
        <is>
          <t>EQ</t>
        </is>
      </c>
      <c r="G3643" s="128" t="inlineStr"/>
      <c r="H3643" s="127" t="n">
        <v>46159</v>
      </c>
      <c r="J3643" s="38" t="inlineStr">
        <is>
          <t>0-4100</t>
        </is>
      </c>
      <c r="K3643" t="inlineStr">
        <is>
          <t>BH235 2023 KOMATSU PC88MR-11 EXCAVATOR 2023 KOMATSU PC88MR-11 EXCAVATOR</t>
        </is>
      </c>
      <c r="L3643" t="n">
        <v>0</v>
      </c>
      <c r="M3643" t="n">
        <v>0</v>
      </c>
      <c r="O3643" t="inlineStr">
        <is>
          <t>BH235</t>
        </is>
      </c>
      <c r="Q3643" s="114" t="n">
        <v>0</v>
      </c>
      <c r="R3643" s="114" t="n">
        <v>125</v>
      </c>
      <c r="S3643" s="114" t="n">
        <v>0</v>
      </c>
      <c r="T3643" t="n">
        <v>0</v>
      </c>
    </row>
    <row r="3644">
      <c r="A3644" t="inlineStr">
        <is>
          <t>ttJTrans</t>
        </is>
      </c>
      <c r="B3644" s="38" t="inlineStr">
        <is>
          <t>0-4100</t>
        </is>
      </c>
      <c r="C3644" t="inlineStr">
        <is>
          <t>EQ</t>
        </is>
      </c>
      <c r="E3644" t="inlineStr">
        <is>
          <t>EQ</t>
        </is>
      </c>
      <c r="G3644" s="128" t="inlineStr"/>
      <c r="H3644" s="127" t="n">
        <v>46159</v>
      </c>
      <c r="J3644" s="38" t="inlineStr">
        <is>
          <t>0-4100</t>
        </is>
      </c>
      <c r="K3644" t="inlineStr">
        <is>
          <t>BH235 2023 KOMATSU PC88MR-11 EXCAVATOR 2023 KOMATSU PC88MR-11 EXCAVATOR</t>
        </is>
      </c>
      <c r="L3644" t="n">
        <v>0</v>
      </c>
      <c r="M3644" t="n">
        <v>0</v>
      </c>
      <c r="O3644" t="inlineStr">
        <is>
          <t>BH235</t>
        </is>
      </c>
      <c r="Q3644" s="114" t="n">
        <v>0</v>
      </c>
      <c r="R3644" s="114" t="n">
        <v>125</v>
      </c>
      <c r="S3644" s="114" t="n">
        <v>0</v>
      </c>
      <c r="T3644" t="n">
        <v>0</v>
      </c>
    </row>
    <row r="3645">
      <c r="A3645" t="inlineStr">
        <is>
          <t>ttJTrans</t>
        </is>
      </c>
      <c r="B3645" s="38" t="inlineStr">
        <is>
          <t>0-4100</t>
        </is>
      </c>
      <c r="C3645" t="inlineStr">
        <is>
          <t>EQ</t>
        </is>
      </c>
      <c r="E3645" t="inlineStr">
        <is>
          <t>EQ</t>
        </is>
      </c>
      <c r="G3645" s="128" t="inlineStr"/>
      <c r="H3645" s="127" t="n">
        <v>46166</v>
      </c>
      <c r="J3645" s="38" t="inlineStr">
        <is>
          <t>0-4100</t>
        </is>
      </c>
      <c r="K3645" t="inlineStr">
        <is>
          <t>FE017 7' ROTARY CUTTER 7' ROTARY CUTTER</t>
        </is>
      </c>
      <c r="L3645" t="n">
        <v>0</v>
      </c>
      <c r="M3645" t="n">
        <v>0</v>
      </c>
      <c r="O3645" t="inlineStr">
        <is>
          <t>FE017</t>
        </is>
      </c>
      <c r="Q3645" s="114" t="n">
        <v>0</v>
      </c>
      <c r="R3645" s="114" t="n">
        <v>0</v>
      </c>
      <c r="S3645" s="114" t="n">
        <v>0</v>
      </c>
      <c r="T3645" t="n">
        <v>0</v>
      </c>
    </row>
    <row r="3646">
      <c r="A3646" t="inlineStr">
        <is>
          <t>ttJTrans</t>
        </is>
      </c>
      <c r="B3646" s="38" t="inlineStr">
        <is>
          <t>0-4100</t>
        </is>
      </c>
      <c r="C3646" t="inlineStr">
        <is>
          <t>EQ</t>
        </is>
      </c>
      <c r="E3646" t="inlineStr">
        <is>
          <t>EQ</t>
        </is>
      </c>
      <c r="G3646" s="128" t="inlineStr"/>
      <c r="H3646" s="127" t="n">
        <v>46166</v>
      </c>
      <c r="J3646" s="38" t="inlineStr">
        <is>
          <t>0-4100</t>
        </is>
      </c>
      <c r="K3646" t="inlineStr">
        <is>
          <t>FE017 7' ROTARY CUTTER 7' ROTARY CUTTER</t>
        </is>
      </c>
      <c r="L3646" t="n">
        <v>0</v>
      </c>
      <c r="M3646" t="n">
        <v>0</v>
      </c>
      <c r="O3646" t="inlineStr">
        <is>
          <t>FE017</t>
        </is>
      </c>
      <c r="Q3646" s="114" t="n">
        <v>0</v>
      </c>
      <c r="R3646" s="114" t="n">
        <v>0</v>
      </c>
      <c r="S3646" s="114" t="n">
        <v>0</v>
      </c>
      <c r="T3646" t="n">
        <v>0</v>
      </c>
    </row>
    <row r="3647">
      <c r="A3647" t="inlineStr">
        <is>
          <t>ttJTrans</t>
        </is>
      </c>
      <c r="B3647" s="38" t="inlineStr">
        <is>
          <t>0-4100</t>
        </is>
      </c>
      <c r="C3647" t="inlineStr">
        <is>
          <t>EQ</t>
        </is>
      </c>
      <c r="E3647" t="inlineStr">
        <is>
          <t>EQ</t>
        </is>
      </c>
      <c r="G3647" s="128" t="inlineStr"/>
      <c r="H3647" s="127" t="n">
        <v>46166</v>
      </c>
      <c r="J3647" s="38" t="inlineStr">
        <is>
          <t>0-4100</t>
        </is>
      </c>
      <c r="K3647" t="inlineStr">
        <is>
          <t>FE017 7' ROTARY CUTTER 7' ROTARY CUTTER</t>
        </is>
      </c>
      <c r="L3647" t="n">
        <v>0</v>
      </c>
      <c r="M3647" t="n">
        <v>0</v>
      </c>
      <c r="O3647" t="inlineStr">
        <is>
          <t>FE017</t>
        </is>
      </c>
      <c r="Q3647" s="114" t="n">
        <v>0</v>
      </c>
      <c r="R3647" s="114" t="n">
        <v>0</v>
      </c>
      <c r="S3647" s="114" t="n">
        <v>0</v>
      </c>
      <c r="T3647" t="n">
        <v>0</v>
      </c>
    </row>
    <row r="3648">
      <c r="A3648" t="inlineStr">
        <is>
          <t>ttJTrans</t>
        </is>
      </c>
      <c r="B3648" s="38" t="inlineStr">
        <is>
          <t>0-4100</t>
        </is>
      </c>
      <c r="C3648" t="inlineStr">
        <is>
          <t>ER</t>
        </is>
      </c>
      <c r="E3648" t="inlineStr">
        <is>
          <t>ER</t>
        </is>
      </c>
      <c r="G3648" s="128" t="inlineStr"/>
      <c r="H3648" s="127" t="n">
        <v>46124</v>
      </c>
      <c r="J3648" s="38" t="inlineStr">
        <is>
          <t>0-4100</t>
        </is>
      </c>
      <c r="K3648" t="inlineStr">
        <is>
          <t>RLD291 CATERPILLAR 299D3 TRACK SKID STEER LOADER W FORKS CATERPILLAR 299D3 TRACK SKID STEER LOADER W FORKS</t>
        </is>
      </c>
      <c r="L3648" t="n">
        <v>0</v>
      </c>
      <c r="M3648" t="n">
        <v>0</v>
      </c>
      <c r="O3648" t="inlineStr">
        <is>
          <t>RLD291</t>
        </is>
      </c>
      <c r="Q3648" s="114" t="n">
        <v>0</v>
      </c>
      <c r="R3648" s="114" t="n">
        <v>186.27</v>
      </c>
      <c r="S3648" s="114" t="n">
        <v>0</v>
      </c>
      <c r="T3648" t="n">
        <v>0</v>
      </c>
    </row>
    <row r="3649">
      <c r="A3649" t="inlineStr">
        <is>
          <t>ttJTrans</t>
        </is>
      </c>
      <c r="B3649" s="38" t="inlineStr">
        <is>
          <t>0-4100</t>
        </is>
      </c>
      <c r="C3649" t="inlineStr">
        <is>
          <t>ER</t>
        </is>
      </c>
      <c r="E3649" t="inlineStr">
        <is>
          <t>ER</t>
        </is>
      </c>
      <c r="G3649" s="128" t="inlineStr"/>
      <c r="H3649" s="127" t="n">
        <v>46124</v>
      </c>
      <c r="J3649" s="38" t="inlineStr">
        <is>
          <t>0-4100</t>
        </is>
      </c>
      <c r="K3649" t="inlineStr">
        <is>
          <t>RLD291 CATERPILLAR 299D3 TRACK SKID STEER LOADER W FORKS CATERPILLAR 299D3 TRACK SKID STEER LOADER W FORKS</t>
        </is>
      </c>
      <c r="L3649" t="n">
        <v>0</v>
      </c>
      <c r="M3649" t="n">
        <v>0</v>
      </c>
      <c r="O3649" t="inlineStr">
        <is>
          <t>RLD291</t>
        </is>
      </c>
      <c r="Q3649" s="114" t="n">
        <v>0</v>
      </c>
      <c r="R3649" s="114" t="n">
        <v>186.27</v>
      </c>
      <c r="S3649" s="114" t="n">
        <v>0</v>
      </c>
      <c r="T3649" t="n">
        <v>0</v>
      </c>
    </row>
    <row r="3650">
      <c r="A3650" t="inlineStr">
        <is>
          <t>ttJTrans</t>
        </is>
      </c>
      <c r="B3650" s="38" t="inlineStr">
        <is>
          <t>0-4100</t>
        </is>
      </c>
      <c r="C3650" t="inlineStr">
        <is>
          <t>ER</t>
        </is>
      </c>
      <c r="E3650" t="inlineStr">
        <is>
          <t>ER</t>
        </is>
      </c>
      <c r="G3650" s="128" t="inlineStr"/>
      <c r="H3650" s="127" t="n">
        <v>46124</v>
      </c>
      <c r="J3650" s="38" t="inlineStr">
        <is>
          <t>0-4100</t>
        </is>
      </c>
      <c r="K3650" t="inlineStr">
        <is>
          <t>RLD291 CATERPILLAR 299D3 TRACK SKID STEER LOADER W FORKS CATERPILLAR 299D3 TRACK SKID STEER LOADER W FORKS</t>
        </is>
      </c>
      <c r="L3650" t="n">
        <v>0</v>
      </c>
      <c r="M3650" t="n">
        <v>0</v>
      </c>
      <c r="O3650" t="inlineStr">
        <is>
          <t>RLD291</t>
        </is>
      </c>
      <c r="Q3650" s="114" t="n">
        <v>0</v>
      </c>
      <c r="R3650" s="114" t="n">
        <v>186.27</v>
      </c>
      <c r="S3650" s="114" t="n">
        <v>0</v>
      </c>
      <c r="T3650" t="n">
        <v>0</v>
      </c>
    </row>
    <row r="3651">
      <c r="A3651" t="inlineStr">
        <is>
          <t>ttJTrans</t>
        </is>
      </c>
      <c r="B3651" s="38" t="inlineStr">
        <is>
          <t>0-4100</t>
        </is>
      </c>
      <c r="C3651" t="inlineStr">
        <is>
          <t>ER</t>
        </is>
      </c>
      <c r="E3651" t="inlineStr">
        <is>
          <t>ER</t>
        </is>
      </c>
      <c r="G3651" s="128" t="inlineStr"/>
      <c r="H3651" s="127" t="n">
        <v>46124</v>
      </c>
      <c r="J3651" s="38" t="inlineStr">
        <is>
          <t>0-4100</t>
        </is>
      </c>
      <c r="K3651" t="inlineStr">
        <is>
          <t>RLD291 CATERPILLAR 299D3 TRACK SKID STEER LOADER W FORKS CATERPILLAR 299D3 TRACK SKID STEER LOADER W FORKS</t>
        </is>
      </c>
      <c r="L3651" t="n">
        <v>0</v>
      </c>
      <c r="M3651" t="n">
        <v>0</v>
      </c>
      <c r="O3651" t="inlineStr">
        <is>
          <t>RLD291</t>
        </is>
      </c>
      <c r="Q3651" s="114" t="n">
        <v>0</v>
      </c>
      <c r="R3651" s="114" t="n">
        <v>186.27</v>
      </c>
      <c r="S3651" s="114" t="n">
        <v>0</v>
      </c>
      <c r="T3651" t="n">
        <v>0</v>
      </c>
    </row>
    <row r="3652">
      <c r="A3652" t="inlineStr">
        <is>
          <t>ttJTrans</t>
        </is>
      </c>
      <c r="B3652" s="38" t="inlineStr">
        <is>
          <t>0-4100</t>
        </is>
      </c>
      <c r="C3652" t="inlineStr">
        <is>
          <t>ER</t>
        </is>
      </c>
      <c r="E3652" t="inlineStr">
        <is>
          <t>ER</t>
        </is>
      </c>
      <c r="G3652" s="128" t="inlineStr"/>
      <c r="H3652" s="127" t="n">
        <v>46124</v>
      </c>
      <c r="J3652" s="38" t="inlineStr">
        <is>
          <t>0-4100</t>
        </is>
      </c>
      <c r="K3652" t="inlineStr">
        <is>
          <t>RLD291 CATERPILLAR 299D3 TRACK SKID STEER LOADER W FORKS CATERPILLAR 299D3 TRACK SKID STEER LOADER W FORKS</t>
        </is>
      </c>
      <c r="L3652" t="n">
        <v>0</v>
      </c>
      <c r="M3652" t="n">
        <v>0</v>
      </c>
      <c r="O3652" t="inlineStr">
        <is>
          <t>RLD291</t>
        </is>
      </c>
      <c r="Q3652" s="114" t="n">
        <v>0</v>
      </c>
      <c r="R3652" s="114" t="n">
        <v>186.27</v>
      </c>
      <c r="S3652" s="114" t="n">
        <v>0</v>
      </c>
      <c r="T3652" t="n">
        <v>0</v>
      </c>
    </row>
    <row r="3653">
      <c r="A3653" t="inlineStr">
        <is>
          <t>ttJTrans</t>
        </is>
      </c>
      <c r="B3653" s="38" t="inlineStr">
        <is>
          <t>0-4100</t>
        </is>
      </c>
      <c r="C3653" t="inlineStr">
        <is>
          <t>ER</t>
        </is>
      </c>
      <c r="E3653" t="inlineStr">
        <is>
          <t>ER</t>
        </is>
      </c>
      <c r="G3653" s="128" t="inlineStr"/>
      <c r="H3653" s="127" t="n">
        <v>46124</v>
      </c>
      <c r="J3653" s="38" t="inlineStr">
        <is>
          <t>0-4100</t>
        </is>
      </c>
      <c r="K3653" t="inlineStr">
        <is>
          <t>RLD291 CATERPILLAR 299D3 TRACK SKID STEER LOADER W FORKS CATERPILLAR 299D3 TRACK SKID STEER LOADER W FORKS</t>
        </is>
      </c>
      <c r="L3653" t="n">
        <v>0</v>
      </c>
      <c r="M3653" t="n">
        <v>0</v>
      </c>
      <c r="O3653" t="inlineStr">
        <is>
          <t>RLD291</t>
        </is>
      </c>
      <c r="Q3653" s="114" t="n">
        <v>0</v>
      </c>
      <c r="R3653" s="114" t="n">
        <v>186.27</v>
      </c>
      <c r="S3653" s="114" t="n">
        <v>0</v>
      </c>
      <c r="T3653" t="n">
        <v>0</v>
      </c>
    </row>
    <row r="3654">
      <c r="A3654" t="inlineStr">
        <is>
          <t>ttJTrans</t>
        </is>
      </c>
      <c r="B3654" s="38" t="inlineStr">
        <is>
          <t>0-4100</t>
        </is>
      </c>
      <c r="C3654" t="inlineStr">
        <is>
          <t>ER</t>
        </is>
      </c>
      <c r="E3654" t="inlineStr">
        <is>
          <t>ER</t>
        </is>
      </c>
      <c r="G3654" s="128" t="inlineStr"/>
      <c r="H3654" s="127" t="n">
        <v>46124</v>
      </c>
      <c r="J3654" s="38" t="inlineStr">
        <is>
          <t>0-4100</t>
        </is>
      </c>
      <c r="K3654" t="inlineStr">
        <is>
          <t>RLD292 CATERPILLAR 299D3 TRACK SKID STEER LOADER CATERPILLAR 299D3 TRACK SKID STEER LOADER</t>
        </is>
      </c>
      <c r="L3654" t="n">
        <v>0</v>
      </c>
      <c r="M3654" t="n">
        <v>0</v>
      </c>
      <c r="O3654" t="inlineStr">
        <is>
          <t>RLD292</t>
        </is>
      </c>
      <c r="Q3654" s="114" t="n">
        <v>0</v>
      </c>
      <c r="R3654" s="114" t="n">
        <v>186.27</v>
      </c>
      <c r="S3654" s="114" t="n">
        <v>0</v>
      </c>
      <c r="T3654" t="n">
        <v>0</v>
      </c>
    </row>
    <row r="3655">
      <c r="A3655" t="inlineStr">
        <is>
          <t>ttJTrans</t>
        </is>
      </c>
      <c r="B3655" s="38" t="inlineStr">
        <is>
          <t>0-4100</t>
        </is>
      </c>
      <c r="C3655" t="inlineStr">
        <is>
          <t>ER</t>
        </is>
      </c>
      <c r="E3655" t="inlineStr">
        <is>
          <t>ER</t>
        </is>
      </c>
      <c r="G3655" s="128" t="inlineStr"/>
      <c r="H3655" s="127" t="n">
        <v>46124</v>
      </c>
      <c r="J3655" s="38" t="inlineStr">
        <is>
          <t>0-4100</t>
        </is>
      </c>
      <c r="K3655" t="inlineStr">
        <is>
          <t>RLD292 CATERPILLAR 299D3 TRACK SKID STEER LOADER CATERPILLAR 299D3 TRACK SKID STEER LOADER</t>
        </is>
      </c>
      <c r="L3655" t="n">
        <v>0</v>
      </c>
      <c r="M3655" t="n">
        <v>0</v>
      </c>
      <c r="O3655" t="inlineStr">
        <is>
          <t>RLD292</t>
        </is>
      </c>
      <c r="Q3655" s="114" t="n">
        <v>0</v>
      </c>
      <c r="R3655" s="114" t="n">
        <v>186.27</v>
      </c>
      <c r="S3655" s="114" t="n">
        <v>0</v>
      </c>
      <c r="T3655" t="n">
        <v>0</v>
      </c>
    </row>
    <row r="3656">
      <c r="A3656" t="inlineStr">
        <is>
          <t>ttJTrans</t>
        </is>
      </c>
      <c r="B3656" s="38" t="inlineStr">
        <is>
          <t>0-4100</t>
        </is>
      </c>
      <c r="C3656" t="inlineStr">
        <is>
          <t>ER</t>
        </is>
      </c>
      <c r="E3656" t="inlineStr">
        <is>
          <t>ER</t>
        </is>
      </c>
      <c r="G3656" s="128" t="inlineStr"/>
      <c r="H3656" s="127" t="n">
        <v>46124</v>
      </c>
      <c r="J3656" s="38" t="inlineStr">
        <is>
          <t>0-4100</t>
        </is>
      </c>
      <c r="K3656" t="inlineStr">
        <is>
          <t>RLD292 CATERPILLAR 299D3 TRACK SKID STEER LOADER CATERPILLAR 299D3 TRACK SKID STEER LOADER</t>
        </is>
      </c>
      <c r="L3656" t="n">
        <v>0</v>
      </c>
      <c r="M3656" t="n">
        <v>0</v>
      </c>
      <c r="O3656" t="inlineStr">
        <is>
          <t>RLD292</t>
        </is>
      </c>
      <c r="Q3656" s="114" t="n">
        <v>0</v>
      </c>
      <c r="R3656" s="114" t="n">
        <v>186.27</v>
      </c>
      <c r="S3656" s="114" t="n">
        <v>0</v>
      </c>
      <c r="T3656" t="n">
        <v>0</v>
      </c>
    </row>
    <row r="3657">
      <c r="A3657" t="inlineStr">
        <is>
          <t>ttJTrans</t>
        </is>
      </c>
      <c r="B3657" s="38" t="inlineStr">
        <is>
          <t>0-4100</t>
        </is>
      </c>
      <c r="C3657" t="inlineStr">
        <is>
          <t>ER</t>
        </is>
      </c>
      <c r="E3657" t="inlineStr">
        <is>
          <t>ER</t>
        </is>
      </c>
      <c r="G3657" s="128" t="inlineStr"/>
      <c r="H3657" s="127" t="n">
        <v>46124</v>
      </c>
      <c r="J3657" s="38" t="inlineStr">
        <is>
          <t>0-4100</t>
        </is>
      </c>
      <c r="K3657" t="inlineStr">
        <is>
          <t>RLD292 CATERPILLAR 299D3 TRACK SKID STEER LOADER CATERPILLAR 299D3 TRACK SKID STEER LOADER</t>
        </is>
      </c>
      <c r="L3657" t="n">
        <v>0</v>
      </c>
      <c r="M3657" t="n">
        <v>0</v>
      </c>
      <c r="O3657" t="inlineStr">
        <is>
          <t>RLD292</t>
        </is>
      </c>
      <c r="Q3657" s="114" t="n">
        <v>0</v>
      </c>
      <c r="R3657" s="114" t="n">
        <v>186.27</v>
      </c>
      <c r="S3657" s="114" t="n">
        <v>0</v>
      </c>
      <c r="T3657" t="n">
        <v>0</v>
      </c>
    </row>
    <row r="3658">
      <c r="A3658" t="inlineStr">
        <is>
          <t>ttJTrans</t>
        </is>
      </c>
      <c r="B3658" s="38" t="inlineStr">
        <is>
          <t>0-4100</t>
        </is>
      </c>
      <c r="C3658" t="inlineStr">
        <is>
          <t>ER</t>
        </is>
      </c>
      <c r="E3658" t="inlineStr">
        <is>
          <t>ER</t>
        </is>
      </c>
      <c r="G3658" s="128" t="inlineStr"/>
      <c r="H3658" s="127" t="n">
        <v>46124</v>
      </c>
      <c r="J3658" s="38" t="inlineStr">
        <is>
          <t>0-4100</t>
        </is>
      </c>
      <c r="K3658" t="inlineStr">
        <is>
          <t>RLD292 CATERPILLAR 299D3 TRACK SKID STEER LOADER CATERPILLAR 299D3 TRACK SKID STEER LOADER</t>
        </is>
      </c>
      <c r="L3658" t="n">
        <v>0</v>
      </c>
      <c r="M3658" t="n">
        <v>0</v>
      </c>
      <c r="O3658" t="inlineStr">
        <is>
          <t>RLD292</t>
        </is>
      </c>
      <c r="Q3658" s="114" t="n">
        <v>0</v>
      </c>
      <c r="R3658" s="114" t="n">
        <v>186.27</v>
      </c>
      <c r="S3658" s="114" t="n">
        <v>0</v>
      </c>
      <c r="T3658" t="n">
        <v>0</v>
      </c>
    </row>
    <row r="3659">
      <c r="A3659" t="inlineStr">
        <is>
          <t>ttJTrans</t>
        </is>
      </c>
      <c r="B3659" s="38" t="inlineStr">
        <is>
          <t>0-4100</t>
        </is>
      </c>
      <c r="C3659" t="inlineStr">
        <is>
          <t>ER</t>
        </is>
      </c>
      <c r="E3659" t="inlineStr">
        <is>
          <t>ER</t>
        </is>
      </c>
      <c r="G3659" s="128" t="inlineStr"/>
      <c r="H3659" s="127" t="n">
        <v>46124</v>
      </c>
      <c r="J3659" s="38" t="inlineStr">
        <is>
          <t>0-4100</t>
        </is>
      </c>
      <c r="K3659" t="inlineStr">
        <is>
          <t>RAT439 CAN AM HD11XT CREW CAB UTV CAN AM HD11XT CREW CAB UTV</t>
        </is>
      </c>
      <c r="L3659" t="n">
        <v>0</v>
      </c>
      <c r="M3659" t="n">
        <v>0</v>
      </c>
      <c r="O3659" t="inlineStr">
        <is>
          <t>RAT439</t>
        </is>
      </c>
      <c r="Q3659" s="114" t="n">
        <v>0</v>
      </c>
      <c r="R3659" s="114" t="n">
        <v>62.5</v>
      </c>
      <c r="S3659" s="114" t="n">
        <v>0</v>
      </c>
      <c r="T3659" t="n">
        <v>0</v>
      </c>
    </row>
    <row r="3660">
      <c r="A3660" t="inlineStr">
        <is>
          <t>ttJTrans</t>
        </is>
      </c>
      <c r="B3660" s="38" t="inlineStr">
        <is>
          <t>0-4100</t>
        </is>
      </c>
      <c r="C3660" t="inlineStr">
        <is>
          <t>ER</t>
        </is>
      </c>
      <c r="E3660" t="inlineStr">
        <is>
          <t>ER</t>
        </is>
      </c>
      <c r="G3660" s="128" t="inlineStr"/>
      <c r="H3660" s="127" t="n">
        <v>46124</v>
      </c>
      <c r="J3660" s="38" t="inlineStr">
        <is>
          <t>0-4100</t>
        </is>
      </c>
      <c r="K3660" t="inlineStr">
        <is>
          <t>RAT439 CAN AM HD11XT CREW CAB UTV CAN AM HD11XT CREW CAB UTV</t>
        </is>
      </c>
      <c r="L3660" t="n">
        <v>0</v>
      </c>
      <c r="M3660" t="n">
        <v>0</v>
      </c>
      <c r="O3660" t="inlineStr">
        <is>
          <t>RAT439</t>
        </is>
      </c>
      <c r="Q3660" s="114" t="n">
        <v>0</v>
      </c>
      <c r="R3660" s="114" t="n">
        <v>62.5</v>
      </c>
      <c r="S3660" s="114" t="n">
        <v>0</v>
      </c>
      <c r="T3660" t="n">
        <v>0</v>
      </c>
    </row>
    <row r="3661">
      <c r="A3661" t="inlineStr">
        <is>
          <t>ttJTrans</t>
        </is>
      </c>
      <c r="B3661" s="38" t="inlineStr">
        <is>
          <t>0-4100</t>
        </is>
      </c>
      <c r="C3661" t="inlineStr">
        <is>
          <t>ER</t>
        </is>
      </c>
      <c r="E3661" t="inlineStr">
        <is>
          <t>ER</t>
        </is>
      </c>
      <c r="G3661" s="128" t="inlineStr"/>
      <c r="H3661" s="127" t="n">
        <v>46124</v>
      </c>
      <c r="J3661" s="38" t="inlineStr">
        <is>
          <t>0-4100</t>
        </is>
      </c>
      <c r="K3661" t="inlineStr">
        <is>
          <t>RAT439 CAN AM HD11XT CREW CAB UTV CAN AM HD11XT CREW CAB UTV</t>
        </is>
      </c>
      <c r="L3661" t="n">
        <v>0</v>
      </c>
      <c r="M3661" t="n">
        <v>0</v>
      </c>
      <c r="O3661" t="inlineStr">
        <is>
          <t>RAT439</t>
        </is>
      </c>
      <c r="Q3661" s="114" t="n">
        <v>0</v>
      </c>
      <c r="R3661" s="114" t="n">
        <v>62.5</v>
      </c>
      <c r="S3661" s="114" t="n">
        <v>0</v>
      </c>
      <c r="T3661" t="n">
        <v>0</v>
      </c>
    </row>
    <row r="3662">
      <c r="A3662" t="inlineStr">
        <is>
          <t>ttJTrans</t>
        </is>
      </c>
      <c r="B3662" s="38" t="inlineStr">
        <is>
          <t>0-4100</t>
        </is>
      </c>
      <c r="C3662" t="inlineStr">
        <is>
          <t>ER</t>
        </is>
      </c>
      <c r="E3662" t="inlineStr">
        <is>
          <t>ER</t>
        </is>
      </c>
      <c r="G3662" s="128" t="inlineStr"/>
      <c r="H3662" s="127" t="n">
        <v>46124</v>
      </c>
      <c r="J3662" s="38" t="inlineStr">
        <is>
          <t>0-4100</t>
        </is>
      </c>
      <c r="K3662" t="inlineStr">
        <is>
          <t>RAT439 CAN AM HD11XT CREW CAB UTV CAN AM HD11XT CREW CAB UTV</t>
        </is>
      </c>
      <c r="L3662" t="n">
        <v>0</v>
      </c>
      <c r="M3662" t="n">
        <v>0</v>
      </c>
      <c r="O3662" t="inlineStr">
        <is>
          <t>RAT439</t>
        </is>
      </c>
      <c r="Q3662" s="114" t="n">
        <v>0</v>
      </c>
      <c r="R3662" s="114" t="n">
        <v>62.5</v>
      </c>
      <c r="S3662" s="114" t="n">
        <v>0</v>
      </c>
      <c r="T3662" t="n">
        <v>0</v>
      </c>
    </row>
    <row r="3663">
      <c r="A3663" t="inlineStr">
        <is>
          <t>ttJTrans</t>
        </is>
      </c>
      <c r="B3663" s="38" t="inlineStr">
        <is>
          <t>0-4100</t>
        </is>
      </c>
      <c r="C3663" t="inlineStr">
        <is>
          <t>ER</t>
        </is>
      </c>
      <c r="E3663" t="inlineStr">
        <is>
          <t>ER</t>
        </is>
      </c>
      <c r="G3663" s="128" t="inlineStr"/>
      <c r="H3663" s="127" t="n">
        <v>46124</v>
      </c>
      <c r="J3663" s="38" t="inlineStr">
        <is>
          <t>0-4100</t>
        </is>
      </c>
      <c r="K3663" t="inlineStr">
        <is>
          <t>RAT439 CAN AM HD11XT CREW CAB UTV CAN AM HD11XT CREW CAB UTV</t>
        </is>
      </c>
      <c r="L3663" t="n">
        <v>0</v>
      </c>
      <c r="M3663" t="n">
        <v>0</v>
      </c>
      <c r="O3663" t="inlineStr">
        <is>
          <t>RAT439</t>
        </is>
      </c>
      <c r="Q3663" s="114" t="n">
        <v>0</v>
      </c>
      <c r="R3663" s="114" t="n">
        <v>62.5</v>
      </c>
      <c r="S3663" s="114" t="n">
        <v>0</v>
      </c>
      <c r="T3663" t="n">
        <v>0</v>
      </c>
    </row>
    <row r="3664">
      <c r="A3664" t="inlineStr">
        <is>
          <t>ttJTrans</t>
        </is>
      </c>
      <c r="B3664" s="38" t="inlineStr">
        <is>
          <t>0-4100</t>
        </is>
      </c>
      <c r="C3664" t="inlineStr">
        <is>
          <t>ER</t>
        </is>
      </c>
      <c r="E3664" t="inlineStr">
        <is>
          <t>ER</t>
        </is>
      </c>
      <c r="G3664" s="128" t="inlineStr"/>
      <c r="H3664" s="127" t="n">
        <v>46124</v>
      </c>
      <c r="J3664" s="38" t="inlineStr">
        <is>
          <t>0-4100</t>
        </is>
      </c>
      <c r="K3664" t="inlineStr">
        <is>
          <t>RAT440 POLARIS RANGER 1000 CREW CAB UTV POLARIS RANGER 1000 CREW CAB UTV</t>
        </is>
      </c>
      <c r="L3664" t="n">
        <v>0</v>
      </c>
      <c r="M3664" t="n">
        <v>0</v>
      </c>
      <c r="O3664" t="inlineStr">
        <is>
          <t>RAT440</t>
        </is>
      </c>
      <c r="Q3664" s="114" t="n">
        <v>0</v>
      </c>
      <c r="R3664" s="114" t="n">
        <v>62.5</v>
      </c>
      <c r="S3664" s="114" t="n">
        <v>0</v>
      </c>
      <c r="T3664" t="n">
        <v>0</v>
      </c>
    </row>
    <row r="3665">
      <c r="A3665" t="inlineStr">
        <is>
          <t>ttJTrans</t>
        </is>
      </c>
      <c r="B3665" s="38" t="inlineStr">
        <is>
          <t>0-4100</t>
        </is>
      </c>
      <c r="C3665" t="inlineStr">
        <is>
          <t>ER</t>
        </is>
      </c>
      <c r="E3665" t="inlineStr">
        <is>
          <t>ER</t>
        </is>
      </c>
      <c r="G3665" s="128" t="inlineStr"/>
      <c r="H3665" s="127" t="n">
        <v>46124</v>
      </c>
      <c r="J3665" s="38" t="inlineStr">
        <is>
          <t>0-4100</t>
        </is>
      </c>
      <c r="K3665" t="inlineStr">
        <is>
          <t>RAT440 POLARIS RANGER 1000 CREW CAB UTV POLARIS RANGER 1000 CREW CAB UTV</t>
        </is>
      </c>
      <c r="L3665" t="n">
        <v>0</v>
      </c>
      <c r="M3665" t="n">
        <v>0</v>
      </c>
      <c r="O3665" t="inlineStr">
        <is>
          <t>RAT440</t>
        </is>
      </c>
      <c r="Q3665" s="114" t="n">
        <v>0</v>
      </c>
      <c r="R3665" s="114" t="n">
        <v>62.5</v>
      </c>
      <c r="S3665" s="114" t="n">
        <v>0</v>
      </c>
      <c r="T3665" t="n">
        <v>0</v>
      </c>
    </row>
    <row r="3666">
      <c r="A3666" t="inlineStr">
        <is>
          <t>ttJTrans</t>
        </is>
      </c>
      <c r="B3666" s="38" t="inlineStr">
        <is>
          <t>0-4100</t>
        </is>
      </c>
      <c r="C3666" t="inlineStr">
        <is>
          <t>ER</t>
        </is>
      </c>
      <c r="E3666" t="inlineStr">
        <is>
          <t>ER</t>
        </is>
      </c>
      <c r="G3666" s="128" t="inlineStr"/>
      <c r="H3666" s="127" t="n">
        <v>46124</v>
      </c>
      <c r="J3666" s="38" t="inlineStr">
        <is>
          <t>0-4100</t>
        </is>
      </c>
      <c r="K3666" t="inlineStr">
        <is>
          <t>RAT440 POLARIS RANGER 1000 CREW CAB UTV POLARIS RANGER 1000 CREW CAB UTV</t>
        </is>
      </c>
      <c r="L3666" t="n">
        <v>0</v>
      </c>
      <c r="M3666" t="n">
        <v>0</v>
      </c>
      <c r="O3666" t="inlineStr">
        <is>
          <t>RAT440</t>
        </is>
      </c>
      <c r="Q3666" s="114" t="n">
        <v>0</v>
      </c>
      <c r="R3666" s="114" t="n">
        <v>62.5</v>
      </c>
      <c r="S3666" s="114" t="n">
        <v>0</v>
      </c>
      <c r="T3666" t="n">
        <v>0</v>
      </c>
    </row>
    <row r="3667">
      <c r="A3667" t="inlineStr">
        <is>
          <t>ttJTrans</t>
        </is>
      </c>
      <c r="B3667" s="38" t="inlineStr">
        <is>
          <t>0-4100</t>
        </is>
      </c>
      <c r="C3667" t="inlineStr">
        <is>
          <t>ER</t>
        </is>
      </c>
      <c r="E3667" t="inlineStr">
        <is>
          <t>ER</t>
        </is>
      </c>
      <c r="G3667" s="128" t="inlineStr"/>
      <c r="H3667" s="127" t="n">
        <v>46124</v>
      </c>
      <c r="J3667" s="38" t="inlineStr">
        <is>
          <t>0-4100</t>
        </is>
      </c>
      <c r="K3667" t="inlineStr">
        <is>
          <t>RAT440 POLARIS RANGER 1000 CREW CAB UTV POLARIS RANGER 1000 CREW CAB UTV</t>
        </is>
      </c>
      <c r="L3667" t="n">
        <v>0</v>
      </c>
      <c r="M3667" t="n">
        <v>0</v>
      </c>
      <c r="O3667" t="inlineStr">
        <is>
          <t>RAT440</t>
        </is>
      </c>
      <c r="Q3667" s="114" t="n">
        <v>0</v>
      </c>
      <c r="R3667" s="114" t="n">
        <v>62.5</v>
      </c>
      <c r="S3667" s="114" t="n">
        <v>0</v>
      </c>
      <c r="T3667" t="n">
        <v>0</v>
      </c>
    </row>
    <row r="3668">
      <c r="A3668" t="inlineStr">
        <is>
          <t>ttJTrans</t>
        </is>
      </c>
      <c r="B3668" s="38" t="inlineStr">
        <is>
          <t>0-4100</t>
        </is>
      </c>
      <c r="C3668" t="inlineStr">
        <is>
          <t>ER</t>
        </is>
      </c>
      <c r="E3668" t="inlineStr">
        <is>
          <t>ER</t>
        </is>
      </c>
      <c r="G3668" s="128" t="inlineStr"/>
      <c r="H3668" s="127" t="n">
        <v>46124</v>
      </c>
      <c r="J3668" s="38" t="inlineStr">
        <is>
          <t>0-4100</t>
        </is>
      </c>
      <c r="K3668" t="inlineStr">
        <is>
          <t>RAT440 POLARIS RANGER 1000 CREW CAB UTV POLARIS RANGER 1000 CREW CAB UTV</t>
        </is>
      </c>
      <c r="L3668" t="n">
        <v>0</v>
      </c>
      <c r="M3668" t="n">
        <v>0</v>
      </c>
      <c r="O3668" t="inlineStr">
        <is>
          <t>RAT440</t>
        </is>
      </c>
      <c r="Q3668" s="114" t="n">
        <v>0</v>
      </c>
      <c r="R3668" s="114" t="n">
        <v>62.5</v>
      </c>
      <c r="S3668" s="114" t="n">
        <v>0</v>
      </c>
      <c r="T3668" t="n">
        <v>0</v>
      </c>
    </row>
    <row r="3669">
      <c r="A3669" t="inlineStr">
        <is>
          <t>ttJTrans</t>
        </is>
      </c>
      <c r="B3669" s="38" t="inlineStr">
        <is>
          <t>0-4100</t>
        </is>
      </c>
      <c r="C3669" t="inlineStr">
        <is>
          <t>ER</t>
        </is>
      </c>
      <c r="E3669" t="inlineStr">
        <is>
          <t>ER</t>
        </is>
      </c>
      <c r="G3669" s="128" t="inlineStr"/>
      <c r="H3669" s="127" t="n">
        <v>46131</v>
      </c>
      <c r="J3669" s="38" t="inlineStr">
        <is>
          <t>0-4100</t>
        </is>
      </c>
      <c r="K3669" t="inlineStr">
        <is>
          <t>RLD291 CATERPILLAR 299D3 TRACK SKID STEER LOADER W FORKS CATERPILLAR 299D3 TRACK SKID STEER LOADER W FORKS</t>
        </is>
      </c>
      <c r="L3669" t="n">
        <v>0</v>
      </c>
      <c r="M3669" t="n">
        <v>0</v>
      </c>
      <c r="O3669" t="inlineStr">
        <is>
          <t>RLD291</t>
        </is>
      </c>
      <c r="Q3669" s="114" t="n">
        <v>0</v>
      </c>
      <c r="R3669" s="114" t="n">
        <v>186.27</v>
      </c>
      <c r="S3669" s="114" t="n">
        <v>0</v>
      </c>
      <c r="T3669" t="n">
        <v>0</v>
      </c>
    </row>
    <row r="3670">
      <c r="A3670" t="inlineStr">
        <is>
          <t>ttJTrans</t>
        </is>
      </c>
      <c r="B3670" s="38" t="inlineStr">
        <is>
          <t>0-4100</t>
        </is>
      </c>
      <c r="C3670" t="inlineStr">
        <is>
          <t>ER</t>
        </is>
      </c>
      <c r="E3670" t="inlineStr">
        <is>
          <t>ER</t>
        </is>
      </c>
      <c r="G3670" s="128" t="inlineStr"/>
      <c r="H3670" s="127" t="n">
        <v>46131</v>
      </c>
      <c r="J3670" s="38" t="inlineStr">
        <is>
          <t>0-4100</t>
        </is>
      </c>
      <c r="K3670" t="inlineStr">
        <is>
          <t>RLD291 CATERPILLAR 299D3 TRACK SKID STEER LOADER W FORKS CATERPILLAR 299D3 TRACK SKID STEER LOADER W FORKS</t>
        </is>
      </c>
      <c r="L3670" t="n">
        <v>0</v>
      </c>
      <c r="M3670" t="n">
        <v>0</v>
      </c>
      <c r="O3670" t="inlineStr">
        <is>
          <t>RLD291</t>
        </is>
      </c>
      <c r="Q3670" s="114" t="n">
        <v>0</v>
      </c>
      <c r="R3670" s="114" t="n">
        <v>186.27</v>
      </c>
      <c r="S3670" s="114" t="n">
        <v>0</v>
      </c>
      <c r="T3670" t="n">
        <v>0</v>
      </c>
    </row>
    <row r="3671">
      <c r="A3671" t="inlineStr">
        <is>
          <t>ttJTrans</t>
        </is>
      </c>
      <c r="B3671" s="38" t="inlineStr">
        <is>
          <t>0-4100</t>
        </is>
      </c>
      <c r="C3671" t="inlineStr">
        <is>
          <t>ER</t>
        </is>
      </c>
      <c r="E3671" t="inlineStr">
        <is>
          <t>ER</t>
        </is>
      </c>
      <c r="G3671" s="128" t="inlineStr"/>
      <c r="H3671" s="127" t="n">
        <v>46131</v>
      </c>
      <c r="J3671" s="38" t="inlineStr">
        <is>
          <t>0-4100</t>
        </is>
      </c>
      <c r="K3671" t="inlineStr">
        <is>
          <t>RLD291 CATERPILLAR 299D3 TRACK SKID STEER LOADER W FORKS CATERPILLAR 299D3 TRACK SKID STEER LOADER W FORKS</t>
        </is>
      </c>
      <c r="L3671" t="n">
        <v>0</v>
      </c>
      <c r="M3671" t="n">
        <v>0</v>
      </c>
      <c r="O3671" t="inlineStr">
        <is>
          <t>RLD291</t>
        </is>
      </c>
      <c r="Q3671" s="114" t="n">
        <v>0</v>
      </c>
      <c r="R3671" s="114" t="n">
        <v>186.27</v>
      </c>
      <c r="S3671" s="114" t="n">
        <v>0</v>
      </c>
      <c r="T3671" t="n">
        <v>0</v>
      </c>
    </row>
    <row r="3672">
      <c r="A3672" t="inlineStr">
        <is>
          <t>ttJTrans</t>
        </is>
      </c>
      <c r="B3672" s="38" t="inlineStr">
        <is>
          <t>0-4100</t>
        </is>
      </c>
      <c r="C3672" t="inlineStr">
        <is>
          <t>ER</t>
        </is>
      </c>
      <c r="E3672" t="inlineStr">
        <is>
          <t>ER</t>
        </is>
      </c>
      <c r="G3672" s="128" t="inlineStr"/>
      <c r="H3672" s="127" t="n">
        <v>46131</v>
      </c>
      <c r="J3672" s="38" t="inlineStr">
        <is>
          <t>0-4100</t>
        </is>
      </c>
      <c r="K3672" t="inlineStr">
        <is>
          <t>RLD292 CATERPILLAR 299D3 TRACK SKID STEER LOADER CATERPILLAR 299D3 TRACK SKID STEER LOADER</t>
        </is>
      </c>
      <c r="L3672" t="n">
        <v>0</v>
      </c>
      <c r="M3672" t="n">
        <v>0</v>
      </c>
      <c r="O3672" t="inlineStr">
        <is>
          <t>RLD292</t>
        </is>
      </c>
      <c r="Q3672" s="114" t="n">
        <v>0</v>
      </c>
      <c r="R3672" s="114" t="n">
        <v>186.27</v>
      </c>
      <c r="S3672" s="114" t="n">
        <v>0</v>
      </c>
      <c r="T3672" t="n">
        <v>0</v>
      </c>
    </row>
    <row r="3673">
      <c r="A3673" t="inlineStr">
        <is>
          <t>ttJTrans</t>
        </is>
      </c>
      <c r="B3673" s="38" t="inlineStr">
        <is>
          <t>0-4100</t>
        </is>
      </c>
      <c r="C3673" t="inlineStr">
        <is>
          <t>ER</t>
        </is>
      </c>
      <c r="E3673" t="inlineStr">
        <is>
          <t>ER</t>
        </is>
      </c>
      <c r="G3673" s="128" t="inlineStr"/>
      <c r="H3673" s="127" t="n">
        <v>46131</v>
      </c>
      <c r="J3673" s="38" t="inlineStr">
        <is>
          <t>0-4100</t>
        </is>
      </c>
      <c r="K3673" t="inlineStr">
        <is>
          <t>RLD292 CATERPILLAR 299D3 TRACK SKID STEER LOADER CATERPILLAR 299D3 TRACK SKID STEER LOADER</t>
        </is>
      </c>
      <c r="L3673" t="n">
        <v>0</v>
      </c>
      <c r="M3673" t="n">
        <v>0</v>
      </c>
      <c r="O3673" t="inlineStr">
        <is>
          <t>RLD292</t>
        </is>
      </c>
      <c r="Q3673" s="114" t="n">
        <v>0</v>
      </c>
      <c r="R3673" s="114" t="n">
        <v>186.27</v>
      </c>
      <c r="S3673" s="114" t="n">
        <v>0</v>
      </c>
      <c r="T3673" t="n">
        <v>0</v>
      </c>
    </row>
    <row r="3674">
      <c r="A3674" t="inlineStr">
        <is>
          <t>ttJTrans</t>
        </is>
      </c>
      <c r="B3674" s="38" t="inlineStr">
        <is>
          <t>0-4100</t>
        </is>
      </c>
      <c r="C3674" t="inlineStr">
        <is>
          <t>ER</t>
        </is>
      </c>
      <c r="E3674" t="inlineStr">
        <is>
          <t>ER</t>
        </is>
      </c>
      <c r="G3674" s="128" t="inlineStr"/>
      <c r="H3674" s="127" t="n">
        <v>46131</v>
      </c>
      <c r="J3674" s="38" t="inlineStr">
        <is>
          <t>0-4100</t>
        </is>
      </c>
      <c r="K3674" t="inlineStr">
        <is>
          <t>RLD292 CATERPILLAR 299D3 TRACK SKID STEER LOADER CATERPILLAR 299D3 TRACK SKID STEER LOADER</t>
        </is>
      </c>
      <c r="L3674" t="n">
        <v>0</v>
      </c>
      <c r="M3674" t="n">
        <v>0</v>
      </c>
      <c r="O3674" t="inlineStr">
        <is>
          <t>RLD292</t>
        </is>
      </c>
      <c r="Q3674" s="114" t="n">
        <v>0</v>
      </c>
      <c r="R3674" s="114" t="n">
        <v>186.27</v>
      </c>
      <c r="S3674" s="114" t="n">
        <v>0</v>
      </c>
      <c r="T3674" t="n">
        <v>0</v>
      </c>
    </row>
    <row r="3675">
      <c r="A3675" t="inlineStr">
        <is>
          <t>ttJTrans</t>
        </is>
      </c>
      <c r="B3675" s="38" t="inlineStr">
        <is>
          <t>0-4100</t>
        </is>
      </c>
      <c r="C3675" t="inlineStr">
        <is>
          <t>ER</t>
        </is>
      </c>
      <c r="E3675" t="inlineStr">
        <is>
          <t>ER</t>
        </is>
      </c>
      <c r="G3675" s="128" t="inlineStr"/>
      <c r="H3675" s="127" t="n">
        <v>46131</v>
      </c>
      <c r="J3675" s="38" t="inlineStr">
        <is>
          <t>0-4100</t>
        </is>
      </c>
      <c r="K3675" t="inlineStr">
        <is>
          <t>RLD292 CATERPILLAR 299D3 TRACK SKID STEER LOADER CATERPILLAR 299D3 TRACK SKID STEER LOADER</t>
        </is>
      </c>
      <c r="L3675" t="n">
        <v>0</v>
      </c>
      <c r="M3675" t="n">
        <v>0</v>
      </c>
      <c r="O3675" t="inlineStr">
        <is>
          <t>RLD292</t>
        </is>
      </c>
      <c r="Q3675" s="114" t="n">
        <v>0</v>
      </c>
      <c r="R3675" s="114" t="n">
        <v>186.27</v>
      </c>
      <c r="S3675" s="114" t="n">
        <v>0</v>
      </c>
      <c r="T3675" t="n">
        <v>0</v>
      </c>
    </row>
    <row r="3676">
      <c r="A3676" t="inlineStr">
        <is>
          <t>ttJTrans</t>
        </is>
      </c>
      <c r="B3676" s="38" t="inlineStr">
        <is>
          <t>0-4100</t>
        </is>
      </c>
      <c r="C3676" t="inlineStr">
        <is>
          <t>ER</t>
        </is>
      </c>
      <c r="E3676" t="inlineStr">
        <is>
          <t>ER</t>
        </is>
      </c>
      <c r="G3676" s="128" t="inlineStr"/>
      <c r="H3676" s="127" t="n">
        <v>46131</v>
      </c>
      <c r="J3676" s="38" t="inlineStr">
        <is>
          <t>0-4100</t>
        </is>
      </c>
      <c r="K3676" t="inlineStr">
        <is>
          <t>RLD292 CATERPILLAR 299D3 TRACK SKID STEER LOADER CATERPILLAR 299D3 TRACK SKID STEER LOADER</t>
        </is>
      </c>
      <c r="L3676" t="n">
        <v>0</v>
      </c>
      <c r="M3676" t="n">
        <v>0</v>
      </c>
      <c r="O3676" t="inlineStr">
        <is>
          <t>RLD292</t>
        </is>
      </c>
      <c r="Q3676" s="114" t="n">
        <v>0</v>
      </c>
      <c r="R3676" s="114" t="n">
        <v>186.27</v>
      </c>
      <c r="S3676" s="114" t="n">
        <v>0</v>
      </c>
      <c r="T3676" t="n">
        <v>0</v>
      </c>
    </row>
    <row r="3677">
      <c r="A3677" t="inlineStr">
        <is>
          <t>ttJTrans</t>
        </is>
      </c>
      <c r="B3677" s="38" t="inlineStr">
        <is>
          <t>0-4100</t>
        </is>
      </c>
      <c r="C3677" t="inlineStr">
        <is>
          <t>ER</t>
        </is>
      </c>
      <c r="E3677" t="inlineStr">
        <is>
          <t>ER</t>
        </is>
      </c>
      <c r="G3677" s="128" t="inlineStr"/>
      <c r="H3677" s="127" t="n">
        <v>46131</v>
      </c>
      <c r="J3677" s="38" t="inlineStr">
        <is>
          <t>0-4100</t>
        </is>
      </c>
      <c r="K3677" t="inlineStr">
        <is>
          <t>RLD292 CATERPILLAR 299D3 TRACK SKID STEER LOADER CATERPILLAR 299D3 TRACK SKID STEER LOADER</t>
        </is>
      </c>
      <c r="L3677" t="n">
        <v>0</v>
      </c>
      <c r="M3677" t="n">
        <v>0</v>
      </c>
      <c r="O3677" t="inlineStr">
        <is>
          <t>RLD292</t>
        </is>
      </c>
      <c r="Q3677" s="114" t="n">
        <v>0</v>
      </c>
      <c r="R3677" s="114" t="n">
        <v>186.27</v>
      </c>
      <c r="S3677" s="114" t="n">
        <v>0</v>
      </c>
      <c r="T3677" t="n">
        <v>0</v>
      </c>
    </row>
    <row r="3678">
      <c r="A3678" t="inlineStr">
        <is>
          <t>ttJTrans</t>
        </is>
      </c>
      <c r="B3678" s="38" t="inlineStr">
        <is>
          <t>0-4100</t>
        </is>
      </c>
      <c r="C3678" t="inlineStr">
        <is>
          <t>ER</t>
        </is>
      </c>
      <c r="E3678" t="inlineStr">
        <is>
          <t>ER</t>
        </is>
      </c>
      <c r="G3678" s="128" t="inlineStr"/>
      <c r="H3678" s="127" t="n">
        <v>46131</v>
      </c>
      <c r="J3678" s="38" t="inlineStr">
        <is>
          <t>0-4100</t>
        </is>
      </c>
      <c r="K3678" t="inlineStr">
        <is>
          <t>RAT439 CAN AM HD11XT CREW CAB UTV CAN AM HD11XT CREW CAB UTV</t>
        </is>
      </c>
      <c r="L3678" t="n">
        <v>0</v>
      </c>
      <c r="M3678" t="n">
        <v>0</v>
      </c>
      <c r="O3678" t="inlineStr">
        <is>
          <t>RAT439</t>
        </is>
      </c>
      <c r="Q3678" s="114" t="n">
        <v>0</v>
      </c>
      <c r="R3678" s="114" t="n">
        <v>62.5</v>
      </c>
      <c r="S3678" s="114" t="n">
        <v>0</v>
      </c>
      <c r="T3678" t="n">
        <v>0</v>
      </c>
    </row>
    <row r="3679">
      <c r="A3679" t="inlineStr">
        <is>
          <t>ttJTrans</t>
        </is>
      </c>
      <c r="B3679" s="38" t="inlineStr">
        <is>
          <t>0-4100</t>
        </is>
      </c>
      <c r="C3679" t="inlineStr">
        <is>
          <t>ER</t>
        </is>
      </c>
      <c r="E3679" t="inlineStr">
        <is>
          <t>ER</t>
        </is>
      </c>
      <c r="G3679" s="128" t="inlineStr"/>
      <c r="H3679" s="127" t="n">
        <v>46131</v>
      </c>
      <c r="J3679" s="38" t="inlineStr">
        <is>
          <t>0-4100</t>
        </is>
      </c>
      <c r="K3679" t="inlineStr">
        <is>
          <t>RAT439 CAN AM HD11XT CREW CAB UTV CAN AM HD11XT CREW CAB UTV</t>
        </is>
      </c>
      <c r="L3679" t="n">
        <v>0</v>
      </c>
      <c r="M3679" t="n">
        <v>0</v>
      </c>
      <c r="O3679" t="inlineStr">
        <is>
          <t>RAT439</t>
        </is>
      </c>
      <c r="Q3679" s="114" t="n">
        <v>0</v>
      </c>
      <c r="R3679" s="114" t="n">
        <v>62.5</v>
      </c>
      <c r="S3679" s="114" t="n">
        <v>0</v>
      </c>
      <c r="T3679" t="n">
        <v>0</v>
      </c>
    </row>
    <row r="3680">
      <c r="A3680" t="inlineStr">
        <is>
          <t>ttJTrans</t>
        </is>
      </c>
      <c r="B3680" s="38" t="inlineStr">
        <is>
          <t>0-4100</t>
        </is>
      </c>
      <c r="C3680" t="inlineStr">
        <is>
          <t>ER</t>
        </is>
      </c>
      <c r="E3680" t="inlineStr">
        <is>
          <t>ER</t>
        </is>
      </c>
      <c r="G3680" s="128" t="inlineStr"/>
      <c r="H3680" s="127" t="n">
        <v>46131</v>
      </c>
      <c r="J3680" s="38" t="inlineStr">
        <is>
          <t>0-4100</t>
        </is>
      </c>
      <c r="K3680" t="inlineStr">
        <is>
          <t>RAT439 CAN AM HD11XT CREW CAB UTV CAN AM HD11XT CREW CAB UTV</t>
        </is>
      </c>
      <c r="L3680" t="n">
        <v>0</v>
      </c>
      <c r="M3680" t="n">
        <v>0</v>
      </c>
      <c r="O3680" t="inlineStr">
        <is>
          <t>RAT439</t>
        </is>
      </c>
      <c r="Q3680" s="114" t="n">
        <v>0</v>
      </c>
      <c r="R3680" s="114" t="n">
        <v>62.5</v>
      </c>
      <c r="S3680" s="114" t="n">
        <v>0</v>
      </c>
      <c r="T3680" t="n">
        <v>0</v>
      </c>
    </row>
    <row r="3681">
      <c r="A3681" t="inlineStr">
        <is>
          <t>ttJTrans</t>
        </is>
      </c>
      <c r="B3681" s="38" t="inlineStr">
        <is>
          <t>0-4100</t>
        </is>
      </c>
      <c r="C3681" t="inlineStr">
        <is>
          <t>ER</t>
        </is>
      </c>
      <c r="E3681" t="inlineStr">
        <is>
          <t>ER</t>
        </is>
      </c>
      <c r="G3681" s="128" t="inlineStr"/>
      <c r="H3681" s="127" t="n">
        <v>46131</v>
      </c>
      <c r="J3681" s="38" t="inlineStr">
        <is>
          <t>0-4100</t>
        </is>
      </c>
      <c r="K3681" t="inlineStr">
        <is>
          <t>RAT439 CAN AM HD11XT CREW CAB UTV CAN AM HD11XT CREW CAB UTV</t>
        </is>
      </c>
      <c r="L3681" t="n">
        <v>0</v>
      </c>
      <c r="M3681" t="n">
        <v>0</v>
      </c>
      <c r="O3681" t="inlineStr">
        <is>
          <t>RAT439</t>
        </is>
      </c>
      <c r="Q3681" s="114" t="n">
        <v>0</v>
      </c>
      <c r="R3681" s="114" t="n">
        <v>62.5</v>
      </c>
      <c r="S3681" s="114" t="n">
        <v>0</v>
      </c>
      <c r="T3681" t="n">
        <v>0</v>
      </c>
    </row>
    <row r="3682">
      <c r="A3682" t="inlineStr">
        <is>
          <t>ttJTrans</t>
        </is>
      </c>
      <c r="B3682" s="38" t="inlineStr">
        <is>
          <t>0-4100</t>
        </is>
      </c>
      <c r="C3682" t="inlineStr">
        <is>
          <t>ER</t>
        </is>
      </c>
      <c r="E3682" t="inlineStr">
        <is>
          <t>ER</t>
        </is>
      </c>
      <c r="G3682" s="128" t="inlineStr"/>
      <c r="H3682" s="127" t="n">
        <v>46131</v>
      </c>
      <c r="J3682" s="38" t="inlineStr">
        <is>
          <t>0-4100</t>
        </is>
      </c>
      <c r="K3682" t="inlineStr">
        <is>
          <t>RAT439 CAN AM HD11XT CREW CAB UTV CAN AM HD11XT CREW CAB UTV</t>
        </is>
      </c>
      <c r="L3682" t="n">
        <v>0</v>
      </c>
      <c r="M3682" t="n">
        <v>0</v>
      </c>
      <c r="O3682" t="inlineStr">
        <is>
          <t>RAT439</t>
        </is>
      </c>
      <c r="Q3682" s="114" t="n">
        <v>0</v>
      </c>
      <c r="R3682" s="114" t="n">
        <v>62.5</v>
      </c>
      <c r="S3682" s="114" t="n">
        <v>0</v>
      </c>
      <c r="T3682" t="n">
        <v>0</v>
      </c>
    </row>
    <row r="3683">
      <c r="A3683" t="inlineStr">
        <is>
          <t>ttJTrans</t>
        </is>
      </c>
      <c r="B3683" s="38" t="inlineStr">
        <is>
          <t>0-4100</t>
        </is>
      </c>
      <c r="C3683" t="inlineStr">
        <is>
          <t>ER</t>
        </is>
      </c>
      <c r="E3683" t="inlineStr">
        <is>
          <t>ER</t>
        </is>
      </c>
      <c r="G3683" s="128" t="inlineStr"/>
      <c r="H3683" s="127" t="n">
        <v>46131</v>
      </c>
      <c r="J3683" s="38" t="inlineStr">
        <is>
          <t>0-4100</t>
        </is>
      </c>
      <c r="K3683" t="inlineStr">
        <is>
          <t>RAT439 CAN AM HD11XT CREW CAB UTV CAN AM HD11XT CREW CAB UTV</t>
        </is>
      </c>
      <c r="L3683" t="n">
        <v>0</v>
      </c>
      <c r="M3683" t="n">
        <v>0</v>
      </c>
      <c r="O3683" t="inlineStr">
        <is>
          <t>RAT439</t>
        </is>
      </c>
      <c r="Q3683" s="114" t="n">
        <v>0</v>
      </c>
      <c r="R3683" s="114" t="n">
        <v>62.5</v>
      </c>
      <c r="S3683" s="114" t="n">
        <v>0</v>
      </c>
      <c r="T3683" t="n">
        <v>0</v>
      </c>
    </row>
    <row r="3684">
      <c r="A3684" t="inlineStr">
        <is>
          <t>ttJTrans</t>
        </is>
      </c>
      <c r="B3684" s="38" t="inlineStr">
        <is>
          <t>0-4100</t>
        </is>
      </c>
      <c r="C3684" t="inlineStr">
        <is>
          <t>ER</t>
        </is>
      </c>
      <c r="E3684" t="inlineStr">
        <is>
          <t>ER</t>
        </is>
      </c>
      <c r="G3684" s="128" t="inlineStr"/>
      <c r="H3684" s="127" t="n">
        <v>46131</v>
      </c>
      <c r="J3684" s="38" t="inlineStr">
        <is>
          <t>0-4100</t>
        </is>
      </c>
      <c r="K3684" t="inlineStr">
        <is>
          <t>RAT440 POLARIS RANGER 1000 CREW CAB UTV POLARIS RANGER 1000 CREW CAB UTV</t>
        </is>
      </c>
      <c r="L3684" t="n">
        <v>0</v>
      </c>
      <c r="M3684" t="n">
        <v>0</v>
      </c>
      <c r="O3684" t="inlineStr">
        <is>
          <t>RAT440</t>
        </is>
      </c>
      <c r="Q3684" s="114" t="n">
        <v>0</v>
      </c>
      <c r="R3684" s="114" t="n">
        <v>62.5</v>
      </c>
      <c r="S3684" s="114" t="n">
        <v>0</v>
      </c>
      <c r="T3684" t="n">
        <v>0</v>
      </c>
    </row>
    <row r="3685">
      <c r="A3685" t="inlineStr">
        <is>
          <t>ttJTrans</t>
        </is>
      </c>
      <c r="B3685" s="38" t="inlineStr">
        <is>
          <t>0-4100</t>
        </is>
      </c>
      <c r="C3685" t="inlineStr">
        <is>
          <t>ER</t>
        </is>
      </c>
      <c r="E3685" t="inlineStr">
        <is>
          <t>ER</t>
        </is>
      </c>
      <c r="G3685" s="128" t="inlineStr"/>
      <c r="H3685" s="127" t="n">
        <v>46131</v>
      </c>
      <c r="J3685" s="38" t="inlineStr">
        <is>
          <t>0-4100</t>
        </is>
      </c>
      <c r="K3685" t="inlineStr">
        <is>
          <t>RAT440 POLARIS RANGER 1000 CREW CAB UTV POLARIS RANGER 1000 CREW CAB UTV</t>
        </is>
      </c>
      <c r="L3685" t="n">
        <v>0</v>
      </c>
      <c r="M3685" t="n">
        <v>0</v>
      </c>
      <c r="O3685" t="inlineStr">
        <is>
          <t>RAT440</t>
        </is>
      </c>
      <c r="Q3685" s="114" t="n">
        <v>0</v>
      </c>
      <c r="R3685" s="114" t="n">
        <v>62.5</v>
      </c>
      <c r="S3685" s="114" t="n">
        <v>0</v>
      </c>
      <c r="T3685" t="n">
        <v>0</v>
      </c>
    </row>
    <row r="3686">
      <c r="A3686" t="inlineStr">
        <is>
          <t>ttJTrans</t>
        </is>
      </c>
      <c r="B3686" s="38" t="inlineStr">
        <is>
          <t>0-4100</t>
        </is>
      </c>
      <c r="C3686" t="inlineStr">
        <is>
          <t>ER</t>
        </is>
      </c>
      <c r="E3686" t="inlineStr">
        <is>
          <t>ER</t>
        </is>
      </c>
      <c r="G3686" s="128" t="inlineStr"/>
      <c r="H3686" s="127" t="n">
        <v>46131</v>
      </c>
      <c r="J3686" s="38" t="inlineStr">
        <is>
          <t>0-4100</t>
        </is>
      </c>
      <c r="K3686" t="inlineStr">
        <is>
          <t>RAT440 POLARIS RANGER 1000 CREW CAB UTV POLARIS RANGER 1000 CREW CAB UTV</t>
        </is>
      </c>
      <c r="L3686" t="n">
        <v>0</v>
      </c>
      <c r="M3686" t="n">
        <v>0</v>
      </c>
      <c r="O3686" t="inlineStr">
        <is>
          <t>RAT440</t>
        </is>
      </c>
      <c r="Q3686" s="114" t="n">
        <v>0</v>
      </c>
      <c r="R3686" s="114" t="n">
        <v>62.5</v>
      </c>
      <c r="S3686" s="114" t="n">
        <v>0</v>
      </c>
      <c r="T3686" t="n">
        <v>0</v>
      </c>
    </row>
    <row r="3687">
      <c r="A3687" t="inlineStr">
        <is>
          <t>ttJTrans</t>
        </is>
      </c>
      <c r="B3687" s="38" t="inlineStr">
        <is>
          <t>0-4100</t>
        </is>
      </c>
      <c r="C3687" t="inlineStr">
        <is>
          <t>ER</t>
        </is>
      </c>
      <c r="E3687" t="inlineStr">
        <is>
          <t>ER</t>
        </is>
      </c>
      <c r="G3687" s="128" t="inlineStr"/>
      <c r="H3687" s="127" t="n">
        <v>46131</v>
      </c>
      <c r="J3687" s="38" t="inlineStr">
        <is>
          <t>0-4100</t>
        </is>
      </c>
      <c r="K3687" t="inlineStr">
        <is>
          <t>RAT440 POLARIS RANGER 1000 CREW CAB UTV POLARIS RANGER 1000 CREW CAB UTV</t>
        </is>
      </c>
      <c r="L3687" t="n">
        <v>0</v>
      </c>
      <c r="M3687" t="n">
        <v>0</v>
      </c>
      <c r="O3687" t="inlineStr">
        <is>
          <t>RAT440</t>
        </is>
      </c>
      <c r="Q3687" s="114" t="n">
        <v>0</v>
      </c>
      <c r="R3687" s="114" t="n">
        <v>62.5</v>
      </c>
      <c r="S3687" s="114" t="n">
        <v>0</v>
      </c>
      <c r="T3687" t="n">
        <v>0</v>
      </c>
    </row>
    <row r="3688">
      <c r="A3688" t="inlineStr">
        <is>
          <t>ttJTrans</t>
        </is>
      </c>
      <c r="B3688" s="38" t="inlineStr">
        <is>
          <t>0-4100</t>
        </is>
      </c>
      <c r="C3688" t="inlineStr">
        <is>
          <t>ER</t>
        </is>
      </c>
      <c r="E3688" t="inlineStr">
        <is>
          <t>ER</t>
        </is>
      </c>
      <c r="G3688" s="128" t="inlineStr"/>
      <c r="H3688" s="127" t="n">
        <v>46131</v>
      </c>
      <c r="J3688" s="38" t="inlineStr">
        <is>
          <t>0-4100</t>
        </is>
      </c>
      <c r="K3688" t="inlineStr">
        <is>
          <t>RAT440 POLARIS RANGER 1000 CREW CAB UTV POLARIS RANGER 1000 CREW CAB UTV</t>
        </is>
      </c>
      <c r="L3688" t="n">
        <v>0</v>
      </c>
      <c r="M3688" t="n">
        <v>0</v>
      </c>
      <c r="O3688" t="inlineStr">
        <is>
          <t>RAT440</t>
        </is>
      </c>
      <c r="Q3688" s="114" t="n">
        <v>0</v>
      </c>
      <c r="R3688" s="114" t="n">
        <v>62.5</v>
      </c>
      <c r="S3688" s="114" t="n">
        <v>0</v>
      </c>
      <c r="T3688" t="n">
        <v>0</v>
      </c>
    </row>
    <row r="3689">
      <c r="A3689" t="inlineStr">
        <is>
          <t>ttJTrans</t>
        </is>
      </c>
      <c r="B3689" s="38" t="inlineStr">
        <is>
          <t>0-4100</t>
        </is>
      </c>
      <c r="C3689" t="inlineStr">
        <is>
          <t>ER</t>
        </is>
      </c>
      <c r="E3689" t="inlineStr">
        <is>
          <t>ER</t>
        </is>
      </c>
      <c r="G3689" s="128" t="inlineStr"/>
      <c r="H3689" s="127" t="n">
        <v>46131</v>
      </c>
      <c r="J3689" s="38" t="inlineStr">
        <is>
          <t>0-4100</t>
        </is>
      </c>
      <c r="K3689" t="inlineStr">
        <is>
          <t>RAT440 POLARIS RANGER 1000 CREW CAB UTV POLARIS RANGER 1000 CREW CAB UTV</t>
        </is>
      </c>
      <c r="L3689" t="n">
        <v>0</v>
      </c>
      <c r="M3689" t="n">
        <v>0</v>
      </c>
      <c r="O3689" t="inlineStr">
        <is>
          <t>RAT440</t>
        </is>
      </c>
      <c r="Q3689" s="114" t="n">
        <v>0</v>
      </c>
      <c r="R3689" s="114" t="n">
        <v>62.5</v>
      </c>
      <c r="S3689" s="114" t="n">
        <v>0</v>
      </c>
      <c r="T3689" t="n">
        <v>0</v>
      </c>
    </row>
    <row r="3690">
      <c r="A3690" t="inlineStr">
        <is>
          <t>ttJTrans</t>
        </is>
      </c>
      <c r="B3690" s="38" t="inlineStr">
        <is>
          <t>0-4100</t>
        </is>
      </c>
      <c r="C3690" t="inlineStr">
        <is>
          <t>ER</t>
        </is>
      </c>
      <c r="E3690" t="inlineStr">
        <is>
          <t>ER</t>
        </is>
      </c>
      <c r="G3690" s="128" t="inlineStr"/>
      <c r="H3690" s="127" t="n">
        <v>46138</v>
      </c>
      <c r="J3690" s="38" t="inlineStr">
        <is>
          <t>0-4100</t>
        </is>
      </c>
      <c r="K3690" t="inlineStr">
        <is>
          <t>RLD291 CATERPILLAR 299D3 TRACK SKID STEER LOADER W FORKS CATERPILLAR 299D3 TRACK SKID STEER LOADER W FORKS</t>
        </is>
      </c>
      <c r="L3690" t="n">
        <v>0</v>
      </c>
      <c r="M3690" t="n">
        <v>0</v>
      </c>
      <c r="O3690" t="inlineStr">
        <is>
          <t>RLD291</t>
        </is>
      </c>
      <c r="Q3690" s="114" t="n">
        <v>0</v>
      </c>
      <c r="R3690" s="114" t="n">
        <v>186.27</v>
      </c>
      <c r="S3690" s="114" t="n">
        <v>0</v>
      </c>
      <c r="T3690" t="n">
        <v>0</v>
      </c>
    </row>
    <row r="3691">
      <c r="A3691" t="inlineStr">
        <is>
          <t>ttJTrans</t>
        </is>
      </c>
      <c r="B3691" s="38" t="inlineStr">
        <is>
          <t>0-4100</t>
        </is>
      </c>
      <c r="C3691" t="inlineStr">
        <is>
          <t>ER</t>
        </is>
      </c>
      <c r="E3691" t="inlineStr">
        <is>
          <t>ER</t>
        </is>
      </c>
      <c r="G3691" s="128" t="inlineStr"/>
      <c r="H3691" s="127" t="n">
        <v>46138</v>
      </c>
      <c r="J3691" s="38" t="inlineStr">
        <is>
          <t>0-4100</t>
        </is>
      </c>
      <c r="K3691" t="inlineStr">
        <is>
          <t>RLD291 CATERPILLAR 299D3 TRACK SKID STEER LOADER W FORKS CATERPILLAR 299D3 TRACK SKID STEER LOADER W FORKS</t>
        </is>
      </c>
      <c r="L3691" t="n">
        <v>0</v>
      </c>
      <c r="M3691" t="n">
        <v>0</v>
      </c>
      <c r="O3691" t="inlineStr">
        <is>
          <t>RLD291</t>
        </is>
      </c>
      <c r="Q3691" s="114" t="n">
        <v>0</v>
      </c>
      <c r="R3691" s="114" t="n">
        <v>186.27</v>
      </c>
      <c r="S3691" s="114" t="n">
        <v>0</v>
      </c>
      <c r="T3691" t="n">
        <v>0</v>
      </c>
    </row>
    <row r="3692">
      <c r="A3692" t="inlineStr">
        <is>
          <t>ttJTrans</t>
        </is>
      </c>
      <c r="B3692" s="38" t="inlineStr">
        <is>
          <t>0-4100</t>
        </is>
      </c>
      <c r="C3692" t="inlineStr">
        <is>
          <t>ER</t>
        </is>
      </c>
      <c r="E3692" t="inlineStr">
        <is>
          <t>ER</t>
        </is>
      </c>
      <c r="G3692" s="128" t="inlineStr"/>
      <c r="H3692" s="127" t="n">
        <v>46138</v>
      </c>
      <c r="J3692" s="38" t="inlineStr">
        <is>
          <t>0-4100</t>
        </is>
      </c>
      <c r="K3692" t="inlineStr">
        <is>
          <t>RLD292 CATERPILLAR 299D3 TRACK SKID STEER LOADER CATERPILLAR 299D3 TRACK SKID STEER LOADER</t>
        </is>
      </c>
      <c r="L3692" t="n">
        <v>0</v>
      </c>
      <c r="M3692" t="n">
        <v>0</v>
      </c>
      <c r="O3692" t="inlineStr">
        <is>
          <t>RLD292</t>
        </is>
      </c>
      <c r="Q3692" s="114" t="n">
        <v>0</v>
      </c>
      <c r="R3692" s="114" t="n">
        <v>186.27</v>
      </c>
      <c r="S3692" s="114" t="n">
        <v>0</v>
      </c>
      <c r="T3692" t="n">
        <v>0</v>
      </c>
    </row>
    <row r="3693">
      <c r="A3693" t="inlineStr">
        <is>
          <t>ttJTrans</t>
        </is>
      </c>
      <c r="B3693" s="38" t="inlineStr">
        <is>
          <t>0-4100</t>
        </is>
      </c>
      <c r="C3693" t="inlineStr">
        <is>
          <t>ER</t>
        </is>
      </c>
      <c r="E3693" t="inlineStr">
        <is>
          <t>ER</t>
        </is>
      </c>
      <c r="G3693" s="128" t="inlineStr"/>
      <c r="H3693" s="127" t="n">
        <v>46138</v>
      </c>
      <c r="J3693" s="38" t="inlineStr">
        <is>
          <t>0-4100</t>
        </is>
      </c>
      <c r="K3693" t="inlineStr">
        <is>
          <t>RLD292 CATERPILLAR 299D3 TRACK SKID STEER LOADER CATERPILLAR 299D3 TRACK SKID STEER LOADER</t>
        </is>
      </c>
      <c r="L3693" t="n">
        <v>0</v>
      </c>
      <c r="M3693" t="n">
        <v>0</v>
      </c>
      <c r="O3693" t="inlineStr">
        <is>
          <t>RLD292</t>
        </is>
      </c>
      <c r="Q3693" s="114" t="n">
        <v>0</v>
      </c>
      <c r="R3693" s="114" t="n">
        <v>186.27</v>
      </c>
      <c r="S3693" s="114" t="n">
        <v>0</v>
      </c>
      <c r="T3693" t="n">
        <v>0</v>
      </c>
    </row>
    <row r="3694">
      <c r="A3694" t="inlineStr">
        <is>
          <t>ttJTrans</t>
        </is>
      </c>
      <c r="B3694" s="38" t="inlineStr">
        <is>
          <t>0-4100</t>
        </is>
      </c>
      <c r="C3694" t="inlineStr">
        <is>
          <t>ER</t>
        </is>
      </c>
      <c r="E3694" t="inlineStr">
        <is>
          <t>ER</t>
        </is>
      </c>
      <c r="G3694" s="128" t="inlineStr"/>
      <c r="H3694" s="127" t="n">
        <v>46138</v>
      </c>
      <c r="J3694" s="38" t="inlineStr">
        <is>
          <t>0-4100</t>
        </is>
      </c>
      <c r="K3694" t="inlineStr">
        <is>
          <t>RLD292 CATERPILLAR 299D3 TRACK SKID STEER LOADER CATERPILLAR 299D3 TRACK SKID STEER LOADER</t>
        </is>
      </c>
      <c r="L3694" t="n">
        <v>0</v>
      </c>
      <c r="M3694" t="n">
        <v>0</v>
      </c>
      <c r="O3694" t="inlineStr">
        <is>
          <t>RLD292</t>
        </is>
      </c>
      <c r="Q3694" s="114" t="n">
        <v>0</v>
      </c>
      <c r="R3694" s="114" t="n">
        <v>186.27</v>
      </c>
      <c r="S3694" s="114" t="n">
        <v>0</v>
      </c>
      <c r="T3694" t="n">
        <v>0</v>
      </c>
    </row>
    <row r="3695">
      <c r="A3695" t="inlineStr">
        <is>
          <t>ttJTrans</t>
        </is>
      </c>
      <c r="B3695" s="38" t="inlineStr">
        <is>
          <t>0-4100</t>
        </is>
      </c>
      <c r="C3695" t="inlineStr">
        <is>
          <t>ER</t>
        </is>
      </c>
      <c r="E3695" t="inlineStr">
        <is>
          <t>ER</t>
        </is>
      </c>
      <c r="G3695" s="128" t="inlineStr"/>
      <c r="H3695" s="127" t="n">
        <v>46138</v>
      </c>
      <c r="J3695" s="38" t="inlineStr">
        <is>
          <t>0-4100</t>
        </is>
      </c>
      <c r="K3695" t="inlineStr">
        <is>
          <t>RAT439 CAN AM HD11XT CREW CAB UTV CAN AM HD11XT CREW CAB UTV</t>
        </is>
      </c>
      <c r="L3695" t="n">
        <v>0</v>
      </c>
      <c r="M3695" t="n">
        <v>0</v>
      </c>
      <c r="O3695" t="inlineStr">
        <is>
          <t>RAT439</t>
        </is>
      </c>
      <c r="Q3695" s="114" t="n">
        <v>0</v>
      </c>
      <c r="R3695" s="114" t="n">
        <v>62.5</v>
      </c>
      <c r="S3695" s="114" t="n">
        <v>0</v>
      </c>
      <c r="T3695" t="n">
        <v>0</v>
      </c>
    </row>
    <row r="3696">
      <c r="A3696" t="inlineStr">
        <is>
          <t>ttJTrans</t>
        </is>
      </c>
      <c r="B3696" s="38" t="inlineStr">
        <is>
          <t>0-4100</t>
        </is>
      </c>
      <c r="C3696" t="inlineStr">
        <is>
          <t>ER</t>
        </is>
      </c>
      <c r="E3696" t="inlineStr">
        <is>
          <t>ER</t>
        </is>
      </c>
      <c r="G3696" s="128" t="inlineStr"/>
      <c r="H3696" s="127" t="n">
        <v>46138</v>
      </c>
      <c r="J3696" s="38" t="inlineStr">
        <is>
          <t>0-4100</t>
        </is>
      </c>
      <c r="K3696" t="inlineStr">
        <is>
          <t>RAT439 CAN AM HD11XT CREW CAB UTV CAN AM HD11XT CREW CAB UTV</t>
        </is>
      </c>
      <c r="L3696" t="n">
        <v>0</v>
      </c>
      <c r="M3696" t="n">
        <v>0</v>
      </c>
      <c r="O3696" t="inlineStr">
        <is>
          <t>RAT439</t>
        </is>
      </c>
      <c r="Q3696" s="114" t="n">
        <v>0</v>
      </c>
      <c r="R3696" s="114" t="n">
        <v>62.5</v>
      </c>
      <c r="S3696" s="114" t="n">
        <v>0</v>
      </c>
      <c r="T3696" t="n">
        <v>0</v>
      </c>
    </row>
    <row r="3697">
      <c r="A3697" t="inlineStr">
        <is>
          <t>ttJTrans</t>
        </is>
      </c>
      <c r="B3697" s="38" t="inlineStr">
        <is>
          <t>0-4100</t>
        </is>
      </c>
      <c r="C3697" t="inlineStr">
        <is>
          <t>ER</t>
        </is>
      </c>
      <c r="E3697" t="inlineStr">
        <is>
          <t>ER</t>
        </is>
      </c>
      <c r="G3697" s="128" t="inlineStr"/>
      <c r="H3697" s="127" t="n">
        <v>46138</v>
      </c>
      <c r="J3697" s="38" t="inlineStr">
        <is>
          <t>0-4100</t>
        </is>
      </c>
      <c r="K3697" t="inlineStr">
        <is>
          <t>RAT439 CAN AM HD11XT CREW CAB UTV CAN AM HD11XT CREW CAB UTV</t>
        </is>
      </c>
      <c r="L3697" t="n">
        <v>0</v>
      </c>
      <c r="M3697" t="n">
        <v>0</v>
      </c>
      <c r="O3697" t="inlineStr">
        <is>
          <t>RAT439</t>
        </is>
      </c>
      <c r="Q3697" s="114" t="n">
        <v>0</v>
      </c>
      <c r="R3697" s="114" t="n">
        <v>62.5</v>
      </c>
      <c r="S3697" s="114" t="n">
        <v>0</v>
      </c>
      <c r="T3697" t="n">
        <v>0</v>
      </c>
    </row>
    <row r="3698">
      <c r="A3698" t="inlineStr">
        <is>
          <t>ttJTrans</t>
        </is>
      </c>
      <c r="B3698" s="38" t="inlineStr">
        <is>
          <t>0-4100</t>
        </is>
      </c>
      <c r="C3698" t="inlineStr">
        <is>
          <t>ER</t>
        </is>
      </c>
      <c r="E3698" t="inlineStr">
        <is>
          <t>ER</t>
        </is>
      </c>
      <c r="G3698" s="128" t="inlineStr"/>
      <c r="H3698" s="127" t="n">
        <v>46138</v>
      </c>
      <c r="J3698" s="38" t="inlineStr">
        <is>
          <t>0-4100</t>
        </is>
      </c>
      <c r="K3698" t="inlineStr">
        <is>
          <t>RAT440 POLARIS RANGER 1000 CREW CAB UTV POLARIS RANGER 1000 CREW CAB UTV</t>
        </is>
      </c>
      <c r="L3698" t="n">
        <v>0</v>
      </c>
      <c r="M3698" t="n">
        <v>0</v>
      </c>
      <c r="O3698" t="inlineStr">
        <is>
          <t>RAT440</t>
        </is>
      </c>
      <c r="Q3698" s="114" t="n">
        <v>0</v>
      </c>
      <c r="R3698" s="114" t="n">
        <v>62.5</v>
      </c>
      <c r="S3698" s="114" t="n">
        <v>0</v>
      </c>
      <c r="T3698" t="n">
        <v>0</v>
      </c>
    </row>
    <row r="3699">
      <c r="A3699" t="inlineStr">
        <is>
          <t>ttJTrans</t>
        </is>
      </c>
      <c r="B3699" s="38" t="inlineStr">
        <is>
          <t>0-4100</t>
        </is>
      </c>
      <c r="C3699" t="inlineStr">
        <is>
          <t>ER</t>
        </is>
      </c>
      <c r="E3699" t="inlineStr">
        <is>
          <t>ER</t>
        </is>
      </c>
      <c r="G3699" s="128" t="inlineStr"/>
      <c r="H3699" s="127" t="n">
        <v>46138</v>
      </c>
      <c r="J3699" s="38" t="inlineStr">
        <is>
          <t>0-4100</t>
        </is>
      </c>
      <c r="K3699" t="inlineStr">
        <is>
          <t>RAT440 POLARIS RANGER 1000 CREW CAB UTV POLARIS RANGER 1000 CREW CAB UTV</t>
        </is>
      </c>
      <c r="L3699" t="n">
        <v>0</v>
      </c>
      <c r="M3699" t="n">
        <v>0</v>
      </c>
      <c r="O3699" t="inlineStr">
        <is>
          <t>RAT440</t>
        </is>
      </c>
      <c r="Q3699" s="114" t="n">
        <v>0</v>
      </c>
      <c r="R3699" s="114" t="n">
        <v>62.5</v>
      </c>
      <c r="S3699" s="114" t="n">
        <v>0</v>
      </c>
      <c r="T3699" t="n">
        <v>0</v>
      </c>
    </row>
    <row r="3700">
      <c r="A3700" t="inlineStr">
        <is>
          <t>ttJTrans</t>
        </is>
      </c>
      <c r="B3700" s="38" t="inlineStr">
        <is>
          <t>0-4100</t>
        </is>
      </c>
      <c r="C3700" t="inlineStr">
        <is>
          <t>ER</t>
        </is>
      </c>
      <c r="E3700" t="inlineStr">
        <is>
          <t>ER</t>
        </is>
      </c>
      <c r="G3700" s="128" t="inlineStr"/>
      <c r="H3700" s="127" t="n">
        <v>46138</v>
      </c>
      <c r="J3700" s="38" t="inlineStr">
        <is>
          <t>0-4100</t>
        </is>
      </c>
      <c r="K3700" t="inlineStr">
        <is>
          <t>RAT440 POLARIS RANGER 1000 CREW CAB UTV POLARIS RANGER 1000 CREW CAB UTV</t>
        </is>
      </c>
      <c r="L3700" t="n">
        <v>0</v>
      </c>
      <c r="M3700" t="n">
        <v>0</v>
      </c>
      <c r="O3700" t="inlineStr">
        <is>
          <t>RAT440</t>
        </is>
      </c>
      <c r="Q3700" s="114" t="n">
        <v>0</v>
      </c>
      <c r="R3700" s="114" t="n">
        <v>62.5</v>
      </c>
      <c r="S3700" s="114" t="n">
        <v>0</v>
      </c>
      <c r="T3700" t="n">
        <v>0</v>
      </c>
    </row>
    <row r="3701">
      <c r="A3701" t="inlineStr">
        <is>
          <t>ttJTrans</t>
        </is>
      </c>
      <c r="B3701" s="38" t="inlineStr">
        <is>
          <t>0-4100</t>
        </is>
      </c>
      <c r="C3701" t="inlineStr">
        <is>
          <t>ER</t>
        </is>
      </c>
      <c r="E3701" t="inlineStr">
        <is>
          <t>ER</t>
        </is>
      </c>
      <c r="G3701" s="128" t="inlineStr"/>
      <c r="H3701" s="127" t="n">
        <v>46142</v>
      </c>
      <c r="J3701" s="38" t="inlineStr">
        <is>
          <t>0-4100</t>
        </is>
      </c>
      <c r="K3701" t="inlineStr">
        <is>
          <t>RLD291 CATERPILLAR 299D3 TRACK SKID STEER LOADER W FORKS CATERPILLAR 299D3 TRACK SKID STEER LOADER W FORKS</t>
        </is>
      </c>
      <c r="L3701" t="n">
        <v>0</v>
      </c>
      <c r="M3701" t="n">
        <v>0</v>
      </c>
      <c r="O3701" t="inlineStr">
        <is>
          <t>RLD291</t>
        </is>
      </c>
      <c r="Q3701" s="114" t="n">
        <v>0</v>
      </c>
      <c r="R3701" s="114" t="n">
        <v>186.27</v>
      </c>
      <c r="S3701" s="114" t="n">
        <v>0</v>
      </c>
      <c r="T3701" t="n">
        <v>0</v>
      </c>
    </row>
    <row r="3702">
      <c r="A3702" t="inlineStr">
        <is>
          <t>ttJTrans</t>
        </is>
      </c>
      <c r="B3702" s="38" t="inlineStr">
        <is>
          <t>0-4100</t>
        </is>
      </c>
      <c r="C3702" t="inlineStr">
        <is>
          <t>ER</t>
        </is>
      </c>
      <c r="E3702" t="inlineStr">
        <is>
          <t>ER</t>
        </is>
      </c>
      <c r="G3702" s="128" t="inlineStr"/>
      <c r="H3702" s="127" t="n">
        <v>46142</v>
      </c>
      <c r="J3702" s="38" t="inlineStr">
        <is>
          <t>0-4100</t>
        </is>
      </c>
      <c r="K3702" t="inlineStr">
        <is>
          <t>RLD291 CATERPILLAR 299D3 TRACK SKID STEER LOADER W FORKS CATERPILLAR 299D3 TRACK SKID STEER LOADER W FORKS</t>
        </is>
      </c>
      <c r="L3702" t="n">
        <v>0</v>
      </c>
      <c r="M3702" t="n">
        <v>0</v>
      </c>
      <c r="O3702" t="inlineStr">
        <is>
          <t>RLD291</t>
        </is>
      </c>
      <c r="Q3702" s="114" t="n">
        <v>0</v>
      </c>
      <c r="R3702" s="114" t="n">
        <v>186.27</v>
      </c>
      <c r="S3702" s="114" t="n">
        <v>0</v>
      </c>
      <c r="T3702" t="n">
        <v>0</v>
      </c>
    </row>
    <row r="3703">
      <c r="A3703" t="inlineStr">
        <is>
          <t>ttJTrans</t>
        </is>
      </c>
      <c r="B3703" s="38" t="inlineStr">
        <is>
          <t>0-4100</t>
        </is>
      </c>
      <c r="C3703" t="inlineStr">
        <is>
          <t>ER</t>
        </is>
      </c>
      <c r="E3703" t="inlineStr">
        <is>
          <t>ER</t>
        </is>
      </c>
      <c r="G3703" s="128" t="inlineStr"/>
      <c r="H3703" s="127" t="n">
        <v>46142</v>
      </c>
      <c r="J3703" s="38" t="inlineStr">
        <is>
          <t>0-4100</t>
        </is>
      </c>
      <c r="K3703" t="inlineStr">
        <is>
          <t>RLD291 CATERPILLAR 299D3 TRACK SKID STEER LOADER W FORKS CATERPILLAR 299D3 TRACK SKID STEER LOADER W FORKS</t>
        </is>
      </c>
      <c r="L3703" t="n">
        <v>0</v>
      </c>
      <c r="M3703" t="n">
        <v>0</v>
      </c>
      <c r="O3703" t="inlineStr">
        <is>
          <t>RLD291</t>
        </is>
      </c>
      <c r="Q3703" s="114" t="n">
        <v>0</v>
      </c>
      <c r="R3703" s="114" t="n">
        <v>186.27</v>
      </c>
      <c r="S3703" s="114" t="n">
        <v>0</v>
      </c>
      <c r="T3703" t="n">
        <v>0</v>
      </c>
    </row>
    <row r="3704">
      <c r="A3704" t="inlineStr">
        <is>
          <t>ttJTrans</t>
        </is>
      </c>
      <c r="B3704" s="38" t="inlineStr">
        <is>
          <t>0-4100</t>
        </is>
      </c>
      <c r="C3704" t="inlineStr">
        <is>
          <t>ER</t>
        </is>
      </c>
      <c r="E3704" t="inlineStr">
        <is>
          <t>ER</t>
        </is>
      </c>
      <c r="G3704" s="128" t="inlineStr"/>
      <c r="H3704" s="127" t="n">
        <v>46142</v>
      </c>
      <c r="J3704" s="38" t="inlineStr">
        <is>
          <t>0-4100</t>
        </is>
      </c>
      <c r="K3704" t="inlineStr">
        <is>
          <t>RLD291 CATERPILLAR 299D3 TRACK SKID STEER LOADER W FORKS CATERPILLAR 299D3 TRACK SKID STEER LOADER W FORKS</t>
        </is>
      </c>
      <c r="L3704" t="n">
        <v>0</v>
      </c>
      <c r="M3704" t="n">
        <v>0</v>
      </c>
      <c r="O3704" t="inlineStr">
        <is>
          <t>RLD291</t>
        </is>
      </c>
      <c r="Q3704" s="114" t="n">
        <v>0</v>
      </c>
      <c r="R3704" s="114" t="n">
        <v>186.27</v>
      </c>
      <c r="S3704" s="114" t="n">
        <v>0</v>
      </c>
      <c r="T3704" t="n">
        <v>0</v>
      </c>
    </row>
    <row r="3705">
      <c r="A3705" t="inlineStr">
        <is>
          <t>ttJTrans</t>
        </is>
      </c>
      <c r="B3705" s="38" t="inlineStr">
        <is>
          <t>0-4100</t>
        </is>
      </c>
      <c r="C3705" t="inlineStr">
        <is>
          <t>ER</t>
        </is>
      </c>
      <c r="E3705" t="inlineStr">
        <is>
          <t>ER</t>
        </is>
      </c>
      <c r="G3705" s="128" t="inlineStr"/>
      <c r="H3705" s="127" t="n">
        <v>46142</v>
      </c>
      <c r="J3705" s="38" t="inlineStr">
        <is>
          <t>0-4100</t>
        </is>
      </c>
      <c r="K3705" t="inlineStr">
        <is>
          <t>RLD292 CATERPILLAR 299D3 TRACK SKID STEER LOADER CATERPILLAR 299D3 TRACK SKID STEER LOADER</t>
        </is>
      </c>
      <c r="L3705" t="n">
        <v>0</v>
      </c>
      <c r="M3705" t="n">
        <v>0</v>
      </c>
      <c r="O3705" t="inlineStr">
        <is>
          <t>RLD292</t>
        </is>
      </c>
      <c r="Q3705" s="114" t="n">
        <v>0</v>
      </c>
      <c r="R3705" s="114" t="n">
        <v>186.27</v>
      </c>
      <c r="S3705" s="114" t="n">
        <v>0</v>
      </c>
      <c r="T3705" t="n">
        <v>0</v>
      </c>
    </row>
    <row r="3706">
      <c r="A3706" t="inlineStr">
        <is>
          <t>ttJTrans</t>
        </is>
      </c>
      <c r="B3706" s="38" t="inlineStr">
        <is>
          <t>0-4100</t>
        </is>
      </c>
      <c r="C3706" t="inlineStr">
        <is>
          <t>ER</t>
        </is>
      </c>
      <c r="E3706" t="inlineStr">
        <is>
          <t>ER</t>
        </is>
      </c>
      <c r="G3706" s="128" t="inlineStr"/>
      <c r="H3706" s="127" t="n">
        <v>46142</v>
      </c>
      <c r="J3706" s="38" t="inlineStr">
        <is>
          <t>0-4100</t>
        </is>
      </c>
      <c r="K3706" t="inlineStr">
        <is>
          <t>RLD292 CATERPILLAR 299D3 TRACK SKID STEER LOADER CATERPILLAR 299D3 TRACK SKID STEER LOADER</t>
        </is>
      </c>
      <c r="L3706" t="n">
        <v>0</v>
      </c>
      <c r="M3706" t="n">
        <v>0</v>
      </c>
      <c r="O3706" t="inlineStr">
        <is>
          <t>RLD292</t>
        </is>
      </c>
      <c r="Q3706" s="114" t="n">
        <v>0</v>
      </c>
      <c r="R3706" s="114" t="n">
        <v>186.27</v>
      </c>
      <c r="S3706" s="114" t="n">
        <v>0</v>
      </c>
      <c r="T3706" t="n">
        <v>0</v>
      </c>
    </row>
    <row r="3707">
      <c r="A3707" t="inlineStr">
        <is>
          <t>ttJTrans</t>
        </is>
      </c>
      <c r="B3707" s="38" t="inlineStr">
        <is>
          <t>0-4100</t>
        </is>
      </c>
      <c r="C3707" t="inlineStr">
        <is>
          <t>ER</t>
        </is>
      </c>
      <c r="E3707" t="inlineStr">
        <is>
          <t>ER</t>
        </is>
      </c>
      <c r="G3707" s="128" t="inlineStr"/>
      <c r="H3707" s="127" t="n">
        <v>46142</v>
      </c>
      <c r="J3707" s="38" t="inlineStr">
        <is>
          <t>0-4100</t>
        </is>
      </c>
      <c r="K3707" t="inlineStr">
        <is>
          <t>RLD292 CATERPILLAR 299D3 TRACK SKID STEER LOADER CATERPILLAR 299D3 TRACK SKID STEER LOADER</t>
        </is>
      </c>
      <c r="L3707" t="n">
        <v>0</v>
      </c>
      <c r="M3707" t="n">
        <v>0</v>
      </c>
      <c r="O3707" t="inlineStr">
        <is>
          <t>RLD292</t>
        </is>
      </c>
      <c r="Q3707" s="114" t="n">
        <v>0</v>
      </c>
      <c r="R3707" s="114" t="n">
        <v>186.27</v>
      </c>
      <c r="S3707" s="114" t="n">
        <v>0</v>
      </c>
      <c r="T3707" t="n">
        <v>0</v>
      </c>
    </row>
    <row r="3708">
      <c r="A3708" t="inlineStr">
        <is>
          <t>ttJTrans</t>
        </is>
      </c>
      <c r="B3708" s="38" t="inlineStr">
        <is>
          <t>0-4100</t>
        </is>
      </c>
      <c r="C3708" t="inlineStr">
        <is>
          <t>ER</t>
        </is>
      </c>
      <c r="E3708" t="inlineStr">
        <is>
          <t>ER</t>
        </is>
      </c>
      <c r="G3708" s="128" t="inlineStr"/>
      <c r="H3708" s="127" t="n">
        <v>46142</v>
      </c>
      <c r="J3708" s="38" t="inlineStr">
        <is>
          <t>0-4100</t>
        </is>
      </c>
      <c r="K3708" t="inlineStr">
        <is>
          <t>RLD292 CATERPILLAR 299D3 TRACK SKID STEER LOADER CATERPILLAR 299D3 TRACK SKID STEER LOADER</t>
        </is>
      </c>
      <c r="L3708" t="n">
        <v>0</v>
      </c>
      <c r="M3708" t="n">
        <v>0</v>
      </c>
      <c r="O3708" t="inlineStr">
        <is>
          <t>RLD292</t>
        </is>
      </c>
      <c r="Q3708" s="114" t="n">
        <v>0</v>
      </c>
      <c r="R3708" s="114" t="n">
        <v>186.27</v>
      </c>
      <c r="S3708" s="114" t="n">
        <v>0</v>
      </c>
      <c r="T3708" t="n">
        <v>0</v>
      </c>
    </row>
    <row r="3709">
      <c r="A3709" t="inlineStr">
        <is>
          <t>ttJTrans</t>
        </is>
      </c>
      <c r="B3709" s="38" t="inlineStr">
        <is>
          <t>0-4100</t>
        </is>
      </c>
      <c r="C3709" t="inlineStr">
        <is>
          <t>ER</t>
        </is>
      </c>
      <c r="E3709" t="inlineStr">
        <is>
          <t>ER</t>
        </is>
      </c>
      <c r="G3709" s="128" t="inlineStr"/>
      <c r="H3709" s="127" t="n">
        <v>46142</v>
      </c>
      <c r="J3709" s="38" t="inlineStr">
        <is>
          <t>0-4100</t>
        </is>
      </c>
      <c r="K3709" t="inlineStr">
        <is>
          <t>RAT439 CAN AM HD11XT CREW CAB UTV CAN AM HD11XT CREW CAB UTV</t>
        </is>
      </c>
      <c r="L3709" t="n">
        <v>0</v>
      </c>
      <c r="M3709" t="n">
        <v>0</v>
      </c>
      <c r="O3709" t="inlineStr">
        <is>
          <t>RAT439</t>
        </is>
      </c>
      <c r="Q3709" s="114" t="n">
        <v>0</v>
      </c>
      <c r="R3709" s="114" t="n">
        <v>62.5</v>
      </c>
      <c r="S3709" s="114" t="n">
        <v>0</v>
      </c>
      <c r="T3709" t="n">
        <v>0</v>
      </c>
    </row>
    <row r="3710">
      <c r="A3710" t="inlineStr">
        <is>
          <t>ttJTrans</t>
        </is>
      </c>
      <c r="B3710" s="38" t="inlineStr">
        <is>
          <t>0-4100</t>
        </is>
      </c>
      <c r="C3710" t="inlineStr">
        <is>
          <t>ER</t>
        </is>
      </c>
      <c r="E3710" t="inlineStr">
        <is>
          <t>ER</t>
        </is>
      </c>
      <c r="G3710" s="128" t="inlineStr"/>
      <c r="H3710" s="127" t="n">
        <v>46142</v>
      </c>
      <c r="J3710" s="38" t="inlineStr">
        <is>
          <t>0-4100</t>
        </is>
      </c>
      <c r="K3710" t="inlineStr">
        <is>
          <t>RAT439 CAN AM HD11XT CREW CAB UTV CAN AM HD11XT CREW CAB UTV</t>
        </is>
      </c>
      <c r="L3710" t="n">
        <v>0</v>
      </c>
      <c r="M3710" t="n">
        <v>0</v>
      </c>
      <c r="O3710" t="inlineStr">
        <is>
          <t>RAT439</t>
        </is>
      </c>
      <c r="Q3710" s="114" t="n">
        <v>0</v>
      </c>
      <c r="R3710" s="114" t="n">
        <v>62.5</v>
      </c>
      <c r="S3710" s="114" t="n">
        <v>0</v>
      </c>
      <c r="T3710" t="n">
        <v>0</v>
      </c>
    </row>
    <row r="3711">
      <c r="A3711" t="inlineStr">
        <is>
          <t>ttJTrans</t>
        </is>
      </c>
      <c r="B3711" s="38" t="inlineStr">
        <is>
          <t>0-4100</t>
        </is>
      </c>
      <c r="C3711" t="inlineStr">
        <is>
          <t>ER</t>
        </is>
      </c>
      <c r="E3711" t="inlineStr">
        <is>
          <t>ER</t>
        </is>
      </c>
      <c r="G3711" s="128" t="inlineStr"/>
      <c r="H3711" s="127" t="n">
        <v>46142</v>
      </c>
      <c r="J3711" s="38" t="inlineStr">
        <is>
          <t>0-4100</t>
        </is>
      </c>
      <c r="K3711" t="inlineStr">
        <is>
          <t>RAT440 POLARIS RANGER 1000 CREW CAB UTV POLARIS RANGER 1000 CREW CAB UTV</t>
        </is>
      </c>
      <c r="L3711" t="n">
        <v>0</v>
      </c>
      <c r="M3711" t="n">
        <v>0</v>
      </c>
      <c r="O3711" t="inlineStr">
        <is>
          <t>RAT440</t>
        </is>
      </c>
      <c r="Q3711" s="114" t="n">
        <v>0</v>
      </c>
      <c r="R3711" s="114" t="n">
        <v>62.5</v>
      </c>
      <c r="S3711" s="114" t="n">
        <v>0</v>
      </c>
      <c r="T3711" t="n">
        <v>0</v>
      </c>
    </row>
    <row r="3712">
      <c r="A3712" t="inlineStr">
        <is>
          <t>ttJTrans</t>
        </is>
      </c>
      <c r="B3712" s="38" t="inlineStr">
        <is>
          <t>0-4100</t>
        </is>
      </c>
      <c r="C3712" t="inlineStr">
        <is>
          <t>ER</t>
        </is>
      </c>
      <c r="E3712" t="inlineStr">
        <is>
          <t>ER</t>
        </is>
      </c>
      <c r="G3712" s="128" t="inlineStr"/>
      <c r="H3712" s="127" t="n">
        <v>46142</v>
      </c>
      <c r="J3712" s="38" t="inlineStr">
        <is>
          <t>0-4100</t>
        </is>
      </c>
      <c r="K3712" t="inlineStr">
        <is>
          <t>RAT440 POLARIS RANGER 1000 CREW CAB UTV POLARIS RANGER 1000 CREW CAB UTV</t>
        </is>
      </c>
      <c r="L3712" t="n">
        <v>0</v>
      </c>
      <c r="M3712" t="n">
        <v>0</v>
      </c>
      <c r="O3712" t="inlineStr">
        <is>
          <t>RAT440</t>
        </is>
      </c>
      <c r="Q3712" s="114" t="n">
        <v>0</v>
      </c>
      <c r="R3712" s="114" t="n">
        <v>62.5</v>
      </c>
      <c r="S3712" s="114" t="n">
        <v>0</v>
      </c>
      <c r="T3712" t="n">
        <v>0</v>
      </c>
    </row>
    <row r="3713">
      <c r="A3713" t="inlineStr">
        <is>
          <t>ttJTrans</t>
        </is>
      </c>
      <c r="B3713" s="38" t="inlineStr">
        <is>
          <t>0-4100</t>
        </is>
      </c>
      <c r="C3713" t="inlineStr">
        <is>
          <t>ER</t>
        </is>
      </c>
      <c r="E3713" t="inlineStr">
        <is>
          <t>ER</t>
        </is>
      </c>
      <c r="G3713" s="128" t="inlineStr"/>
      <c r="H3713" s="127" t="n">
        <v>46142</v>
      </c>
      <c r="J3713" s="38" t="inlineStr">
        <is>
          <t>0-4100</t>
        </is>
      </c>
      <c r="K3713" t="inlineStr">
        <is>
          <t>RAT440 POLARIS RANGER 1000 CREW CAB UTV POLARIS RANGER 1000 CREW CAB UTV</t>
        </is>
      </c>
      <c r="L3713" t="n">
        <v>0</v>
      </c>
      <c r="M3713" t="n">
        <v>0</v>
      </c>
      <c r="O3713" t="inlineStr">
        <is>
          <t>RAT440</t>
        </is>
      </c>
      <c r="Q3713" s="114" t="n">
        <v>0</v>
      </c>
      <c r="R3713" s="114" t="n">
        <v>62.5</v>
      </c>
      <c r="S3713" s="114" t="n">
        <v>0</v>
      </c>
      <c r="T3713" t="n">
        <v>0</v>
      </c>
    </row>
    <row r="3714">
      <c r="A3714" t="inlineStr">
        <is>
          <t>ttJTrans</t>
        </is>
      </c>
      <c r="B3714" s="38" t="inlineStr">
        <is>
          <t>0-4100</t>
        </is>
      </c>
      <c r="C3714" t="inlineStr">
        <is>
          <t>ER</t>
        </is>
      </c>
      <c r="E3714" t="inlineStr">
        <is>
          <t>ER</t>
        </is>
      </c>
      <c r="G3714" s="128" t="inlineStr"/>
      <c r="H3714" s="127" t="n">
        <v>46142</v>
      </c>
      <c r="J3714" s="38" t="inlineStr">
        <is>
          <t>0-4100</t>
        </is>
      </c>
      <c r="K3714" t="inlineStr">
        <is>
          <t>RAT440 POLARIS RANGER 1000 CREW CAB UTV POLARIS RANGER 1000 CREW CAB UTV</t>
        </is>
      </c>
      <c r="L3714" t="n">
        <v>0</v>
      </c>
      <c r="M3714" t="n">
        <v>0</v>
      </c>
      <c r="O3714" t="inlineStr">
        <is>
          <t>RAT440</t>
        </is>
      </c>
      <c r="Q3714" s="114" t="n">
        <v>0</v>
      </c>
      <c r="R3714" s="114" t="n">
        <v>62.5</v>
      </c>
      <c r="S3714" s="114" t="n">
        <v>0</v>
      </c>
      <c r="T3714" t="n">
        <v>0</v>
      </c>
    </row>
    <row r="3715">
      <c r="A3715" t="inlineStr">
        <is>
          <t>ttJTrans</t>
        </is>
      </c>
      <c r="B3715" s="38" t="inlineStr">
        <is>
          <t>0-4100</t>
        </is>
      </c>
      <c r="C3715" t="inlineStr">
        <is>
          <t>ER</t>
        </is>
      </c>
      <c r="E3715" t="inlineStr">
        <is>
          <t>ER</t>
        </is>
      </c>
      <c r="G3715" s="128" t="inlineStr"/>
      <c r="H3715" s="127" t="n">
        <v>46152</v>
      </c>
      <c r="J3715" s="38" t="inlineStr">
        <is>
          <t>0-4100</t>
        </is>
      </c>
      <c r="K3715" t="inlineStr">
        <is>
          <t>RLD291 CATERPILLAR 299D3 TRACK SKID STEER LOADER W FORKS CATERPILLAR 299D3 TRACK SKID STEER LOADER W FORKS</t>
        </is>
      </c>
      <c r="L3715" t="n">
        <v>0</v>
      </c>
      <c r="M3715" t="n">
        <v>0</v>
      </c>
      <c r="O3715" t="inlineStr">
        <is>
          <t>RLD291</t>
        </is>
      </c>
      <c r="Q3715" s="114" t="n">
        <v>0</v>
      </c>
      <c r="R3715" s="114" t="n">
        <v>186.27</v>
      </c>
      <c r="S3715" s="114" t="n">
        <v>0</v>
      </c>
      <c r="T3715" t="n">
        <v>0</v>
      </c>
    </row>
    <row r="3716">
      <c r="A3716" t="inlineStr">
        <is>
          <t>ttJTrans</t>
        </is>
      </c>
      <c r="B3716" s="38" t="inlineStr">
        <is>
          <t>0-4100</t>
        </is>
      </c>
      <c r="C3716" t="inlineStr">
        <is>
          <t>ER</t>
        </is>
      </c>
      <c r="E3716" t="inlineStr">
        <is>
          <t>ER</t>
        </is>
      </c>
      <c r="G3716" s="128" t="inlineStr"/>
      <c r="H3716" s="127" t="n">
        <v>46152</v>
      </c>
      <c r="J3716" s="38" t="inlineStr">
        <is>
          <t>0-4100</t>
        </is>
      </c>
      <c r="K3716" t="inlineStr">
        <is>
          <t>RLD292 CATERPILLAR 299D3 TRACK SKID STEER LOADER CATERPILLAR 299D3 TRACK SKID STEER LOADER</t>
        </is>
      </c>
      <c r="L3716" t="n">
        <v>0</v>
      </c>
      <c r="M3716" t="n">
        <v>0</v>
      </c>
      <c r="O3716" t="inlineStr">
        <is>
          <t>RLD292</t>
        </is>
      </c>
      <c r="Q3716" s="114" t="n">
        <v>0</v>
      </c>
      <c r="R3716" s="114" t="n">
        <v>186.27</v>
      </c>
      <c r="S3716" s="114" t="n">
        <v>0</v>
      </c>
      <c r="T3716" t="n">
        <v>0</v>
      </c>
    </row>
    <row r="3717">
      <c r="A3717" t="inlineStr">
        <is>
          <t>ttJTrans</t>
        </is>
      </c>
      <c r="B3717" s="38" t="inlineStr">
        <is>
          <t>0-4100</t>
        </is>
      </c>
      <c r="C3717" t="inlineStr">
        <is>
          <t>ER</t>
        </is>
      </c>
      <c r="E3717" t="inlineStr">
        <is>
          <t>ER</t>
        </is>
      </c>
      <c r="G3717" s="128" t="inlineStr"/>
      <c r="H3717" s="127" t="n">
        <v>46152</v>
      </c>
      <c r="J3717" s="38" t="inlineStr">
        <is>
          <t>0-4100</t>
        </is>
      </c>
      <c r="K3717" t="inlineStr">
        <is>
          <t>RLD292 CATERPILLAR 299D3 TRACK SKID STEER LOADER CATERPILLAR 299D3 TRACK SKID STEER LOADER</t>
        </is>
      </c>
      <c r="L3717" t="n">
        <v>0</v>
      </c>
      <c r="M3717" t="n">
        <v>0</v>
      </c>
      <c r="O3717" t="inlineStr">
        <is>
          <t>RLD292</t>
        </is>
      </c>
      <c r="Q3717" s="114" t="n">
        <v>0</v>
      </c>
      <c r="R3717" s="114" t="n">
        <v>186.27</v>
      </c>
      <c r="S3717" s="114" t="n">
        <v>0</v>
      </c>
      <c r="T3717" t="n">
        <v>0</v>
      </c>
    </row>
    <row r="3718">
      <c r="A3718" t="inlineStr">
        <is>
          <t>ttJTrans</t>
        </is>
      </c>
      <c r="B3718" s="38" t="inlineStr">
        <is>
          <t>0-4100</t>
        </is>
      </c>
      <c r="C3718" t="inlineStr">
        <is>
          <t>ER</t>
        </is>
      </c>
      <c r="E3718" t="inlineStr">
        <is>
          <t>ER</t>
        </is>
      </c>
      <c r="G3718" s="128" t="inlineStr"/>
      <c r="H3718" s="127" t="n">
        <v>46152</v>
      </c>
      <c r="J3718" s="38" t="inlineStr">
        <is>
          <t>0-4100</t>
        </is>
      </c>
      <c r="K3718" t="inlineStr">
        <is>
          <t>RAT439 CAN AM HD11XT CREW CAB UTV CAN AM HD11XT CREW CAB UTV</t>
        </is>
      </c>
      <c r="L3718" t="n">
        <v>0</v>
      </c>
      <c r="M3718" t="n">
        <v>0</v>
      </c>
      <c r="O3718" t="inlineStr">
        <is>
          <t>RAT439</t>
        </is>
      </c>
      <c r="Q3718" s="114" t="n">
        <v>0</v>
      </c>
      <c r="R3718" s="114" t="n">
        <v>62.5</v>
      </c>
      <c r="S3718" s="114" t="n">
        <v>0</v>
      </c>
      <c r="T3718" t="n">
        <v>0</v>
      </c>
    </row>
    <row r="3719">
      <c r="A3719" t="inlineStr">
        <is>
          <t>ttJTrans</t>
        </is>
      </c>
      <c r="B3719" s="38" t="inlineStr">
        <is>
          <t>0-4100</t>
        </is>
      </c>
      <c r="C3719" t="inlineStr">
        <is>
          <t>ER</t>
        </is>
      </c>
      <c r="E3719" t="inlineStr">
        <is>
          <t>ER</t>
        </is>
      </c>
      <c r="G3719" s="128" t="inlineStr"/>
      <c r="H3719" s="127" t="n">
        <v>46152</v>
      </c>
      <c r="J3719" s="38" t="inlineStr">
        <is>
          <t>0-4100</t>
        </is>
      </c>
      <c r="K3719" t="inlineStr">
        <is>
          <t>RAT439 CAN AM HD11XT CREW CAB UTV CAN AM HD11XT CREW CAB UTV</t>
        </is>
      </c>
      <c r="L3719" t="n">
        <v>0</v>
      </c>
      <c r="M3719" t="n">
        <v>0</v>
      </c>
      <c r="O3719" t="inlineStr">
        <is>
          <t>RAT439</t>
        </is>
      </c>
      <c r="Q3719" s="114" t="n">
        <v>0</v>
      </c>
      <c r="R3719" s="114" t="n">
        <v>62.5</v>
      </c>
      <c r="S3719" s="114" t="n">
        <v>0</v>
      </c>
      <c r="T3719" t="n">
        <v>0</v>
      </c>
    </row>
    <row r="3720">
      <c r="A3720" t="inlineStr">
        <is>
          <t>ttJTrans</t>
        </is>
      </c>
      <c r="B3720" s="38" t="inlineStr">
        <is>
          <t>0-4100</t>
        </is>
      </c>
      <c r="C3720" t="inlineStr">
        <is>
          <t>ER</t>
        </is>
      </c>
      <c r="E3720" t="inlineStr">
        <is>
          <t>ER</t>
        </is>
      </c>
      <c r="G3720" s="128" t="inlineStr"/>
      <c r="H3720" s="127" t="n">
        <v>46152</v>
      </c>
      <c r="J3720" s="38" t="inlineStr">
        <is>
          <t>0-4100</t>
        </is>
      </c>
      <c r="K3720" t="inlineStr">
        <is>
          <t>RAT440 CAN AM HD11 CREW CAB UTV CAN AM HD11 CREW CAB UTV</t>
        </is>
      </c>
      <c r="L3720" t="n">
        <v>0</v>
      </c>
      <c r="M3720" t="n">
        <v>0</v>
      </c>
      <c r="O3720" t="inlineStr">
        <is>
          <t>RAT440</t>
        </is>
      </c>
      <c r="Q3720" s="114" t="n">
        <v>0</v>
      </c>
      <c r="R3720" s="114" t="n">
        <v>62.5</v>
      </c>
      <c r="S3720" s="114" t="n">
        <v>0</v>
      </c>
      <c r="T3720" t="n">
        <v>0</v>
      </c>
    </row>
    <row r="3721">
      <c r="A3721" t="inlineStr">
        <is>
          <t>ttJTrans</t>
        </is>
      </c>
      <c r="B3721" s="38" t="inlineStr">
        <is>
          <t>0-4100</t>
        </is>
      </c>
      <c r="C3721" t="inlineStr">
        <is>
          <t>ER</t>
        </is>
      </c>
      <c r="E3721" t="inlineStr">
        <is>
          <t>ER</t>
        </is>
      </c>
      <c r="G3721" s="128" t="inlineStr"/>
      <c r="H3721" s="127" t="n">
        <v>46152</v>
      </c>
      <c r="J3721" s="38" t="inlineStr">
        <is>
          <t>0-4100</t>
        </is>
      </c>
      <c r="K3721" t="inlineStr">
        <is>
          <t>RAT440 CAN AM HD11 CREW CAB UTV CAN AM HD11 CREW CAB UTV</t>
        </is>
      </c>
      <c r="L3721" t="n">
        <v>0</v>
      </c>
      <c r="M3721" t="n">
        <v>0</v>
      </c>
      <c r="O3721" t="inlineStr">
        <is>
          <t>RAT440</t>
        </is>
      </c>
      <c r="Q3721" s="114" t="n">
        <v>0</v>
      </c>
      <c r="R3721" s="114" t="n">
        <v>62.5</v>
      </c>
      <c r="S3721" s="114" t="n">
        <v>0</v>
      </c>
      <c r="T3721" t="n">
        <v>0</v>
      </c>
    </row>
    <row r="3722">
      <c r="A3722" t="inlineStr">
        <is>
          <t>ttJTrans</t>
        </is>
      </c>
      <c r="B3722" s="38" t="inlineStr">
        <is>
          <t>0-4100</t>
        </is>
      </c>
      <c r="C3722" t="inlineStr">
        <is>
          <t>ER</t>
        </is>
      </c>
      <c r="E3722" t="inlineStr">
        <is>
          <t>ER</t>
        </is>
      </c>
      <c r="G3722" s="128" t="inlineStr"/>
      <c r="H3722" s="127" t="n">
        <v>46152</v>
      </c>
      <c r="J3722" s="38" t="inlineStr">
        <is>
          <t>0-4100</t>
        </is>
      </c>
      <c r="K3722" t="inlineStr">
        <is>
          <t>RAT440 CAN AM HD11 CREW CAB UTV CAN AM HD11 CREW CAB UTV</t>
        </is>
      </c>
      <c r="L3722" t="n">
        <v>0</v>
      </c>
      <c r="M3722" t="n">
        <v>0</v>
      </c>
      <c r="O3722" t="inlineStr">
        <is>
          <t>RAT440</t>
        </is>
      </c>
      <c r="Q3722" s="114" t="n">
        <v>0</v>
      </c>
      <c r="R3722" s="114" t="n">
        <v>62.5</v>
      </c>
      <c r="S3722" s="114" t="n">
        <v>0</v>
      </c>
      <c r="T3722" t="n">
        <v>0</v>
      </c>
    </row>
    <row r="3723">
      <c r="A3723" t="inlineStr">
        <is>
          <t>ttJTrans</t>
        </is>
      </c>
      <c r="B3723" s="38" t="inlineStr">
        <is>
          <t>0-4100</t>
        </is>
      </c>
      <c r="C3723" t="inlineStr">
        <is>
          <t>ER</t>
        </is>
      </c>
      <c r="E3723" t="inlineStr">
        <is>
          <t>ER</t>
        </is>
      </c>
      <c r="G3723" s="128" t="inlineStr"/>
      <c r="H3723" s="127" t="n">
        <v>46159</v>
      </c>
      <c r="J3723" s="38" t="inlineStr">
        <is>
          <t>0-4100</t>
        </is>
      </c>
      <c r="K3723" t="inlineStr">
        <is>
          <t>RLD291 CATERPILLAR 299D3 TRACK SKID STEER LOADER W FORKS CATERPILLAR 299D3 TRACK SKID STEER LOADER W FORKS</t>
        </is>
      </c>
      <c r="L3723" t="n">
        <v>0</v>
      </c>
      <c r="M3723" t="n">
        <v>0</v>
      </c>
      <c r="O3723" t="inlineStr">
        <is>
          <t>RLD291</t>
        </is>
      </c>
      <c r="Q3723" s="114" t="n">
        <v>0</v>
      </c>
      <c r="R3723" s="114" t="n">
        <v>186.27</v>
      </c>
      <c r="S3723" s="114" t="n">
        <v>0</v>
      </c>
      <c r="T3723" t="n">
        <v>0</v>
      </c>
    </row>
    <row r="3724">
      <c r="A3724" t="inlineStr">
        <is>
          <t>ttJTrans</t>
        </is>
      </c>
      <c r="B3724" s="38" t="inlineStr">
        <is>
          <t>0-4100</t>
        </is>
      </c>
      <c r="C3724" t="inlineStr">
        <is>
          <t>ER</t>
        </is>
      </c>
      <c r="E3724" t="inlineStr">
        <is>
          <t>ER</t>
        </is>
      </c>
      <c r="G3724" s="128" t="inlineStr"/>
      <c r="H3724" s="127" t="n">
        <v>46159</v>
      </c>
      <c r="J3724" s="38" t="inlineStr">
        <is>
          <t>0-4100</t>
        </is>
      </c>
      <c r="K3724" t="inlineStr">
        <is>
          <t>RLD291 CATERPILLAR 299D3 TRACK SKID STEER LOADER W FORKS CATERPILLAR 299D3 TRACK SKID STEER LOADER W FORKS</t>
        </is>
      </c>
      <c r="L3724" t="n">
        <v>0</v>
      </c>
      <c r="M3724" t="n">
        <v>0</v>
      </c>
      <c r="O3724" t="inlineStr">
        <is>
          <t>RLD291</t>
        </is>
      </c>
      <c r="Q3724" s="114" t="n">
        <v>0</v>
      </c>
      <c r="R3724" s="114" t="n">
        <v>186.27</v>
      </c>
      <c r="S3724" s="114" t="n">
        <v>0</v>
      </c>
      <c r="T3724" t="n">
        <v>0</v>
      </c>
    </row>
    <row r="3725">
      <c r="A3725" t="inlineStr">
        <is>
          <t>ttJTrans</t>
        </is>
      </c>
      <c r="B3725" s="38" t="inlineStr">
        <is>
          <t>0-4100</t>
        </is>
      </c>
      <c r="C3725" t="inlineStr">
        <is>
          <t>ER</t>
        </is>
      </c>
      <c r="E3725" t="inlineStr">
        <is>
          <t>ER</t>
        </is>
      </c>
      <c r="G3725" s="128" t="inlineStr"/>
      <c r="H3725" s="127" t="n">
        <v>46159</v>
      </c>
      <c r="J3725" s="38" t="inlineStr">
        <is>
          <t>0-4100</t>
        </is>
      </c>
      <c r="K3725" t="inlineStr">
        <is>
          <t>RLD292 CATERPILLAR 299D3 TRACK SKID STEER LOADER CATERPILLAR 299D3 TRACK SKID STEER LOADER</t>
        </is>
      </c>
      <c r="L3725" t="n">
        <v>0</v>
      </c>
      <c r="M3725" t="n">
        <v>0</v>
      </c>
      <c r="O3725" t="inlineStr">
        <is>
          <t>RLD292</t>
        </is>
      </c>
      <c r="Q3725" s="114" t="n">
        <v>0</v>
      </c>
      <c r="R3725" s="114" t="n">
        <v>186.27</v>
      </c>
      <c r="S3725" s="114" t="n">
        <v>0</v>
      </c>
      <c r="T3725" t="n">
        <v>0</v>
      </c>
    </row>
    <row r="3726">
      <c r="A3726" t="inlineStr">
        <is>
          <t>ttJTrans</t>
        </is>
      </c>
      <c r="B3726" s="38" t="inlineStr">
        <is>
          <t>0-4100</t>
        </is>
      </c>
      <c r="C3726" t="inlineStr">
        <is>
          <t>ER</t>
        </is>
      </c>
      <c r="E3726" t="inlineStr">
        <is>
          <t>ER</t>
        </is>
      </c>
      <c r="G3726" s="128" t="inlineStr"/>
      <c r="H3726" s="127" t="n">
        <v>46159</v>
      </c>
      <c r="J3726" s="38" t="inlineStr">
        <is>
          <t>0-4100</t>
        </is>
      </c>
      <c r="K3726" t="inlineStr">
        <is>
          <t>RLD292 CATERPILLAR 299D3 TRACK SKID STEER LOADER CATERPILLAR 299D3 TRACK SKID STEER LOADER</t>
        </is>
      </c>
      <c r="L3726" t="n">
        <v>0</v>
      </c>
      <c r="M3726" t="n">
        <v>0</v>
      </c>
      <c r="O3726" t="inlineStr">
        <is>
          <t>RLD292</t>
        </is>
      </c>
      <c r="Q3726" s="114" t="n">
        <v>0</v>
      </c>
      <c r="R3726" s="114" t="n">
        <v>186.27</v>
      </c>
      <c r="S3726" s="114" t="n">
        <v>0</v>
      </c>
      <c r="T3726" t="n">
        <v>0</v>
      </c>
    </row>
    <row r="3727">
      <c r="A3727" t="inlineStr">
        <is>
          <t>ttJTrans</t>
        </is>
      </c>
      <c r="B3727" s="38" t="inlineStr">
        <is>
          <t>0-4100</t>
        </is>
      </c>
      <c r="C3727" t="inlineStr">
        <is>
          <t>ER</t>
        </is>
      </c>
      <c r="E3727" t="inlineStr">
        <is>
          <t>ER</t>
        </is>
      </c>
      <c r="G3727" s="128" t="inlineStr"/>
      <c r="H3727" s="127" t="n">
        <v>46159</v>
      </c>
      <c r="J3727" s="38" t="inlineStr">
        <is>
          <t>0-4100</t>
        </is>
      </c>
      <c r="K3727" t="inlineStr">
        <is>
          <t>RLD292 CATERPILLAR 299D3 TRACK SKID STEER LOADER CATERPILLAR 299D3 TRACK SKID STEER LOADER</t>
        </is>
      </c>
      <c r="L3727" t="n">
        <v>0</v>
      </c>
      <c r="M3727" t="n">
        <v>0</v>
      </c>
      <c r="O3727" t="inlineStr">
        <is>
          <t>RLD292</t>
        </is>
      </c>
      <c r="Q3727" s="114" t="n">
        <v>0</v>
      </c>
      <c r="R3727" s="114" t="n">
        <v>186.27</v>
      </c>
      <c r="S3727" s="114" t="n">
        <v>0</v>
      </c>
      <c r="T3727" t="n">
        <v>0</v>
      </c>
    </row>
    <row r="3728">
      <c r="A3728" t="inlineStr">
        <is>
          <t>ttJTrans</t>
        </is>
      </c>
      <c r="B3728" s="38" t="inlineStr">
        <is>
          <t>0-4100</t>
        </is>
      </c>
      <c r="C3728" t="inlineStr">
        <is>
          <t>ER</t>
        </is>
      </c>
      <c r="E3728" t="inlineStr">
        <is>
          <t>ER</t>
        </is>
      </c>
      <c r="G3728" s="128" t="inlineStr"/>
      <c r="H3728" s="127" t="n">
        <v>46159</v>
      </c>
      <c r="J3728" s="38" t="inlineStr">
        <is>
          <t>0-4100</t>
        </is>
      </c>
      <c r="K3728" t="inlineStr">
        <is>
          <t>RAT439 CAN AM HD11XT CREW CAB UTV CAN AM HD11XT CREW CAB UTV</t>
        </is>
      </c>
      <c r="L3728" t="n">
        <v>0</v>
      </c>
      <c r="M3728" t="n">
        <v>0</v>
      </c>
      <c r="O3728" t="inlineStr">
        <is>
          <t>RAT439</t>
        </is>
      </c>
      <c r="Q3728" s="114" t="n">
        <v>0</v>
      </c>
      <c r="R3728" s="114" t="n">
        <v>62.5</v>
      </c>
      <c r="S3728" s="114" t="n">
        <v>0</v>
      </c>
      <c r="T3728" t="n">
        <v>0</v>
      </c>
    </row>
    <row r="3729">
      <c r="A3729" t="inlineStr">
        <is>
          <t>ttJTrans</t>
        </is>
      </c>
      <c r="B3729" s="38" t="inlineStr">
        <is>
          <t>0-4100</t>
        </is>
      </c>
      <c r="C3729" t="inlineStr">
        <is>
          <t>ER</t>
        </is>
      </c>
      <c r="E3729" t="inlineStr">
        <is>
          <t>ER</t>
        </is>
      </c>
      <c r="G3729" s="128" t="inlineStr"/>
      <c r="H3729" s="127" t="n">
        <v>46159</v>
      </c>
      <c r="J3729" s="38" t="inlineStr">
        <is>
          <t>0-4100</t>
        </is>
      </c>
      <c r="K3729" t="inlineStr">
        <is>
          <t>RAT439 CAN AM HD11XT CREW CAB UTV CAN AM HD11XT CREW CAB UTV</t>
        </is>
      </c>
      <c r="L3729" t="n">
        <v>0</v>
      </c>
      <c r="M3729" t="n">
        <v>0</v>
      </c>
      <c r="O3729" t="inlineStr">
        <is>
          <t>RAT439</t>
        </is>
      </c>
      <c r="Q3729" s="114" t="n">
        <v>0</v>
      </c>
      <c r="R3729" s="114" t="n">
        <v>62.5</v>
      </c>
      <c r="S3729" s="114" t="n">
        <v>0</v>
      </c>
      <c r="T3729" t="n">
        <v>0</v>
      </c>
    </row>
    <row r="3730">
      <c r="A3730" t="inlineStr">
        <is>
          <t>ttJTrans</t>
        </is>
      </c>
      <c r="B3730" s="38" t="inlineStr">
        <is>
          <t>0-4100</t>
        </is>
      </c>
      <c r="C3730" t="inlineStr">
        <is>
          <t>ER</t>
        </is>
      </c>
      <c r="E3730" t="inlineStr">
        <is>
          <t>ER</t>
        </is>
      </c>
      <c r="G3730" s="128" t="inlineStr"/>
      <c r="H3730" s="127" t="n">
        <v>46159</v>
      </c>
      <c r="J3730" s="38" t="inlineStr">
        <is>
          <t>0-4100</t>
        </is>
      </c>
      <c r="K3730" t="inlineStr">
        <is>
          <t>RAT439 CAN AM HD11XT CREW CAB UTV CAN AM HD11XT CREW CAB UTV</t>
        </is>
      </c>
      <c r="L3730" t="n">
        <v>0</v>
      </c>
      <c r="M3730" t="n">
        <v>0</v>
      </c>
      <c r="O3730" t="inlineStr">
        <is>
          <t>RAT439</t>
        </is>
      </c>
      <c r="Q3730" s="114" t="n">
        <v>0</v>
      </c>
      <c r="R3730" s="114" t="n">
        <v>62.5</v>
      </c>
      <c r="S3730" s="114" t="n">
        <v>0</v>
      </c>
      <c r="T3730" t="n">
        <v>0</v>
      </c>
    </row>
    <row r="3731">
      <c r="A3731" t="inlineStr">
        <is>
          <t>ttJTrans</t>
        </is>
      </c>
      <c r="B3731" s="38" t="inlineStr">
        <is>
          <t>0-4100</t>
        </is>
      </c>
      <c r="C3731" t="inlineStr">
        <is>
          <t>ER</t>
        </is>
      </c>
      <c r="E3731" t="inlineStr">
        <is>
          <t>ER</t>
        </is>
      </c>
      <c r="G3731" s="128" t="inlineStr"/>
      <c r="H3731" s="127" t="n">
        <v>46159</v>
      </c>
      <c r="J3731" s="38" t="inlineStr">
        <is>
          <t>0-4100</t>
        </is>
      </c>
      <c r="K3731" t="inlineStr">
        <is>
          <t>RAT439 CAN AM HD11XT CREW CAB UTV CAN AM HD11XT CREW CAB UTV</t>
        </is>
      </c>
      <c r="L3731" t="n">
        <v>0</v>
      </c>
      <c r="M3731" t="n">
        <v>0</v>
      </c>
      <c r="O3731" t="inlineStr">
        <is>
          <t>RAT439</t>
        </is>
      </c>
      <c r="Q3731" s="114" t="n">
        <v>0</v>
      </c>
      <c r="R3731" s="114" t="n">
        <v>62.5</v>
      </c>
      <c r="S3731" s="114" t="n">
        <v>0</v>
      </c>
      <c r="T3731" t="n">
        <v>0</v>
      </c>
    </row>
    <row r="3732">
      <c r="A3732" t="inlineStr">
        <is>
          <t>ttJTrans</t>
        </is>
      </c>
      <c r="B3732" s="38" t="inlineStr">
        <is>
          <t>0-4100</t>
        </is>
      </c>
      <c r="C3732" t="inlineStr">
        <is>
          <t>ER</t>
        </is>
      </c>
      <c r="E3732" t="inlineStr">
        <is>
          <t>ER</t>
        </is>
      </c>
      <c r="G3732" s="128" t="inlineStr"/>
      <c r="H3732" s="127" t="n">
        <v>46159</v>
      </c>
      <c r="J3732" s="38" t="inlineStr">
        <is>
          <t>0-4100</t>
        </is>
      </c>
      <c r="K3732" t="inlineStr">
        <is>
          <t>RAT439 CAN AM HD11XT CREW CAB UTV CAN AM HD11XT CREW CAB UTV</t>
        </is>
      </c>
      <c r="L3732" t="n">
        <v>0</v>
      </c>
      <c r="M3732" t="n">
        <v>0</v>
      </c>
      <c r="O3732" t="inlineStr">
        <is>
          <t>RAT439</t>
        </is>
      </c>
      <c r="Q3732" s="114" t="n">
        <v>0</v>
      </c>
      <c r="R3732" s="114" t="n">
        <v>62.5</v>
      </c>
      <c r="S3732" s="114" t="n">
        <v>0</v>
      </c>
      <c r="T3732" t="n">
        <v>0</v>
      </c>
    </row>
    <row r="3733">
      <c r="A3733" t="inlineStr">
        <is>
          <t>ttJTrans</t>
        </is>
      </c>
      <c r="B3733" s="38" t="inlineStr">
        <is>
          <t>0-4100</t>
        </is>
      </c>
      <c r="C3733" t="inlineStr">
        <is>
          <t>ER</t>
        </is>
      </c>
      <c r="E3733" t="inlineStr">
        <is>
          <t>ER</t>
        </is>
      </c>
      <c r="G3733" s="128" t="inlineStr"/>
      <c r="H3733" s="127" t="n">
        <v>46159</v>
      </c>
      <c r="J3733" s="38" t="inlineStr">
        <is>
          <t>0-4100</t>
        </is>
      </c>
      <c r="K3733" t="inlineStr">
        <is>
          <t>RAT440 CAN AM HD11 CREW CAB UTV CAN AM HD11 CREW CAB UTV</t>
        </is>
      </c>
      <c r="L3733" t="n">
        <v>0</v>
      </c>
      <c r="M3733" t="n">
        <v>0</v>
      </c>
      <c r="O3733" t="inlineStr">
        <is>
          <t>RAT440</t>
        </is>
      </c>
      <c r="Q3733" s="114" t="n">
        <v>0</v>
      </c>
      <c r="R3733" s="114" t="n">
        <v>62.5</v>
      </c>
      <c r="S3733" s="114" t="n">
        <v>0</v>
      </c>
      <c r="T3733" t="n">
        <v>0</v>
      </c>
    </row>
    <row r="3734">
      <c r="A3734" t="inlineStr">
        <is>
          <t>ttJTrans</t>
        </is>
      </c>
      <c r="B3734" s="38" t="inlineStr">
        <is>
          <t>0-4100</t>
        </is>
      </c>
      <c r="C3734" t="inlineStr">
        <is>
          <t>ER</t>
        </is>
      </c>
      <c r="E3734" t="inlineStr">
        <is>
          <t>ER</t>
        </is>
      </c>
      <c r="G3734" s="128" t="inlineStr"/>
      <c r="H3734" s="127" t="n">
        <v>46159</v>
      </c>
      <c r="J3734" s="38" t="inlineStr">
        <is>
          <t>0-4100</t>
        </is>
      </c>
      <c r="K3734" t="inlineStr">
        <is>
          <t>RAT440 CAN AM HD11 CREW CAB UTV CAN AM HD11 CREW CAB UTV</t>
        </is>
      </c>
      <c r="L3734" t="n">
        <v>0</v>
      </c>
      <c r="M3734" t="n">
        <v>0</v>
      </c>
      <c r="O3734" t="inlineStr">
        <is>
          <t>RAT440</t>
        </is>
      </c>
      <c r="Q3734" s="114" t="n">
        <v>0</v>
      </c>
      <c r="R3734" s="114" t="n">
        <v>62.5</v>
      </c>
      <c r="S3734" s="114" t="n">
        <v>0</v>
      </c>
      <c r="T3734" t="n">
        <v>0</v>
      </c>
    </row>
    <row r="3735">
      <c r="A3735" t="inlineStr">
        <is>
          <t>ttJTrans</t>
        </is>
      </c>
      <c r="B3735" s="38" t="inlineStr">
        <is>
          <t>0-4100</t>
        </is>
      </c>
      <c r="C3735" t="inlineStr">
        <is>
          <t>ER</t>
        </is>
      </c>
      <c r="E3735" t="inlineStr">
        <is>
          <t>ER</t>
        </is>
      </c>
      <c r="G3735" s="128" t="inlineStr"/>
      <c r="H3735" s="127" t="n">
        <v>46159</v>
      </c>
      <c r="J3735" s="38" t="inlineStr">
        <is>
          <t>0-4100</t>
        </is>
      </c>
      <c r="K3735" t="inlineStr">
        <is>
          <t>RAT440 CAN AM HD11 CREW CAB UTV CAN AM HD11 CREW CAB UTV</t>
        </is>
      </c>
      <c r="L3735" t="n">
        <v>0</v>
      </c>
      <c r="M3735" t="n">
        <v>0</v>
      </c>
      <c r="O3735" t="inlineStr">
        <is>
          <t>RAT440</t>
        </is>
      </c>
      <c r="Q3735" s="114" t="n">
        <v>0</v>
      </c>
      <c r="R3735" s="114" t="n">
        <v>62.5</v>
      </c>
      <c r="S3735" s="114" t="n">
        <v>0</v>
      </c>
      <c r="T3735" t="n">
        <v>0</v>
      </c>
    </row>
    <row r="3736">
      <c r="A3736" t="inlineStr">
        <is>
          <t>ttJTrans</t>
        </is>
      </c>
      <c r="B3736" s="38" t="inlineStr">
        <is>
          <t>0-4100</t>
        </is>
      </c>
      <c r="C3736" t="inlineStr">
        <is>
          <t>ER</t>
        </is>
      </c>
      <c r="E3736" t="inlineStr">
        <is>
          <t>ER</t>
        </is>
      </c>
      <c r="G3736" s="128" t="inlineStr"/>
      <c r="H3736" s="127" t="n">
        <v>46159</v>
      </c>
      <c r="J3736" s="38" t="inlineStr">
        <is>
          <t>0-4100</t>
        </is>
      </c>
      <c r="K3736" t="inlineStr">
        <is>
          <t>RAT440 CAN AM HD11 CREW CAB UTV CAN AM HD11 CREW CAB UTV</t>
        </is>
      </c>
      <c r="L3736" t="n">
        <v>0</v>
      </c>
      <c r="M3736" t="n">
        <v>0</v>
      </c>
      <c r="O3736" t="inlineStr">
        <is>
          <t>RAT440</t>
        </is>
      </c>
      <c r="Q3736" s="114" t="n">
        <v>0</v>
      </c>
      <c r="R3736" s="114" t="n">
        <v>62.5</v>
      </c>
      <c r="S3736" s="114" t="n">
        <v>0</v>
      </c>
      <c r="T3736" t="n">
        <v>0</v>
      </c>
    </row>
    <row r="3737">
      <c r="A3737" t="inlineStr">
        <is>
          <t>ttJTrans</t>
        </is>
      </c>
      <c r="B3737" s="38" t="inlineStr">
        <is>
          <t>0-4100</t>
        </is>
      </c>
      <c r="C3737" t="inlineStr">
        <is>
          <t>ER</t>
        </is>
      </c>
      <c r="E3737" t="inlineStr">
        <is>
          <t>ER</t>
        </is>
      </c>
      <c r="G3737" s="128" t="inlineStr"/>
      <c r="H3737" s="127" t="n">
        <v>46166</v>
      </c>
      <c r="J3737" s="38" t="inlineStr">
        <is>
          <t>0-4100</t>
        </is>
      </c>
      <c r="K3737" t="inlineStr">
        <is>
          <t>RLD291 CATERPILLAR 299D3 TRACK SKID STEER LOADER W FORKS CATERPILLAR 299D3 TRACK SKID STEER LOADER W FORKS</t>
        </is>
      </c>
      <c r="L3737" t="n">
        <v>0</v>
      </c>
      <c r="M3737" t="n">
        <v>0</v>
      </c>
      <c r="O3737" t="inlineStr">
        <is>
          <t>RLD291</t>
        </is>
      </c>
      <c r="Q3737" s="114" t="n">
        <v>0</v>
      </c>
      <c r="R3737" s="114" t="n">
        <v>186.27</v>
      </c>
      <c r="S3737" s="114" t="n">
        <v>0</v>
      </c>
      <c r="T3737" t="n">
        <v>0</v>
      </c>
    </row>
    <row r="3738">
      <c r="A3738" t="inlineStr">
        <is>
          <t>ttJTrans</t>
        </is>
      </c>
      <c r="B3738" s="38" t="inlineStr">
        <is>
          <t>0-4100</t>
        </is>
      </c>
      <c r="C3738" t="inlineStr">
        <is>
          <t>ER</t>
        </is>
      </c>
      <c r="E3738" t="inlineStr">
        <is>
          <t>ER</t>
        </is>
      </c>
      <c r="G3738" s="128" t="inlineStr"/>
      <c r="H3738" s="127" t="n">
        <v>46166</v>
      </c>
      <c r="J3738" s="38" t="inlineStr">
        <is>
          <t>0-4100</t>
        </is>
      </c>
      <c r="K3738" t="inlineStr">
        <is>
          <t>RLD292 CATERPILLAR 299D3 TRACK SKID STEER LOADER CATERPILLAR 299D3 TRACK SKID STEER LOADER</t>
        </is>
      </c>
      <c r="L3738" t="n">
        <v>0</v>
      </c>
      <c r="M3738" t="n">
        <v>0</v>
      </c>
      <c r="O3738" t="inlineStr">
        <is>
          <t>RLD292</t>
        </is>
      </c>
      <c r="Q3738" s="114" t="n">
        <v>0</v>
      </c>
      <c r="R3738" s="114" t="n">
        <v>186.27</v>
      </c>
      <c r="S3738" s="114" t="n">
        <v>0</v>
      </c>
      <c r="T3738" t="n">
        <v>0</v>
      </c>
    </row>
    <row r="3739">
      <c r="A3739" t="inlineStr">
        <is>
          <t>ttJTrans</t>
        </is>
      </c>
      <c r="B3739" s="38" t="inlineStr">
        <is>
          <t>0-4100</t>
        </is>
      </c>
      <c r="C3739" t="inlineStr">
        <is>
          <t>ER</t>
        </is>
      </c>
      <c r="E3739" t="inlineStr">
        <is>
          <t>ER</t>
        </is>
      </c>
      <c r="G3739" s="128" t="inlineStr"/>
      <c r="H3739" s="127" t="n">
        <v>46166</v>
      </c>
      <c r="J3739" s="38" t="inlineStr">
        <is>
          <t>0-4100</t>
        </is>
      </c>
      <c r="K3739" t="inlineStr">
        <is>
          <t>RLD292 CATERPILLAR 299D3 TRACK SKID STEER LOADER CATERPILLAR 299D3 TRACK SKID STEER LOADER</t>
        </is>
      </c>
      <c r="L3739" t="n">
        <v>0</v>
      </c>
      <c r="M3739" t="n">
        <v>0</v>
      </c>
      <c r="O3739" t="inlineStr">
        <is>
          <t>RLD292</t>
        </is>
      </c>
      <c r="Q3739" s="114" t="n">
        <v>0</v>
      </c>
      <c r="R3739" s="114" t="n">
        <v>186.27</v>
      </c>
      <c r="S3739" s="114" t="n">
        <v>0</v>
      </c>
      <c r="T3739" t="n">
        <v>0</v>
      </c>
    </row>
    <row r="3740">
      <c r="A3740" t="inlineStr">
        <is>
          <t>ttJTrans</t>
        </is>
      </c>
      <c r="B3740" s="38" t="inlineStr">
        <is>
          <t>0-4100</t>
        </is>
      </c>
      <c r="C3740" t="inlineStr">
        <is>
          <t>ER</t>
        </is>
      </c>
      <c r="E3740" t="inlineStr">
        <is>
          <t>ER</t>
        </is>
      </c>
      <c r="G3740" s="128" t="inlineStr"/>
      <c r="H3740" s="127" t="n">
        <v>46166</v>
      </c>
      <c r="J3740" s="38" t="inlineStr">
        <is>
          <t>0-4100</t>
        </is>
      </c>
      <c r="K3740" t="inlineStr">
        <is>
          <t>RAT439 CAN AM HD11XT CREW CAB UTV CAN AM HD11XT CREW CAB UTV</t>
        </is>
      </c>
      <c r="L3740" t="n">
        <v>0</v>
      </c>
      <c r="M3740" t="n">
        <v>0</v>
      </c>
      <c r="O3740" t="inlineStr">
        <is>
          <t>RAT439</t>
        </is>
      </c>
      <c r="Q3740" s="114" t="n">
        <v>0</v>
      </c>
      <c r="R3740" s="114" t="n">
        <v>62.5</v>
      </c>
      <c r="S3740" s="114" t="n">
        <v>0</v>
      </c>
      <c r="T3740" t="n">
        <v>0</v>
      </c>
    </row>
    <row r="3741">
      <c r="A3741" t="inlineStr">
        <is>
          <t>ttJTrans</t>
        </is>
      </c>
      <c r="B3741" s="38" t="inlineStr">
        <is>
          <t>0-4100</t>
        </is>
      </c>
      <c r="C3741" t="inlineStr">
        <is>
          <t>ER</t>
        </is>
      </c>
      <c r="E3741" t="inlineStr">
        <is>
          <t>ER</t>
        </is>
      </c>
      <c r="G3741" s="128" t="inlineStr"/>
      <c r="H3741" s="127" t="n">
        <v>46166</v>
      </c>
      <c r="J3741" s="38" t="inlineStr">
        <is>
          <t>0-4100</t>
        </is>
      </c>
      <c r="K3741" t="inlineStr">
        <is>
          <t>RAT439 CAN AM HD11XT CREW CAB UTV CAN AM HD11XT CREW CAB UTV</t>
        </is>
      </c>
      <c r="L3741" t="n">
        <v>0</v>
      </c>
      <c r="M3741" t="n">
        <v>0</v>
      </c>
      <c r="O3741" t="inlineStr">
        <is>
          <t>RAT439</t>
        </is>
      </c>
      <c r="Q3741" s="114" t="n">
        <v>0</v>
      </c>
      <c r="R3741" s="114" t="n">
        <v>62.5</v>
      </c>
      <c r="S3741" s="114" t="n">
        <v>0</v>
      </c>
      <c r="T3741" t="n">
        <v>0</v>
      </c>
    </row>
    <row r="3742">
      <c r="A3742" t="inlineStr">
        <is>
          <t>ttJTrans</t>
        </is>
      </c>
      <c r="B3742" s="38" t="inlineStr">
        <is>
          <t>0-4100</t>
        </is>
      </c>
      <c r="C3742" t="inlineStr">
        <is>
          <t>ER</t>
        </is>
      </c>
      <c r="E3742" t="inlineStr">
        <is>
          <t>ER</t>
        </is>
      </c>
      <c r="G3742" s="128" t="inlineStr"/>
      <c r="H3742" s="127" t="n">
        <v>46166</v>
      </c>
      <c r="J3742" s="38" t="inlineStr">
        <is>
          <t>0-4100</t>
        </is>
      </c>
      <c r="K3742" t="inlineStr">
        <is>
          <t>RAT440 CAN AM HD11 CREW CAB UTV CAN AM HD11 CREW CAB UTV</t>
        </is>
      </c>
      <c r="L3742" t="n">
        <v>0</v>
      </c>
      <c r="M3742" t="n">
        <v>0</v>
      </c>
      <c r="O3742" t="inlineStr">
        <is>
          <t>RAT440</t>
        </is>
      </c>
      <c r="Q3742" s="114" t="n">
        <v>0</v>
      </c>
      <c r="R3742" s="114" t="n">
        <v>62.5</v>
      </c>
      <c r="S3742" s="114" t="n">
        <v>0</v>
      </c>
      <c r="T3742" t="n">
        <v>0</v>
      </c>
    </row>
    <row r="3743">
      <c r="A3743" t="inlineStr">
        <is>
          <t>ttJTrans</t>
        </is>
      </c>
      <c r="B3743" s="38" t="inlineStr">
        <is>
          <t>0-4100</t>
        </is>
      </c>
      <c r="C3743" t="inlineStr">
        <is>
          <t>ER</t>
        </is>
      </c>
      <c r="E3743" t="inlineStr">
        <is>
          <t>ER</t>
        </is>
      </c>
      <c r="G3743" s="128" t="inlineStr"/>
      <c r="H3743" s="127" t="n">
        <v>46166</v>
      </c>
      <c r="J3743" s="38" t="inlineStr">
        <is>
          <t>0-4100</t>
        </is>
      </c>
      <c r="K3743" t="inlineStr">
        <is>
          <t>RAT440 CAN AM HD11 CREW CAB UTV CAN AM HD11 CREW CAB UTV</t>
        </is>
      </c>
      <c r="L3743" t="n">
        <v>0</v>
      </c>
      <c r="M3743" t="n">
        <v>0</v>
      </c>
      <c r="O3743" t="inlineStr">
        <is>
          <t>RAT440</t>
        </is>
      </c>
      <c r="Q3743" s="114" t="n">
        <v>0</v>
      </c>
      <c r="R3743" s="114" t="n">
        <v>62.5</v>
      </c>
      <c r="S3743" s="114" t="n">
        <v>0</v>
      </c>
      <c r="T3743" t="n">
        <v>0</v>
      </c>
    </row>
    <row r="3744">
      <c r="A3744" t="inlineStr">
        <is>
          <t>ttJTrans</t>
        </is>
      </c>
      <c r="B3744" s="38" t="inlineStr">
        <is>
          <t>0-4100</t>
        </is>
      </c>
      <c r="C3744" t="inlineStr">
        <is>
          <t>ER</t>
        </is>
      </c>
      <c r="E3744" t="inlineStr">
        <is>
          <t>ER</t>
        </is>
      </c>
      <c r="G3744" s="128" t="inlineStr"/>
      <c r="H3744" s="127" t="n">
        <v>46166</v>
      </c>
      <c r="J3744" s="38" t="inlineStr">
        <is>
          <t>0-4100</t>
        </is>
      </c>
      <c r="K3744" t="inlineStr">
        <is>
          <t>RAT440 CAN AM HD11 CREW CAB UTV CAN AM HD11 CREW CAB UTV</t>
        </is>
      </c>
      <c r="L3744" t="n">
        <v>0</v>
      </c>
      <c r="M3744" t="n">
        <v>0</v>
      </c>
      <c r="O3744" t="inlineStr">
        <is>
          <t>RAT440</t>
        </is>
      </c>
      <c r="Q3744" s="114" t="n">
        <v>0</v>
      </c>
      <c r="R3744" s="114" t="n">
        <v>62.5</v>
      </c>
      <c r="S3744" s="114" t="n">
        <v>0</v>
      </c>
      <c r="T3744" t="n">
        <v>0</v>
      </c>
    </row>
    <row r="3745">
      <c r="A3745" t="inlineStr">
        <is>
          <t>ttJTrans</t>
        </is>
      </c>
      <c r="B3745" s="38" t="inlineStr">
        <is>
          <t>0-4100</t>
        </is>
      </c>
      <c r="C3745" t="inlineStr">
        <is>
          <t>LA</t>
        </is>
      </c>
      <c r="E3745" t="inlineStr">
        <is>
          <t>LA</t>
        </is>
      </c>
      <c r="G3745" s="128" t="inlineStr"/>
      <c r="H3745" s="127" t="n">
        <v>46121</v>
      </c>
      <c r="J3745" s="38" t="inlineStr">
        <is>
          <t>0-4100</t>
        </is>
      </c>
      <c r="K3745" t="inlineStr">
        <is>
          <t>PR P0COST 000525 (PR) Summary</t>
        </is>
      </c>
      <c r="L3745" t="n">
        <v>0</v>
      </c>
      <c r="M3745" t="n">
        <v>0</v>
      </c>
      <c r="Q3745" s="114" t="n">
        <v>0</v>
      </c>
      <c r="R3745" s="114" t="n">
        <v>1961.61</v>
      </c>
      <c r="S3745" s="114" t="n">
        <v>0</v>
      </c>
      <c r="T3745" t="n">
        <v>32</v>
      </c>
    </row>
    <row r="3746">
      <c r="A3746" t="inlineStr">
        <is>
          <t>ttJTrans</t>
        </is>
      </c>
      <c r="B3746" s="38" t="inlineStr">
        <is>
          <t>0-4100</t>
        </is>
      </c>
      <c r="C3746" t="inlineStr">
        <is>
          <t>LA</t>
        </is>
      </c>
      <c r="E3746" t="inlineStr">
        <is>
          <t>LA</t>
        </is>
      </c>
      <c r="G3746" s="128" t="inlineStr"/>
      <c r="H3746" s="127" t="n">
        <v>46121</v>
      </c>
      <c r="J3746" s="38" t="inlineStr">
        <is>
          <t>0-4100</t>
        </is>
      </c>
      <c r="K3746" t="inlineStr">
        <is>
          <t>PR P0COST 000525 (PR) Summary</t>
        </is>
      </c>
      <c r="L3746" t="n">
        <v>0</v>
      </c>
      <c r="M3746" t="n">
        <v>0</v>
      </c>
      <c r="Q3746" s="114" t="n">
        <v>0</v>
      </c>
      <c r="R3746" s="114" t="n">
        <v>3829.49</v>
      </c>
      <c r="S3746" s="114" t="n">
        <v>0</v>
      </c>
      <c r="T3746" t="n">
        <v>60</v>
      </c>
    </row>
    <row r="3747">
      <c r="A3747" t="inlineStr">
        <is>
          <t>ttJTrans</t>
        </is>
      </c>
      <c r="B3747" s="38" t="inlineStr">
        <is>
          <t>0-4100</t>
        </is>
      </c>
      <c r="C3747" t="inlineStr">
        <is>
          <t>LA</t>
        </is>
      </c>
      <c r="E3747" t="inlineStr">
        <is>
          <t>LA</t>
        </is>
      </c>
      <c r="G3747" s="128" t="inlineStr"/>
      <c r="H3747" s="127" t="n">
        <v>46121</v>
      </c>
      <c r="J3747" s="38" t="inlineStr">
        <is>
          <t>0-4100</t>
        </is>
      </c>
      <c r="K3747" t="inlineStr">
        <is>
          <t>PR P0COST 000525 (PR) Summary</t>
        </is>
      </c>
      <c r="L3747" t="n">
        <v>0</v>
      </c>
      <c r="M3747" t="n">
        <v>0</v>
      </c>
      <c r="Q3747" s="114" t="n">
        <v>0</v>
      </c>
      <c r="R3747" s="114" t="n">
        <v>1653.87</v>
      </c>
      <c r="S3747" s="114" t="n">
        <v>0</v>
      </c>
      <c r="T3747" t="n">
        <v>40</v>
      </c>
    </row>
    <row r="3748">
      <c r="A3748" t="inlineStr">
        <is>
          <t>ttJTrans</t>
        </is>
      </c>
      <c r="B3748" s="38" t="inlineStr">
        <is>
          <t>0-4100</t>
        </is>
      </c>
      <c r="C3748" t="inlineStr">
        <is>
          <t>LA</t>
        </is>
      </c>
      <c r="E3748" t="inlineStr">
        <is>
          <t>LA</t>
        </is>
      </c>
      <c r="G3748" s="128" t="inlineStr"/>
      <c r="H3748" s="127" t="n">
        <v>46121</v>
      </c>
      <c r="J3748" s="38" t="inlineStr">
        <is>
          <t>0-4100</t>
        </is>
      </c>
      <c r="K3748" t="inlineStr">
        <is>
          <t>PR P0COST 000525 (PR) Summary</t>
        </is>
      </c>
      <c r="L3748" t="n">
        <v>0</v>
      </c>
      <c r="M3748" t="n">
        <v>0</v>
      </c>
      <c r="Q3748" s="114" t="n">
        <v>0</v>
      </c>
      <c r="R3748" s="114" t="n">
        <v>2653.45</v>
      </c>
      <c r="S3748" s="114" t="n">
        <v>0</v>
      </c>
      <c r="T3748" t="n">
        <v>60</v>
      </c>
    </row>
    <row r="3749">
      <c r="A3749" t="inlineStr">
        <is>
          <t>ttJTrans</t>
        </is>
      </c>
      <c r="B3749" s="38" t="inlineStr">
        <is>
          <t>0-4100</t>
        </is>
      </c>
      <c r="C3749" t="inlineStr">
        <is>
          <t>LA</t>
        </is>
      </c>
      <c r="E3749" t="inlineStr">
        <is>
          <t>LA</t>
        </is>
      </c>
      <c r="G3749" s="128" t="inlineStr"/>
      <c r="H3749" s="127" t="n">
        <v>46121</v>
      </c>
      <c r="J3749" s="38" t="inlineStr">
        <is>
          <t>0-4100</t>
        </is>
      </c>
      <c r="K3749" t="inlineStr">
        <is>
          <t>PR P0COST 000525 (PR) Summary</t>
        </is>
      </c>
      <c r="L3749" t="n">
        <v>0</v>
      </c>
      <c r="M3749" t="n">
        <v>0</v>
      </c>
      <c r="Q3749" s="114" t="n">
        <v>0</v>
      </c>
      <c r="R3749" s="114" t="n">
        <v>2440.61</v>
      </c>
      <c r="S3749" s="114" t="n">
        <v>0</v>
      </c>
      <c r="T3749" t="n">
        <v>50</v>
      </c>
    </row>
    <row r="3750">
      <c r="A3750" t="inlineStr">
        <is>
          <t>ttJTrans</t>
        </is>
      </c>
      <c r="B3750" s="38" t="inlineStr">
        <is>
          <t>0-4100</t>
        </is>
      </c>
      <c r="C3750" t="inlineStr">
        <is>
          <t>LA</t>
        </is>
      </c>
      <c r="E3750" t="inlineStr">
        <is>
          <t>LA</t>
        </is>
      </c>
      <c r="G3750" s="128" t="inlineStr"/>
      <c r="H3750" s="127" t="n">
        <v>46121</v>
      </c>
      <c r="J3750" s="38" t="inlineStr">
        <is>
          <t>0-4100</t>
        </is>
      </c>
      <c r="K3750" t="inlineStr">
        <is>
          <t>PR P0COST 000525 (PR) Summary</t>
        </is>
      </c>
      <c r="L3750" t="n">
        <v>0</v>
      </c>
      <c r="M3750" t="n">
        <v>0</v>
      </c>
      <c r="Q3750" s="114" t="n">
        <v>0</v>
      </c>
      <c r="R3750" s="114" t="n">
        <v>393.43</v>
      </c>
      <c r="S3750" s="114" t="n">
        <v>0</v>
      </c>
      <c r="T3750" t="n">
        <v>8</v>
      </c>
    </row>
    <row r="3751">
      <c r="A3751" t="inlineStr">
        <is>
          <t>ttJTrans</t>
        </is>
      </c>
      <c r="B3751" s="38" t="inlineStr">
        <is>
          <t>0-4100</t>
        </is>
      </c>
      <c r="C3751" t="inlineStr">
        <is>
          <t>LA</t>
        </is>
      </c>
      <c r="E3751" t="inlineStr">
        <is>
          <t>LA</t>
        </is>
      </c>
      <c r="G3751" s="128" t="inlineStr"/>
      <c r="H3751" s="127" t="n">
        <v>46128</v>
      </c>
      <c r="J3751" s="38" t="inlineStr">
        <is>
          <t>0-4100</t>
        </is>
      </c>
      <c r="K3751" t="inlineStr">
        <is>
          <t>PR P0COST 000526 (PR) Summary</t>
        </is>
      </c>
      <c r="L3751" t="n">
        <v>0</v>
      </c>
      <c r="M3751" t="n">
        <v>0</v>
      </c>
      <c r="Q3751" s="114" t="n">
        <v>0</v>
      </c>
      <c r="R3751" s="114" t="n">
        <v>4084.97</v>
      </c>
      <c r="S3751" s="114" t="n">
        <v>0</v>
      </c>
      <c r="T3751" t="n">
        <v>60</v>
      </c>
    </row>
    <row r="3752">
      <c r="A3752" t="inlineStr">
        <is>
          <t>ttJTrans</t>
        </is>
      </c>
      <c r="B3752" s="38" t="inlineStr">
        <is>
          <t>0-4100</t>
        </is>
      </c>
      <c r="C3752" t="inlineStr">
        <is>
          <t>LA</t>
        </is>
      </c>
      <c r="E3752" t="inlineStr">
        <is>
          <t>LA</t>
        </is>
      </c>
      <c r="G3752" s="128" t="inlineStr"/>
      <c r="H3752" s="127" t="n">
        <v>46128</v>
      </c>
      <c r="J3752" s="38" t="inlineStr">
        <is>
          <t>0-4100</t>
        </is>
      </c>
      <c r="K3752" t="inlineStr">
        <is>
          <t>PR P0COST 000526 (PR) Summary</t>
        </is>
      </c>
      <c r="L3752" t="n">
        <v>0</v>
      </c>
      <c r="M3752" t="n">
        <v>0</v>
      </c>
      <c r="Q3752" s="114" t="n">
        <v>0</v>
      </c>
      <c r="R3752" s="114" t="n">
        <v>4301.13</v>
      </c>
      <c r="S3752" s="114" t="n">
        <v>0</v>
      </c>
      <c r="T3752" t="n">
        <v>100</v>
      </c>
    </row>
    <row r="3753">
      <c r="A3753" t="inlineStr">
        <is>
          <t>ttJTrans</t>
        </is>
      </c>
      <c r="B3753" s="38" t="inlineStr">
        <is>
          <t>0-4100</t>
        </is>
      </c>
      <c r="C3753" t="inlineStr">
        <is>
          <t>LA</t>
        </is>
      </c>
      <c r="E3753" t="inlineStr">
        <is>
          <t>LA</t>
        </is>
      </c>
      <c r="G3753" s="128" t="inlineStr"/>
      <c r="H3753" s="127" t="n">
        <v>46128</v>
      </c>
      <c r="J3753" s="38" t="inlineStr">
        <is>
          <t>0-4100</t>
        </is>
      </c>
      <c r="K3753" t="inlineStr">
        <is>
          <t>PR P0COST 000526 (PR) Summary</t>
        </is>
      </c>
      <c r="L3753" t="n">
        <v>0</v>
      </c>
      <c r="M3753" t="n">
        <v>0</v>
      </c>
      <c r="Q3753" s="114" t="n">
        <v>0</v>
      </c>
      <c r="R3753" s="114" t="n">
        <v>4227.72</v>
      </c>
      <c r="S3753" s="114" t="n">
        <v>0</v>
      </c>
      <c r="T3753" t="n">
        <v>90</v>
      </c>
    </row>
    <row r="3754">
      <c r="A3754" t="inlineStr">
        <is>
          <t>ttJTrans</t>
        </is>
      </c>
      <c r="B3754" s="38" t="inlineStr">
        <is>
          <t>0-4100</t>
        </is>
      </c>
      <c r="C3754" t="inlineStr">
        <is>
          <t>LA</t>
        </is>
      </c>
      <c r="E3754" t="inlineStr">
        <is>
          <t>LA</t>
        </is>
      </c>
      <c r="G3754" s="128" t="inlineStr"/>
      <c r="H3754" s="127" t="n">
        <v>46128</v>
      </c>
      <c r="J3754" s="38" t="inlineStr">
        <is>
          <t>0-4100</t>
        </is>
      </c>
      <c r="K3754" t="inlineStr">
        <is>
          <t>PR P0COST 000526 (PR) Summary</t>
        </is>
      </c>
      <c r="L3754" t="n">
        <v>0</v>
      </c>
      <c r="M3754" t="n">
        <v>0</v>
      </c>
      <c r="Q3754" s="114" t="n">
        <v>0</v>
      </c>
      <c r="R3754" s="114" t="n">
        <v>3284.27</v>
      </c>
      <c r="S3754" s="114" t="n">
        <v>0</v>
      </c>
      <c r="T3754" t="n">
        <v>70</v>
      </c>
    </row>
    <row r="3755">
      <c r="A3755" t="inlineStr">
        <is>
          <t>ttJTrans</t>
        </is>
      </c>
      <c r="B3755" s="38" t="inlineStr">
        <is>
          <t>0-4100</t>
        </is>
      </c>
      <c r="C3755" t="inlineStr">
        <is>
          <t>LA</t>
        </is>
      </c>
      <c r="E3755" t="inlineStr">
        <is>
          <t>LA</t>
        </is>
      </c>
      <c r="G3755" s="128" t="inlineStr"/>
      <c r="H3755" s="127" t="n">
        <v>46128</v>
      </c>
      <c r="J3755" s="38" t="inlineStr">
        <is>
          <t>0-4100</t>
        </is>
      </c>
      <c r="K3755" t="inlineStr">
        <is>
          <t>PR P0COST 000526 (PR) Summary</t>
        </is>
      </c>
      <c r="L3755" t="n">
        <v>0</v>
      </c>
      <c r="M3755" t="n">
        <v>0</v>
      </c>
      <c r="Q3755" s="114" t="n">
        <v>0</v>
      </c>
      <c r="R3755" s="114" t="n">
        <v>3293.91</v>
      </c>
      <c r="S3755" s="114" t="n">
        <v>0</v>
      </c>
      <c r="T3755" t="n">
        <v>70</v>
      </c>
    </row>
    <row r="3756">
      <c r="A3756" t="inlineStr">
        <is>
          <t>ttJTrans</t>
        </is>
      </c>
      <c r="B3756" s="38" t="inlineStr">
        <is>
          <t>0-4100</t>
        </is>
      </c>
      <c r="C3756" t="inlineStr">
        <is>
          <t>LA</t>
        </is>
      </c>
      <c r="E3756" t="inlineStr">
        <is>
          <t>LA</t>
        </is>
      </c>
      <c r="G3756" s="128" t="inlineStr"/>
      <c r="H3756" s="127" t="n">
        <v>46128</v>
      </c>
      <c r="J3756" s="38" t="inlineStr">
        <is>
          <t>0-4100</t>
        </is>
      </c>
      <c r="K3756" t="inlineStr">
        <is>
          <t>PR P0COST 000526 (PR) Summary</t>
        </is>
      </c>
      <c r="L3756" t="n">
        <v>0</v>
      </c>
      <c r="M3756" t="n">
        <v>0</v>
      </c>
      <c r="Q3756" s="114" t="n">
        <v>0</v>
      </c>
      <c r="R3756" s="114" t="n">
        <v>498.25</v>
      </c>
      <c r="S3756" s="114" t="n">
        <v>0</v>
      </c>
      <c r="T3756" t="n">
        <v>10</v>
      </c>
    </row>
    <row r="3757">
      <c r="A3757" t="inlineStr">
        <is>
          <t>ttJTrans</t>
        </is>
      </c>
      <c r="B3757" s="38" t="inlineStr">
        <is>
          <t>0-4100</t>
        </is>
      </c>
      <c r="C3757" t="inlineStr">
        <is>
          <t>LA</t>
        </is>
      </c>
      <c r="E3757" t="inlineStr">
        <is>
          <t>LA</t>
        </is>
      </c>
      <c r="G3757" s="128" t="inlineStr"/>
      <c r="H3757" s="127" t="n">
        <v>46135</v>
      </c>
      <c r="J3757" s="38" t="inlineStr">
        <is>
          <t>0-4100</t>
        </is>
      </c>
      <c r="K3757" t="inlineStr">
        <is>
          <t>PR P0COST 000527 (PR) Summary</t>
        </is>
      </c>
      <c r="L3757" t="n">
        <v>0</v>
      </c>
      <c r="M3757" t="n">
        <v>0</v>
      </c>
      <c r="Q3757" s="114" t="n">
        <v>0</v>
      </c>
      <c r="R3757" s="114" t="n">
        <v>3364.97</v>
      </c>
      <c r="S3757" s="114" t="n">
        <v>0</v>
      </c>
      <c r="T3757" t="n">
        <v>70</v>
      </c>
    </row>
    <row r="3758">
      <c r="A3758" t="inlineStr">
        <is>
          <t>ttJTrans</t>
        </is>
      </c>
      <c r="B3758" s="38" t="inlineStr">
        <is>
          <t>0-4100</t>
        </is>
      </c>
      <c r="C3758" t="inlineStr">
        <is>
          <t>LA</t>
        </is>
      </c>
      <c r="E3758" t="inlineStr">
        <is>
          <t>LA</t>
        </is>
      </c>
      <c r="G3758" s="128" t="inlineStr"/>
      <c r="H3758" s="127" t="n">
        <v>46135</v>
      </c>
      <c r="J3758" s="38" t="inlineStr">
        <is>
          <t>0-4100</t>
        </is>
      </c>
      <c r="K3758" t="inlineStr">
        <is>
          <t>PR P0COST 000527 (PR) Summary</t>
        </is>
      </c>
      <c r="L3758" t="n">
        <v>0</v>
      </c>
      <c r="M3758" t="n">
        <v>0</v>
      </c>
      <c r="Q3758" s="114" t="n">
        <v>0</v>
      </c>
      <c r="R3758" s="114" t="n">
        <v>2782.34</v>
      </c>
      <c r="S3758" s="114" t="n">
        <v>0</v>
      </c>
      <c r="T3758" t="n">
        <v>60</v>
      </c>
    </row>
    <row r="3759">
      <c r="A3759" t="inlineStr">
        <is>
          <t>ttJTrans</t>
        </is>
      </c>
      <c r="B3759" s="38" t="inlineStr">
        <is>
          <t>0-4100</t>
        </is>
      </c>
      <c r="C3759" t="inlineStr">
        <is>
          <t>LA</t>
        </is>
      </c>
      <c r="E3759" t="inlineStr">
        <is>
          <t>LA</t>
        </is>
      </c>
      <c r="G3759" s="128" t="inlineStr"/>
      <c r="H3759" s="127" t="n">
        <v>46135</v>
      </c>
      <c r="J3759" s="38" t="inlineStr">
        <is>
          <t>0-4100</t>
        </is>
      </c>
      <c r="K3759" t="inlineStr">
        <is>
          <t>PR P0COST 000527 (PR) Summary</t>
        </is>
      </c>
      <c r="L3759" t="n">
        <v>0</v>
      </c>
      <c r="M3759" t="n">
        <v>0</v>
      </c>
      <c r="Q3759" s="114" t="n">
        <v>0</v>
      </c>
      <c r="R3759" s="114" t="n">
        <v>2601.26</v>
      </c>
      <c r="S3759" s="114" t="n">
        <v>0</v>
      </c>
      <c r="T3759" t="n">
        <v>56</v>
      </c>
    </row>
    <row r="3760">
      <c r="A3760" t="inlineStr">
        <is>
          <t>ttJTrans</t>
        </is>
      </c>
      <c r="B3760" s="38" t="inlineStr">
        <is>
          <t>0-4100</t>
        </is>
      </c>
      <c r="C3760" t="inlineStr">
        <is>
          <t>LA</t>
        </is>
      </c>
      <c r="E3760" t="inlineStr">
        <is>
          <t>LA</t>
        </is>
      </c>
      <c r="G3760" s="128" t="inlineStr"/>
      <c r="H3760" s="127" t="n">
        <v>46135</v>
      </c>
      <c r="J3760" s="38" t="inlineStr">
        <is>
          <t>0-4100</t>
        </is>
      </c>
      <c r="K3760" t="inlineStr">
        <is>
          <t>PR P0COST 000527 (PR) Summary</t>
        </is>
      </c>
      <c r="L3760" t="n">
        <v>0</v>
      </c>
      <c r="M3760" t="n">
        <v>0</v>
      </c>
      <c r="Q3760" s="114" t="n">
        <v>0</v>
      </c>
      <c r="R3760" s="114" t="n">
        <v>1692.49</v>
      </c>
      <c r="S3760" s="114" t="n">
        <v>0</v>
      </c>
      <c r="T3760" t="n">
        <v>32</v>
      </c>
    </row>
    <row r="3761">
      <c r="A3761" t="inlineStr">
        <is>
          <t>ttJTrans</t>
        </is>
      </c>
      <c r="B3761" s="38" t="inlineStr">
        <is>
          <t>0-4100</t>
        </is>
      </c>
      <c r="C3761" t="inlineStr">
        <is>
          <t>LA</t>
        </is>
      </c>
      <c r="E3761" t="inlineStr">
        <is>
          <t>LA</t>
        </is>
      </c>
      <c r="G3761" s="128" t="inlineStr"/>
      <c r="H3761" s="127" t="n">
        <v>46135</v>
      </c>
      <c r="J3761" s="38" t="inlineStr">
        <is>
          <t>0-4100</t>
        </is>
      </c>
      <c r="K3761" t="inlineStr">
        <is>
          <t>PR P0COST 000527 (PR) Summary</t>
        </is>
      </c>
      <c r="L3761" t="n">
        <v>0</v>
      </c>
      <c r="M3761" t="n">
        <v>0</v>
      </c>
      <c r="Q3761" s="114" t="n">
        <v>0</v>
      </c>
      <c r="R3761" s="114" t="n">
        <v>268.08</v>
      </c>
      <c r="S3761" s="114" t="n">
        <v>0</v>
      </c>
      <c r="T3761" t="n">
        <v>4</v>
      </c>
    </row>
    <row r="3762">
      <c r="A3762" t="inlineStr">
        <is>
          <t>ttJTrans</t>
        </is>
      </c>
      <c r="B3762" s="38" t="inlineStr">
        <is>
          <t>0-4100</t>
        </is>
      </c>
      <c r="C3762" t="inlineStr">
        <is>
          <t>LA</t>
        </is>
      </c>
      <c r="E3762" t="inlineStr">
        <is>
          <t>LA</t>
        </is>
      </c>
      <c r="G3762" s="128" t="inlineStr"/>
      <c r="H3762" s="127" t="n">
        <v>46142</v>
      </c>
      <c r="J3762" s="38" t="inlineStr">
        <is>
          <t>0-4100</t>
        </is>
      </c>
      <c r="K3762" t="inlineStr">
        <is>
          <t>PR P0COST 000528 (PR) Summary</t>
        </is>
      </c>
      <c r="L3762" t="n">
        <v>0</v>
      </c>
      <c r="M3762" t="n">
        <v>0</v>
      </c>
      <c r="Q3762" s="114" t="n">
        <v>0</v>
      </c>
      <c r="R3762" s="114" t="n">
        <v>3545.75</v>
      </c>
      <c r="S3762" s="114" t="n">
        <v>0</v>
      </c>
      <c r="T3762" t="n">
        <v>80</v>
      </c>
    </row>
    <row r="3763">
      <c r="A3763" t="inlineStr">
        <is>
          <t>ttJTrans</t>
        </is>
      </c>
      <c r="B3763" s="38" t="inlineStr">
        <is>
          <t>0-4100</t>
        </is>
      </c>
      <c r="C3763" t="inlineStr">
        <is>
          <t>LA</t>
        </is>
      </c>
      <c r="E3763" t="inlineStr">
        <is>
          <t>LA</t>
        </is>
      </c>
      <c r="G3763" s="128" t="inlineStr"/>
      <c r="H3763" s="127" t="n">
        <v>46142</v>
      </c>
      <c r="J3763" s="38" t="inlineStr">
        <is>
          <t>0-4100</t>
        </is>
      </c>
      <c r="K3763" t="inlineStr">
        <is>
          <t>PR P0COST 000528 (PR) Summary</t>
        </is>
      </c>
      <c r="L3763" t="n">
        <v>0</v>
      </c>
      <c r="M3763" t="n">
        <v>0</v>
      </c>
      <c r="Q3763" s="114" t="n">
        <v>0</v>
      </c>
      <c r="R3763" s="114" t="n">
        <v>3613.02</v>
      </c>
      <c r="S3763" s="114" t="n">
        <v>0</v>
      </c>
      <c r="T3763" t="n">
        <v>80</v>
      </c>
    </row>
    <row r="3764">
      <c r="A3764" t="inlineStr">
        <is>
          <t>ttJTrans</t>
        </is>
      </c>
      <c r="B3764" s="38" t="inlineStr">
        <is>
          <t>0-4100</t>
        </is>
      </c>
      <c r="C3764" t="inlineStr">
        <is>
          <t>LA</t>
        </is>
      </c>
      <c r="E3764" t="inlineStr">
        <is>
          <t>LA</t>
        </is>
      </c>
      <c r="G3764" s="128" t="inlineStr"/>
      <c r="H3764" s="127" t="n">
        <v>46142</v>
      </c>
      <c r="J3764" s="38" t="inlineStr">
        <is>
          <t>0-4100</t>
        </is>
      </c>
      <c r="K3764" t="inlineStr">
        <is>
          <t>PR P0COST 000528 (PR) Summary</t>
        </is>
      </c>
      <c r="L3764" t="n">
        <v>0</v>
      </c>
      <c r="M3764" t="n">
        <v>0</v>
      </c>
      <c r="Q3764" s="114" t="n">
        <v>0</v>
      </c>
      <c r="R3764" s="114" t="n">
        <v>3100.42</v>
      </c>
      <c r="S3764" s="114" t="n">
        <v>0</v>
      </c>
      <c r="T3764" t="n">
        <v>70</v>
      </c>
    </row>
    <row r="3765">
      <c r="A3765" t="inlineStr">
        <is>
          <t>ttJTrans</t>
        </is>
      </c>
      <c r="B3765" s="38" t="inlineStr">
        <is>
          <t>0-4100</t>
        </is>
      </c>
      <c r="C3765" t="inlineStr">
        <is>
          <t>LA</t>
        </is>
      </c>
      <c r="E3765" t="inlineStr">
        <is>
          <t>LA</t>
        </is>
      </c>
      <c r="G3765" s="128" t="inlineStr"/>
      <c r="H3765" s="127" t="n">
        <v>46142</v>
      </c>
      <c r="J3765" s="38" t="inlineStr">
        <is>
          <t>0-4100</t>
        </is>
      </c>
      <c r="K3765" t="inlineStr">
        <is>
          <t>PR P0COST 000528 (PR) Summary</t>
        </is>
      </c>
      <c r="L3765" t="n">
        <v>0</v>
      </c>
      <c r="M3765" t="n">
        <v>0</v>
      </c>
      <c r="Q3765" s="114" t="n">
        <v>0</v>
      </c>
      <c r="R3765" s="114" t="n">
        <v>2001.88</v>
      </c>
      <c r="S3765" s="114" t="n">
        <v>0</v>
      </c>
      <c r="T3765" t="n">
        <v>30</v>
      </c>
    </row>
    <row r="3766">
      <c r="A3766" t="inlineStr">
        <is>
          <t>ttJTrans</t>
        </is>
      </c>
      <c r="B3766" s="38" t="inlineStr">
        <is>
          <t>0-4100</t>
        </is>
      </c>
      <c r="C3766" t="inlineStr">
        <is>
          <t>LA</t>
        </is>
      </c>
      <c r="E3766" t="inlineStr">
        <is>
          <t>LA</t>
        </is>
      </c>
      <c r="G3766" s="128" t="inlineStr"/>
      <c r="H3766" s="127" t="n">
        <v>46142</v>
      </c>
      <c r="J3766" s="38" t="inlineStr">
        <is>
          <t>0-4100</t>
        </is>
      </c>
      <c r="K3766" t="inlineStr">
        <is>
          <t>PR P0COST 000528 (PR) Summary</t>
        </is>
      </c>
      <c r="L3766" t="n">
        <v>0</v>
      </c>
      <c r="M3766" t="n">
        <v>0</v>
      </c>
      <c r="Q3766" s="114" t="n">
        <v>0</v>
      </c>
      <c r="R3766" s="114" t="n">
        <v>3117.31</v>
      </c>
      <c r="S3766" s="114" t="n">
        <v>0</v>
      </c>
      <c r="T3766" t="n">
        <v>70</v>
      </c>
    </row>
    <row r="3767">
      <c r="A3767" t="inlineStr">
        <is>
          <t>ttJTrans</t>
        </is>
      </c>
      <c r="B3767" s="38" t="inlineStr">
        <is>
          <t>0-4100</t>
        </is>
      </c>
      <c r="C3767" t="inlineStr">
        <is>
          <t>LA</t>
        </is>
      </c>
      <c r="E3767" t="inlineStr">
        <is>
          <t>LA</t>
        </is>
      </c>
      <c r="G3767" s="128" t="inlineStr"/>
      <c r="H3767" s="127" t="n">
        <v>46149</v>
      </c>
      <c r="J3767" s="38" t="inlineStr">
        <is>
          <t>0-4100</t>
        </is>
      </c>
      <c r="K3767" t="inlineStr">
        <is>
          <t>PR P0COST 000529 (PR) Summary</t>
        </is>
      </c>
      <c r="L3767" t="n">
        <v>0</v>
      </c>
      <c r="M3767" t="n">
        <v>0</v>
      </c>
      <c r="Q3767" s="114" t="n">
        <v>0</v>
      </c>
      <c r="R3767" s="114" t="n">
        <v>3276.71</v>
      </c>
      <c r="S3767" s="114" t="n">
        <v>0</v>
      </c>
      <c r="T3767" t="n">
        <v>50</v>
      </c>
    </row>
    <row r="3768">
      <c r="A3768" t="inlineStr">
        <is>
          <t>ttJTrans</t>
        </is>
      </c>
      <c r="B3768" s="38" t="inlineStr">
        <is>
          <t>0-4100</t>
        </is>
      </c>
      <c r="C3768" t="inlineStr">
        <is>
          <t>LA</t>
        </is>
      </c>
      <c r="E3768" t="inlineStr">
        <is>
          <t>LA</t>
        </is>
      </c>
      <c r="G3768" s="128" t="inlineStr"/>
      <c r="H3768" s="127" t="n">
        <v>46149</v>
      </c>
      <c r="J3768" s="38" t="inlineStr">
        <is>
          <t>0-4100</t>
        </is>
      </c>
      <c r="K3768" t="inlineStr">
        <is>
          <t>PR P0COST 000529 (PR) Summary</t>
        </is>
      </c>
      <c r="L3768" t="n">
        <v>0</v>
      </c>
      <c r="M3768" t="n">
        <v>0</v>
      </c>
      <c r="Q3768" s="114" t="n">
        <v>0</v>
      </c>
      <c r="R3768" s="114" t="n">
        <v>3276.67</v>
      </c>
      <c r="S3768" s="114" t="n">
        <v>0</v>
      </c>
      <c r="T3768" t="n">
        <v>50</v>
      </c>
    </row>
    <row r="3769">
      <c r="A3769" t="inlineStr">
        <is>
          <t>ttJTrans</t>
        </is>
      </c>
      <c r="B3769" s="38" t="inlineStr">
        <is>
          <t>0-4100</t>
        </is>
      </c>
      <c r="C3769" t="inlineStr">
        <is>
          <t>LA</t>
        </is>
      </c>
      <c r="E3769" t="inlineStr">
        <is>
          <t>LA</t>
        </is>
      </c>
      <c r="G3769" s="128" t="inlineStr"/>
      <c r="H3769" s="127" t="n">
        <v>46149</v>
      </c>
      <c r="J3769" s="38" t="inlineStr">
        <is>
          <t>0-4100</t>
        </is>
      </c>
      <c r="K3769" t="inlineStr">
        <is>
          <t>PR P0COST 000529 (PR) Summary</t>
        </is>
      </c>
      <c r="L3769" t="n">
        <v>0</v>
      </c>
      <c r="M3769" t="n">
        <v>0</v>
      </c>
      <c r="Q3769" s="114" t="n">
        <v>0</v>
      </c>
      <c r="R3769" s="114" t="n">
        <v>2378.98</v>
      </c>
      <c r="S3769" s="114" t="n">
        <v>0</v>
      </c>
      <c r="T3769" t="n">
        <v>60</v>
      </c>
    </row>
    <row r="3770">
      <c r="A3770" t="inlineStr">
        <is>
          <t>ttJTrans</t>
        </is>
      </c>
      <c r="B3770" s="38" t="inlineStr">
        <is>
          <t>0-4100</t>
        </is>
      </c>
      <c r="C3770" t="inlineStr">
        <is>
          <t>LA</t>
        </is>
      </c>
      <c r="E3770" t="inlineStr">
        <is>
          <t>LA</t>
        </is>
      </c>
      <c r="G3770" s="128" t="inlineStr"/>
      <c r="H3770" s="127" t="n">
        <v>46149</v>
      </c>
      <c r="J3770" s="38" t="inlineStr">
        <is>
          <t>0-4100</t>
        </is>
      </c>
      <c r="K3770" t="inlineStr">
        <is>
          <t>PR P0COST 000529 (PR) Summary</t>
        </is>
      </c>
      <c r="L3770" t="n">
        <v>0</v>
      </c>
      <c r="M3770" t="n">
        <v>0</v>
      </c>
      <c r="Q3770" s="114" t="n">
        <v>0</v>
      </c>
      <c r="R3770" s="114" t="n">
        <v>2131.07</v>
      </c>
      <c r="S3770" s="114" t="n">
        <v>0</v>
      </c>
      <c r="T3770" t="n">
        <v>50</v>
      </c>
    </row>
    <row r="3771">
      <c r="A3771" t="inlineStr">
        <is>
          <t>ttJTrans</t>
        </is>
      </c>
      <c r="B3771" s="38" t="inlineStr">
        <is>
          <t>0-4100</t>
        </is>
      </c>
      <c r="C3771" t="inlineStr">
        <is>
          <t>LA</t>
        </is>
      </c>
      <c r="E3771" t="inlineStr">
        <is>
          <t>LA</t>
        </is>
      </c>
      <c r="G3771" s="128" t="inlineStr"/>
      <c r="H3771" s="127" t="n">
        <v>46156</v>
      </c>
      <c r="J3771" s="38" t="inlineStr">
        <is>
          <t>0-4100</t>
        </is>
      </c>
      <c r="K3771" t="inlineStr">
        <is>
          <t>PR P0COST 000530 (PR) Summary</t>
        </is>
      </c>
      <c r="L3771" t="n">
        <v>0</v>
      </c>
      <c r="M3771" t="n">
        <v>0</v>
      </c>
      <c r="Q3771" s="114" t="n">
        <v>0</v>
      </c>
      <c r="R3771" s="114" t="n">
        <v>2238.7</v>
      </c>
      <c r="S3771" s="114" t="n">
        <v>0</v>
      </c>
      <c r="T3771" t="n">
        <v>50</v>
      </c>
    </row>
    <row r="3772">
      <c r="A3772" t="inlineStr">
        <is>
          <t>ttJTrans</t>
        </is>
      </c>
      <c r="B3772" s="38" t="inlineStr">
        <is>
          <t>0-4100</t>
        </is>
      </c>
      <c r="C3772" t="inlineStr">
        <is>
          <t>LA</t>
        </is>
      </c>
      <c r="E3772" t="inlineStr">
        <is>
          <t>LA</t>
        </is>
      </c>
      <c r="G3772" s="128" t="inlineStr"/>
      <c r="H3772" s="127" t="n">
        <v>46156</v>
      </c>
      <c r="J3772" s="38" t="inlineStr">
        <is>
          <t>0-4100</t>
        </is>
      </c>
      <c r="K3772" t="inlineStr">
        <is>
          <t>PR P0COST 000530 (PR) Summary</t>
        </is>
      </c>
      <c r="L3772" t="n">
        <v>0</v>
      </c>
      <c r="M3772" t="n">
        <v>0</v>
      </c>
      <c r="Q3772" s="114" t="n">
        <v>0</v>
      </c>
      <c r="R3772" s="114" t="n">
        <v>2993.94</v>
      </c>
      <c r="S3772" s="114" t="n">
        <v>0</v>
      </c>
      <c r="T3772" t="n">
        <v>70</v>
      </c>
    </row>
    <row r="3773">
      <c r="A3773" t="inlineStr">
        <is>
          <t>ttJTrans</t>
        </is>
      </c>
      <c r="B3773" s="38" t="inlineStr">
        <is>
          <t>0-4100</t>
        </is>
      </c>
      <c r="C3773" t="inlineStr">
        <is>
          <t>LA</t>
        </is>
      </c>
      <c r="E3773" t="inlineStr">
        <is>
          <t>LA</t>
        </is>
      </c>
      <c r="G3773" s="128" t="inlineStr"/>
      <c r="H3773" s="127" t="n">
        <v>46156</v>
      </c>
      <c r="J3773" s="38" t="inlineStr">
        <is>
          <t>0-4100</t>
        </is>
      </c>
      <c r="K3773" t="inlineStr">
        <is>
          <t>PR P0COST 000530 (PR) Summary</t>
        </is>
      </c>
      <c r="L3773" t="n">
        <v>0</v>
      </c>
      <c r="M3773" t="n">
        <v>0</v>
      </c>
      <c r="Q3773" s="114" t="n">
        <v>0</v>
      </c>
      <c r="R3773" s="114" t="n">
        <v>2813.01</v>
      </c>
      <c r="S3773" s="114" t="n">
        <v>0</v>
      </c>
      <c r="T3773" t="n">
        <v>50</v>
      </c>
    </row>
    <row r="3774">
      <c r="A3774" t="inlineStr">
        <is>
          <t>ttJTrans</t>
        </is>
      </c>
      <c r="B3774" s="38" t="inlineStr">
        <is>
          <t>0-4100</t>
        </is>
      </c>
      <c r="C3774" t="inlineStr">
        <is>
          <t>LA</t>
        </is>
      </c>
      <c r="E3774" t="inlineStr">
        <is>
          <t>LA</t>
        </is>
      </c>
      <c r="G3774" s="128" t="inlineStr"/>
      <c r="H3774" s="127" t="n">
        <v>46156</v>
      </c>
      <c r="J3774" s="38" t="inlineStr">
        <is>
          <t>0-4100</t>
        </is>
      </c>
      <c r="K3774" t="inlineStr">
        <is>
          <t>PR P0COST 000530 (PR) Summary</t>
        </is>
      </c>
      <c r="L3774" t="n">
        <v>0</v>
      </c>
      <c r="M3774" t="n">
        <v>0</v>
      </c>
      <c r="Q3774" s="114" t="n">
        <v>0</v>
      </c>
      <c r="R3774" s="114" t="n">
        <v>2380.95</v>
      </c>
      <c r="S3774" s="114" t="n">
        <v>0</v>
      </c>
      <c r="T3774" t="n">
        <v>60</v>
      </c>
    </row>
    <row r="3775">
      <c r="A3775" t="inlineStr">
        <is>
          <t>ttJTrans</t>
        </is>
      </c>
      <c r="B3775" s="38" t="inlineStr">
        <is>
          <t>0-4100</t>
        </is>
      </c>
      <c r="C3775" t="inlineStr">
        <is>
          <t>LA</t>
        </is>
      </c>
      <c r="E3775" t="inlineStr">
        <is>
          <t>LA</t>
        </is>
      </c>
      <c r="G3775" s="128" t="inlineStr"/>
      <c r="H3775" s="127" t="n">
        <v>46156</v>
      </c>
      <c r="J3775" s="38" t="inlineStr">
        <is>
          <t>0-4100</t>
        </is>
      </c>
      <c r="K3775" t="inlineStr">
        <is>
          <t>PR P0COST 000530 (PR) Summary</t>
        </is>
      </c>
      <c r="L3775" t="n">
        <v>0</v>
      </c>
      <c r="M3775" t="n">
        <v>0</v>
      </c>
      <c r="Q3775" s="114" t="n">
        <v>0</v>
      </c>
      <c r="R3775" s="114" t="n">
        <v>2005.6</v>
      </c>
      <c r="S3775" s="114" t="n">
        <v>0</v>
      </c>
      <c r="T3775" t="n">
        <v>50</v>
      </c>
    </row>
    <row r="3776">
      <c r="A3776" t="inlineStr">
        <is>
          <t>ttJTrans</t>
        </is>
      </c>
      <c r="B3776" s="38" t="inlineStr">
        <is>
          <t>0-4100</t>
        </is>
      </c>
      <c r="C3776" t="inlineStr">
        <is>
          <t>OC</t>
        </is>
      </c>
      <c r="D3776" t="inlineStr">
        <is>
          <t>MA1010837</t>
        </is>
      </c>
      <c r="E3776" t="inlineStr">
        <is>
          <t>OC</t>
        </is>
      </c>
      <c r="F3776" t="inlineStr">
        <is>
          <t>MA1010837</t>
        </is>
      </c>
      <c r="G3776" s="128" t="n">
        <v>46140</v>
      </c>
      <c r="H3776" s="127" t="n">
        <v>46143</v>
      </c>
      <c r="I3776" t="inlineStr">
        <is>
          <t>1</t>
        </is>
      </c>
      <c r="J3776" s="38" t="inlineStr">
        <is>
          <t>0-4100</t>
        </is>
      </c>
      <c r="K3776" t="inlineStr">
        <is>
          <t>3X1200 CPOP BULK ROLL</t>
        </is>
      </c>
      <c r="L3776" t="n">
        <v>67</v>
      </c>
      <c r="M3776" t="n">
        <v>50199.75</v>
      </c>
      <c r="N3776" t="inlineStr">
        <is>
          <t>INVOICE:ADJ-COMMIT</t>
        </is>
      </c>
      <c r="O3776" t="inlineStr">
        <is>
          <t>12561</t>
        </is>
      </c>
      <c r="P3776" t="inlineStr">
        <is>
          <t>CROSS COUNTRY INFRASTRUCTURE SERVICES INC.</t>
        </is>
      </c>
      <c r="Q3776" s="114" t="n">
        <v>0</v>
      </c>
      <c r="R3776" s="114" t="n">
        <v>0</v>
      </c>
      <c r="S3776" s="114" t="n">
        <v>-50199.75</v>
      </c>
      <c r="T3776" t="n">
        <v>0</v>
      </c>
    </row>
    <row r="3777">
      <c r="A3777" t="inlineStr">
        <is>
          <t>ttJTrans</t>
        </is>
      </c>
      <c r="B3777" s="38" t="inlineStr">
        <is>
          <t>0-4100</t>
        </is>
      </c>
      <c r="C3777" t="inlineStr">
        <is>
          <t>OC</t>
        </is>
      </c>
      <c r="D3777" t="inlineStr">
        <is>
          <t>MA1010837</t>
        </is>
      </c>
      <c r="E3777" t="inlineStr">
        <is>
          <t>OC</t>
        </is>
      </c>
      <c r="F3777" t="inlineStr">
        <is>
          <t>MA1010837</t>
        </is>
      </c>
      <c r="G3777" s="128" t="n">
        <v>46140</v>
      </c>
      <c r="H3777" s="127" t="n">
        <v>46143</v>
      </c>
      <c r="I3777" t="inlineStr">
        <is>
          <t>1</t>
        </is>
      </c>
      <c r="J3777" s="38" t="inlineStr">
        <is>
          <t>0-4100</t>
        </is>
      </c>
      <c r="K3777" t="inlineStr">
        <is>
          <t>3X1200 CPOP BULK ROLL</t>
        </is>
      </c>
      <c r="L3777" t="n">
        <v>67</v>
      </c>
      <c r="M3777" t="n">
        <v>50199.75</v>
      </c>
      <c r="N3777" t="inlineStr">
        <is>
          <t>PO:COMMIT</t>
        </is>
      </c>
      <c r="O3777" t="inlineStr">
        <is>
          <t>12561</t>
        </is>
      </c>
      <c r="P3777" t="inlineStr">
        <is>
          <t>CROSS COUNTRY INFRASTRUCTURE SERVICES INC.</t>
        </is>
      </c>
      <c r="Q3777" s="114" t="n">
        <v>0</v>
      </c>
      <c r="R3777" s="114" t="n">
        <v>0</v>
      </c>
      <c r="S3777" s="114" t="n">
        <v>50199.75</v>
      </c>
      <c r="T3777" t="n">
        <v>0</v>
      </c>
    </row>
    <row r="3778">
      <c r="A3778" t="inlineStr">
        <is>
          <t>ttJTrans</t>
        </is>
      </c>
      <c r="B3778" s="38" t="inlineStr">
        <is>
          <t>0-4100</t>
        </is>
      </c>
      <c r="C3778" t="inlineStr">
        <is>
          <t>OC</t>
        </is>
      </c>
      <c r="D3778" t="inlineStr">
        <is>
          <t>MA1010837</t>
        </is>
      </c>
      <c r="E3778" t="inlineStr">
        <is>
          <t>OC</t>
        </is>
      </c>
      <c r="F3778" t="inlineStr">
        <is>
          <t>MA1010837</t>
        </is>
      </c>
      <c r="G3778" s="128" t="n">
        <v>46140</v>
      </c>
      <c r="H3778" s="127" t="n">
        <v>46149</v>
      </c>
      <c r="I3778" t="inlineStr">
        <is>
          <t>1</t>
        </is>
      </c>
      <c r="J3778" s="38" t="inlineStr">
        <is>
          <t>0-4100</t>
        </is>
      </c>
      <c r="K3778" t="inlineStr">
        <is>
          <t>3X1200 CPOP BULK ROLL</t>
        </is>
      </c>
      <c r="L3778" t="n">
        <v>67</v>
      </c>
      <c r="M3778" t="n">
        <v>50199.75</v>
      </c>
      <c r="N3778" t="inlineStr">
        <is>
          <t>INVOICE</t>
        </is>
      </c>
      <c r="O3778" t="inlineStr">
        <is>
          <t>12561</t>
        </is>
      </c>
      <c r="P3778" t="inlineStr">
        <is>
          <t>CROSS COUNTRY INFRASTRUCTURE SERVICES INC.</t>
        </is>
      </c>
      <c r="Q3778" s="114" t="n">
        <v>0</v>
      </c>
      <c r="R3778" s="114" t="n">
        <v>0</v>
      </c>
      <c r="S3778" s="114" t="n">
        <v>0</v>
      </c>
      <c r="T3778" t="n">
        <v>0</v>
      </c>
    </row>
    <row r="3779">
      <c r="A3779" t="inlineStr">
        <is>
          <t>ttJTrans</t>
        </is>
      </c>
      <c r="B3779" s="38" t="inlineStr">
        <is>
          <t>0-4100</t>
        </is>
      </c>
      <c r="C3779" t="inlineStr">
        <is>
          <t>OC</t>
        </is>
      </c>
      <c r="E3779" t="inlineStr">
        <is>
          <t>OC</t>
        </is>
      </c>
      <c r="G3779" s="128" t="inlineStr"/>
      <c r="H3779" s="127" t="n">
        <v>46147</v>
      </c>
      <c r="J3779" s="38" t="inlineStr">
        <is>
          <t>0-4100</t>
        </is>
      </c>
      <c r="K3779" t="inlineStr">
        <is>
          <t>SITL FENCE ERIOUSION CONTROL SUPPLIES S624996 LUKE</t>
        </is>
      </c>
      <c r="L3779" t="n">
        <v>0</v>
      </c>
      <c r="M3779" t="n">
        <v>0</v>
      </c>
      <c r="O3779" t="inlineStr">
        <is>
          <t>12561</t>
        </is>
      </c>
      <c r="P3779" t="inlineStr">
        <is>
          <t>CROSS COUNTRY INFRASTRUCTURE SERVICES INC.</t>
        </is>
      </c>
      <c r="Q3779" s="114" t="n">
        <v>0</v>
      </c>
      <c r="R3779" s="114" t="n">
        <v>48956.07</v>
      </c>
      <c r="S3779" s="114" t="n">
        <v>0</v>
      </c>
      <c r="T3779" t="n">
        <v>0</v>
      </c>
    </row>
    <row r="3780">
      <c r="A3780" t="inlineStr">
        <is>
          <t>ttJTrans</t>
        </is>
      </c>
      <c r="B3780" s="38" t="inlineStr">
        <is>
          <t>0-4100-01</t>
        </is>
      </c>
      <c r="C3780" t="inlineStr">
        <is>
          <t>EQ</t>
        </is>
      </c>
      <c r="E3780" t="inlineStr">
        <is>
          <t>EQ</t>
        </is>
      </c>
      <c r="G3780" s="128" t="inlineStr"/>
      <c r="H3780" s="127" t="n">
        <v>46152</v>
      </c>
      <c r="J3780" s="38" t="inlineStr">
        <is>
          <t>0-4100-01</t>
        </is>
      </c>
      <c r="K3780" t="inlineStr">
        <is>
          <t>RT1385 2024 RAM 2500 TRADESMAN GAS 4X4 CREW CAB 8FT BED W/ DRAGUP TANK &amp; TOOLBOX COMBO 2024 RAM 2500 TRADESMAN GAS 4X4 CREW CAB 8FT BED W/ DRAGUP TANK &amp; TOOLBOX COMBO</t>
        </is>
      </c>
      <c r="L3780" t="n">
        <v>0</v>
      </c>
      <c r="M3780" t="n">
        <v>0</v>
      </c>
      <c r="O3780" t="inlineStr">
        <is>
          <t>RT1385</t>
        </is>
      </c>
      <c r="Q3780" s="114" t="n">
        <v>0</v>
      </c>
      <c r="R3780" s="114" t="n">
        <v>79.14</v>
      </c>
      <c r="S3780" s="114" t="n">
        <v>0</v>
      </c>
      <c r="T3780" t="n">
        <v>0</v>
      </c>
    </row>
    <row r="3781">
      <c r="A3781" t="inlineStr">
        <is>
          <t>ttJTrans</t>
        </is>
      </c>
      <c r="B3781" s="38" t="inlineStr">
        <is>
          <t>0-4100-01</t>
        </is>
      </c>
      <c r="C3781" t="inlineStr">
        <is>
          <t>EQ</t>
        </is>
      </c>
      <c r="E3781" t="inlineStr">
        <is>
          <t>EQ</t>
        </is>
      </c>
      <c r="G3781" s="128" t="inlineStr"/>
      <c r="H3781" s="127" t="n">
        <v>46152</v>
      </c>
      <c r="J3781" s="38" t="inlineStr">
        <is>
          <t>0-4100-01</t>
        </is>
      </c>
      <c r="K3781" t="inlineStr">
        <is>
          <t>RT1385 2024 RAM 2500 TRADESMAN GAS 4X4 CREW CAB 8FT BED W/ DRAGUP TANK &amp; TOOLBOX COMBO 2024 RAM 2500 TRADESMAN GAS 4X4 CREW CAB 8FT BED W/ DRAGUP TANK &amp; TOOLBOX COMBO</t>
        </is>
      </c>
      <c r="L3781" t="n">
        <v>0</v>
      </c>
      <c r="M3781" t="n">
        <v>0</v>
      </c>
      <c r="O3781" t="inlineStr">
        <is>
          <t>RT1385</t>
        </is>
      </c>
      <c r="Q3781" s="114" t="n">
        <v>0</v>
      </c>
      <c r="R3781" s="114" t="n">
        <v>79.14</v>
      </c>
      <c r="S3781" s="114" t="n">
        <v>0</v>
      </c>
      <c r="T3781" t="n">
        <v>0</v>
      </c>
    </row>
    <row r="3782">
      <c r="A3782" t="inlineStr">
        <is>
          <t>ttJTrans</t>
        </is>
      </c>
      <c r="B3782" s="38" t="inlineStr">
        <is>
          <t>0-4100-01</t>
        </is>
      </c>
      <c r="C3782" t="inlineStr">
        <is>
          <t>EQ</t>
        </is>
      </c>
      <c r="E3782" t="inlineStr">
        <is>
          <t>EQ</t>
        </is>
      </c>
      <c r="G3782" s="128" t="inlineStr"/>
      <c r="H3782" s="127" t="n">
        <v>46152</v>
      </c>
      <c r="J3782" s="38" t="inlineStr">
        <is>
          <t>0-4100-01</t>
        </is>
      </c>
      <c r="K3782" t="inlineStr">
        <is>
          <t>RT1385 2024 RAM 2500 TRADESMAN GAS 4X4 CREW CAB 8FT BED W/ DRAGUP TANK &amp; TOOLBOX COMBO 2024 RAM 2500 TRADESMAN GAS 4X4 CREW CAB 8FT BED W/ DRAGUP TANK &amp; TOOLBOX COMBO</t>
        </is>
      </c>
      <c r="L3782" t="n">
        <v>0</v>
      </c>
      <c r="M3782" t="n">
        <v>0</v>
      </c>
      <c r="O3782" t="inlineStr">
        <is>
          <t>RT1385</t>
        </is>
      </c>
      <c r="Q3782" s="114" t="n">
        <v>0</v>
      </c>
      <c r="R3782" s="114" t="n">
        <v>79.14</v>
      </c>
      <c r="S3782" s="114" t="n">
        <v>0</v>
      </c>
      <c r="T3782" t="n">
        <v>0</v>
      </c>
    </row>
    <row r="3783">
      <c r="A3783" t="inlineStr">
        <is>
          <t>ttJTrans</t>
        </is>
      </c>
      <c r="B3783" s="38" t="inlineStr">
        <is>
          <t>0-4100-01</t>
        </is>
      </c>
      <c r="C3783" t="inlineStr">
        <is>
          <t>EQ</t>
        </is>
      </c>
      <c r="E3783" t="inlineStr">
        <is>
          <t>EQ</t>
        </is>
      </c>
      <c r="G3783" s="128" t="inlineStr"/>
      <c r="H3783" s="127" t="n">
        <v>46152</v>
      </c>
      <c r="J3783" s="38" t="inlineStr">
        <is>
          <t>0-4100-01</t>
        </is>
      </c>
      <c r="K3783" t="inlineStr">
        <is>
          <t>RT1385 2024 RAM 2500 TRADESMAN GAS 4X4 CREW CAB 8FT BED W/ DRAGUP TANK &amp; TOOLBOX COMBO 2024 RAM 2500 TRADESMAN GAS 4X4 CREW CAB 8FT BED W/ DRAGUP TANK &amp; TOOLBOX COMBO</t>
        </is>
      </c>
      <c r="L3783" t="n">
        <v>0</v>
      </c>
      <c r="M3783" t="n">
        <v>0</v>
      </c>
      <c r="O3783" t="inlineStr">
        <is>
          <t>RT1385</t>
        </is>
      </c>
      <c r="Q3783" s="114" t="n">
        <v>0</v>
      </c>
      <c r="R3783" s="114" t="n">
        <v>79.14</v>
      </c>
      <c r="S3783" s="114" t="n">
        <v>0</v>
      </c>
      <c r="T3783" t="n">
        <v>0</v>
      </c>
    </row>
    <row r="3784">
      <c r="A3784" t="inlineStr">
        <is>
          <t>ttJTrans</t>
        </is>
      </c>
      <c r="B3784" s="38" t="inlineStr">
        <is>
          <t>0-4100-01</t>
        </is>
      </c>
      <c r="C3784" t="inlineStr">
        <is>
          <t>EQ</t>
        </is>
      </c>
      <c r="E3784" t="inlineStr">
        <is>
          <t>EQ</t>
        </is>
      </c>
      <c r="G3784" s="128" t="inlineStr"/>
      <c r="H3784" s="127" t="n">
        <v>46159</v>
      </c>
      <c r="J3784" s="38" t="inlineStr">
        <is>
          <t>0-4100-01</t>
        </is>
      </c>
      <c r="K3784" t="inlineStr">
        <is>
          <t>RT1385 2024 RAM 2500 TRADESMAN GAS 4X4 CREW CAB 8FT BED W/ DRAGUP TANK &amp; TOOLBOX COMBO 2024 RAM 2500 TRADESMAN GAS 4X4 CREW CAB 8FT BED W/ DRAGUP TANK &amp; TOOLBOX COMBO</t>
        </is>
      </c>
      <c r="L3784" t="n">
        <v>0</v>
      </c>
      <c r="M3784" t="n">
        <v>0</v>
      </c>
      <c r="O3784" t="inlineStr">
        <is>
          <t>RT1385</t>
        </is>
      </c>
      <c r="Q3784" s="114" t="n">
        <v>0</v>
      </c>
      <c r="R3784" s="114" t="n">
        <v>79.14</v>
      </c>
      <c r="S3784" s="114" t="n">
        <v>0</v>
      </c>
      <c r="T3784" t="n">
        <v>0</v>
      </c>
    </row>
    <row r="3785">
      <c r="A3785" t="inlineStr">
        <is>
          <t>ttJTrans</t>
        </is>
      </c>
      <c r="B3785" s="38" t="inlineStr">
        <is>
          <t>0-4100-01</t>
        </is>
      </c>
      <c r="C3785" t="inlineStr">
        <is>
          <t>EQ</t>
        </is>
      </c>
      <c r="E3785" t="inlineStr">
        <is>
          <t>EQ</t>
        </is>
      </c>
      <c r="G3785" s="128" t="inlineStr"/>
      <c r="H3785" s="127" t="n">
        <v>46166</v>
      </c>
      <c r="J3785" s="38" t="inlineStr">
        <is>
          <t>0-4100-01</t>
        </is>
      </c>
      <c r="K3785" t="inlineStr">
        <is>
          <t>TR428 CARRY-ON 5X8 UTILITY TRAILER (CHARGED TO 22-4001) CARRY-ON 5X8 UTILITY TRAILER (CHARGED TO 22-4001)</t>
        </is>
      </c>
      <c r="L3785" t="n">
        <v>0</v>
      </c>
      <c r="M3785" t="n">
        <v>0</v>
      </c>
      <c r="O3785" t="inlineStr">
        <is>
          <t>TR428</t>
        </is>
      </c>
      <c r="Q3785" s="114" t="n">
        <v>0</v>
      </c>
      <c r="R3785" s="114" t="n">
        <v>15</v>
      </c>
      <c r="S3785" s="114" t="n">
        <v>0</v>
      </c>
      <c r="T3785" t="n">
        <v>0</v>
      </c>
    </row>
    <row r="3786">
      <c r="A3786" t="inlineStr">
        <is>
          <t>ttJTrans</t>
        </is>
      </c>
      <c r="B3786" s="38" t="inlineStr">
        <is>
          <t>0-4100-01</t>
        </is>
      </c>
      <c r="C3786" t="inlineStr">
        <is>
          <t>EQ</t>
        </is>
      </c>
      <c r="E3786" t="inlineStr">
        <is>
          <t>EQ</t>
        </is>
      </c>
      <c r="G3786" s="128" t="inlineStr"/>
      <c r="H3786" s="127" t="n">
        <v>46159</v>
      </c>
      <c r="J3786" s="38" t="inlineStr">
        <is>
          <t>0-4100-01</t>
        </is>
      </c>
      <c r="K3786" t="inlineStr">
        <is>
          <t>RT1385 2024 RAM 2500 TRADESMAN GAS 4X4 CREW CAB 8FT BED W/ DRAGUP TANK &amp; TOOLBOX COMBO 2024 RAM 2500 TRADESMAN GAS 4X4 CREW CAB 8FT BED W/ DRAGUP TANK &amp; TOOLBOX COMBO</t>
        </is>
      </c>
      <c r="L3786" t="n">
        <v>0</v>
      </c>
      <c r="M3786" t="n">
        <v>0</v>
      </c>
      <c r="O3786" t="inlineStr">
        <is>
          <t>RT1385</t>
        </is>
      </c>
      <c r="Q3786" s="114" t="n">
        <v>0</v>
      </c>
      <c r="R3786" s="114" t="n">
        <v>79.14</v>
      </c>
      <c r="S3786" s="114" t="n">
        <v>0</v>
      </c>
      <c r="T3786" t="n">
        <v>0</v>
      </c>
    </row>
    <row r="3787">
      <c r="A3787" t="inlineStr">
        <is>
          <t>ttJTrans</t>
        </is>
      </c>
      <c r="B3787" s="38" t="inlineStr">
        <is>
          <t>0-4100-01</t>
        </is>
      </c>
      <c r="C3787" t="inlineStr">
        <is>
          <t>EQ</t>
        </is>
      </c>
      <c r="E3787" t="inlineStr">
        <is>
          <t>EQ</t>
        </is>
      </c>
      <c r="G3787" s="128" t="inlineStr"/>
      <c r="H3787" s="127" t="n">
        <v>46159</v>
      </c>
      <c r="J3787" s="38" t="inlineStr">
        <is>
          <t>0-4100-01</t>
        </is>
      </c>
      <c r="K3787" t="inlineStr">
        <is>
          <t>RT1385 2024 RAM 2500 TRADESMAN GAS 4X4 CREW CAB 8FT BED W/ DRAGUP TANK &amp; TOOLBOX COMBO 2024 RAM 2500 TRADESMAN GAS 4X4 CREW CAB 8FT BED W/ DRAGUP TANK &amp; TOOLBOX COMBO</t>
        </is>
      </c>
      <c r="L3787" t="n">
        <v>0</v>
      </c>
      <c r="M3787" t="n">
        <v>0</v>
      </c>
      <c r="O3787" t="inlineStr">
        <is>
          <t>RT1385</t>
        </is>
      </c>
      <c r="Q3787" s="114" t="n">
        <v>0</v>
      </c>
      <c r="R3787" s="114" t="n">
        <v>79.14</v>
      </c>
      <c r="S3787" s="114" t="n">
        <v>0</v>
      </c>
      <c r="T3787" t="n">
        <v>0</v>
      </c>
    </row>
    <row r="3788">
      <c r="A3788" t="inlineStr">
        <is>
          <t>ttJTrans</t>
        </is>
      </c>
      <c r="B3788" s="38" t="inlineStr">
        <is>
          <t>0-4100-01</t>
        </is>
      </c>
      <c r="C3788" t="inlineStr">
        <is>
          <t>EQ</t>
        </is>
      </c>
      <c r="E3788" t="inlineStr">
        <is>
          <t>EQ</t>
        </is>
      </c>
      <c r="G3788" s="128" t="inlineStr"/>
      <c r="H3788" s="127" t="n">
        <v>46159</v>
      </c>
      <c r="J3788" s="38" t="inlineStr">
        <is>
          <t>0-4100-01</t>
        </is>
      </c>
      <c r="K3788" t="inlineStr">
        <is>
          <t>RT1385 2024 RAM 2500 TRADESMAN GAS 4X4 CREW CAB 8FT BED W/ DRAGUP TANK &amp; TOOLBOX COMBO 2024 RAM 2500 TRADESMAN GAS 4X4 CREW CAB 8FT BED W/ DRAGUP TANK &amp; TOOLBOX COMBO</t>
        </is>
      </c>
      <c r="L3788" t="n">
        <v>0</v>
      </c>
      <c r="M3788" t="n">
        <v>0</v>
      </c>
      <c r="O3788" t="inlineStr">
        <is>
          <t>RT1385</t>
        </is>
      </c>
      <c r="Q3788" s="114" t="n">
        <v>0</v>
      </c>
      <c r="R3788" s="114" t="n">
        <v>79.14</v>
      </c>
      <c r="S3788" s="114" t="n">
        <v>0</v>
      </c>
      <c r="T3788" t="n">
        <v>0</v>
      </c>
    </row>
    <row r="3789">
      <c r="A3789" t="inlineStr">
        <is>
          <t>ttJTrans</t>
        </is>
      </c>
      <c r="B3789" s="38" t="inlineStr">
        <is>
          <t>0-4100-01</t>
        </is>
      </c>
      <c r="C3789" t="inlineStr">
        <is>
          <t>EQ</t>
        </is>
      </c>
      <c r="E3789" t="inlineStr">
        <is>
          <t>EQ</t>
        </is>
      </c>
      <c r="G3789" s="128" t="inlineStr"/>
      <c r="H3789" s="127" t="n">
        <v>46159</v>
      </c>
      <c r="J3789" s="38" t="inlineStr">
        <is>
          <t>0-4100-01</t>
        </is>
      </c>
      <c r="K3789" t="inlineStr">
        <is>
          <t>RT1385 2024 RAM 2500 TRADESMAN GAS 4X4 CREW CAB 8FT BED W/ DRAGUP TANK &amp; TOOLBOX COMBO 2024 RAM 2500 TRADESMAN GAS 4X4 CREW CAB 8FT BED W/ DRAGUP TANK &amp; TOOLBOX COMBO</t>
        </is>
      </c>
      <c r="L3789" t="n">
        <v>0</v>
      </c>
      <c r="M3789" t="n">
        <v>0</v>
      </c>
      <c r="O3789" t="inlineStr">
        <is>
          <t>RT1385</t>
        </is>
      </c>
      <c r="Q3789" s="114" t="n">
        <v>0</v>
      </c>
      <c r="R3789" s="114" t="n">
        <v>79.14</v>
      </c>
      <c r="S3789" s="114" t="n">
        <v>0</v>
      </c>
      <c r="T3789" t="n">
        <v>0</v>
      </c>
    </row>
    <row r="3790">
      <c r="A3790" t="inlineStr">
        <is>
          <t>ttJTrans</t>
        </is>
      </c>
      <c r="B3790" s="38" t="inlineStr">
        <is>
          <t>0-4100-01</t>
        </is>
      </c>
      <c r="C3790" t="inlineStr">
        <is>
          <t>EQ</t>
        </is>
      </c>
      <c r="E3790" t="inlineStr">
        <is>
          <t>EQ</t>
        </is>
      </c>
      <c r="G3790" s="128" t="inlineStr"/>
      <c r="H3790" s="127" t="n">
        <v>46166</v>
      </c>
      <c r="J3790" s="38" t="inlineStr">
        <is>
          <t>0-4100-01</t>
        </is>
      </c>
      <c r="K3790" t="inlineStr">
        <is>
          <t>WLD146 SILT FENCE PLOW - SKID STEER SILT FENCE PLOW - SKID STEER</t>
        </is>
      </c>
      <c r="L3790" t="n">
        <v>0</v>
      </c>
      <c r="M3790" t="n">
        <v>0</v>
      </c>
      <c r="O3790" t="inlineStr">
        <is>
          <t>WLD146</t>
        </is>
      </c>
      <c r="Q3790" s="114" t="n">
        <v>0</v>
      </c>
      <c r="R3790" s="114" t="n">
        <v>50</v>
      </c>
      <c r="S3790" s="114" t="n">
        <v>0</v>
      </c>
      <c r="T3790" t="n">
        <v>0</v>
      </c>
    </row>
    <row r="3791">
      <c r="A3791" t="inlineStr">
        <is>
          <t>ttJTrans</t>
        </is>
      </c>
      <c r="B3791" s="38" t="inlineStr">
        <is>
          <t>0-4100-01</t>
        </is>
      </c>
      <c r="C3791" t="inlineStr">
        <is>
          <t>EQ</t>
        </is>
      </c>
      <c r="E3791" t="inlineStr">
        <is>
          <t>EQ</t>
        </is>
      </c>
      <c r="G3791" s="128" t="inlineStr"/>
      <c r="H3791" s="127" t="n">
        <v>46166</v>
      </c>
      <c r="J3791" s="38" t="inlineStr">
        <is>
          <t>0-4100-01</t>
        </is>
      </c>
      <c r="K3791" t="inlineStr">
        <is>
          <t>WLD146 SILT FENCE PLOW - SKID STEER SILT FENCE PLOW - SKID STEER</t>
        </is>
      </c>
      <c r="L3791" t="n">
        <v>0</v>
      </c>
      <c r="M3791" t="n">
        <v>0</v>
      </c>
      <c r="O3791" t="inlineStr">
        <is>
          <t>WLD146</t>
        </is>
      </c>
      <c r="Q3791" s="114" t="n">
        <v>0</v>
      </c>
      <c r="R3791" s="114" t="n">
        <v>50</v>
      </c>
      <c r="S3791" s="114" t="n">
        <v>0</v>
      </c>
      <c r="T3791" t="n">
        <v>0</v>
      </c>
    </row>
    <row r="3792">
      <c r="A3792" t="inlineStr">
        <is>
          <t>ttJTrans</t>
        </is>
      </c>
      <c r="B3792" s="38" t="inlineStr">
        <is>
          <t>0-4100-01</t>
        </is>
      </c>
      <c r="C3792" t="inlineStr">
        <is>
          <t>EQ</t>
        </is>
      </c>
      <c r="E3792" t="inlineStr">
        <is>
          <t>EQ</t>
        </is>
      </c>
      <c r="G3792" s="128" t="inlineStr"/>
      <c r="H3792" s="127" t="n">
        <v>46166</v>
      </c>
      <c r="J3792" s="38" t="inlineStr">
        <is>
          <t>0-4100-01</t>
        </is>
      </c>
      <c r="K3792" t="inlineStr">
        <is>
          <t>WLD146 SILT FENCE PLOW - SKID STEER SILT FENCE PLOW - SKID STEER</t>
        </is>
      </c>
      <c r="L3792" t="n">
        <v>0</v>
      </c>
      <c r="M3792" t="n">
        <v>0</v>
      </c>
      <c r="O3792" t="inlineStr">
        <is>
          <t>WLD146</t>
        </is>
      </c>
      <c r="Q3792" s="114" t="n">
        <v>0</v>
      </c>
      <c r="R3792" s="114" t="n">
        <v>50</v>
      </c>
      <c r="S3792" s="114" t="n">
        <v>0</v>
      </c>
      <c r="T3792" t="n">
        <v>0</v>
      </c>
    </row>
    <row r="3793">
      <c r="A3793" t="inlineStr">
        <is>
          <t>ttJTrans</t>
        </is>
      </c>
      <c r="B3793" s="38" t="inlineStr">
        <is>
          <t>0-4100-01</t>
        </is>
      </c>
      <c r="C3793" t="inlineStr">
        <is>
          <t>EQ</t>
        </is>
      </c>
      <c r="E3793" t="inlineStr">
        <is>
          <t>EQ</t>
        </is>
      </c>
      <c r="G3793" s="128" t="inlineStr"/>
      <c r="H3793" s="127" t="n">
        <v>46166</v>
      </c>
      <c r="J3793" s="38" t="inlineStr">
        <is>
          <t>0-4100-01</t>
        </is>
      </c>
      <c r="K3793" t="inlineStr">
        <is>
          <t>SSAUGKIT1 SKIDPRO SP300 PLANETARY AUGER DRIVE KIT W/ CRADLE &amp; MOUNT SKIDPRO SP300 PLANETARY AUGER DRIVE KIT W/ CRADLE &amp; MOUNT</t>
        </is>
      </c>
      <c r="L3793" t="n">
        <v>0</v>
      </c>
      <c r="M3793" t="n">
        <v>0</v>
      </c>
      <c r="O3793" t="inlineStr">
        <is>
          <t>SSAUGKIT1</t>
        </is>
      </c>
      <c r="Q3793" s="114" t="n">
        <v>0</v>
      </c>
      <c r="R3793" s="114" t="n">
        <v>35</v>
      </c>
      <c r="S3793" s="114" t="n">
        <v>0</v>
      </c>
      <c r="T3793" t="n">
        <v>0</v>
      </c>
    </row>
    <row r="3794">
      <c r="A3794" t="inlineStr">
        <is>
          <t>ttJTrans</t>
        </is>
      </c>
      <c r="B3794" s="38" t="inlineStr">
        <is>
          <t>0-4100-01</t>
        </is>
      </c>
      <c r="C3794" t="inlineStr">
        <is>
          <t>EQ</t>
        </is>
      </c>
      <c r="E3794" t="inlineStr">
        <is>
          <t>EQ</t>
        </is>
      </c>
      <c r="G3794" s="128" t="inlineStr"/>
      <c r="H3794" s="127" t="n">
        <v>46166</v>
      </c>
      <c r="J3794" s="38" t="inlineStr">
        <is>
          <t>0-4100-01</t>
        </is>
      </c>
      <c r="K3794" t="inlineStr">
        <is>
          <t>SSAUGKIT1 SKIDPRO SP300 PLANETARY AUGER DRIVE KIT W/ CRADLE &amp; MOUNT SKIDPRO SP300 PLANETARY AUGER DRIVE KIT W/ CRADLE &amp; MOUNT</t>
        </is>
      </c>
      <c r="L3794" t="n">
        <v>0</v>
      </c>
      <c r="M3794" t="n">
        <v>0</v>
      </c>
      <c r="O3794" t="inlineStr">
        <is>
          <t>SSAUGKIT1</t>
        </is>
      </c>
      <c r="Q3794" s="114" t="n">
        <v>0</v>
      </c>
      <c r="R3794" s="114" t="n">
        <v>35</v>
      </c>
      <c r="S3794" s="114" t="n">
        <v>0</v>
      </c>
      <c r="T3794" t="n">
        <v>0</v>
      </c>
    </row>
    <row r="3795">
      <c r="A3795" t="inlineStr">
        <is>
          <t>ttJTrans</t>
        </is>
      </c>
      <c r="B3795" s="38" t="inlineStr">
        <is>
          <t>0-4100-01</t>
        </is>
      </c>
      <c r="C3795" t="inlineStr">
        <is>
          <t>EQ</t>
        </is>
      </c>
      <c r="E3795" t="inlineStr">
        <is>
          <t>EQ</t>
        </is>
      </c>
      <c r="G3795" s="128" t="inlineStr"/>
      <c r="H3795" s="127" t="n">
        <v>46166</v>
      </c>
      <c r="J3795" s="38" t="inlineStr">
        <is>
          <t>0-4100-01</t>
        </is>
      </c>
      <c r="K3795" t="inlineStr">
        <is>
          <t>SSAUGKIT1 SKIDPRO SP300 PLANETARY AUGER DRIVE KIT W/ CRADLE &amp; MOUNT SKIDPRO SP300 PLANETARY AUGER DRIVE KIT W/ CRADLE &amp; MOUNT</t>
        </is>
      </c>
      <c r="L3795" t="n">
        <v>0</v>
      </c>
      <c r="M3795" t="n">
        <v>0</v>
      </c>
      <c r="O3795" t="inlineStr">
        <is>
          <t>SSAUGKIT1</t>
        </is>
      </c>
      <c r="Q3795" s="114" t="n">
        <v>0</v>
      </c>
      <c r="R3795" s="114" t="n">
        <v>35</v>
      </c>
      <c r="S3795" s="114" t="n">
        <v>0</v>
      </c>
      <c r="T3795" t="n">
        <v>0</v>
      </c>
    </row>
    <row r="3796">
      <c r="A3796" t="inlineStr">
        <is>
          <t>ttJTrans</t>
        </is>
      </c>
      <c r="B3796" s="38" t="inlineStr">
        <is>
          <t>0-4100-01</t>
        </is>
      </c>
      <c r="C3796" t="inlineStr">
        <is>
          <t>EQ</t>
        </is>
      </c>
      <c r="E3796" t="inlineStr">
        <is>
          <t>EQ</t>
        </is>
      </c>
      <c r="G3796" s="128" t="inlineStr"/>
      <c r="H3796" s="127" t="n">
        <v>46166</v>
      </c>
      <c r="J3796" s="38" t="inlineStr">
        <is>
          <t>0-4100-01</t>
        </is>
      </c>
      <c r="K3796" t="inlineStr">
        <is>
          <t>TR428 CARRY-ON 5X8 UTILITY TRAILER (CHARGED TO 22-4001) CARRY-ON 5X8 UTILITY TRAILER (CHARGED TO 22-4001)</t>
        </is>
      </c>
      <c r="L3796" t="n">
        <v>0</v>
      </c>
      <c r="M3796" t="n">
        <v>0</v>
      </c>
      <c r="O3796" t="inlineStr">
        <is>
          <t>TR428</t>
        </is>
      </c>
      <c r="Q3796" s="114" t="n">
        <v>0</v>
      </c>
      <c r="R3796" s="114" t="n">
        <v>15</v>
      </c>
      <c r="S3796" s="114" t="n">
        <v>0</v>
      </c>
      <c r="T3796" t="n">
        <v>0</v>
      </c>
    </row>
    <row r="3797">
      <c r="A3797" t="inlineStr">
        <is>
          <t>ttJTrans</t>
        </is>
      </c>
      <c r="B3797" s="38" t="inlineStr">
        <is>
          <t>0-4100-01</t>
        </is>
      </c>
      <c r="C3797" t="inlineStr">
        <is>
          <t>EQ</t>
        </is>
      </c>
      <c r="E3797" t="inlineStr">
        <is>
          <t>EQ</t>
        </is>
      </c>
      <c r="G3797" s="128" t="inlineStr"/>
      <c r="H3797" s="127" t="n">
        <v>46166</v>
      </c>
      <c r="J3797" s="38" t="inlineStr">
        <is>
          <t>0-4100-01</t>
        </is>
      </c>
      <c r="K3797" t="inlineStr">
        <is>
          <t>TR428 CARRY-ON 5X8 UTILITY TRAILER (CHARGED TO 22-4001) CARRY-ON 5X8 UTILITY TRAILER (CHARGED TO 22-4001)</t>
        </is>
      </c>
      <c r="L3797" t="n">
        <v>0</v>
      </c>
      <c r="M3797" t="n">
        <v>0</v>
      </c>
      <c r="O3797" t="inlineStr">
        <is>
          <t>TR428</t>
        </is>
      </c>
      <c r="Q3797" s="114" t="n">
        <v>0</v>
      </c>
      <c r="R3797" s="114" t="n">
        <v>15</v>
      </c>
      <c r="S3797" s="114" t="n">
        <v>0</v>
      </c>
      <c r="T3797" t="n">
        <v>0</v>
      </c>
    </row>
    <row r="3798">
      <c r="A3798" t="inlineStr">
        <is>
          <t>ttJTrans</t>
        </is>
      </c>
      <c r="B3798" s="38" t="inlineStr">
        <is>
          <t>0-4100-01</t>
        </is>
      </c>
      <c r="C3798" t="inlineStr">
        <is>
          <t>ER</t>
        </is>
      </c>
      <c r="E3798" t="inlineStr">
        <is>
          <t>ER</t>
        </is>
      </c>
      <c r="G3798" s="128" t="inlineStr"/>
      <c r="H3798" s="127" t="n">
        <v>46159</v>
      </c>
      <c r="J3798" s="38" t="inlineStr">
        <is>
          <t>0-4100-01</t>
        </is>
      </c>
      <c r="K3798" t="inlineStr">
        <is>
          <t>RLD291 CATERPILLAR 299D3 TRACK SKID STEER LOADER W FORKS CATERPILLAR 299D3 TRACK SKID STEER LOADER W FORKS</t>
        </is>
      </c>
      <c r="L3798" t="n">
        <v>0</v>
      </c>
      <c r="M3798" t="n">
        <v>0</v>
      </c>
      <c r="O3798" t="inlineStr">
        <is>
          <t>RLD291</t>
        </is>
      </c>
      <c r="Q3798" s="114" t="n">
        <v>0</v>
      </c>
      <c r="R3798" s="114" t="n">
        <v>186.27</v>
      </c>
      <c r="S3798" s="114" t="n">
        <v>0</v>
      </c>
      <c r="T3798" t="n">
        <v>0</v>
      </c>
    </row>
    <row r="3799">
      <c r="A3799" t="inlineStr">
        <is>
          <t>ttJTrans</t>
        </is>
      </c>
      <c r="B3799" s="38" t="inlineStr">
        <is>
          <t>0-4100-01</t>
        </is>
      </c>
      <c r="C3799" t="inlineStr">
        <is>
          <t>ER</t>
        </is>
      </c>
      <c r="E3799" t="inlineStr">
        <is>
          <t>ER</t>
        </is>
      </c>
      <c r="G3799" s="128" t="inlineStr"/>
      <c r="H3799" s="127" t="n">
        <v>46152</v>
      </c>
      <c r="J3799" s="38" t="inlineStr">
        <is>
          <t>0-4100-01</t>
        </is>
      </c>
      <c r="K3799" t="inlineStr">
        <is>
          <t>RLD291 CATERPILLAR 299D3 TRACK SKID STEER LOADER W FORKS CATERPILLAR 299D3 TRACK SKID STEER LOADER W FORKS</t>
        </is>
      </c>
      <c r="L3799" t="n">
        <v>0</v>
      </c>
      <c r="M3799" t="n">
        <v>0</v>
      </c>
      <c r="O3799" t="inlineStr">
        <is>
          <t>RLD291</t>
        </is>
      </c>
      <c r="Q3799" s="114" t="n">
        <v>0</v>
      </c>
      <c r="R3799" s="114" t="n">
        <v>186.27</v>
      </c>
      <c r="S3799" s="114" t="n">
        <v>0</v>
      </c>
      <c r="T3799" t="n">
        <v>0</v>
      </c>
    </row>
    <row r="3800">
      <c r="A3800" t="inlineStr">
        <is>
          <t>ttJTrans</t>
        </is>
      </c>
      <c r="B3800" s="38" t="inlineStr">
        <is>
          <t>0-4100-01</t>
        </is>
      </c>
      <c r="C3800" t="inlineStr">
        <is>
          <t>ER</t>
        </is>
      </c>
      <c r="E3800" t="inlineStr">
        <is>
          <t>ER</t>
        </is>
      </c>
      <c r="G3800" s="128" t="inlineStr"/>
      <c r="H3800" s="127" t="n">
        <v>46152</v>
      </c>
      <c r="J3800" s="38" t="inlineStr">
        <is>
          <t>0-4100-01</t>
        </is>
      </c>
      <c r="K3800" t="inlineStr">
        <is>
          <t>RLD291 CATERPILLAR 299D3 TRACK SKID STEER LOADER W FORKS CATERPILLAR 299D3 TRACK SKID STEER LOADER W FORKS</t>
        </is>
      </c>
      <c r="L3800" t="n">
        <v>0</v>
      </c>
      <c r="M3800" t="n">
        <v>0</v>
      </c>
      <c r="O3800" t="inlineStr">
        <is>
          <t>RLD291</t>
        </is>
      </c>
      <c r="Q3800" s="114" t="n">
        <v>0</v>
      </c>
      <c r="R3800" s="114" t="n">
        <v>186.27</v>
      </c>
      <c r="S3800" s="114" t="n">
        <v>0</v>
      </c>
      <c r="T3800" t="n">
        <v>0</v>
      </c>
    </row>
    <row r="3801">
      <c r="A3801" t="inlineStr">
        <is>
          <t>ttJTrans</t>
        </is>
      </c>
      <c r="B3801" s="38" t="inlineStr">
        <is>
          <t>0-4100-01</t>
        </is>
      </c>
      <c r="C3801" t="inlineStr">
        <is>
          <t>ER</t>
        </is>
      </c>
      <c r="E3801" t="inlineStr">
        <is>
          <t>ER</t>
        </is>
      </c>
      <c r="G3801" s="128" t="inlineStr"/>
      <c r="H3801" s="127" t="n">
        <v>46152</v>
      </c>
      <c r="J3801" s="38" t="inlineStr">
        <is>
          <t>0-4100-01</t>
        </is>
      </c>
      <c r="K3801" t="inlineStr">
        <is>
          <t>RLD291 CATERPILLAR 299D3 TRACK SKID STEER LOADER W FORKS CATERPILLAR 299D3 TRACK SKID STEER LOADER W FORKS</t>
        </is>
      </c>
      <c r="L3801" t="n">
        <v>0</v>
      </c>
      <c r="M3801" t="n">
        <v>0</v>
      </c>
      <c r="O3801" t="inlineStr">
        <is>
          <t>RLD291</t>
        </is>
      </c>
      <c r="Q3801" s="114" t="n">
        <v>0</v>
      </c>
      <c r="R3801" s="114" t="n">
        <v>186.27</v>
      </c>
      <c r="S3801" s="114" t="n">
        <v>0</v>
      </c>
      <c r="T3801" t="n">
        <v>0</v>
      </c>
    </row>
    <row r="3802">
      <c r="A3802" t="inlineStr">
        <is>
          <t>ttJTrans</t>
        </is>
      </c>
      <c r="B3802" s="38" t="inlineStr">
        <is>
          <t>0-4100-01</t>
        </is>
      </c>
      <c r="C3802" t="inlineStr">
        <is>
          <t>ER</t>
        </is>
      </c>
      <c r="E3802" t="inlineStr">
        <is>
          <t>ER</t>
        </is>
      </c>
      <c r="G3802" s="128" t="inlineStr"/>
      <c r="H3802" s="127" t="n">
        <v>46152</v>
      </c>
      <c r="J3802" s="38" t="inlineStr">
        <is>
          <t>0-4100-01</t>
        </is>
      </c>
      <c r="K3802" t="inlineStr">
        <is>
          <t>RLD292 CATERPILLAR 299D3 TRACK SKID STEER LOADER CATERPILLAR 299D3 TRACK SKID STEER LOADER</t>
        </is>
      </c>
      <c r="L3802" t="n">
        <v>0</v>
      </c>
      <c r="M3802" t="n">
        <v>0</v>
      </c>
      <c r="O3802" t="inlineStr">
        <is>
          <t>RLD292</t>
        </is>
      </c>
      <c r="Q3802" s="114" t="n">
        <v>0</v>
      </c>
      <c r="R3802" s="114" t="n">
        <v>186.27</v>
      </c>
      <c r="S3802" s="114" t="n">
        <v>0</v>
      </c>
      <c r="T3802" t="n">
        <v>0</v>
      </c>
    </row>
    <row r="3803">
      <c r="A3803" t="inlineStr">
        <is>
          <t>ttJTrans</t>
        </is>
      </c>
      <c r="B3803" s="38" t="inlineStr">
        <is>
          <t>0-4100-01</t>
        </is>
      </c>
      <c r="C3803" t="inlineStr">
        <is>
          <t>ER</t>
        </is>
      </c>
      <c r="E3803" t="inlineStr">
        <is>
          <t>ER</t>
        </is>
      </c>
      <c r="G3803" s="128" t="inlineStr"/>
      <c r="H3803" s="127" t="n">
        <v>46152</v>
      </c>
      <c r="J3803" s="38" t="inlineStr">
        <is>
          <t>0-4100-01</t>
        </is>
      </c>
      <c r="K3803" t="inlineStr">
        <is>
          <t>RLD292 CATERPILLAR 299D3 TRACK SKID STEER LOADER CATERPILLAR 299D3 TRACK SKID STEER LOADER</t>
        </is>
      </c>
      <c r="L3803" t="n">
        <v>0</v>
      </c>
      <c r="M3803" t="n">
        <v>0</v>
      </c>
      <c r="O3803" t="inlineStr">
        <is>
          <t>RLD292</t>
        </is>
      </c>
      <c r="Q3803" s="114" t="n">
        <v>0</v>
      </c>
      <c r="R3803" s="114" t="n">
        <v>186.27</v>
      </c>
      <c r="S3803" s="114" t="n">
        <v>0</v>
      </c>
      <c r="T3803" t="n">
        <v>0</v>
      </c>
    </row>
    <row r="3804">
      <c r="A3804" t="inlineStr">
        <is>
          <t>ttJTrans</t>
        </is>
      </c>
      <c r="B3804" s="38" t="inlineStr">
        <is>
          <t>0-4100-01</t>
        </is>
      </c>
      <c r="C3804" t="inlineStr">
        <is>
          <t>ER</t>
        </is>
      </c>
      <c r="E3804" t="inlineStr">
        <is>
          <t>ER</t>
        </is>
      </c>
      <c r="G3804" s="128" t="inlineStr"/>
      <c r="H3804" s="127" t="n">
        <v>46152</v>
      </c>
      <c r="J3804" s="38" t="inlineStr">
        <is>
          <t>0-4100-01</t>
        </is>
      </c>
      <c r="K3804" t="inlineStr">
        <is>
          <t>RAT439 CAN AM HD11XT CREW CAB UTV CAN AM HD11XT CREW CAB UTV</t>
        </is>
      </c>
      <c r="L3804" t="n">
        <v>0</v>
      </c>
      <c r="M3804" t="n">
        <v>0</v>
      </c>
      <c r="O3804" t="inlineStr">
        <is>
          <t>RAT439</t>
        </is>
      </c>
      <c r="Q3804" s="114" t="n">
        <v>0</v>
      </c>
      <c r="R3804" s="114" t="n">
        <v>62.5</v>
      </c>
      <c r="S3804" s="114" t="n">
        <v>0</v>
      </c>
      <c r="T3804" t="n">
        <v>0</v>
      </c>
    </row>
    <row r="3805">
      <c r="A3805" t="inlineStr">
        <is>
          <t>ttJTrans</t>
        </is>
      </c>
      <c r="B3805" s="38" t="inlineStr">
        <is>
          <t>0-4100-01</t>
        </is>
      </c>
      <c r="C3805" t="inlineStr">
        <is>
          <t>ER</t>
        </is>
      </c>
      <c r="E3805" t="inlineStr">
        <is>
          <t>ER</t>
        </is>
      </c>
      <c r="G3805" s="128" t="inlineStr"/>
      <c r="H3805" s="127" t="n">
        <v>46152</v>
      </c>
      <c r="J3805" s="38" t="inlineStr">
        <is>
          <t>0-4100-01</t>
        </is>
      </c>
      <c r="K3805" t="inlineStr">
        <is>
          <t>RAT440 CAN AM HD11 CREW CAB UTV CAN AM HD11 CREW CAB UTV</t>
        </is>
      </c>
      <c r="L3805" t="n">
        <v>0</v>
      </c>
      <c r="M3805" t="n">
        <v>0</v>
      </c>
      <c r="O3805" t="inlineStr">
        <is>
          <t>RAT440</t>
        </is>
      </c>
      <c r="Q3805" s="114" t="n">
        <v>0</v>
      </c>
      <c r="R3805" s="114" t="n">
        <v>62.5</v>
      </c>
      <c r="S3805" s="114" t="n">
        <v>0</v>
      </c>
      <c r="T3805" t="n">
        <v>0</v>
      </c>
    </row>
    <row r="3806">
      <c r="A3806" t="inlineStr">
        <is>
          <t>ttJTrans</t>
        </is>
      </c>
      <c r="B3806" s="38" t="inlineStr">
        <is>
          <t>0-4100-01</t>
        </is>
      </c>
      <c r="C3806" t="inlineStr">
        <is>
          <t>ER</t>
        </is>
      </c>
      <c r="E3806" t="inlineStr">
        <is>
          <t>ER</t>
        </is>
      </c>
      <c r="G3806" s="128" t="inlineStr"/>
      <c r="H3806" s="127" t="n">
        <v>46152</v>
      </c>
      <c r="J3806" s="38" t="inlineStr">
        <is>
          <t>0-4100-01</t>
        </is>
      </c>
      <c r="K3806" t="inlineStr">
        <is>
          <t>RMS2317 TRIMBLE TD540 TOTAL STATING TRIMBLE TD540 TOTAL STATING</t>
        </is>
      </c>
      <c r="L3806" t="n">
        <v>0</v>
      </c>
      <c r="M3806" t="n">
        <v>0</v>
      </c>
      <c r="O3806" t="inlineStr">
        <is>
          <t>RMS2317</t>
        </is>
      </c>
      <c r="Q3806" s="114" t="n">
        <v>0</v>
      </c>
      <c r="R3806" s="114" t="n">
        <v>287.36</v>
      </c>
      <c r="S3806" s="114" t="n">
        <v>0</v>
      </c>
      <c r="T3806" t="n">
        <v>0</v>
      </c>
    </row>
    <row r="3807">
      <c r="A3807" t="inlineStr">
        <is>
          <t>ttJTrans</t>
        </is>
      </c>
      <c r="B3807" s="38" t="inlineStr">
        <is>
          <t>0-4100-01</t>
        </is>
      </c>
      <c r="C3807" t="inlineStr">
        <is>
          <t>ER</t>
        </is>
      </c>
      <c r="E3807" t="inlineStr">
        <is>
          <t>ER</t>
        </is>
      </c>
      <c r="G3807" s="128" t="inlineStr"/>
      <c r="H3807" s="127" t="n">
        <v>46159</v>
      </c>
      <c r="J3807" s="38" t="inlineStr">
        <is>
          <t>0-4100-01</t>
        </is>
      </c>
      <c r="K3807" t="inlineStr">
        <is>
          <t>RLD291 CATERPILLAR 299D3 TRACK SKID STEER LOADER W FORKS CATERPILLAR 299D3 TRACK SKID STEER LOADER W FORKS</t>
        </is>
      </c>
      <c r="L3807" t="n">
        <v>0</v>
      </c>
      <c r="M3807" t="n">
        <v>0</v>
      </c>
      <c r="O3807" t="inlineStr">
        <is>
          <t>RLD291</t>
        </is>
      </c>
      <c r="Q3807" s="114" t="n">
        <v>0</v>
      </c>
      <c r="R3807" s="114" t="n">
        <v>186.27</v>
      </c>
      <c r="S3807" s="114" t="n">
        <v>0</v>
      </c>
      <c r="T3807" t="n">
        <v>0</v>
      </c>
    </row>
    <row r="3808">
      <c r="A3808" t="inlineStr">
        <is>
          <t>ttJTrans</t>
        </is>
      </c>
      <c r="B3808" s="38" t="inlineStr">
        <is>
          <t>0-4100-01</t>
        </is>
      </c>
      <c r="C3808" t="inlineStr">
        <is>
          <t>ER</t>
        </is>
      </c>
      <c r="E3808" t="inlineStr">
        <is>
          <t>ER</t>
        </is>
      </c>
      <c r="G3808" s="128" t="inlineStr"/>
      <c r="H3808" s="127" t="n">
        <v>46159</v>
      </c>
      <c r="J3808" s="38" t="inlineStr">
        <is>
          <t>0-4100-01</t>
        </is>
      </c>
      <c r="K3808" t="inlineStr">
        <is>
          <t>RLD291 CATERPILLAR 299D3 TRACK SKID STEER LOADER W FORKS CATERPILLAR 299D3 TRACK SKID STEER LOADER W FORKS</t>
        </is>
      </c>
      <c r="L3808" t="n">
        <v>0</v>
      </c>
      <c r="M3808" t="n">
        <v>0</v>
      </c>
      <c r="O3808" t="inlineStr">
        <is>
          <t>RLD291</t>
        </is>
      </c>
      <c r="Q3808" s="114" t="n">
        <v>0</v>
      </c>
      <c r="R3808" s="114" t="n">
        <v>186.27</v>
      </c>
      <c r="S3808" s="114" t="n">
        <v>0</v>
      </c>
      <c r="T3808" t="n">
        <v>0</v>
      </c>
    </row>
    <row r="3809">
      <c r="A3809" t="inlineStr">
        <is>
          <t>ttJTrans</t>
        </is>
      </c>
      <c r="B3809" s="38" t="inlineStr">
        <is>
          <t>0-4100-01</t>
        </is>
      </c>
      <c r="C3809" t="inlineStr">
        <is>
          <t>ER</t>
        </is>
      </c>
      <c r="E3809" t="inlineStr">
        <is>
          <t>ER</t>
        </is>
      </c>
      <c r="G3809" s="128" t="inlineStr"/>
      <c r="H3809" s="127" t="n">
        <v>46159</v>
      </c>
      <c r="J3809" s="38" t="inlineStr">
        <is>
          <t>0-4100-01</t>
        </is>
      </c>
      <c r="K3809" t="inlineStr">
        <is>
          <t>RLD291 CATERPILLAR 299D3 TRACK SKID STEER LOADER W FORKS CATERPILLAR 299D3 TRACK SKID STEER LOADER W FORKS</t>
        </is>
      </c>
      <c r="L3809" t="n">
        <v>0</v>
      </c>
      <c r="M3809" t="n">
        <v>0</v>
      </c>
      <c r="O3809" t="inlineStr">
        <is>
          <t>RLD291</t>
        </is>
      </c>
      <c r="Q3809" s="114" t="n">
        <v>0</v>
      </c>
      <c r="R3809" s="114" t="n">
        <v>186.27</v>
      </c>
      <c r="S3809" s="114" t="n">
        <v>0</v>
      </c>
      <c r="T3809" t="n">
        <v>0</v>
      </c>
    </row>
    <row r="3810">
      <c r="A3810" t="inlineStr">
        <is>
          <t>ttJTrans</t>
        </is>
      </c>
      <c r="B3810" s="38" t="inlineStr">
        <is>
          <t>0-4100-01</t>
        </is>
      </c>
      <c r="C3810" t="inlineStr">
        <is>
          <t>ER</t>
        </is>
      </c>
      <c r="E3810" t="inlineStr">
        <is>
          <t>ER</t>
        </is>
      </c>
      <c r="G3810" s="128" t="inlineStr"/>
      <c r="H3810" s="127" t="n">
        <v>46166</v>
      </c>
      <c r="J3810" s="38" t="inlineStr">
        <is>
          <t>0-4100-01</t>
        </is>
      </c>
      <c r="K3810" t="inlineStr">
        <is>
          <t>RLD291 CATERPILLAR 299D3 TRACK SKID STEER LOADER W FORKS CATERPILLAR 299D3 TRACK SKID STEER LOADER W FORKS</t>
        </is>
      </c>
      <c r="L3810" t="n">
        <v>0</v>
      </c>
      <c r="M3810" t="n">
        <v>0</v>
      </c>
      <c r="O3810" t="inlineStr">
        <is>
          <t>RLD291</t>
        </is>
      </c>
      <c r="Q3810" s="114" t="n">
        <v>0</v>
      </c>
      <c r="R3810" s="114" t="n">
        <v>186.27</v>
      </c>
      <c r="S3810" s="114" t="n">
        <v>0</v>
      </c>
      <c r="T3810" t="n">
        <v>0</v>
      </c>
    </row>
    <row r="3811">
      <c r="A3811" t="inlineStr">
        <is>
          <t>ttJTrans</t>
        </is>
      </c>
      <c r="B3811" s="38" t="inlineStr">
        <is>
          <t>0-4100-01</t>
        </is>
      </c>
      <c r="C3811" t="inlineStr">
        <is>
          <t>ER</t>
        </is>
      </c>
      <c r="E3811" t="inlineStr">
        <is>
          <t>ER</t>
        </is>
      </c>
      <c r="G3811" s="128" t="inlineStr"/>
      <c r="H3811" s="127" t="n">
        <v>46159</v>
      </c>
      <c r="J3811" s="38" t="inlineStr">
        <is>
          <t>0-4100-01</t>
        </is>
      </c>
      <c r="K3811" t="inlineStr">
        <is>
          <t>RLD292 CATERPILLAR 299D3 TRACK SKID STEER LOADER CATERPILLAR 299D3 TRACK SKID STEER LOADER</t>
        </is>
      </c>
      <c r="L3811" t="n">
        <v>0</v>
      </c>
      <c r="M3811" t="n">
        <v>0</v>
      </c>
      <c r="O3811" t="inlineStr">
        <is>
          <t>RLD292</t>
        </is>
      </c>
      <c r="Q3811" s="114" t="n">
        <v>0</v>
      </c>
      <c r="R3811" s="114" t="n">
        <v>186.27</v>
      </c>
      <c r="S3811" s="114" t="n">
        <v>0</v>
      </c>
      <c r="T3811" t="n">
        <v>0</v>
      </c>
    </row>
    <row r="3812">
      <c r="A3812" t="inlineStr">
        <is>
          <t>ttJTrans</t>
        </is>
      </c>
      <c r="B3812" s="38" t="inlineStr">
        <is>
          <t>0-4100-01</t>
        </is>
      </c>
      <c r="C3812" t="inlineStr">
        <is>
          <t>ER</t>
        </is>
      </c>
      <c r="E3812" t="inlineStr">
        <is>
          <t>ER</t>
        </is>
      </c>
      <c r="G3812" s="128" t="inlineStr"/>
      <c r="H3812" s="127" t="n">
        <v>46159</v>
      </c>
      <c r="J3812" s="38" t="inlineStr">
        <is>
          <t>0-4100-01</t>
        </is>
      </c>
      <c r="K3812" t="inlineStr">
        <is>
          <t>RLD292 CATERPILLAR 299D3 TRACK SKID STEER LOADER CATERPILLAR 299D3 TRACK SKID STEER LOADER</t>
        </is>
      </c>
      <c r="L3812" t="n">
        <v>0</v>
      </c>
      <c r="M3812" t="n">
        <v>0</v>
      </c>
      <c r="O3812" t="inlineStr">
        <is>
          <t>RLD292</t>
        </is>
      </c>
      <c r="Q3812" s="114" t="n">
        <v>0</v>
      </c>
      <c r="R3812" s="114" t="n">
        <v>186.27</v>
      </c>
      <c r="S3812" s="114" t="n">
        <v>0</v>
      </c>
      <c r="T3812" t="n">
        <v>0</v>
      </c>
    </row>
    <row r="3813">
      <c r="A3813" t="inlineStr">
        <is>
          <t>ttJTrans</t>
        </is>
      </c>
      <c r="B3813" s="38" t="inlineStr">
        <is>
          <t>0-4100-01</t>
        </is>
      </c>
      <c r="C3813" t="inlineStr">
        <is>
          <t>ER</t>
        </is>
      </c>
      <c r="E3813" t="inlineStr">
        <is>
          <t>ER</t>
        </is>
      </c>
      <c r="G3813" s="128" t="inlineStr"/>
      <c r="H3813" s="127" t="n">
        <v>46159</v>
      </c>
      <c r="J3813" s="38" t="inlineStr">
        <is>
          <t>0-4100-01</t>
        </is>
      </c>
      <c r="K3813" t="inlineStr">
        <is>
          <t>RLD292 CATERPILLAR 299D3 TRACK SKID STEER LOADER CATERPILLAR 299D3 TRACK SKID STEER LOADER</t>
        </is>
      </c>
      <c r="L3813" t="n">
        <v>0</v>
      </c>
      <c r="M3813" t="n">
        <v>0</v>
      </c>
      <c r="O3813" t="inlineStr">
        <is>
          <t>RLD292</t>
        </is>
      </c>
      <c r="Q3813" s="114" t="n">
        <v>0</v>
      </c>
      <c r="R3813" s="114" t="n">
        <v>186.27</v>
      </c>
      <c r="S3813" s="114" t="n">
        <v>0</v>
      </c>
      <c r="T3813" t="n">
        <v>0</v>
      </c>
    </row>
    <row r="3814">
      <c r="A3814" t="inlineStr">
        <is>
          <t>ttJTrans</t>
        </is>
      </c>
      <c r="B3814" s="38" t="inlineStr">
        <is>
          <t>0-4100-01</t>
        </is>
      </c>
      <c r="C3814" t="inlineStr">
        <is>
          <t>ER</t>
        </is>
      </c>
      <c r="E3814" t="inlineStr">
        <is>
          <t>ER</t>
        </is>
      </c>
      <c r="G3814" s="128" t="inlineStr"/>
      <c r="H3814" s="127" t="n">
        <v>46159</v>
      </c>
      <c r="J3814" s="38" t="inlineStr">
        <is>
          <t>0-4100-01</t>
        </is>
      </c>
      <c r="K3814" t="inlineStr">
        <is>
          <t>RAT439 CAN AM HD11XT CREW CAB UTV CAN AM HD11XT CREW CAB UTV</t>
        </is>
      </c>
      <c r="L3814" t="n">
        <v>0</v>
      </c>
      <c r="M3814" t="n">
        <v>0</v>
      </c>
      <c r="O3814" t="inlineStr">
        <is>
          <t>RAT439</t>
        </is>
      </c>
      <c r="Q3814" s="114" t="n">
        <v>0</v>
      </c>
      <c r="R3814" s="114" t="n">
        <v>62.5</v>
      </c>
      <c r="S3814" s="114" t="n">
        <v>0</v>
      </c>
      <c r="T3814" t="n">
        <v>0</v>
      </c>
    </row>
    <row r="3815">
      <c r="A3815" t="inlineStr">
        <is>
          <t>ttJTrans</t>
        </is>
      </c>
      <c r="B3815" s="38" t="inlineStr">
        <is>
          <t>0-4100-01</t>
        </is>
      </c>
      <c r="C3815" t="inlineStr">
        <is>
          <t>ER</t>
        </is>
      </c>
      <c r="E3815" t="inlineStr">
        <is>
          <t>ER</t>
        </is>
      </c>
      <c r="G3815" s="128" t="inlineStr"/>
      <c r="H3815" s="127" t="n">
        <v>46159</v>
      </c>
      <c r="J3815" s="38" t="inlineStr">
        <is>
          <t>0-4100-01</t>
        </is>
      </c>
      <c r="K3815" t="inlineStr">
        <is>
          <t>RAT440 CAN AM HD11 CREW CAB UTV CAN AM HD11 CREW CAB UTV</t>
        </is>
      </c>
      <c r="L3815" t="n">
        <v>0</v>
      </c>
      <c r="M3815" t="n">
        <v>0</v>
      </c>
      <c r="O3815" t="inlineStr">
        <is>
          <t>RAT440</t>
        </is>
      </c>
      <c r="Q3815" s="114" t="n">
        <v>0</v>
      </c>
      <c r="R3815" s="114" t="n">
        <v>62.5</v>
      </c>
      <c r="S3815" s="114" t="n">
        <v>0</v>
      </c>
      <c r="T3815" t="n">
        <v>0</v>
      </c>
    </row>
    <row r="3816">
      <c r="A3816" t="inlineStr">
        <is>
          <t>ttJTrans</t>
        </is>
      </c>
      <c r="B3816" s="38" t="inlineStr">
        <is>
          <t>0-4100-01</t>
        </is>
      </c>
      <c r="C3816" t="inlineStr">
        <is>
          <t>ER</t>
        </is>
      </c>
      <c r="E3816" t="inlineStr">
        <is>
          <t>ER</t>
        </is>
      </c>
      <c r="G3816" s="128" t="inlineStr"/>
      <c r="H3816" s="127" t="n">
        <v>46159</v>
      </c>
      <c r="J3816" s="38" t="inlineStr">
        <is>
          <t>0-4100-01</t>
        </is>
      </c>
      <c r="K3816" t="inlineStr">
        <is>
          <t>RAT440 CAN AM HD11 CREW CAB UTV CAN AM HD11 CREW CAB UTV</t>
        </is>
      </c>
      <c r="L3816" t="n">
        <v>0</v>
      </c>
      <c r="M3816" t="n">
        <v>0</v>
      </c>
      <c r="O3816" t="inlineStr">
        <is>
          <t>RAT440</t>
        </is>
      </c>
      <c r="Q3816" s="114" t="n">
        <v>0</v>
      </c>
      <c r="R3816" s="114" t="n">
        <v>62.5</v>
      </c>
      <c r="S3816" s="114" t="n">
        <v>0</v>
      </c>
      <c r="T3816" t="n">
        <v>0</v>
      </c>
    </row>
    <row r="3817">
      <c r="A3817" t="inlineStr">
        <is>
          <t>ttJTrans</t>
        </is>
      </c>
      <c r="B3817" s="38" t="inlineStr">
        <is>
          <t>0-4100-01</t>
        </is>
      </c>
      <c r="C3817" t="inlineStr">
        <is>
          <t>ER</t>
        </is>
      </c>
      <c r="E3817" t="inlineStr">
        <is>
          <t>ER</t>
        </is>
      </c>
      <c r="G3817" s="128" t="inlineStr"/>
      <c r="H3817" s="127" t="n">
        <v>46159</v>
      </c>
      <c r="J3817" s="38" t="inlineStr">
        <is>
          <t>0-4100-01</t>
        </is>
      </c>
      <c r="K3817" t="inlineStr">
        <is>
          <t>RMS2317 TRIMBLE TD540 TOTAL STATING TRIMBLE TD540 TOTAL STATING</t>
        </is>
      </c>
      <c r="L3817" t="n">
        <v>0</v>
      </c>
      <c r="M3817" t="n">
        <v>0</v>
      </c>
      <c r="O3817" t="inlineStr">
        <is>
          <t>RMS2317</t>
        </is>
      </c>
      <c r="Q3817" s="114" t="n">
        <v>0</v>
      </c>
      <c r="R3817" s="114" t="n">
        <v>287.36</v>
      </c>
      <c r="S3817" s="114" t="n">
        <v>0</v>
      </c>
      <c r="T3817" t="n">
        <v>0</v>
      </c>
    </row>
    <row r="3818">
      <c r="A3818" t="inlineStr">
        <is>
          <t>ttJTrans</t>
        </is>
      </c>
      <c r="B3818" s="38" t="inlineStr">
        <is>
          <t>0-4100-01</t>
        </is>
      </c>
      <c r="C3818" t="inlineStr">
        <is>
          <t>ER</t>
        </is>
      </c>
      <c r="E3818" t="inlineStr">
        <is>
          <t>ER</t>
        </is>
      </c>
      <c r="G3818" s="128" t="inlineStr"/>
      <c r="H3818" s="127" t="n">
        <v>46166</v>
      </c>
      <c r="J3818" s="38" t="inlineStr">
        <is>
          <t>0-4100-01</t>
        </is>
      </c>
      <c r="K3818" t="inlineStr">
        <is>
          <t>RLD291 CATERPILLAR 299D3 TRACK SKID STEER LOADER W FORKS CATERPILLAR 299D3 TRACK SKID STEER LOADER W FORKS</t>
        </is>
      </c>
      <c r="L3818" t="n">
        <v>0</v>
      </c>
      <c r="M3818" t="n">
        <v>0</v>
      </c>
      <c r="O3818" t="inlineStr">
        <is>
          <t>RLD291</t>
        </is>
      </c>
      <c r="Q3818" s="114" t="n">
        <v>0</v>
      </c>
      <c r="R3818" s="114" t="n">
        <v>186.27</v>
      </c>
      <c r="S3818" s="114" t="n">
        <v>0</v>
      </c>
      <c r="T3818" t="n">
        <v>0</v>
      </c>
    </row>
    <row r="3819">
      <c r="A3819" t="inlineStr">
        <is>
          <t>ttJTrans</t>
        </is>
      </c>
      <c r="B3819" s="38" t="inlineStr">
        <is>
          <t>0-4100-01</t>
        </is>
      </c>
      <c r="C3819" t="inlineStr">
        <is>
          <t>ER</t>
        </is>
      </c>
      <c r="E3819" t="inlineStr">
        <is>
          <t>ER</t>
        </is>
      </c>
      <c r="G3819" s="128" t="inlineStr"/>
      <c r="H3819" s="127" t="n">
        <v>46166</v>
      </c>
      <c r="J3819" s="38" t="inlineStr">
        <is>
          <t>0-4100-01</t>
        </is>
      </c>
      <c r="K3819" t="inlineStr">
        <is>
          <t>RLD292 CATERPILLAR 299D3 TRACK SKID STEER LOADER CATERPILLAR 299D3 TRACK SKID STEER LOADER</t>
        </is>
      </c>
      <c r="L3819" t="n">
        <v>0</v>
      </c>
      <c r="M3819" t="n">
        <v>0</v>
      </c>
      <c r="O3819" t="inlineStr">
        <is>
          <t>RLD292</t>
        </is>
      </c>
      <c r="Q3819" s="114" t="n">
        <v>0</v>
      </c>
      <c r="R3819" s="114" t="n">
        <v>186.27</v>
      </c>
      <c r="S3819" s="114" t="n">
        <v>0</v>
      </c>
      <c r="T3819" t="n">
        <v>0</v>
      </c>
    </row>
    <row r="3820">
      <c r="A3820" t="inlineStr">
        <is>
          <t>ttJTrans</t>
        </is>
      </c>
      <c r="B3820" s="38" t="inlineStr">
        <is>
          <t>0-4100-01</t>
        </is>
      </c>
      <c r="C3820" t="inlineStr">
        <is>
          <t>ER</t>
        </is>
      </c>
      <c r="E3820" t="inlineStr">
        <is>
          <t>ER</t>
        </is>
      </c>
      <c r="G3820" s="128" t="inlineStr"/>
      <c r="H3820" s="127" t="n">
        <v>46166</v>
      </c>
      <c r="J3820" s="38" t="inlineStr">
        <is>
          <t>0-4100-01</t>
        </is>
      </c>
      <c r="K3820" t="inlineStr">
        <is>
          <t>RAT439 CAN AM HD11XT CREW CAB UTV CAN AM HD11XT CREW CAB UTV</t>
        </is>
      </c>
      <c r="L3820" t="n">
        <v>0</v>
      </c>
      <c r="M3820" t="n">
        <v>0</v>
      </c>
      <c r="O3820" t="inlineStr">
        <is>
          <t>RAT439</t>
        </is>
      </c>
      <c r="Q3820" s="114" t="n">
        <v>0</v>
      </c>
      <c r="R3820" s="114" t="n">
        <v>62.5</v>
      </c>
      <c r="S3820" s="114" t="n">
        <v>0</v>
      </c>
      <c r="T3820" t="n">
        <v>0</v>
      </c>
    </row>
    <row r="3821">
      <c r="A3821" t="inlineStr">
        <is>
          <t>ttJTrans</t>
        </is>
      </c>
      <c r="B3821" s="38" t="inlineStr">
        <is>
          <t>0-4100-01</t>
        </is>
      </c>
      <c r="C3821" t="inlineStr">
        <is>
          <t>LA</t>
        </is>
      </c>
      <c r="E3821" t="inlineStr">
        <is>
          <t>LA</t>
        </is>
      </c>
      <c r="G3821" s="128" t="inlineStr"/>
      <c r="H3821" s="127" t="n">
        <v>46149</v>
      </c>
      <c r="J3821" s="38" t="inlineStr">
        <is>
          <t>0-4100-01</t>
        </is>
      </c>
      <c r="K3821" t="inlineStr">
        <is>
          <t>PR P0COST 000529 (PR) Summary</t>
        </is>
      </c>
      <c r="L3821" t="n">
        <v>0</v>
      </c>
      <c r="M3821" t="n">
        <v>0</v>
      </c>
      <c r="Q3821" s="114" t="n">
        <v>0</v>
      </c>
      <c r="R3821" s="114" t="n">
        <v>1592.14</v>
      </c>
      <c r="S3821" s="114" t="n">
        <v>0</v>
      </c>
      <c r="T3821" t="n">
        <v>20.02</v>
      </c>
    </row>
    <row r="3822">
      <c r="A3822" t="inlineStr">
        <is>
          <t>ttJTrans</t>
        </is>
      </c>
      <c r="B3822" s="38" t="inlineStr">
        <is>
          <t>0-4100-01</t>
        </is>
      </c>
      <c r="C3822" t="inlineStr">
        <is>
          <t>LA</t>
        </is>
      </c>
      <c r="E3822" t="inlineStr">
        <is>
          <t>LA</t>
        </is>
      </c>
      <c r="G3822" s="128" t="inlineStr"/>
      <c r="H3822" s="127" t="n">
        <v>46149</v>
      </c>
      <c r="J3822" s="38" t="inlineStr">
        <is>
          <t>0-4100-01</t>
        </is>
      </c>
      <c r="K3822" t="inlineStr">
        <is>
          <t>PR P0COST 000529 (PR) Summary</t>
        </is>
      </c>
      <c r="L3822" t="n">
        <v>0</v>
      </c>
      <c r="M3822" t="n">
        <v>0</v>
      </c>
      <c r="Q3822" s="114" t="n">
        <v>0</v>
      </c>
      <c r="R3822" s="114" t="n">
        <v>1128.59</v>
      </c>
      <c r="S3822" s="114" t="n">
        <v>0</v>
      </c>
      <c r="T3822" t="n">
        <v>30</v>
      </c>
    </row>
    <row r="3823">
      <c r="A3823" t="inlineStr">
        <is>
          <t>ttJTrans</t>
        </is>
      </c>
      <c r="B3823" s="38" t="inlineStr">
        <is>
          <t>0-4100-01</t>
        </is>
      </c>
      <c r="C3823" t="inlineStr">
        <is>
          <t>LA</t>
        </is>
      </c>
      <c r="E3823" t="inlineStr">
        <is>
          <t>LA</t>
        </is>
      </c>
      <c r="G3823" s="128" t="inlineStr"/>
      <c r="H3823" s="127" t="n">
        <v>46149</v>
      </c>
      <c r="J3823" s="38" t="inlineStr">
        <is>
          <t>0-4100-01</t>
        </is>
      </c>
      <c r="K3823" t="inlineStr">
        <is>
          <t>PR P0COST 000529 (PR) Summary</t>
        </is>
      </c>
      <c r="L3823" t="n">
        <v>0</v>
      </c>
      <c r="M3823" t="n">
        <v>0</v>
      </c>
      <c r="Q3823" s="114" t="n">
        <v>0</v>
      </c>
      <c r="R3823" s="114" t="n">
        <v>2427.61</v>
      </c>
      <c r="S3823" s="114" t="n">
        <v>0</v>
      </c>
      <c r="T3823" t="n">
        <v>40</v>
      </c>
    </row>
    <row r="3824">
      <c r="A3824" t="inlineStr">
        <is>
          <t>ttJTrans</t>
        </is>
      </c>
      <c r="B3824" s="38" t="inlineStr">
        <is>
          <t>0-4100-01</t>
        </is>
      </c>
      <c r="C3824" t="inlineStr">
        <is>
          <t>LA</t>
        </is>
      </c>
      <c r="E3824" t="inlineStr">
        <is>
          <t>LA</t>
        </is>
      </c>
      <c r="G3824" s="128" t="inlineStr"/>
      <c r="H3824" s="127" t="n">
        <v>46149</v>
      </c>
      <c r="J3824" s="38" t="inlineStr">
        <is>
          <t>0-4100-01</t>
        </is>
      </c>
      <c r="K3824" t="inlineStr">
        <is>
          <t>PR P0COST 000529 (PR) Summary</t>
        </is>
      </c>
      <c r="L3824" t="n">
        <v>0</v>
      </c>
      <c r="M3824" t="n">
        <v>0</v>
      </c>
      <c r="Q3824" s="114" t="n">
        <v>0</v>
      </c>
      <c r="R3824" s="114" t="n">
        <v>2427.57</v>
      </c>
      <c r="S3824" s="114" t="n">
        <v>0</v>
      </c>
      <c r="T3824" t="n">
        <v>40</v>
      </c>
    </row>
    <row r="3825">
      <c r="A3825" t="inlineStr">
        <is>
          <t>ttJTrans</t>
        </is>
      </c>
      <c r="B3825" s="38" t="inlineStr">
        <is>
          <t>0-4100-01</t>
        </is>
      </c>
      <c r="C3825" t="inlineStr">
        <is>
          <t>LA</t>
        </is>
      </c>
      <c r="E3825" t="inlineStr">
        <is>
          <t>LA</t>
        </is>
      </c>
      <c r="G3825" s="128" t="inlineStr"/>
      <c r="H3825" s="127" t="n">
        <v>46149</v>
      </c>
      <c r="J3825" s="38" t="inlineStr">
        <is>
          <t>0-4100-01</t>
        </is>
      </c>
      <c r="K3825" t="inlineStr">
        <is>
          <t>PR P0COST 000529 (PR) Summary</t>
        </is>
      </c>
      <c r="L3825" t="n">
        <v>0</v>
      </c>
      <c r="M3825" t="n">
        <v>0</v>
      </c>
      <c r="Q3825" s="114" t="n">
        <v>0</v>
      </c>
      <c r="R3825" s="114" t="n">
        <v>1616.76</v>
      </c>
      <c r="S3825" s="114" t="n">
        <v>0</v>
      </c>
      <c r="T3825" t="n">
        <v>40</v>
      </c>
    </row>
    <row r="3826">
      <c r="A3826" t="inlineStr">
        <is>
          <t>ttJTrans</t>
        </is>
      </c>
      <c r="B3826" s="38" t="inlineStr">
        <is>
          <t>0-4100-01</t>
        </is>
      </c>
      <c r="C3826" t="inlineStr">
        <is>
          <t>LA</t>
        </is>
      </c>
      <c r="E3826" t="inlineStr">
        <is>
          <t>LA</t>
        </is>
      </c>
      <c r="G3826" s="128" t="inlineStr"/>
      <c r="H3826" s="127" t="n">
        <v>46149</v>
      </c>
      <c r="J3826" s="38" t="inlineStr">
        <is>
          <t>0-4100-01</t>
        </is>
      </c>
      <c r="K3826" t="inlineStr">
        <is>
          <t>PR P0COST 000529 (PR) Summary</t>
        </is>
      </c>
      <c r="L3826" t="n">
        <v>0</v>
      </c>
      <c r="M3826" t="n">
        <v>0</v>
      </c>
      <c r="Q3826" s="114" t="n">
        <v>0</v>
      </c>
      <c r="R3826" s="114" t="n">
        <v>3208.9</v>
      </c>
      <c r="S3826" s="114" t="n">
        <v>0</v>
      </c>
      <c r="T3826" t="n">
        <v>69.98</v>
      </c>
    </row>
    <row r="3827">
      <c r="A3827" t="inlineStr">
        <is>
          <t>ttJTrans</t>
        </is>
      </c>
      <c r="B3827" s="38" t="inlineStr">
        <is>
          <t>0-4100-01</t>
        </is>
      </c>
      <c r="C3827" t="inlineStr">
        <is>
          <t>LA</t>
        </is>
      </c>
      <c r="E3827" t="inlineStr">
        <is>
          <t>LA</t>
        </is>
      </c>
      <c r="G3827" s="128" t="inlineStr"/>
      <c r="H3827" s="127" t="n">
        <v>46149</v>
      </c>
      <c r="J3827" s="38" t="inlineStr">
        <is>
          <t>0-4100-01</t>
        </is>
      </c>
      <c r="K3827" t="inlineStr">
        <is>
          <t>PR P0COST 000529 (PR) Summary</t>
        </is>
      </c>
      <c r="L3827" t="n">
        <v>0</v>
      </c>
      <c r="M3827" t="n">
        <v>0</v>
      </c>
      <c r="Q3827" s="114" t="n">
        <v>0</v>
      </c>
      <c r="R3827" s="114" t="n">
        <v>1592.12</v>
      </c>
      <c r="S3827" s="114" t="n">
        <v>0</v>
      </c>
      <c r="T3827" t="n">
        <v>20</v>
      </c>
    </row>
    <row r="3828">
      <c r="A3828" t="inlineStr">
        <is>
          <t>ttJTrans</t>
        </is>
      </c>
      <c r="B3828" s="38" t="inlineStr">
        <is>
          <t>0-4100-01</t>
        </is>
      </c>
      <c r="C3828" t="inlineStr">
        <is>
          <t>LA</t>
        </is>
      </c>
      <c r="E3828" t="inlineStr">
        <is>
          <t>LA</t>
        </is>
      </c>
      <c r="G3828" s="128" t="inlineStr"/>
      <c r="H3828" s="127" t="n">
        <v>46156</v>
      </c>
      <c r="J3828" s="38" t="inlineStr">
        <is>
          <t>0-4100-01</t>
        </is>
      </c>
      <c r="K3828" t="inlineStr">
        <is>
          <t>PR P0COST 000530 (PR) Summary</t>
        </is>
      </c>
      <c r="L3828" t="n">
        <v>0</v>
      </c>
      <c r="M3828" t="n">
        <v>0</v>
      </c>
      <c r="Q3828" s="114" t="n">
        <v>0</v>
      </c>
      <c r="R3828" s="114" t="n">
        <v>3661.7</v>
      </c>
      <c r="S3828" s="114" t="n">
        <v>0</v>
      </c>
      <c r="T3828" t="n">
        <v>90</v>
      </c>
    </row>
    <row r="3829">
      <c r="A3829" t="inlineStr">
        <is>
          <t>ttJTrans</t>
        </is>
      </c>
      <c r="B3829" s="38" t="inlineStr">
        <is>
          <t>0-4100-01</t>
        </is>
      </c>
      <c r="C3829" t="inlineStr">
        <is>
          <t>LA</t>
        </is>
      </c>
      <c r="E3829" t="inlineStr">
        <is>
          <t>LA</t>
        </is>
      </c>
      <c r="G3829" s="128" t="inlineStr"/>
      <c r="H3829" s="127" t="n">
        <v>46156</v>
      </c>
      <c r="J3829" s="38" t="inlineStr">
        <is>
          <t>0-4100-01</t>
        </is>
      </c>
      <c r="K3829" t="inlineStr">
        <is>
          <t>PR P0COST 000530 (PR) Summary</t>
        </is>
      </c>
      <c r="L3829" t="n">
        <v>0</v>
      </c>
      <c r="M3829" t="n">
        <v>0</v>
      </c>
      <c r="Q3829" s="114" t="n">
        <v>0</v>
      </c>
      <c r="R3829" s="114" t="n">
        <v>1689.37</v>
      </c>
      <c r="S3829" s="114" t="n">
        <v>0</v>
      </c>
      <c r="T3829" t="n">
        <v>40</v>
      </c>
    </row>
    <row r="3830">
      <c r="A3830" t="inlineStr">
        <is>
          <t>ttJTrans</t>
        </is>
      </c>
      <c r="B3830" s="38" t="inlineStr">
        <is>
          <t>0-4100-01</t>
        </is>
      </c>
      <c r="C3830" t="inlineStr">
        <is>
          <t>LA</t>
        </is>
      </c>
      <c r="E3830" t="inlineStr">
        <is>
          <t>LA</t>
        </is>
      </c>
      <c r="G3830" s="128" t="inlineStr"/>
      <c r="H3830" s="127" t="n">
        <v>46156</v>
      </c>
      <c r="J3830" s="38" t="inlineStr">
        <is>
          <t>0-4100-01</t>
        </is>
      </c>
      <c r="K3830" t="inlineStr">
        <is>
          <t>PR P0COST 000530 (PR) Summary</t>
        </is>
      </c>
      <c r="L3830" t="n">
        <v>0</v>
      </c>
      <c r="M3830" t="n">
        <v>0</v>
      </c>
      <c r="Q3830" s="114" t="n">
        <v>0</v>
      </c>
      <c r="R3830" s="114" t="n">
        <v>1850.66</v>
      </c>
      <c r="S3830" s="114" t="n">
        <v>0</v>
      </c>
      <c r="T3830" t="n">
        <v>30</v>
      </c>
    </row>
    <row r="3831">
      <c r="A3831" t="inlineStr">
        <is>
          <t>ttJTrans</t>
        </is>
      </c>
      <c r="B3831" s="38" t="inlineStr">
        <is>
          <t>0-4100-01</t>
        </is>
      </c>
      <c r="C3831" t="inlineStr">
        <is>
          <t>LA</t>
        </is>
      </c>
      <c r="E3831" t="inlineStr">
        <is>
          <t>LA</t>
        </is>
      </c>
      <c r="G3831" s="128" t="inlineStr"/>
      <c r="H3831" s="127" t="n">
        <v>46156</v>
      </c>
      <c r="J3831" s="38" t="inlineStr">
        <is>
          <t>0-4100-01</t>
        </is>
      </c>
      <c r="K3831" t="inlineStr">
        <is>
          <t>PR P0COST 000530 (PR) Summary</t>
        </is>
      </c>
      <c r="L3831" t="n">
        <v>0</v>
      </c>
      <c r="M3831" t="n">
        <v>0</v>
      </c>
      <c r="Q3831" s="114" t="n">
        <v>0</v>
      </c>
      <c r="R3831" s="114" t="n">
        <v>3510.95</v>
      </c>
      <c r="S3831" s="114" t="n">
        <v>0</v>
      </c>
      <c r="T3831" t="n">
        <v>60</v>
      </c>
    </row>
    <row r="3832">
      <c r="A3832" t="inlineStr">
        <is>
          <t>ttJTrans</t>
        </is>
      </c>
      <c r="B3832" s="38" t="inlineStr">
        <is>
          <t>0-4100-01</t>
        </is>
      </c>
      <c r="C3832" t="inlineStr">
        <is>
          <t>LA</t>
        </is>
      </c>
      <c r="E3832" t="inlineStr">
        <is>
          <t>LA</t>
        </is>
      </c>
      <c r="G3832" s="128" t="inlineStr"/>
      <c r="H3832" s="127" t="n">
        <v>46156</v>
      </c>
      <c r="J3832" s="38" t="inlineStr">
        <is>
          <t>0-4100-01</t>
        </is>
      </c>
      <c r="K3832" t="inlineStr">
        <is>
          <t>PR P0COST 000530 (PR) Summary</t>
        </is>
      </c>
      <c r="L3832" t="n">
        <v>0</v>
      </c>
      <c r="M3832" t="n">
        <v>0</v>
      </c>
      <c r="Q3832" s="114" t="n">
        <v>0</v>
      </c>
      <c r="R3832" s="114" t="n">
        <v>1245.74</v>
      </c>
      <c r="S3832" s="114" t="n">
        <v>0</v>
      </c>
      <c r="T3832" t="n">
        <v>30</v>
      </c>
    </row>
    <row r="3833">
      <c r="A3833" t="inlineStr">
        <is>
          <t>ttJTrans</t>
        </is>
      </c>
      <c r="B3833" s="38" t="inlineStr">
        <is>
          <t>0-4100-01</t>
        </is>
      </c>
      <c r="C3833" t="inlineStr">
        <is>
          <t>LA</t>
        </is>
      </c>
      <c r="E3833" t="inlineStr">
        <is>
          <t>LA</t>
        </is>
      </c>
      <c r="G3833" s="128" t="inlineStr"/>
      <c r="H3833" s="127" t="n">
        <v>46156</v>
      </c>
      <c r="J3833" s="38" t="inlineStr">
        <is>
          <t>0-4100-01</t>
        </is>
      </c>
      <c r="K3833" t="inlineStr">
        <is>
          <t>PR P0COST 000530 (PR) Summary</t>
        </is>
      </c>
      <c r="L3833" t="n">
        <v>0</v>
      </c>
      <c r="M3833" t="n">
        <v>0</v>
      </c>
      <c r="Q3833" s="114" t="n">
        <v>0</v>
      </c>
      <c r="R3833" s="114" t="n">
        <v>1245.74</v>
      </c>
      <c r="S3833" s="114" t="n">
        <v>0</v>
      </c>
      <c r="T3833" t="n">
        <v>30</v>
      </c>
    </row>
    <row r="3834">
      <c r="A3834" t="inlineStr">
        <is>
          <t>ttJTrans</t>
        </is>
      </c>
      <c r="B3834" s="38" t="inlineStr">
        <is>
          <t>0-4100-01</t>
        </is>
      </c>
      <c r="C3834" t="inlineStr">
        <is>
          <t>MA</t>
        </is>
      </c>
      <c r="D3834" t="inlineStr">
        <is>
          <t>MA1011245</t>
        </is>
      </c>
      <c r="E3834" t="inlineStr">
        <is>
          <t>MA</t>
        </is>
      </c>
      <c r="F3834" t="inlineStr">
        <is>
          <t>MA1011245</t>
        </is>
      </c>
      <c r="G3834" s="128" t="n">
        <v>46141</v>
      </c>
      <c r="H3834" s="127" t="n">
        <v>46149</v>
      </c>
      <c r="I3834" t="inlineStr">
        <is>
          <t>4</t>
        </is>
      </c>
      <c r="J3834" s="38" t="inlineStr">
        <is>
          <t>0-4100-01</t>
        </is>
      </c>
      <c r="K3834" t="inlineStr">
        <is>
          <t>ADDREGATE - ROADS AND EROSION CONTROL -</t>
        </is>
      </c>
      <c r="L3834" t="n">
        <v>1500</v>
      </c>
      <c r="M3834" t="n">
        <v>99900</v>
      </c>
      <c r="N3834" t="inlineStr">
        <is>
          <t>PO:COMMIT</t>
        </is>
      </c>
      <c r="O3834" t="inlineStr">
        <is>
          <t>21358</t>
        </is>
      </c>
      <c r="P3834" t="inlineStr">
        <is>
          <t>TEXAS GULF COAST AGGREGATES, LLC</t>
        </is>
      </c>
      <c r="Q3834" s="114" t="n">
        <v>0</v>
      </c>
      <c r="R3834" s="114" t="n">
        <v>0</v>
      </c>
      <c r="S3834" s="114" t="n">
        <v>99900</v>
      </c>
      <c r="T3834" t="n">
        <v>0</v>
      </c>
    </row>
    <row r="3835">
      <c r="A3835" t="inlineStr">
        <is>
          <t>ttJTrans</t>
        </is>
      </c>
      <c r="B3835" s="38" t="inlineStr">
        <is>
          <t>0-4100-01</t>
        </is>
      </c>
      <c r="C3835" t="inlineStr">
        <is>
          <t>OC</t>
        </is>
      </c>
      <c r="D3835" t="inlineStr">
        <is>
          <t>MA1010837</t>
        </is>
      </c>
      <c r="E3835" t="inlineStr">
        <is>
          <t>OC</t>
        </is>
      </c>
      <c r="F3835" t="inlineStr">
        <is>
          <t>MA1010837</t>
        </is>
      </c>
      <c r="G3835" s="128" t="n">
        <v>46140</v>
      </c>
      <c r="H3835" s="127" t="n">
        <v>46149</v>
      </c>
      <c r="I3835" t="inlineStr">
        <is>
          <t>16</t>
        </is>
      </c>
      <c r="J3835" s="38" t="inlineStr">
        <is>
          <t>0-4100-01</t>
        </is>
      </c>
      <c r="K3835" t="inlineStr">
        <is>
          <t>BAG FILTER NW 13 X 15 - 60/PLT</t>
        </is>
      </c>
      <c r="L3835" t="n">
        <v>20</v>
      </c>
      <c r="M3835" t="n">
        <v>2240.65</v>
      </c>
      <c r="N3835" t="inlineStr">
        <is>
          <t>INVOICE</t>
        </is>
      </c>
      <c r="O3835" t="inlineStr">
        <is>
          <t>12561</t>
        </is>
      </c>
      <c r="P3835" t="inlineStr">
        <is>
          <t>CROSS COUNTRY INFRASTRUCTURE SERVICES INC.</t>
        </is>
      </c>
      <c r="Q3835" s="114" t="n">
        <v>0</v>
      </c>
      <c r="R3835" s="114" t="n">
        <v>0</v>
      </c>
      <c r="S3835" s="114" t="n">
        <v>0</v>
      </c>
      <c r="T3835" t="n">
        <v>0</v>
      </c>
    </row>
    <row r="3836">
      <c r="A3836" t="inlineStr">
        <is>
          <t>ttJTrans</t>
        </is>
      </c>
      <c r="B3836" s="38" t="inlineStr">
        <is>
          <t>0-4100-01</t>
        </is>
      </c>
      <c r="C3836" t="inlineStr">
        <is>
          <t>OC</t>
        </is>
      </c>
      <c r="D3836" t="inlineStr">
        <is>
          <t>MA1010837</t>
        </is>
      </c>
      <c r="E3836" t="inlineStr">
        <is>
          <t>OC</t>
        </is>
      </c>
      <c r="F3836" t="inlineStr">
        <is>
          <t>MA1010837</t>
        </is>
      </c>
      <c r="G3836" s="128" t="n">
        <v>46140</v>
      </c>
      <c r="H3836" s="127" t="n">
        <v>46143</v>
      </c>
      <c r="I3836" t="inlineStr">
        <is>
          <t>4</t>
        </is>
      </c>
      <c r="J3836" s="38" t="inlineStr">
        <is>
          <t>0-4100-01</t>
        </is>
      </c>
      <c r="K3836" t="inlineStr">
        <is>
          <t>4’x100’ HARDWARE CLOTH 1/4' ME</t>
        </is>
      </c>
      <c r="L3836" t="n">
        <v>15</v>
      </c>
      <c r="M3836" t="n">
        <v>1369.46</v>
      </c>
      <c r="N3836" t="inlineStr">
        <is>
          <t>INVOICE:ADJ-COMMIT</t>
        </is>
      </c>
      <c r="O3836" t="inlineStr">
        <is>
          <t>12561</t>
        </is>
      </c>
      <c r="P3836" t="inlineStr">
        <is>
          <t>CROSS COUNTRY INFRASTRUCTURE SERVICES INC.</t>
        </is>
      </c>
      <c r="Q3836" s="114" t="n">
        <v>0</v>
      </c>
      <c r="R3836" s="114" t="n">
        <v>0</v>
      </c>
      <c r="S3836" s="114" t="n">
        <v>-1369.46</v>
      </c>
      <c r="T3836" t="n">
        <v>0</v>
      </c>
    </row>
    <row r="3837">
      <c r="A3837" t="inlineStr">
        <is>
          <t>ttJTrans</t>
        </is>
      </c>
      <c r="B3837" s="38" t="inlineStr">
        <is>
          <t>0-4100-01</t>
        </is>
      </c>
      <c r="C3837" t="inlineStr">
        <is>
          <t>OC</t>
        </is>
      </c>
      <c r="D3837" t="inlineStr">
        <is>
          <t>MA1010837</t>
        </is>
      </c>
      <c r="E3837" t="inlineStr">
        <is>
          <t>OC</t>
        </is>
      </c>
      <c r="F3837" t="inlineStr">
        <is>
          <t>MA1010837</t>
        </is>
      </c>
      <c r="G3837" s="128" t="n">
        <v>46140</v>
      </c>
      <c r="H3837" s="127" t="n">
        <v>46149</v>
      </c>
      <c r="I3837" t="inlineStr">
        <is>
          <t>4</t>
        </is>
      </c>
      <c r="J3837" s="38" t="inlineStr">
        <is>
          <t>0-4100-01</t>
        </is>
      </c>
      <c r="K3837" t="inlineStr">
        <is>
          <t>4’x100’ HARDWARE CLOTH 1/4' ME</t>
        </is>
      </c>
      <c r="L3837" t="n">
        <v>15</v>
      </c>
      <c r="M3837" t="n">
        <v>1369.46</v>
      </c>
      <c r="N3837" t="inlineStr">
        <is>
          <t>INVOICE</t>
        </is>
      </c>
      <c r="O3837" t="inlineStr">
        <is>
          <t>12561</t>
        </is>
      </c>
      <c r="P3837" t="inlineStr">
        <is>
          <t>CROSS COUNTRY INFRASTRUCTURE SERVICES INC.</t>
        </is>
      </c>
      <c r="Q3837" s="114" t="n">
        <v>0</v>
      </c>
      <c r="R3837" s="114" t="n">
        <v>0</v>
      </c>
      <c r="S3837" s="114" t="n">
        <v>0</v>
      </c>
      <c r="T3837" t="n">
        <v>0</v>
      </c>
    </row>
    <row r="3838">
      <c r="A3838" t="inlineStr">
        <is>
          <t>ttJTrans</t>
        </is>
      </c>
      <c r="B3838" s="38" t="inlineStr">
        <is>
          <t>0-4100-01</t>
        </is>
      </c>
      <c r="C3838" t="inlineStr">
        <is>
          <t>OC</t>
        </is>
      </c>
      <c r="D3838" t="inlineStr">
        <is>
          <t>MA1010837</t>
        </is>
      </c>
      <c r="E3838" t="inlineStr">
        <is>
          <t>OC</t>
        </is>
      </c>
      <c r="F3838" t="inlineStr">
        <is>
          <t>MA1010837</t>
        </is>
      </c>
      <c r="G3838" s="128" t="n">
        <v>46140</v>
      </c>
      <c r="H3838" s="127" t="n">
        <v>46149</v>
      </c>
      <c r="I3838" t="inlineStr">
        <is>
          <t>3</t>
        </is>
      </c>
      <c r="J3838" s="38" t="inlineStr">
        <is>
          <t>0-4100-01</t>
        </is>
      </c>
      <c r="K3838" t="inlineStr">
        <is>
          <t>BLANKET STRAW 8FTX112.5FT DOUB</t>
        </is>
      </c>
      <c r="L3838" t="n">
        <v>20</v>
      </c>
      <c r="M3838" t="n">
        <v>777</v>
      </c>
      <c r="N3838" t="inlineStr">
        <is>
          <t>INVOICE</t>
        </is>
      </c>
      <c r="O3838" t="inlineStr">
        <is>
          <t>12561</t>
        </is>
      </c>
      <c r="P3838" t="inlineStr">
        <is>
          <t>CROSS COUNTRY INFRASTRUCTURE SERVICES INC.</t>
        </is>
      </c>
      <c r="Q3838" s="114" t="n">
        <v>0</v>
      </c>
      <c r="R3838" s="114" t="n">
        <v>0</v>
      </c>
      <c r="S3838" s="114" t="n">
        <v>0</v>
      </c>
      <c r="T3838" t="n">
        <v>0</v>
      </c>
    </row>
    <row r="3839">
      <c r="A3839" t="inlineStr">
        <is>
          <t>ttJTrans</t>
        </is>
      </c>
      <c r="B3839" s="38" t="inlineStr">
        <is>
          <t>0-4100-01</t>
        </is>
      </c>
      <c r="C3839" t="inlineStr">
        <is>
          <t>OC</t>
        </is>
      </c>
      <c r="D3839" t="inlineStr">
        <is>
          <t>MA1010837</t>
        </is>
      </c>
      <c r="E3839" t="inlineStr">
        <is>
          <t>OC</t>
        </is>
      </c>
      <c r="F3839" t="inlineStr">
        <is>
          <t>MA1010837</t>
        </is>
      </c>
      <c r="G3839" s="128" t="n">
        <v>46140</v>
      </c>
      <c r="H3839" s="127" t="n">
        <v>46149</v>
      </c>
      <c r="I3839" t="inlineStr">
        <is>
          <t>2</t>
        </is>
      </c>
      <c r="J3839" s="38" t="inlineStr">
        <is>
          <t>0-4100-01</t>
        </is>
      </c>
      <c r="K3839" t="inlineStr">
        <is>
          <t>STAKE WOOD 1.5X1.5X48</t>
        </is>
      </c>
      <c r="L3839" t="n">
        <v>16000</v>
      </c>
      <c r="M3839" t="n">
        <v>20424</v>
      </c>
      <c r="N3839" t="inlineStr">
        <is>
          <t>INVOICE</t>
        </is>
      </c>
      <c r="O3839" t="inlineStr">
        <is>
          <t>12561</t>
        </is>
      </c>
      <c r="P3839" t="inlineStr">
        <is>
          <t>CROSS COUNTRY INFRASTRUCTURE SERVICES INC.</t>
        </is>
      </c>
      <c r="Q3839" s="114" t="n">
        <v>0</v>
      </c>
      <c r="R3839" s="114" t="n">
        <v>0</v>
      </c>
      <c r="S3839" s="114" t="n">
        <v>0</v>
      </c>
      <c r="T3839" t="n">
        <v>0</v>
      </c>
    </row>
    <row r="3840">
      <c r="A3840" t="inlineStr">
        <is>
          <t>ttJTrans</t>
        </is>
      </c>
      <c r="B3840" s="38" t="inlineStr">
        <is>
          <t>0-4100-01</t>
        </is>
      </c>
      <c r="C3840" t="inlineStr">
        <is>
          <t>OC</t>
        </is>
      </c>
      <c r="D3840" t="inlineStr">
        <is>
          <t>MA1010837</t>
        </is>
      </c>
      <c r="E3840" t="inlineStr">
        <is>
          <t>OC</t>
        </is>
      </c>
      <c r="F3840" t="inlineStr">
        <is>
          <t>MA1010837</t>
        </is>
      </c>
      <c r="G3840" s="128" t="n">
        <v>46140</v>
      </c>
      <c r="H3840" s="127" t="n">
        <v>46143</v>
      </c>
      <c r="I3840" t="inlineStr">
        <is>
          <t>2</t>
        </is>
      </c>
      <c r="J3840" s="38" t="inlineStr">
        <is>
          <t>0-4100-01</t>
        </is>
      </c>
      <c r="K3840" t="inlineStr">
        <is>
          <t>STAKE WOOD 1.5X1.5X48</t>
        </is>
      </c>
      <c r="L3840" t="n">
        <v>16000</v>
      </c>
      <c r="M3840" t="n">
        <v>20424</v>
      </c>
      <c r="N3840" t="inlineStr">
        <is>
          <t>PO:COMMIT</t>
        </is>
      </c>
      <c r="O3840" t="inlineStr">
        <is>
          <t>12561</t>
        </is>
      </c>
      <c r="P3840" t="inlineStr">
        <is>
          <t>CROSS COUNTRY INFRASTRUCTURE SERVICES INC.</t>
        </is>
      </c>
      <c r="Q3840" s="114" t="n">
        <v>0</v>
      </c>
      <c r="R3840" s="114" t="n">
        <v>0</v>
      </c>
      <c r="S3840" s="114" t="n">
        <v>20424</v>
      </c>
      <c r="T3840" t="n">
        <v>0</v>
      </c>
    </row>
    <row r="3841">
      <c r="A3841" t="inlineStr">
        <is>
          <t>ttJTrans</t>
        </is>
      </c>
      <c r="B3841" s="38" t="inlineStr">
        <is>
          <t>0-4100-01</t>
        </is>
      </c>
      <c r="C3841" t="inlineStr">
        <is>
          <t>OC</t>
        </is>
      </c>
      <c r="D3841" t="inlineStr">
        <is>
          <t>MA1010837</t>
        </is>
      </c>
      <c r="E3841" t="inlineStr">
        <is>
          <t>OC</t>
        </is>
      </c>
      <c r="F3841" t="inlineStr">
        <is>
          <t>MA1010837</t>
        </is>
      </c>
      <c r="G3841" s="128" t="n">
        <v>46140</v>
      </c>
      <c r="H3841" s="127" t="n">
        <v>46143</v>
      </c>
      <c r="I3841" t="inlineStr">
        <is>
          <t>4</t>
        </is>
      </c>
      <c r="J3841" s="38" t="inlineStr">
        <is>
          <t>0-4100-01</t>
        </is>
      </c>
      <c r="K3841" t="inlineStr">
        <is>
          <t>4’x100’ HARDWARE CLOTH 1/4' ME</t>
        </is>
      </c>
      <c r="L3841" t="n">
        <v>15</v>
      </c>
      <c r="M3841" t="n">
        <v>1369.46</v>
      </c>
      <c r="N3841" t="inlineStr">
        <is>
          <t>PO:COMMIT</t>
        </is>
      </c>
      <c r="O3841" t="inlineStr">
        <is>
          <t>12561</t>
        </is>
      </c>
      <c r="P3841" t="inlineStr">
        <is>
          <t>CROSS COUNTRY INFRASTRUCTURE SERVICES INC.</t>
        </is>
      </c>
      <c r="Q3841" s="114" t="n">
        <v>0</v>
      </c>
      <c r="R3841" s="114" t="n">
        <v>0</v>
      </c>
      <c r="S3841" s="114" t="n">
        <v>1369.46</v>
      </c>
      <c r="T3841" t="n">
        <v>0</v>
      </c>
    </row>
    <row r="3842">
      <c r="A3842" t="inlineStr">
        <is>
          <t>ttJTrans</t>
        </is>
      </c>
      <c r="B3842" s="38" t="inlineStr">
        <is>
          <t>0-4100-01</t>
        </is>
      </c>
      <c r="C3842" t="inlineStr">
        <is>
          <t>OC</t>
        </is>
      </c>
      <c r="D3842" t="inlineStr">
        <is>
          <t>MA1010837</t>
        </is>
      </c>
      <c r="E3842" t="inlineStr">
        <is>
          <t>OC</t>
        </is>
      </c>
      <c r="F3842" t="inlineStr">
        <is>
          <t>MA1010837</t>
        </is>
      </c>
      <c r="G3842" s="128" t="n">
        <v>46140</v>
      </c>
      <c r="H3842" s="127" t="n">
        <v>46143</v>
      </c>
      <c r="I3842" t="inlineStr">
        <is>
          <t>16</t>
        </is>
      </c>
      <c r="J3842" s="38" t="inlineStr">
        <is>
          <t>0-4100-01</t>
        </is>
      </c>
      <c r="K3842" t="inlineStr">
        <is>
          <t>BAG FILTER NW 13 X 15 - 60/PLT</t>
        </is>
      </c>
      <c r="L3842" t="n">
        <v>20</v>
      </c>
      <c r="M3842" t="n">
        <v>2240.65</v>
      </c>
      <c r="N3842" t="inlineStr">
        <is>
          <t>PO:COMMIT</t>
        </is>
      </c>
      <c r="O3842" t="inlineStr">
        <is>
          <t>12561</t>
        </is>
      </c>
      <c r="P3842" t="inlineStr">
        <is>
          <t>CROSS COUNTRY INFRASTRUCTURE SERVICES INC.</t>
        </is>
      </c>
      <c r="Q3842" s="114" t="n">
        <v>0</v>
      </c>
      <c r="R3842" s="114" t="n">
        <v>0</v>
      </c>
      <c r="S3842" s="114" t="n">
        <v>2240.65</v>
      </c>
      <c r="T3842" t="n">
        <v>0</v>
      </c>
    </row>
    <row r="3843">
      <c r="A3843" t="inlineStr">
        <is>
          <t>ttJTrans</t>
        </is>
      </c>
      <c r="B3843" s="38" t="inlineStr">
        <is>
          <t>0-4100-01</t>
        </is>
      </c>
      <c r="C3843" t="inlineStr">
        <is>
          <t>OC</t>
        </is>
      </c>
      <c r="D3843" t="inlineStr">
        <is>
          <t>MA1010837</t>
        </is>
      </c>
      <c r="E3843" t="inlineStr">
        <is>
          <t>OC</t>
        </is>
      </c>
      <c r="F3843" t="inlineStr">
        <is>
          <t>MA1010837</t>
        </is>
      </c>
      <c r="G3843" s="128" t="n">
        <v>46140</v>
      </c>
      <c r="H3843" s="127" t="n">
        <v>46143</v>
      </c>
      <c r="I3843" t="inlineStr">
        <is>
          <t>16</t>
        </is>
      </c>
      <c r="J3843" s="38" t="inlineStr">
        <is>
          <t>0-4100-01</t>
        </is>
      </c>
      <c r="K3843" t="inlineStr">
        <is>
          <t>BAG FILTER NW 13 X 15 - 60/PLT</t>
        </is>
      </c>
      <c r="L3843" t="n">
        <v>20</v>
      </c>
      <c r="M3843" t="n">
        <v>2240.65</v>
      </c>
      <c r="N3843" t="inlineStr">
        <is>
          <t>INVOICE:ADJ-COMMIT</t>
        </is>
      </c>
      <c r="O3843" t="inlineStr">
        <is>
          <t>12561</t>
        </is>
      </c>
      <c r="P3843" t="inlineStr">
        <is>
          <t>CROSS COUNTRY INFRASTRUCTURE SERVICES INC.</t>
        </is>
      </c>
      <c r="Q3843" s="114" t="n">
        <v>0</v>
      </c>
      <c r="R3843" s="114" t="n">
        <v>0</v>
      </c>
      <c r="S3843" s="114" t="n">
        <v>-2158.07</v>
      </c>
      <c r="T3843" t="n">
        <v>0</v>
      </c>
    </row>
    <row r="3844">
      <c r="A3844" t="inlineStr">
        <is>
          <t>ttJTrans</t>
        </is>
      </c>
      <c r="B3844" s="38" t="inlineStr">
        <is>
          <t>0-4100-01</t>
        </is>
      </c>
      <c r="C3844" t="inlineStr">
        <is>
          <t>OC</t>
        </is>
      </c>
      <c r="D3844" t="inlineStr">
        <is>
          <t>MA1010837</t>
        </is>
      </c>
      <c r="E3844" t="inlineStr">
        <is>
          <t>OC</t>
        </is>
      </c>
      <c r="F3844" t="inlineStr">
        <is>
          <t>MA1010837</t>
        </is>
      </c>
      <c r="G3844" s="128" t="n">
        <v>46140</v>
      </c>
      <c r="H3844" s="127" t="n">
        <v>46143</v>
      </c>
      <c r="I3844" t="inlineStr">
        <is>
          <t>2</t>
        </is>
      </c>
      <c r="J3844" s="38" t="inlineStr">
        <is>
          <t>0-4100-01</t>
        </is>
      </c>
      <c r="K3844" t="inlineStr">
        <is>
          <t>STAKE WOOD 1.5X1.5X48</t>
        </is>
      </c>
      <c r="L3844" t="n">
        <v>16000</v>
      </c>
      <c r="M3844" t="n">
        <v>20424</v>
      </c>
      <c r="N3844" t="inlineStr">
        <is>
          <t>INVOICE:ADJ-COMMIT</t>
        </is>
      </c>
      <c r="O3844" t="inlineStr">
        <is>
          <t>12561</t>
        </is>
      </c>
      <c r="P3844" t="inlineStr">
        <is>
          <t>CROSS COUNTRY INFRASTRUCTURE SERVICES INC.</t>
        </is>
      </c>
      <c r="Q3844" s="114" t="n">
        <v>0</v>
      </c>
      <c r="R3844" s="114" t="n">
        <v>0</v>
      </c>
      <c r="S3844" s="114" t="n">
        <v>-20424</v>
      </c>
      <c r="T3844" t="n">
        <v>0</v>
      </c>
    </row>
    <row r="3845">
      <c r="A3845" t="inlineStr">
        <is>
          <t>ttJTrans</t>
        </is>
      </c>
      <c r="B3845" s="38" t="inlineStr">
        <is>
          <t>0-4100-01</t>
        </is>
      </c>
      <c r="C3845" t="inlineStr">
        <is>
          <t>OC</t>
        </is>
      </c>
      <c r="D3845" t="inlineStr">
        <is>
          <t>MA1010837</t>
        </is>
      </c>
      <c r="E3845" t="inlineStr">
        <is>
          <t>OC</t>
        </is>
      </c>
      <c r="F3845" t="inlineStr">
        <is>
          <t>MA1010837</t>
        </is>
      </c>
      <c r="G3845" s="128" t="n">
        <v>46140</v>
      </c>
      <c r="H3845" s="127" t="n">
        <v>46143</v>
      </c>
      <c r="I3845" t="inlineStr">
        <is>
          <t>3</t>
        </is>
      </c>
      <c r="J3845" s="38" t="inlineStr">
        <is>
          <t>0-4100-01</t>
        </is>
      </c>
      <c r="K3845" t="inlineStr">
        <is>
          <t>BLANKET STRAW 8FTX112.5FT DOUB</t>
        </is>
      </c>
      <c r="L3845" t="n">
        <v>20</v>
      </c>
      <c r="M3845" t="n">
        <v>777</v>
      </c>
      <c r="N3845" t="inlineStr">
        <is>
          <t>INVOICE:ADJ-COMMIT</t>
        </is>
      </c>
      <c r="O3845" t="inlineStr">
        <is>
          <t>12561</t>
        </is>
      </c>
      <c r="P3845" t="inlineStr">
        <is>
          <t>CROSS COUNTRY INFRASTRUCTURE SERVICES INC.</t>
        </is>
      </c>
      <c r="Q3845" s="114" t="n">
        <v>0</v>
      </c>
      <c r="R3845" s="114" t="n">
        <v>0</v>
      </c>
      <c r="S3845" s="114" t="n">
        <v>-777</v>
      </c>
      <c r="T3845" t="n">
        <v>0</v>
      </c>
    </row>
    <row r="3846">
      <c r="A3846" t="inlineStr">
        <is>
          <t>ttJTrans</t>
        </is>
      </c>
      <c r="B3846" s="38" t="inlineStr">
        <is>
          <t>0-4100-01</t>
        </is>
      </c>
      <c r="C3846" t="inlineStr">
        <is>
          <t>OC</t>
        </is>
      </c>
      <c r="D3846" t="inlineStr">
        <is>
          <t>MA1010837</t>
        </is>
      </c>
      <c r="E3846" t="inlineStr">
        <is>
          <t>OC</t>
        </is>
      </c>
      <c r="F3846" t="inlineStr">
        <is>
          <t>MA1010837</t>
        </is>
      </c>
      <c r="G3846" s="128" t="n">
        <v>46140</v>
      </c>
      <c r="H3846" s="127" t="n">
        <v>46143</v>
      </c>
      <c r="I3846" t="inlineStr">
        <is>
          <t>3</t>
        </is>
      </c>
      <c r="J3846" s="38" t="inlineStr">
        <is>
          <t>0-4100-01</t>
        </is>
      </c>
      <c r="K3846" t="inlineStr">
        <is>
          <t>BLANKET STRAW 8FTX112.5FT DOUB</t>
        </is>
      </c>
      <c r="L3846" t="n">
        <v>20</v>
      </c>
      <c r="M3846" t="n">
        <v>777</v>
      </c>
      <c r="N3846" t="inlineStr">
        <is>
          <t>PO:COMMIT</t>
        </is>
      </c>
      <c r="O3846" t="inlineStr">
        <is>
          <t>12561</t>
        </is>
      </c>
      <c r="P3846" t="inlineStr">
        <is>
          <t>CROSS COUNTRY INFRASTRUCTURE SERVICES INC.</t>
        </is>
      </c>
      <c r="Q3846" s="114" t="n">
        <v>0</v>
      </c>
      <c r="R3846" s="114" t="n">
        <v>0</v>
      </c>
      <c r="S3846" s="114" t="n">
        <v>777</v>
      </c>
      <c r="T3846" t="n">
        <v>0</v>
      </c>
    </row>
    <row r="3847">
      <c r="A3847" t="inlineStr">
        <is>
          <t>ttJTrans</t>
        </is>
      </c>
      <c r="B3847" s="38" t="inlineStr">
        <is>
          <t>0-4100-01</t>
        </is>
      </c>
      <c r="C3847" t="inlineStr">
        <is>
          <t>OC</t>
        </is>
      </c>
      <c r="D3847" t="inlineStr">
        <is>
          <t>MA1011252</t>
        </is>
      </c>
      <c r="E3847" t="inlineStr">
        <is>
          <t>OC</t>
        </is>
      </c>
      <c r="F3847" t="inlineStr">
        <is>
          <t>MA1011252</t>
        </is>
      </c>
      <c r="G3847" s="128" t="n">
        <v>46127</v>
      </c>
      <c r="H3847" s="127" t="n">
        <v>46128</v>
      </c>
      <c r="I3847" t="inlineStr">
        <is>
          <t>3</t>
        </is>
      </c>
      <c r="J3847" s="38" t="inlineStr">
        <is>
          <t>0-4100-01</t>
        </is>
      </c>
      <c r="K3847" t="inlineStr">
        <is>
          <t>Wattles</t>
        </is>
      </c>
      <c r="L3847" t="n">
        <v>20</v>
      </c>
      <c r="M3847" t="n">
        <v>656.45</v>
      </c>
      <c r="N3847" t="inlineStr">
        <is>
          <t>PO:COMMIT</t>
        </is>
      </c>
      <c r="O3847" t="inlineStr">
        <is>
          <t>12561</t>
        </is>
      </c>
      <c r="P3847" t="inlineStr">
        <is>
          <t>CROSS COUNTRY INFRASTRUCTURE SERVICES INC.</t>
        </is>
      </c>
      <c r="Q3847" s="114" t="n">
        <v>0</v>
      </c>
      <c r="R3847" s="114" t="n">
        <v>0</v>
      </c>
      <c r="S3847" s="114" t="n">
        <v>656.45</v>
      </c>
      <c r="T3847" t="n">
        <v>0</v>
      </c>
    </row>
    <row r="3848">
      <c r="A3848" t="inlineStr">
        <is>
          <t>ttJTrans</t>
        </is>
      </c>
      <c r="B3848" s="38" t="inlineStr">
        <is>
          <t>0-4100-01</t>
        </is>
      </c>
      <c r="C3848" t="inlineStr">
        <is>
          <t>OC</t>
        </is>
      </c>
      <c r="D3848" t="inlineStr">
        <is>
          <t>MA1011252</t>
        </is>
      </c>
      <c r="E3848" t="inlineStr">
        <is>
          <t>OC</t>
        </is>
      </c>
      <c r="F3848" t="inlineStr">
        <is>
          <t>MA1011252</t>
        </is>
      </c>
      <c r="G3848" s="128" t="n">
        <v>46127</v>
      </c>
      <c r="H3848" s="127" t="n">
        <v>46141</v>
      </c>
      <c r="I3848" t="inlineStr">
        <is>
          <t>3</t>
        </is>
      </c>
      <c r="J3848" s="38" t="inlineStr">
        <is>
          <t>0-4100-01</t>
        </is>
      </c>
      <c r="K3848" t="inlineStr">
        <is>
          <t>Wattles</t>
        </is>
      </c>
      <c r="L3848" t="n">
        <v>20</v>
      </c>
      <c r="M3848" t="n">
        <v>656.45</v>
      </c>
      <c r="N3848" t="inlineStr">
        <is>
          <t>INVOICE</t>
        </is>
      </c>
      <c r="O3848" t="inlineStr">
        <is>
          <t>12561</t>
        </is>
      </c>
      <c r="P3848" t="inlineStr">
        <is>
          <t>CROSS COUNTRY INFRASTRUCTURE SERVICES INC.</t>
        </is>
      </c>
      <c r="Q3848" s="114" t="n">
        <v>0</v>
      </c>
      <c r="R3848" s="114" t="n">
        <v>0</v>
      </c>
      <c r="S3848" s="114" t="n">
        <v>0</v>
      </c>
      <c r="T3848" t="n">
        <v>0</v>
      </c>
    </row>
    <row r="3849">
      <c r="A3849" t="inlineStr">
        <is>
          <t>ttJTrans</t>
        </is>
      </c>
      <c r="B3849" s="38" t="inlineStr">
        <is>
          <t>0-4100-01</t>
        </is>
      </c>
      <c r="C3849" t="inlineStr">
        <is>
          <t>OC</t>
        </is>
      </c>
      <c r="D3849" t="inlineStr">
        <is>
          <t>MA1011252</t>
        </is>
      </c>
      <c r="E3849" t="inlineStr">
        <is>
          <t>OC</t>
        </is>
      </c>
      <c r="F3849" t="inlineStr">
        <is>
          <t>MA1011252</t>
        </is>
      </c>
      <c r="G3849" s="128" t="n">
        <v>46127</v>
      </c>
      <c r="H3849" s="127" t="n">
        <v>46128</v>
      </c>
      <c r="I3849" t="inlineStr">
        <is>
          <t>3</t>
        </is>
      </c>
      <c r="J3849" s="38" t="inlineStr">
        <is>
          <t>0-4100-01</t>
        </is>
      </c>
      <c r="K3849" t="inlineStr">
        <is>
          <t>Wattles</t>
        </is>
      </c>
      <c r="L3849" t="n">
        <v>20</v>
      </c>
      <c r="M3849" t="n">
        <v>656.45</v>
      </c>
      <c r="N3849" t="inlineStr">
        <is>
          <t>INVOICE:ADJ-COMMIT</t>
        </is>
      </c>
      <c r="O3849" t="inlineStr">
        <is>
          <t>12561</t>
        </is>
      </c>
      <c r="P3849" t="inlineStr">
        <is>
          <t>CROSS COUNTRY INFRASTRUCTURE SERVICES INC.</t>
        </is>
      </c>
      <c r="Q3849" s="114" t="n">
        <v>0</v>
      </c>
      <c r="R3849" s="114" t="n">
        <v>0</v>
      </c>
      <c r="S3849" s="114" t="n">
        <v>-656.45</v>
      </c>
      <c r="T3849" t="n">
        <v>0</v>
      </c>
    </row>
    <row r="3850">
      <c r="A3850" t="inlineStr">
        <is>
          <t>ttJTrans</t>
        </is>
      </c>
      <c r="B3850" s="38" t="inlineStr">
        <is>
          <t>0-4100-01</t>
        </is>
      </c>
      <c r="C3850" t="inlineStr">
        <is>
          <t>OC</t>
        </is>
      </c>
      <c r="E3850" t="inlineStr">
        <is>
          <t>OC</t>
        </is>
      </c>
      <c r="G3850" s="128" t="inlineStr"/>
      <c r="H3850" s="127" t="n">
        <v>46147</v>
      </c>
      <c r="J3850" s="38" t="inlineStr">
        <is>
          <t>0-4100-01</t>
        </is>
      </c>
      <c r="K3850" t="inlineStr">
        <is>
          <t>SITL FENCE ERIOUSION CONTROL SUPPLIES S624996 LUKE</t>
        </is>
      </c>
      <c r="L3850" t="n">
        <v>0</v>
      </c>
      <c r="M3850" t="n">
        <v>0</v>
      </c>
      <c r="O3850" t="inlineStr">
        <is>
          <t>12561</t>
        </is>
      </c>
      <c r="P3850" t="inlineStr">
        <is>
          <t>CROSS COUNTRY INFRASTRUCTURE SERVICES INC.</t>
        </is>
      </c>
      <c r="Q3850" s="114" t="n">
        <v>0</v>
      </c>
      <c r="R3850" s="114" t="n">
        <v>24115.88</v>
      </c>
      <c r="S3850" s="114" t="n">
        <v>0</v>
      </c>
      <c r="T3850" t="n">
        <v>0</v>
      </c>
    </row>
    <row r="3851">
      <c r="A3851" t="inlineStr">
        <is>
          <t>ttJTrans</t>
        </is>
      </c>
      <c r="B3851" s="38" t="inlineStr">
        <is>
          <t>0-4100-01</t>
        </is>
      </c>
      <c r="C3851" t="inlineStr">
        <is>
          <t>OC</t>
        </is>
      </c>
      <c r="E3851" t="inlineStr">
        <is>
          <t>OC</t>
        </is>
      </c>
      <c r="G3851" s="128" t="inlineStr"/>
      <c r="H3851" s="127" t="n">
        <v>46141</v>
      </c>
      <c r="J3851" s="38" t="inlineStr">
        <is>
          <t>0-4100-01</t>
        </is>
      </c>
      <c r="K3851" t="inlineStr">
        <is>
          <t>PAINT/ 2X20 PVC SCH80 / WATTLE STRAW/ DEF/ RAGS/ GLASS CLNR/ VISQUEEN</t>
        </is>
      </c>
      <c r="L3851" t="n">
        <v>0</v>
      </c>
      <c r="M3851" t="n">
        <v>0</v>
      </c>
      <c r="O3851" t="inlineStr">
        <is>
          <t>12561</t>
        </is>
      </c>
      <c r="P3851" t="inlineStr">
        <is>
          <t>CROSS COUNTRY INFRASTRUCTURE SERVICES INC.</t>
        </is>
      </c>
      <c r="Q3851" s="114" t="n">
        <v>0</v>
      </c>
      <c r="R3851" s="114" t="n">
        <v>640.1900000000001</v>
      </c>
      <c r="S3851" s="114" t="n">
        <v>0</v>
      </c>
      <c r="T3851" t="n">
        <v>0</v>
      </c>
    </row>
    <row r="3852">
      <c r="A3852" t="inlineStr">
        <is>
          <t>ttJTrans</t>
        </is>
      </c>
      <c r="B3852" s="38" t="inlineStr">
        <is>
          <t>0-4101</t>
        </is>
      </c>
      <c r="C3852" t="inlineStr">
        <is>
          <t>EQ</t>
        </is>
      </c>
      <c r="E3852" t="inlineStr">
        <is>
          <t>EQ</t>
        </is>
      </c>
      <c r="G3852" s="128" t="inlineStr"/>
      <c r="H3852" s="127" t="n">
        <v>46159</v>
      </c>
      <c r="J3852" s="38" t="inlineStr">
        <is>
          <t>0-4101</t>
        </is>
      </c>
      <c r="K3852" t="inlineStr">
        <is>
          <t>SSRAKE03 TITAN SSL-84 GRAPPLE RAKE TITAN SSL-84 GRAPPLE RAKE</t>
        </is>
      </c>
      <c r="L3852" t="n">
        <v>0</v>
      </c>
      <c r="M3852" t="n">
        <v>0</v>
      </c>
      <c r="O3852" t="inlineStr">
        <is>
          <t>SSRAKE03</t>
        </is>
      </c>
      <c r="Q3852" s="114" t="n">
        <v>0</v>
      </c>
      <c r="R3852" s="114" t="n">
        <v>0</v>
      </c>
      <c r="S3852" s="114" t="n">
        <v>0</v>
      </c>
      <c r="T3852" t="n">
        <v>0</v>
      </c>
    </row>
    <row r="3853">
      <c r="A3853" t="inlineStr">
        <is>
          <t>ttJTrans</t>
        </is>
      </c>
      <c r="B3853" s="38" t="inlineStr">
        <is>
          <t>0-4101</t>
        </is>
      </c>
      <c r="C3853" t="inlineStr">
        <is>
          <t>EQ</t>
        </is>
      </c>
      <c r="E3853" t="inlineStr">
        <is>
          <t>EQ</t>
        </is>
      </c>
      <c r="G3853" s="128" t="inlineStr"/>
      <c r="H3853" s="127" t="n">
        <v>46152</v>
      </c>
      <c r="J3853" s="38" t="inlineStr">
        <is>
          <t>0-4101</t>
        </is>
      </c>
      <c r="K3853" t="inlineStr">
        <is>
          <t>SSRAKE03 TITAN SSL-84 GRAPPLE RAKE TITAN SSL-84 GRAPPLE RAKE</t>
        </is>
      </c>
      <c r="L3853" t="n">
        <v>0</v>
      </c>
      <c r="M3853" t="n">
        <v>0</v>
      </c>
      <c r="O3853" t="inlineStr">
        <is>
          <t>SSRAKE03</t>
        </is>
      </c>
      <c r="Q3853" s="114" t="n">
        <v>0</v>
      </c>
      <c r="R3853" s="114" t="n">
        <v>0</v>
      </c>
      <c r="S3853" s="114" t="n">
        <v>0</v>
      </c>
      <c r="T3853" t="n">
        <v>0</v>
      </c>
    </row>
    <row r="3854">
      <c r="A3854" t="inlineStr">
        <is>
          <t>ttJTrans</t>
        </is>
      </c>
      <c r="B3854" s="38" t="inlineStr">
        <is>
          <t>0-4101</t>
        </is>
      </c>
      <c r="C3854" t="inlineStr">
        <is>
          <t>EQ</t>
        </is>
      </c>
      <c r="E3854" t="inlineStr">
        <is>
          <t>EQ</t>
        </is>
      </c>
      <c r="G3854" s="128" t="inlineStr"/>
      <c r="H3854" s="127" t="n">
        <v>46152</v>
      </c>
      <c r="J3854" s="38" t="inlineStr">
        <is>
          <t>0-4101</t>
        </is>
      </c>
      <c r="K3854" t="inlineStr">
        <is>
          <t>SSRAKE03 TITAN SSL-84 GRAPPLE RAKE TITAN SSL-84 GRAPPLE RAKE</t>
        </is>
      </c>
      <c r="L3854" t="n">
        <v>0</v>
      </c>
      <c r="M3854" t="n">
        <v>0</v>
      </c>
      <c r="O3854" t="inlineStr">
        <is>
          <t>SSRAKE03</t>
        </is>
      </c>
      <c r="Q3854" s="114" t="n">
        <v>0</v>
      </c>
      <c r="R3854" s="114" t="n">
        <v>0</v>
      </c>
      <c r="S3854" s="114" t="n">
        <v>0</v>
      </c>
      <c r="T3854" t="n">
        <v>0</v>
      </c>
    </row>
    <row r="3855">
      <c r="A3855" t="inlineStr">
        <is>
          <t>ttJTrans</t>
        </is>
      </c>
      <c r="B3855" s="38" t="inlineStr">
        <is>
          <t>0-4101</t>
        </is>
      </c>
      <c r="C3855" t="inlineStr">
        <is>
          <t>EQ</t>
        </is>
      </c>
      <c r="E3855" t="inlineStr">
        <is>
          <t>EQ</t>
        </is>
      </c>
      <c r="G3855" s="128" t="inlineStr"/>
      <c r="H3855" s="127" t="n">
        <v>46152</v>
      </c>
      <c r="J3855" s="38" t="inlineStr">
        <is>
          <t>0-4101</t>
        </is>
      </c>
      <c r="K3855" t="inlineStr">
        <is>
          <t>SSRAKE03 TITAN SSL-84 GRAPPLE RAKE TITAN SSL-84 GRAPPLE RAKE</t>
        </is>
      </c>
      <c r="L3855" t="n">
        <v>0</v>
      </c>
      <c r="M3855" t="n">
        <v>0</v>
      </c>
      <c r="O3855" t="inlineStr">
        <is>
          <t>SSRAKE03</t>
        </is>
      </c>
      <c r="Q3855" s="114" t="n">
        <v>0</v>
      </c>
      <c r="R3855" s="114" t="n">
        <v>0</v>
      </c>
      <c r="S3855" s="114" t="n">
        <v>0</v>
      </c>
      <c r="T3855" t="n">
        <v>0</v>
      </c>
    </row>
    <row r="3856">
      <c r="A3856" t="inlineStr">
        <is>
          <t>ttJTrans</t>
        </is>
      </c>
      <c r="B3856" s="38" t="inlineStr">
        <is>
          <t>0-4101</t>
        </is>
      </c>
      <c r="C3856" t="inlineStr">
        <is>
          <t>EQ</t>
        </is>
      </c>
      <c r="E3856" t="inlineStr">
        <is>
          <t>EQ</t>
        </is>
      </c>
      <c r="G3856" s="128" t="inlineStr"/>
      <c r="H3856" s="127" t="n">
        <v>46152</v>
      </c>
      <c r="J3856" s="38" t="inlineStr">
        <is>
          <t>0-4101</t>
        </is>
      </c>
      <c r="K3856" t="inlineStr">
        <is>
          <t>SSRAKE03 TITAN SSL-84 GRAPPLE RAKE TITAN SSL-84 GRAPPLE RAKE</t>
        </is>
      </c>
      <c r="L3856" t="n">
        <v>0</v>
      </c>
      <c r="M3856" t="n">
        <v>0</v>
      </c>
      <c r="O3856" t="inlineStr">
        <is>
          <t>SSRAKE03</t>
        </is>
      </c>
      <c r="Q3856" s="114" t="n">
        <v>0</v>
      </c>
      <c r="R3856" s="114" t="n">
        <v>0</v>
      </c>
      <c r="S3856" s="114" t="n">
        <v>0</v>
      </c>
      <c r="T3856" t="n">
        <v>0</v>
      </c>
    </row>
    <row r="3857">
      <c r="A3857" t="inlineStr">
        <is>
          <t>ttJTrans</t>
        </is>
      </c>
      <c r="B3857" s="38" t="inlineStr">
        <is>
          <t>0-4101</t>
        </is>
      </c>
      <c r="C3857" t="inlineStr">
        <is>
          <t>EQ</t>
        </is>
      </c>
      <c r="E3857" t="inlineStr">
        <is>
          <t>EQ</t>
        </is>
      </c>
      <c r="G3857" s="128" t="inlineStr"/>
      <c r="H3857" s="127" t="n">
        <v>46159</v>
      </c>
      <c r="J3857" s="38" t="inlineStr">
        <is>
          <t>0-4101</t>
        </is>
      </c>
      <c r="K3857" t="inlineStr">
        <is>
          <t>BH235 2023 KOMATSU PC88MR-11 EXCAVATOR 2023 KOMATSU PC88MR-11 EXCAVATOR</t>
        </is>
      </c>
      <c r="L3857" t="n">
        <v>0</v>
      </c>
      <c r="M3857" t="n">
        <v>0</v>
      </c>
      <c r="O3857" t="inlineStr">
        <is>
          <t>BH235</t>
        </is>
      </c>
      <c r="Q3857" s="114" t="n">
        <v>0</v>
      </c>
      <c r="R3857" s="114" t="n">
        <v>125</v>
      </c>
      <c r="S3857" s="114" t="n">
        <v>0</v>
      </c>
      <c r="T3857" t="n">
        <v>0</v>
      </c>
    </row>
    <row r="3858">
      <c r="A3858" t="inlineStr">
        <is>
          <t>ttJTrans</t>
        </is>
      </c>
      <c r="B3858" s="38" t="inlineStr">
        <is>
          <t>0-4101</t>
        </is>
      </c>
      <c r="C3858" t="inlineStr">
        <is>
          <t>EQ</t>
        </is>
      </c>
      <c r="E3858" t="inlineStr">
        <is>
          <t>EQ</t>
        </is>
      </c>
      <c r="G3858" s="128" t="inlineStr"/>
      <c r="H3858" s="127" t="n">
        <v>46159</v>
      </c>
      <c r="J3858" s="38" t="inlineStr">
        <is>
          <t>0-4101</t>
        </is>
      </c>
      <c r="K3858" t="inlineStr">
        <is>
          <t>BH235 2023 KOMATSU PC88MR-11 EXCAVATOR 2023 KOMATSU PC88MR-11 EXCAVATOR</t>
        </is>
      </c>
      <c r="L3858" t="n">
        <v>0</v>
      </c>
      <c r="M3858" t="n">
        <v>0</v>
      </c>
      <c r="O3858" t="inlineStr">
        <is>
          <t>BH235</t>
        </is>
      </c>
      <c r="Q3858" s="114" t="n">
        <v>0</v>
      </c>
      <c r="R3858" s="114" t="n">
        <v>125</v>
      </c>
      <c r="S3858" s="114" t="n">
        <v>0</v>
      </c>
      <c r="T3858" t="n">
        <v>0</v>
      </c>
    </row>
    <row r="3859">
      <c r="A3859" t="inlineStr">
        <is>
          <t>ttJTrans</t>
        </is>
      </c>
      <c r="B3859" s="38" t="inlineStr">
        <is>
          <t>0-4101</t>
        </is>
      </c>
      <c r="C3859" t="inlineStr">
        <is>
          <t>EQ</t>
        </is>
      </c>
      <c r="E3859" t="inlineStr">
        <is>
          <t>EQ</t>
        </is>
      </c>
      <c r="G3859" s="128" t="inlineStr"/>
      <c r="H3859" s="127" t="n">
        <v>46159</v>
      </c>
      <c r="J3859" s="38" t="inlineStr">
        <is>
          <t>0-4101</t>
        </is>
      </c>
      <c r="K3859" t="inlineStr">
        <is>
          <t>SSRAKE03 TITAN SSL-84 GRAPPLE RAKE TITAN SSL-84 GRAPPLE RAKE</t>
        </is>
      </c>
      <c r="L3859" t="n">
        <v>0</v>
      </c>
      <c r="M3859" t="n">
        <v>0</v>
      </c>
      <c r="O3859" t="inlineStr">
        <is>
          <t>SSRAKE03</t>
        </is>
      </c>
      <c r="Q3859" s="114" t="n">
        <v>0</v>
      </c>
      <c r="R3859" s="114" t="n">
        <v>0</v>
      </c>
      <c r="S3859" s="114" t="n">
        <v>0</v>
      </c>
      <c r="T3859" t="n">
        <v>0</v>
      </c>
    </row>
    <row r="3860">
      <c r="A3860" t="inlineStr">
        <is>
          <t>ttJTrans</t>
        </is>
      </c>
      <c r="B3860" s="38" t="inlineStr">
        <is>
          <t>0-4101</t>
        </is>
      </c>
      <c r="C3860" t="inlineStr">
        <is>
          <t>EQ</t>
        </is>
      </c>
      <c r="E3860" t="inlineStr">
        <is>
          <t>EQ</t>
        </is>
      </c>
      <c r="G3860" s="128" t="inlineStr"/>
      <c r="H3860" s="127" t="n">
        <v>46159</v>
      </c>
      <c r="J3860" s="38" t="inlineStr">
        <is>
          <t>0-4101</t>
        </is>
      </c>
      <c r="K3860" t="inlineStr">
        <is>
          <t>SSRAKE03 TITAN SSL-84 GRAPPLE RAKE TITAN SSL-84 GRAPPLE RAKE</t>
        </is>
      </c>
      <c r="L3860" t="n">
        <v>0</v>
      </c>
      <c r="M3860" t="n">
        <v>0</v>
      </c>
      <c r="O3860" t="inlineStr">
        <is>
          <t>SSRAKE03</t>
        </is>
      </c>
      <c r="Q3860" s="114" t="n">
        <v>0</v>
      </c>
      <c r="R3860" s="114" t="n">
        <v>0</v>
      </c>
      <c r="S3860" s="114" t="n">
        <v>0</v>
      </c>
      <c r="T3860" t="n">
        <v>0</v>
      </c>
    </row>
    <row r="3861">
      <c r="A3861" t="inlineStr">
        <is>
          <t>ttJTrans</t>
        </is>
      </c>
      <c r="B3861" s="38" t="inlineStr">
        <is>
          <t>0-4101</t>
        </is>
      </c>
      <c r="C3861" t="inlineStr">
        <is>
          <t>EQ</t>
        </is>
      </c>
      <c r="E3861" t="inlineStr">
        <is>
          <t>EQ</t>
        </is>
      </c>
      <c r="G3861" s="128" t="inlineStr"/>
      <c r="H3861" s="127" t="n">
        <v>46159</v>
      </c>
      <c r="J3861" s="38" t="inlineStr">
        <is>
          <t>0-4101</t>
        </is>
      </c>
      <c r="K3861" t="inlineStr">
        <is>
          <t>SSRAKE03 TITAN SSL-84 GRAPPLE RAKE TITAN SSL-84 GRAPPLE RAKE</t>
        </is>
      </c>
      <c r="L3861" t="n">
        <v>0</v>
      </c>
      <c r="M3861" t="n">
        <v>0</v>
      </c>
      <c r="O3861" t="inlineStr">
        <is>
          <t>SSRAKE03</t>
        </is>
      </c>
      <c r="Q3861" s="114" t="n">
        <v>0</v>
      </c>
      <c r="R3861" s="114" t="n">
        <v>0</v>
      </c>
      <c r="S3861" s="114" t="n">
        <v>0</v>
      </c>
      <c r="T3861" t="n">
        <v>0</v>
      </c>
    </row>
    <row r="3862">
      <c r="A3862" t="inlineStr">
        <is>
          <t>ttJTrans</t>
        </is>
      </c>
      <c r="B3862" s="38" t="inlineStr">
        <is>
          <t>0-4101</t>
        </is>
      </c>
      <c r="C3862" t="inlineStr">
        <is>
          <t>EQ</t>
        </is>
      </c>
      <c r="E3862" t="inlineStr">
        <is>
          <t>EQ</t>
        </is>
      </c>
      <c r="G3862" s="128" t="inlineStr"/>
      <c r="H3862" s="127" t="n">
        <v>46166</v>
      </c>
      <c r="J3862" s="38" t="inlineStr">
        <is>
          <t>0-4101</t>
        </is>
      </c>
      <c r="K3862" t="inlineStr">
        <is>
          <t>SSRAKE03 TITAN SSL-84 GRAPPLE RAKE TITAN SSL-84 GRAPPLE RAKE</t>
        </is>
      </c>
      <c r="L3862" t="n">
        <v>0</v>
      </c>
      <c r="M3862" t="n">
        <v>0</v>
      </c>
      <c r="O3862" t="inlineStr">
        <is>
          <t>SSRAKE03</t>
        </is>
      </c>
      <c r="Q3862" s="114" t="n">
        <v>0</v>
      </c>
      <c r="R3862" s="114" t="n">
        <v>0</v>
      </c>
      <c r="S3862" s="114" t="n">
        <v>0</v>
      </c>
      <c r="T3862" t="n">
        <v>0</v>
      </c>
    </row>
    <row r="3863">
      <c r="A3863" t="inlineStr">
        <is>
          <t>ttJTrans</t>
        </is>
      </c>
      <c r="B3863" s="38" t="inlineStr">
        <is>
          <t>0-4101</t>
        </is>
      </c>
      <c r="C3863" t="inlineStr">
        <is>
          <t>EQ</t>
        </is>
      </c>
      <c r="E3863" t="inlineStr">
        <is>
          <t>EQ</t>
        </is>
      </c>
      <c r="G3863" s="128" t="inlineStr"/>
      <c r="H3863" s="127" t="n">
        <v>46159</v>
      </c>
      <c r="J3863" s="38" t="inlineStr">
        <is>
          <t>0-4101</t>
        </is>
      </c>
      <c r="K3863" t="inlineStr">
        <is>
          <t>SSRAKE03 TITAN SSL-84 GRAPPLE RAKE TITAN SSL-84 GRAPPLE RAKE</t>
        </is>
      </c>
      <c r="L3863" t="n">
        <v>0</v>
      </c>
      <c r="M3863" t="n">
        <v>0</v>
      </c>
      <c r="O3863" t="inlineStr">
        <is>
          <t>SSRAKE03</t>
        </is>
      </c>
      <c r="Q3863" s="114" t="n">
        <v>0</v>
      </c>
      <c r="R3863" s="114" t="n">
        <v>0</v>
      </c>
      <c r="S3863" s="114" t="n">
        <v>0</v>
      </c>
      <c r="T3863" t="n">
        <v>0</v>
      </c>
    </row>
    <row r="3864">
      <c r="A3864" t="inlineStr">
        <is>
          <t>ttJTrans</t>
        </is>
      </c>
      <c r="B3864" s="38" t="inlineStr">
        <is>
          <t>0-4101</t>
        </is>
      </c>
      <c r="C3864" t="inlineStr">
        <is>
          <t>EQ</t>
        </is>
      </c>
      <c r="E3864" t="inlineStr">
        <is>
          <t>EQ</t>
        </is>
      </c>
      <c r="G3864" s="128" t="inlineStr"/>
      <c r="H3864" s="127" t="n">
        <v>46159</v>
      </c>
      <c r="J3864" s="38" t="inlineStr">
        <is>
          <t>0-4101</t>
        </is>
      </c>
      <c r="K3864" t="inlineStr">
        <is>
          <t>SSRAKE03 TITAN SSL-84 GRAPPLE RAKE TITAN SSL-84 GRAPPLE RAKE</t>
        </is>
      </c>
      <c r="L3864" t="n">
        <v>0</v>
      </c>
      <c r="M3864" t="n">
        <v>0</v>
      </c>
      <c r="O3864" t="inlineStr">
        <is>
          <t>SSRAKE03</t>
        </is>
      </c>
      <c r="Q3864" s="114" t="n">
        <v>0</v>
      </c>
      <c r="R3864" s="114" t="n">
        <v>0</v>
      </c>
      <c r="S3864" s="114" t="n">
        <v>0</v>
      </c>
      <c r="T3864" t="n">
        <v>0</v>
      </c>
    </row>
    <row r="3865">
      <c r="A3865" t="inlineStr">
        <is>
          <t>ttJTrans</t>
        </is>
      </c>
      <c r="B3865" s="38" t="inlineStr">
        <is>
          <t>0-4101</t>
        </is>
      </c>
      <c r="C3865" t="inlineStr">
        <is>
          <t>EQ</t>
        </is>
      </c>
      <c r="E3865" t="inlineStr">
        <is>
          <t>EQ</t>
        </is>
      </c>
      <c r="G3865" s="128" t="inlineStr"/>
      <c r="H3865" s="127" t="n">
        <v>46166</v>
      </c>
      <c r="J3865" s="38" t="inlineStr">
        <is>
          <t>0-4101</t>
        </is>
      </c>
      <c r="K3865" t="inlineStr">
        <is>
          <t>BH235 2023 KOMATSU PC88MR-11 EXCAVATOR 2023 KOMATSU PC88MR-11 EXCAVATOR</t>
        </is>
      </c>
      <c r="L3865" t="n">
        <v>0</v>
      </c>
      <c r="M3865" t="n">
        <v>0</v>
      </c>
      <c r="O3865" t="inlineStr">
        <is>
          <t>BH235</t>
        </is>
      </c>
      <c r="Q3865" s="114" t="n">
        <v>0</v>
      </c>
      <c r="R3865" s="114" t="n">
        <v>125</v>
      </c>
      <c r="S3865" s="114" t="n">
        <v>0</v>
      </c>
      <c r="T3865" t="n">
        <v>0</v>
      </c>
    </row>
    <row r="3866">
      <c r="A3866" t="inlineStr">
        <is>
          <t>ttJTrans</t>
        </is>
      </c>
      <c r="B3866" s="38" t="inlineStr">
        <is>
          <t>0-4101</t>
        </is>
      </c>
      <c r="C3866" t="inlineStr">
        <is>
          <t>EQ</t>
        </is>
      </c>
      <c r="E3866" t="inlineStr">
        <is>
          <t>EQ</t>
        </is>
      </c>
      <c r="G3866" s="128" t="inlineStr"/>
      <c r="H3866" s="127" t="n">
        <v>46166</v>
      </c>
      <c r="J3866" s="38" t="inlineStr">
        <is>
          <t>0-4101</t>
        </is>
      </c>
      <c r="K3866" t="inlineStr">
        <is>
          <t>BH235 2023 KOMATSU PC88MR-11 EXCAVATOR 2023 KOMATSU PC88MR-11 EXCAVATOR</t>
        </is>
      </c>
      <c r="L3866" t="n">
        <v>0</v>
      </c>
      <c r="M3866" t="n">
        <v>0</v>
      </c>
      <c r="O3866" t="inlineStr">
        <is>
          <t>BH235</t>
        </is>
      </c>
      <c r="Q3866" s="114" t="n">
        <v>0</v>
      </c>
      <c r="R3866" s="114" t="n">
        <v>125</v>
      </c>
      <c r="S3866" s="114" t="n">
        <v>0</v>
      </c>
      <c r="T3866" t="n">
        <v>0</v>
      </c>
    </row>
    <row r="3867">
      <c r="A3867" t="inlineStr">
        <is>
          <t>ttJTrans</t>
        </is>
      </c>
      <c r="B3867" s="38" t="inlineStr">
        <is>
          <t>0-4101</t>
        </is>
      </c>
      <c r="C3867" t="inlineStr">
        <is>
          <t>EQ</t>
        </is>
      </c>
      <c r="E3867" t="inlineStr">
        <is>
          <t>EQ</t>
        </is>
      </c>
      <c r="G3867" s="128" t="inlineStr"/>
      <c r="H3867" s="127" t="n">
        <v>46166</v>
      </c>
      <c r="J3867" s="38" t="inlineStr">
        <is>
          <t>0-4101</t>
        </is>
      </c>
      <c r="K3867" t="inlineStr">
        <is>
          <t>BH235 2023 KOMATSU PC88MR-11 EXCAVATOR 2023 KOMATSU PC88MR-11 EXCAVATOR</t>
        </is>
      </c>
      <c r="L3867" t="n">
        <v>0</v>
      </c>
      <c r="M3867" t="n">
        <v>0</v>
      </c>
      <c r="O3867" t="inlineStr">
        <is>
          <t>BH235</t>
        </is>
      </c>
      <c r="Q3867" s="114" t="n">
        <v>0</v>
      </c>
      <c r="R3867" s="114" t="n">
        <v>125</v>
      </c>
      <c r="S3867" s="114" t="n">
        <v>0</v>
      </c>
      <c r="T3867" t="n">
        <v>0</v>
      </c>
    </row>
    <row r="3868">
      <c r="A3868" t="inlineStr">
        <is>
          <t>ttJTrans</t>
        </is>
      </c>
      <c r="B3868" s="38" t="inlineStr">
        <is>
          <t>0-4101</t>
        </is>
      </c>
      <c r="C3868" t="inlineStr">
        <is>
          <t>EQ</t>
        </is>
      </c>
      <c r="E3868" t="inlineStr">
        <is>
          <t>EQ</t>
        </is>
      </c>
      <c r="G3868" s="128" t="inlineStr"/>
      <c r="H3868" s="127" t="n">
        <v>46166</v>
      </c>
      <c r="J3868" s="38" t="inlineStr">
        <is>
          <t>0-4101</t>
        </is>
      </c>
      <c r="K3868" t="inlineStr">
        <is>
          <t>SSRAKE03 TITAN SSL-84 GRAPPLE RAKE TITAN SSL-84 GRAPPLE RAKE</t>
        </is>
      </c>
      <c r="L3868" t="n">
        <v>0</v>
      </c>
      <c r="M3868" t="n">
        <v>0</v>
      </c>
      <c r="O3868" t="inlineStr">
        <is>
          <t>SSRAKE03</t>
        </is>
      </c>
      <c r="Q3868" s="114" t="n">
        <v>0</v>
      </c>
      <c r="R3868" s="114" t="n">
        <v>0</v>
      </c>
      <c r="S3868" s="114" t="n">
        <v>0</v>
      </c>
      <c r="T3868" t="n">
        <v>0</v>
      </c>
    </row>
    <row r="3869">
      <c r="A3869" t="inlineStr">
        <is>
          <t>ttJTrans</t>
        </is>
      </c>
      <c r="B3869" s="38" t="inlineStr">
        <is>
          <t>0-4101</t>
        </is>
      </c>
      <c r="C3869" t="inlineStr">
        <is>
          <t>EQ</t>
        </is>
      </c>
      <c r="E3869" t="inlineStr">
        <is>
          <t>EQ</t>
        </is>
      </c>
      <c r="G3869" s="128" t="inlineStr"/>
      <c r="H3869" s="127" t="n">
        <v>46166</v>
      </c>
      <c r="J3869" s="38" t="inlineStr">
        <is>
          <t>0-4101</t>
        </is>
      </c>
      <c r="K3869" t="inlineStr">
        <is>
          <t>SSRAKE03 TITAN SSL-84 GRAPPLE RAKE TITAN SSL-84 GRAPPLE RAKE</t>
        </is>
      </c>
      <c r="L3869" t="n">
        <v>0</v>
      </c>
      <c r="M3869" t="n">
        <v>0</v>
      </c>
      <c r="O3869" t="inlineStr">
        <is>
          <t>SSRAKE03</t>
        </is>
      </c>
      <c r="Q3869" s="114" t="n">
        <v>0</v>
      </c>
      <c r="R3869" s="114" t="n">
        <v>0</v>
      </c>
      <c r="S3869" s="114" t="n">
        <v>0</v>
      </c>
      <c r="T3869" t="n">
        <v>0</v>
      </c>
    </row>
    <row r="3870">
      <c r="A3870" t="inlineStr">
        <is>
          <t>ttJTrans</t>
        </is>
      </c>
      <c r="B3870" s="38" t="inlineStr">
        <is>
          <t>0-4101</t>
        </is>
      </c>
      <c r="C3870" t="inlineStr">
        <is>
          <t>ER</t>
        </is>
      </c>
      <c r="E3870" t="inlineStr">
        <is>
          <t>ER</t>
        </is>
      </c>
      <c r="G3870" s="128" t="inlineStr"/>
      <c r="H3870" s="127" t="n">
        <v>46166</v>
      </c>
      <c r="J3870" s="38" t="inlineStr">
        <is>
          <t>0-4101</t>
        </is>
      </c>
      <c r="K3870" t="inlineStr">
        <is>
          <t>RLD293 TAKEUCHI TL10VS TRACK SKID STEER LOADER W TREE SAW ATTACHMENT TAKEUCHI TL10VS TRACK SKID STEER LOADER W TREE SAW ATTACHMENT</t>
        </is>
      </c>
      <c r="L3870" t="n">
        <v>0</v>
      </c>
      <c r="M3870" t="n">
        <v>0</v>
      </c>
      <c r="O3870" t="inlineStr">
        <is>
          <t>RLD293</t>
        </is>
      </c>
      <c r="Q3870" s="114" t="n">
        <v>0</v>
      </c>
      <c r="R3870" s="114" t="n">
        <v>282.06</v>
      </c>
      <c r="S3870" s="114" t="n">
        <v>0</v>
      </c>
      <c r="T3870" t="n">
        <v>0</v>
      </c>
    </row>
    <row r="3871">
      <c r="A3871" t="inlineStr">
        <is>
          <t>ttJTrans</t>
        </is>
      </c>
      <c r="B3871" s="38" t="inlineStr">
        <is>
          <t>0-4101</t>
        </is>
      </c>
      <c r="C3871" t="inlineStr">
        <is>
          <t>ER</t>
        </is>
      </c>
      <c r="E3871" t="inlineStr">
        <is>
          <t>ER</t>
        </is>
      </c>
      <c r="G3871" s="128" t="inlineStr"/>
      <c r="H3871" s="127" t="n">
        <v>46131</v>
      </c>
      <c r="J3871" s="38" t="inlineStr">
        <is>
          <t>0-4101</t>
        </is>
      </c>
      <c r="K3871" t="inlineStr">
        <is>
          <t>RLD291 CATERPILLAR 299D3 TRACK SKID STEER LOADER W FORKS CATERPILLAR 299D3 TRACK SKID STEER LOADER W FORKS</t>
        </is>
      </c>
      <c r="L3871" t="n">
        <v>0</v>
      </c>
      <c r="M3871" t="n">
        <v>0</v>
      </c>
      <c r="O3871" t="inlineStr">
        <is>
          <t>RLD291</t>
        </is>
      </c>
      <c r="Q3871" s="114" t="n">
        <v>0</v>
      </c>
      <c r="R3871" s="114" t="n">
        <v>186.27</v>
      </c>
      <c r="S3871" s="114" t="n">
        <v>0</v>
      </c>
      <c r="T3871" t="n">
        <v>0</v>
      </c>
    </row>
    <row r="3872">
      <c r="A3872" t="inlineStr">
        <is>
          <t>ttJTrans</t>
        </is>
      </c>
      <c r="B3872" s="38" t="inlineStr">
        <is>
          <t>0-4101</t>
        </is>
      </c>
      <c r="C3872" t="inlineStr">
        <is>
          <t>ER</t>
        </is>
      </c>
      <c r="E3872" t="inlineStr">
        <is>
          <t>ER</t>
        </is>
      </c>
      <c r="G3872" s="128" t="inlineStr"/>
      <c r="H3872" s="127" t="n">
        <v>46131</v>
      </c>
      <c r="J3872" s="38" t="inlineStr">
        <is>
          <t>0-4101</t>
        </is>
      </c>
      <c r="K3872" t="inlineStr">
        <is>
          <t>RLD291 CATERPILLAR 299D3 TRACK SKID STEER LOADER W FORKS CATERPILLAR 299D3 TRACK SKID STEER LOADER W FORKS</t>
        </is>
      </c>
      <c r="L3872" t="n">
        <v>0</v>
      </c>
      <c r="M3872" t="n">
        <v>0</v>
      </c>
      <c r="O3872" t="inlineStr">
        <is>
          <t>RLD291</t>
        </is>
      </c>
      <c r="Q3872" s="114" t="n">
        <v>0</v>
      </c>
      <c r="R3872" s="114" t="n">
        <v>186.27</v>
      </c>
      <c r="S3872" s="114" t="n">
        <v>0</v>
      </c>
      <c r="T3872" t="n">
        <v>0</v>
      </c>
    </row>
    <row r="3873">
      <c r="A3873" t="inlineStr">
        <is>
          <t>ttJTrans</t>
        </is>
      </c>
      <c r="B3873" s="38" t="inlineStr">
        <is>
          <t>0-4101</t>
        </is>
      </c>
      <c r="C3873" t="inlineStr">
        <is>
          <t>ER</t>
        </is>
      </c>
      <c r="E3873" t="inlineStr">
        <is>
          <t>ER</t>
        </is>
      </c>
      <c r="G3873" s="128" t="inlineStr"/>
      <c r="H3873" s="127" t="n">
        <v>46131</v>
      </c>
      <c r="J3873" s="38" t="inlineStr">
        <is>
          <t>0-4101</t>
        </is>
      </c>
      <c r="K3873" t="inlineStr">
        <is>
          <t>RLD291 CATERPILLAR 299D3 TRACK SKID STEER LOADER W FORKS CATERPILLAR 299D3 TRACK SKID STEER LOADER W FORKS</t>
        </is>
      </c>
      <c r="L3873" t="n">
        <v>0</v>
      </c>
      <c r="M3873" t="n">
        <v>0</v>
      </c>
      <c r="O3873" t="inlineStr">
        <is>
          <t>RLD291</t>
        </is>
      </c>
      <c r="Q3873" s="114" t="n">
        <v>0</v>
      </c>
      <c r="R3873" s="114" t="n">
        <v>186.27</v>
      </c>
      <c r="S3873" s="114" t="n">
        <v>0</v>
      </c>
      <c r="T3873" t="n">
        <v>0</v>
      </c>
    </row>
    <row r="3874">
      <c r="A3874" t="inlineStr">
        <is>
          <t>ttJTrans</t>
        </is>
      </c>
      <c r="B3874" s="38" t="inlineStr">
        <is>
          <t>0-4101</t>
        </is>
      </c>
      <c r="C3874" t="inlineStr">
        <is>
          <t>ER</t>
        </is>
      </c>
      <c r="E3874" t="inlineStr">
        <is>
          <t>ER</t>
        </is>
      </c>
      <c r="G3874" s="128" t="inlineStr"/>
      <c r="H3874" s="127" t="n">
        <v>46138</v>
      </c>
      <c r="J3874" s="38" t="inlineStr">
        <is>
          <t>0-4101</t>
        </is>
      </c>
      <c r="K3874" t="inlineStr">
        <is>
          <t>RLD291 CATERPILLAR 299D3 TRACK SKID STEER LOADER W FORKS CATERPILLAR 299D3 TRACK SKID STEER LOADER W FORKS</t>
        </is>
      </c>
      <c r="L3874" t="n">
        <v>0</v>
      </c>
      <c r="M3874" t="n">
        <v>0</v>
      </c>
      <c r="O3874" t="inlineStr">
        <is>
          <t>RLD291</t>
        </is>
      </c>
      <c r="Q3874" s="114" t="n">
        <v>0</v>
      </c>
      <c r="R3874" s="114" t="n">
        <v>186.27</v>
      </c>
      <c r="S3874" s="114" t="n">
        <v>0</v>
      </c>
      <c r="T3874" t="n">
        <v>0</v>
      </c>
    </row>
    <row r="3875">
      <c r="A3875" t="inlineStr">
        <is>
          <t>ttJTrans</t>
        </is>
      </c>
      <c r="B3875" s="38" t="inlineStr">
        <is>
          <t>0-4101</t>
        </is>
      </c>
      <c r="C3875" t="inlineStr">
        <is>
          <t>ER</t>
        </is>
      </c>
      <c r="E3875" t="inlineStr">
        <is>
          <t>ER</t>
        </is>
      </c>
      <c r="G3875" s="128" t="inlineStr"/>
      <c r="H3875" s="127" t="n">
        <v>46142</v>
      </c>
      <c r="J3875" s="38" t="inlineStr">
        <is>
          <t>0-4101</t>
        </is>
      </c>
      <c r="K3875" t="inlineStr">
        <is>
          <t>RLD293 TAKEUCHI TL10VS TRACK SKID STEER LOADER W TREE SAW ATTACHMENT TAKEUCHI TL10VS TRACK SKID STEER LOADER W TREE SAW ATTACHMENT</t>
        </is>
      </c>
      <c r="L3875" t="n">
        <v>0</v>
      </c>
      <c r="M3875" t="n">
        <v>0</v>
      </c>
      <c r="O3875" t="inlineStr">
        <is>
          <t>RLD293</t>
        </is>
      </c>
      <c r="Q3875" s="114" t="n">
        <v>0</v>
      </c>
      <c r="R3875" s="114" t="n">
        <v>282.06</v>
      </c>
      <c r="S3875" s="114" t="n">
        <v>0</v>
      </c>
      <c r="T3875" t="n">
        <v>0</v>
      </c>
    </row>
    <row r="3876">
      <c r="A3876" t="inlineStr">
        <is>
          <t>ttJTrans</t>
        </is>
      </c>
      <c r="B3876" s="38" t="inlineStr">
        <is>
          <t>0-4101</t>
        </is>
      </c>
      <c r="C3876" t="inlineStr">
        <is>
          <t>ER</t>
        </is>
      </c>
      <c r="E3876" t="inlineStr">
        <is>
          <t>ER</t>
        </is>
      </c>
      <c r="G3876" s="128" t="inlineStr"/>
      <c r="H3876" s="127" t="n">
        <v>46142</v>
      </c>
      <c r="J3876" s="38" t="inlineStr">
        <is>
          <t>0-4101</t>
        </is>
      </c>
      <c r="K3876" t="inlineStr">
        <is>
          <t>RLD293 TAKEUCHI TL10VS TRACK SKID STEER LOADER W TREE SAW ATTACHMENT TAKEUCHI TL10VS TRACK SKID STEER LOADER W TREE SAW ATTACHMENT</t>
        </is>
      </c>
      <c r="L3876" t="n">
        <v>0</v>
      </c>
      <c r="M3876" t="n">
        <v>0</v>
      </c>
      <c r="O3876" t="inlineStr">
        <is>
          <t>RLD293</t>
        </is>
      </c>
      <c r="Q3876" s="114" t="n">
        <v>0</v>
      </c>
      <c r="R3876" s="114" t="n">
        <v>282.06</v>
      </c>
      <c r="S3876" s="114" t="n">
        <v>0</v>
      </c>
      <c r="T3876" t="n">
        <v>0</v>
      </c>
    </row>
    <row r="3877">
      <c r="A3877" t="inlineStr">
        <is>
          <t>ttJTrans</t>
        </is>
      </c>
      <c r="B3877" s="38" t="inlineStr">
        <is>
          <t>0-4101</t>
        </is>
      </c>
      <c r="C3877" t="inlineStr">
        <is>
          <t>ER</t>
        </is>
      </c>
      <c r="E3877" t="inlineStr">
        <is>
          <t>ER</t>
        </is>
      </c>
      <c r="G3877" s="128" t="inlineStr"/>
      <c r="H3877" s="127" t="n">
        <v>46142</v>
      </c>
      <c r="J3877" s="38" t="inlineStr">
        <is>
          <t>0-4101</t>
        </is>
      </c>
      <c r="K3877" t="inlineStr">
        <is>
          <t>RLD293 TAKEUCHI TL10VS TRACK SKID STEER LOADER W TREE SAW ATTACHMENT TAKEUCHI TL10VS TRACK SKID STEER LOADER W TREE SAW ATTACHMENT</t>
        </is>
      </c>
      <c r="L3877" t="n">
        <v>0</v>
      </c>
      <c r="M3877" t="n">
        <v>0</v>
      </c>
      <c r="O3877" t="inlineStr">
        <is>
          <t>RLD293</t>
        </is>
      </c>
      <c r="Q3877" s="114" t="n">
        <v>0</v>
      </c>
      <c r="R3877" s="114" t="n">
        <v>282.06</v>
      </c>
      <c r="S3877" s="114" t="n">
        <v>0</v>
      </c>
      <c r="T3877" t="n">
        <v>0</v>
      </c>
    </row>
    <row r="3878">
      <c r="A3878" t="inlineStr">
        <is>
          <t>ttJTrans</t>
        </is>
      </c>
      <c r="B3878" s="38" t="inlineStr">
        <is>
          <t>0-4101</t>
        </is>
      </c>
      <c r="C3878" t="inlineStr">
        <is>
          <t>ER</t>
        </is>
      </c>
      <c r="E3878" t="inlineStr">
        <is>
          <t>ER</t>
        </is>
      </c>
      <c r="G3878" s="128" t="inlineStr"/>
      <c r="H3878" s="127" t="n">
        <v>46142</v>
      </c>
      <c r="J3878" s="38" t="inlineStr">
        <is>
          <t>0-4101</t>
        </is>
      </c>
      <c r="K3878" t="inlineStr">
        <is>
          <t>RLD293 TAKEUCHI TL10VS TRACK SKID STEER LOADER W TREE SAW ATTACHMENT TAKEUCHI TL10VS TRACK SKID STEER LOADER W TREE SAW ATTACHMENT</t>
        </is>
      </c>
      <c r="L3878" t="n">
        <v>0</v>
      </c>
      <c r="M3878" t="n">
        <v>0</v>
      </c>
      <c r="O3878" t="inlineStr">
        <is>
          <t>RLD293</t>
        </is>
      </c>
      <c r="Q3878" s="114" t="n">
        <v>0</v>
      </c>
      <c r="R3878" s="114" t="n">
        <v>282.06</v>
      </c>
      <c r="S3878" s="114" t="n">
        <v>0</v>
      </c>
      <c r="T3878" t="n">
        <v>0</v>
      </c>
    </row>
    <row r="3879">
      <c r="A3879" t="inlineStr">
        <is>
          <t>ttJTrans</t>
        </is>
      </c>
      <c r="B3879" s="38" t="inlineStr">
        <is>
          <t>0-4101</t>
        </is>
      </c>
      <c r="C3879" t="inlineStr">
        <is>
          <t>ER</t>
        </is>
      </c>
      <c r="E3879" t="inlineStr">
        <is>
          <t>ER</t>
        </is>
      </c>
      <c r="G3879" s="128" t="inlineStr"/>
      <c r="H3879" s="127" t="n">
        <v>46142</v>
      </c>
      <c r="J3879" s="38" t="inlineStr">
        <is>
          <t>0-4101</t>
        </is>
      </c>
      <c r="K3879" t="inlineStr">
        <is>
          <t>REX665 330 CATERPILLAR EXCAVATOR 330 CATERPILLAR EXCAVATOR</t>
        </is>
      </c>
      <c r="L3879" t="n">
        <v>0</v>
      </c>
      <c r="M3879" t="n">
        <v>0</v>
      </c>
      <c r="O3879" t="inlineStr">
        <is>
          <t>REX665</t>
        </is>
      </c>
      <c r="Q3879" s="114" t="n">
        <v>0</v>
      </c>
      <c r="R3879" s="114" t="n">
        <v>458.33</v>
      </c>
      <c r="S3879" s="114" t="n">
        <v>0</v>
      </c>
      <c r="T3879" t="n">
        <v>0</v>
      </c>
    </row>
    <row r="3880">
      <c r="A3880" t="inlineStr">
        <is>
          <t>ttJTrans</t>
        </is>
      </c>
      <c r="B3880" s="38" t="inlineStr">
        <is>
          <t>0-4101</t>
        </is>
      </c>
      <c r="C3880" t="inlineStr">
        <is>
          <t>ER</t>
        </is>
      </c>
      <c r="E3880" t="inlineStr">
        <is>
          <t>ER</t>
        </is>
      </c>
      <c r="G3880" s="128" t="inlineStr"/>
      <c r="H3880" s="127" t="n">
        <v>46142</v>
      </c>
      <c r="J3880" s="38" t="inlineStr">
        <is>
          <t>0-4101</t>
        </is>
      </c>
      <c r="K3880" t="inlineStr">
        <is>
          <t>REX665 330 CATERPILLAR EXCAVATOR 330 CATERPILLAR EXCAVATOR</t>
        </is>
      </c>
      <c r="L3880" t="n">
        <v>0</v>
      </c>
      <c r="M3880" t="n">
        <v>0</v>
      </c>
      <c r="O3880" t="inlineStr">
        <is>
          <t>REX665</t>
        </is>
      </c>
      <c r="Q3880" s="114" t="n">
        <v>0</v>
      </c>
      <c r="R3880" s="114" t="n">
        <v>458.33</v>
      </c>
      <c r="S3880" s="114" t="n">
        <v>0</v>
      </c>
      <c r="T3880" t="n">
        <v>0</v>
      </c>
    </row>
    <row r="3881">
      <c r="A3881" t="inlineStr">
        <is>
          <t>ttJTrans</t>
        </is>
      </c>
      <c r="B3881" s="38" t="inlineStr">
        <is>
          <t>0-4101</t>
        </is>
      </c>
      <c r="C3881" t="inlineStr">
        <is>
          <t>ER</t>
        </is>
      </c>
      <c r="E3881" t="inlineStr">
        <is>
          <t>ER</t>
        </is>
      </c>
      <c r="G3881" s="128" t="inlineStr"/>
      <c r="H3881" s="127" t="n">
        <v>46142</v>
      </c>
      <c r="J3881" s="38" t="inlineStr">
        <is>
          <t>0-4101</t>
        </is>
      </c>
      <c r="K3881" t="inlineStr">
        <is>
          <t>REX665 330 CATERPILLAR EXCAVATOR 330 CATERPILLAR EXCAVATOR</t>
        </is>
      </c>
      <c r="L3881" t="n">
        <v>0</v>
      </c>
      <c r="M3881" t="n">
        <v>0</v>
      </c>
      <c r="O3881" t="inlineStr">
        <is>
          <t>REX665</t>
        </is>
      </c>
      <c r="Q3881" s="114" t="n">
        <v>0</v>
      </c>
      <c r="R3881" s="114" t="n">
        <v>458.33</v>
      </c>
      <c r="S3881" s="114" t="n">
        <v>0</v>
      </c>
      <c r="T3881" t="n">
        <v>0</v>
      </c>
    </row>
    <row r="3882">
      <c r="A3882" t="inlineStr">
        <is>
          <t>ttJTrans</t>
        </is>
      </c>
      <c r="B3882" s="38" t="inlineStr">
        <is>
          <t>0-4101</t>
        </is>
      </c>
      <c r="C3882" t="inlineStr">
        <is>
          <t>ER</t>
        </is>
      </c>
      <c r="E3882" t="inlineStr">
        <is>
          <t>ER</t>
        </is>
      </c>
      <c r="G3882" s="128" t="inlineStr"/>
      <c r="H3882" s="127" t="n">
        <v>46152</v>
      </c>
      <c r="J3882" s="38" t="inlineStr">
        <is>
          <t>0-4101</t>
        </is>
      </c>
      <c r="K3882" t="inlineStr">
        <is>
          <t>RLD293 TAKEUCHI TL10VS TRACK SKID STEER LOADER W TREE SAW ATTACHMENT TAKEUCHI TL10VS TRACK SKID STEER LOADER W TREE SAW ATTACHMENT</t>
        </is>
      </c>
      <c r="L3882" t="n">
        <v>0</v>
      </c>
      <c r="M3882" t="n">
        <v>0</v>
      </c>
      <c r="O3882" t="inlineStr">
        <is>
          <t>RLD293</t>
        </is>
      </c>
      <c r="Q3882" s="114" t="n">
        <v>0</v>
      </c>
      <c r="R3882" s="114" t="n">
        <v>282.06</v>
      </c>
      <c r="S3882" s="114" t="n">
        <v>0</v>
      </c>
      <c r="T3882" t="n">
        <v>0</v>
      </c>
    </row>
    <row r="3883">
      <c r="A3883" t="inlineStr">
        <is>
          <t>ttJTrans</t>
        </is>
      </c>
      <c r="B3883" s="38" t="inlineStr">
        <is>
          <t>0-4101</t>
        </is>
      </c>
      <c r="C3883" t="inlineStr">
        <is>
          <t>ER</t>
        </is>
      </c>
      <c r="E3883" t="inlineStr">
        <is>
          <t>ER</t>
        </is>
      </c>
      <c r="G3883" s="128" t="inlineStr"/>
      <c r="H3883" s="127" t="n">
        <v>46152</v>
      </c>
      <c r="J3883" s="38" t="inlineStr">
        <is>
          <t>0-4101</t>
        </is>
      </c>
      <c r="K3883" t="inlineStr">
        <is>
          <t>RLD293 TAKEUCHI TL10VS TRACK SKID STEER LOADER W TREE SAW ATTACHMENT TAKEUCHI TL10VS TRACK SKID STEER LOADER W TREE SAW ATTACHMENT</t>
        </is>
      </c>
      <c r="L3883" t="n">
        <v>0</v>
      </c>
      <c r="M3883" t="n">
        <v>0</v>
      </c>
      <c r="O3883" t="inlineStr">
        <is>
          <t>RLD293</t>
        </is>
      </c>
      <c r="Q3883" s="114" t="n">
        <v>0</v>
      </c>
      <c r="R3883" s="114" t="n">
        <v>282.06</v>
      </c>
      <c r="S3883" s="114" t="n">
        <v>0</v>
      </c>
      <c r="T3883" t="n">
        <v>0</v>
      </c>
    </row>
    <row r="3884">
      <c r="A3884" t="inlineStr">
        <is>
          <t>ttJTrans</t>
        </is>
      </c>
      <c r="B3884" s="38" t="inlineStr">
        <is>
          <t>0-4101</t>
        </is>
      </c>
      <c r="C3884" t="inlineStr">
        <is>
          <t>ER</t>
        </is>
      </c>
      <c r="E3884" t="inlineStr">
        <is>
          <t>ER</t>
        </is>
      </c>
      <c r="G3884" s="128" t="inlineStr"/>
      <c r="H3884" s="127" t="n">
        <v>46152</v>
      </c>
      <c r="J3884" s="38" t="inlineStr">
        <is>
          <t>0-4101</t>
        </is>
      </c>
      <c r="K3884" t="inlineStr">
        <is>
          <t>RLD293 TAKEUCHI TL10VS TRACK SKID STEER LOADER W TREE SAW ATTACHMENT TAKEUCHI TL10VS TRACK SKID STEER LOADER W TREE SAW ATTACHMENT</t>
        </is>
      </c>
      <c r="L3884" t="n">
        <v>0</v>
      </c>
      <c r="M3884" t="n">
        <v>0</v>
      </c>
      <c r="O3884" t="inlineStr">
        <is>
          <t>RLD293</t>
        </is>
      </c>
      <c r="Q3884" s="114" t="n">
        <v>0</v>
      </c>
      <c r="R3884" s="114" t="n">
        <v>282.06</v>
      </c>
      <c r="S3884" s="114" t="n">
        <v>0</v>
      </c>
      <c r="T3884" t="n">
        <v>0</v>
      </c>
    </row>
    <row r="3885">
      <c r="A3885" t="inlineStr">
        <is>
          <t>ttJTrans</t>
        </is>
      </c>
      <c r="B3885" s="38" t="inlineStr">
        <is>
          <t>0-4101</t>
        </is>
      </c>
      <c r="C3885" t="inlineStr">
        <is>
          <t>ER</t>
        </is>
      </c>
      <c r="E3885" t="inlineStr">
        <is>
          <t>ER</t>
        </is>
      </c>
      <c r="G3885" s="128" t="inlineStr"/>
      <c r="H3885" s="127" t="n">
        <v>46152</v>
      </c>
      <c r="J3885" s="38" t="inlineStr">
        <is>
          <t>0-4101</t>
        </is>
      </c>
      <c r="K3885" t="inlineStr">
        <is>
          <t>RLD293 TAKEUCHI TL10VS TRACK SKID STEER LOADER W TREE SAW ATTACHMENT TAKEUCHI TL10VS TRACK SKID STEER LOADER W TREE SAW ATTACHMENT</t>
        </is>
      </c>
      <c r="L3885" t="n">
        <v>0</v>
      </c>
      <c r="M3885" t="n">
        <v>0</v>
      </c>
      <c r="O3885" t="inlineStr">
        <is>
          <t>RLD293</t>
        </is>
      </c>
      <c r="Q3885" s="114" t="n">
        <v>0</v>
      </c>
      <c r="R3885" s="114" t="n">
        <v>282.06</v>
      </c>
      <c r="S3885" s="114" t="n">
        <v>0</v>
      </c>
      <c r="T3885" t="n">
        <v>0</v>
      </c>
    </row>
    <row r="3886">
      <c r="A3886" t="inlineStr">
        <is>
          <t>ttJTrans</t>
        </is>
      </c>
      <c r="B3886" s="38" t="inlineStr">
        <is>
          <t>0-4101</t>
        </is>
      </c>
      <c r="C3886" t="inlineStr">
        <is>
          <t>ER</t>
        </is>
      </c>
      <c r="E3886" t="inlineStr">
        <is>
          <t>ER</t>
        </is>
      </c>
      <c r="G3886" s="128" t="inlineStr"/>
      <c r="H3886" s="127" t="n">
        <v>46159</v>
      </c>
      <c r="J3886" s="38" t="inlineStr">
        <is>
          <t>0-4101</t>
        </is>
      </c>
      <c r="K3886" t="inlineStr">
        <is>
          <t>RLD293 TAKEUCHI TL10VS TRACK SKID STEER LOADER W TREE SAW ATTACHMENT TAKEUCHI TL10VS TRACK SKID STEER LOADER W TREE SAW ATTACHMENT</t>
        </is>
      </c>
      <c r="L3886" t="n">
        <v>0</v>
      </c>
      <c r="M3886" t="n">
        <v>0</v>
      </c>
      <c r="O3886" t="inlineStr">
        <is>
          <t>RLD293</t>
        </is>
      </c>
      <c r="Q3886" s="114" t="n">
        <v>0</v>
      </c>
      <c r="R3886" s="114" t="n">
        <v>282.06</v>
      </c>
      <c r="S3886" s="114" t="n">
        <v>0</v>
      </c>
      <c r="T3886" t="n">
        <v>0</v>
      </c>
    </row>
    <row r="3887">
      <c r="A3887" t="inlineStr">
        <is>
          <t>ttJTrans</t>
        </is>
      </c>
      <c r="B3887" s="38" t="inlineStr">
        <is>
          <t>0-4101</t>
        </is>
      </c>
      <c r="C3887" t="inlineStr">
        <is>
          <t>ER</t>
        </is>
      </c>
      <c r="E3887" t="inlineStr">
        <is>
          <t>ER</t>
        </is>
      </c>
      <c r="G3887" s="128" t="inlineStr"/>
      <c r="H3887" s="127" t="n">
        <v>46159</v>
      </c>
      <c r="J3887" s="38" t="inlineStr">
        <is>
          <t>0-4101</t>
        </is>
      </c>
      <c r="K3887" t="inlineStr">
        <is>
          <t>RLD293 TAKEUCHI TL10VS TRACK SKID STEER LOADER W TREE SAW ATTACHMENT TAKEUCHI TL10VS TRACK SKID STEER LOADER W TREE SAW ATTACHMENT</t>
        </is>
      </c>
      <c r="L3887" t="n">
        <v>0</v>
      </c>
      <c r="M3887" t="n">
        <v>0</v>
      </c>
      <c r="O3887" t="inlineStr">
        <is>
          <t>RLD293</t>
        </is>
      </c>
      <c r="Q3887" s="114" t="n">
        <v>0</v>
      </c>
      <c r="R3887" s="114" t="n">
        <v>282.06</v>
      </c>
      <c r="S3887" s="114" t="n">
        <v>0</v>
      </c>
      <c r="T3887" t="n">
        <v>0</v>
      </c>
    </row>
    <row r="3888">
      <c r="A3888" t="inlineStr">
        <is>
          <t>ttJTrans</t>
        </is>
      </c>
      <c r="B3888" s="38" t="inlineStr">
        <is>
          <t>0-4101</t>
        </is>
      </c>
      <c r="C3888" t="inlineStr">
        <is>
          <t>ER</t>
        </is>
      </c>
      <c r="E3888" t="inlineStr">
        <is>
          <t>ER</t>
        </is>
      </c>
      <c r="G3888" s="128" t="inlineStr"/>
      <c r="H3888" s="127" t="n">
        <v>46159</v>
      </c>
      <c r="J3888" s="38" t="inlineStr">
        <is>
          <t>0-4101</t>
        </is>
      </c>
      <c r="K3888" t="inlineStr">
        <is>
          <t>RLD293 TAKEUCHI TL10VS TRACK SKID STEER LOADER W TREE SAW ATTACHMENT TAKEUCHI TL10VS TRACK SKID STEER LOADER W TREE SAW ATTACHMENT</t>
        </is>
      </c>
      <c r="L3888" t="n">
        <v>0</v>
      </c>
      <c r="M3888" t="n">
        <v>0</v>
      </c>
      <c r="O3888" t="inlineStr">
        <is>
          <t>RLD293</t>
        </is>
      </c>
      <c r="Q3888" s="114" t="n">
        <v>0</v>
      </c>
      <c r="R3888" s="114" t="n">
        <v>282.06</v>
      </c>
      <c r="S3888" s="114" t="n">
        <v>0</v>
      </c>
      <c r="T3888" t="n">
        <v>0</v>
      </c>
    </row>
    <row r="3889">
      <c r="A3889" t="inlineStr">
        <is>
          <t>ttJTrans</t>
        </is>
      </c>
      <c r="B3889" s="38" t="inlineStr">
        <is>
          <t>0-4101</t>
        </is>
      </c>
      <c r="C3889" t="inlineStr">
        <is>
          <t>ER</t>
        </is>
      </c>
      <c r="E3889" t="inlineStr">
        <is>
          <t>ER</t>
        </is>
      </c>
      <c r="G3889" s="128" t="inlineStr"/>
      <c r="H3889" s="127" t="n">
        <v>46159</v>
      </c>
      <c r="J3889" s="38" t="inlineStr">
        <is>
          <t>0-4101</t>
        </is>
      </c>
      <c r="K3889" t="inlineStr">
        <is>
          <t>RLD293 TAKEUCHI TL10VS TRACK SKID STEER LOADER W TREE SAW ATTACHMENT TAKEUCHI TL10VS TRACK SKID STEER LOADER W TREE SAW ATTACHMENT</t>
        </is>
      </c>
      <c r="L3889" t="n">
        <v>0</v>
      </c>
      <c r="M3889" t="n">
        <v>0</v>
      </c>
      <c r="O3889" t="inlineStr">
        <is>
          <t>RLD293</t>
        </is>
      </c>
      <c r="Q3889" s="114" t="n">
        <v>0</v>
      </c>
      <c r="R3889" s="114" t="n">
        <v>282.06</v>
      </c>
      <c r="S3889" s="114" t="n">
        <v>0</v>
      </c>
      <c r="T3889" t="n">
        <v>0</v>
      </c>
    </row>
    <row r="3890">
      <c r="A3890" t="inlineStr">
        <is>
          <t>ttJTrans</t>
        </is>
      </c>
      <c r="B3890" s="38" t="inlineStr">
        <is>
          <t>0-4101</t>
        </is>
      </c>
      <c r="C3890" t="inlineStr">
        <is>
          <t>ER</t>
        </is>
      </c>
      <c r="E3890" t="inlineStr">
        <is>
          <t>ER</t>
        </is>
      </c>
      <c r="G3890" s="128" t="inlineStr"/>
      <c r="H3890" s="127" t="n">
        <v>46159</v>
      </c>
      <c r="J3890" s="38" t="inlineStr">
        <is>
          <t>0-4101</t>
        </is>
      </c>
      <c r="K3890" t="inlineStr">
        <is>
          <t>RLD293 TAKEUCHI TL10VS TRACK SKID STEER LOADER W TREE SAW ATTACHMENT TAKEUCHI TL10VS TRACK SKID STEER LOADER W TREE SAW ATTACHMENT</t>
        </is>
      </c>
      <c r="L3890" t="n">
        <v>0</v>
      </c>
      <c r="M3890" t="n">
        <v>0</v>
      </c>
      <c r="O3890" t="inlineStr">
        <is>
          <t>RLD293</t>
        </is>
      </c>
      <c r="Q3890" s="114" t="n">
        <v>0</v>
      </c>
      <c r="R3890" s="114" t="n">
        <v>282.06</v>
      </c>
      <c r="S3890" s="114" t="n">
        <v>0</v>
      </c>
      <c r="T3890" t="n">
        <v>0</v>
      </c>
    </row>
    <row r="3891">
      <c r="A3891" t="inlineStr">
        <is>
          <t>ttJTrans</t>
        </is>
      </c>
      <c r="B3891" s="38" t="inlineStr">
        <is>
          <t>0-4101</t>
        </is>
      </c>
      <c r="C3891" t="inlineStr">
        <is>
          <t>ER</t>
        </is>
      </c>
      <c r="E3891" t="inlineStr">
        <is>
          <t>ER</t>
        </is>
      </c>
      <c r="G3891" s="128" t="inlineStr"/>
      <c r="H3891" s="127" t="n">
        <v>46159</v>
      </c>
      <c r="J3891" s="38" t="inlineStr">
        <is>
          <t>0-4101</t>
        </is>
      </c>
      <c r="K3891" t="inlineStr">
        <is>
          <t>RLD293 TAKEUCHI TL10VS TRACK SKID STEER LOADER W TREE SAW ATTACHMENT TAKEUCHI TL10VS TRACK SKID STEER LOADER W TREE SAW ATTACHMENT</t>
        </is>
      </c>
      <c r="L3891" t="n">
        <v>0</v>
      </c>
      <c r="M3891" t="n">
        <v>0</v>
      </c>
      <c r="O3891" t="inlineStr">
        <is>
          <t>RLD293</t>
        </is>
      </c>
      <c r="Q3891" s="114" t="n">
        <v>0</v>
      </c>
      <c r="R3891" s="114" t="n">
        <v>282.06</v>
      </c>
      <c r="S3891" s="114" t="n">
        <v>0</v>
      </c>
      <c r="T3891" t="n">
        <v>0</v>
      </c>
    </row>
    <row r="3892">
      <c r="A3892" t="inlineStr">
        <is>
          <t>ttJTrans</t>
        </is>
      </c>
      <c r="B3892" s="38" t="inlineStr">
        <is>
          <t>0-4101</t>
        </is>
      </c>
      <c r="C3892" t="inlineStr">
        <is>
          <t>ER</t>
        </is>
      </c>
      <c r="E3892" t="inlineStr">
        <is>
          <t>ER</t>
        </is>
      </c>
      <c r="G3892" s="128" t="inlineStr"/>
      <c r="H3892" s="127" t="n">
        <v>46166</v>
      </c>
      <c r="J3892" s="38" t="inlineStr">
        <is>
          <t>0-4101</t>
        </is>
      </c>
      <c r="K3892" t="inlineStr">
        <is>
          <t>RLD293 TAKEUCHI TL10VS TRACK SKID STEER LOADER W TREE SAW ATTACHMENT TAKEUCHI TL10VS TRACK SKID STEER LOADER W TREE SAW ATTACHMENT</t>
        </is>
      </c>
      <c r="L3892" t="n">
        <v>0</v>
      </c>
      <c r="M3892" t="n">
        <v>0</v>
      </c>
      <c r="O3892" t="inlineStr">
        <is>
          <t>RLD293</t>
        </is>
      </c>
      <c r="Q3892" s="114" t="n">
        <v>0</v>
      </c>
      <c r="R3892" s="114" t="n">
        <v>282.06</v>
      </c>
      <c r="S3892" s="114" t="n">
        <v>0</v>
      </c>
      <c r="T3892" t="n">
        <v>0</v>
      </c>
    </row>
    <row r="3893">
      <c r="A3893" t="inlineStr">
        <is>
          <t>ttJTrans</t>
        </is>
      </c>
      <c r="B3893" s="38" t="inlineStr">
        <is>
          <t>0-4101</t>
        </is>
      </c>
      <c r="C3893" t="inlineStr">
        <is>
          <t>ER</t>
        </is>
      </c>
      <c r="E3893" t="inlineStr">
        <is>
          <t>ER</t>
        </is>
      </c>
      <c r="G3893" s="128" t="inlineStr"/>
      <c r="H3893" s="127" t="n">
        <v>46166</v>
      </c>
      <c r="J3893" s="38" t="inlineStr">
        <is>
          <t>0-4101</t>
        </is>
      </c>
      <c r="K3893" t="inlineStr">
        <is>
          <t>RLD293 TAKEUCHI TL10VS TRACK SKID STEER LOADER W TREE SAW ATTACHMENT TAKEUCHI TL10VS TRACK SKID STEER LOADER W TREE SAW ATTACHMENT</t>
        </is>
      </c>
      <c r="L3893" t="n">
        <v>0</v>
      </c>
      <c r="M3893" t="n">
        <v>0</v>
      </c>
      <c r="O3893" t="inlineStr">
        <is>
          <t>RLD293</t>
        </is>
      </c>
      <c r="Q3893" s="114" t="n">
        <v>0</v>
      </c>
      <c r="R3893" s="114" t="n">
        <v>282.06</v>
      </c>
      <c r="S3893" s="114" t="n">
        <v>0</v>
      </c>
      <c r="T3893" t="n">
        <v>0</v>
      </c>
    </row>
    <row r="3894">
      <c r="A3894" t="inlineStr">
        <is>
          <t>ttJTrans</t>
        </is>
      </c>
      <c r="B3894" s="38" t="inlineStr">
        <is>
          <t>0-4101</t>
        </is>
      </c>
      <c r="C3894" t="inlineStr">
        <is>
          <t>LA</t>
        </is>
      </c>
      <c r="E3894" t="inlineStr">
        <is>
          <t>LA</t>
        </is>
      </c>
      <c r="G3894" s="128" t="inlineStr"/>
      <c r="H3894" s="127" t="n">
        <v>46142</v>
      </c>
      <c r="J3894" s="38" t="inlineStr">
        <is>
          <t>0-4101</t>
        </is>
      </c>
      <c r="K3894" t="inlineStr">
        <is>
          <t>PR P0COST 000528 (PR) Summary</t>
        </is>
      </c>
      <c r="L3894" t="n">
        <v>0</v>
      </c>
      <c r="M3894" t="n">
        <v>0</v>
      </c>
      <c r="Q3894" s="114" t="n">
        <v>0</v>
      </c>
      <c r="R3894" s="114" t="n">
        <v>511.88</v>
      </c>
      <c r="S3894" s="114" t="n">
        <v>0</v>
      </c>
      <c r="T3894" t="n">
        <v>10</v>
      </c>
    </row>
    <row r="3895">
      <c r="A3895" t="inlineStr">
        <is>
          <t>ttJTrans</t>
        </is>
      </c>
      <c r="B3895" s="38" t="inlineStr">
        <is>
          <t>0-4101</t>
        </is>
      </c>
      <c r="C3895" t="inlineStr">
        <is>
          <t>LA</t>
        </is>
      </c>
      <c r="E3895" t="inlineStr">
        <is>
          <t>LA</t>
        </is>
      </c>
      <c r="G3895" s="128" t="inlineStr"/>
      <c r="H3895" s="127" t="n">
        <v>46142</v>
      </c>
      <c r="J3895" s="38" t="inlineStr">
        <is>
          <t>0-4101</t>
        </is>
      </c>
      <c r="K3895" t="inlineStr">
        <is>
          <t>PR P0COST 000528 (PR) Summary</t>
        </is>
      </c>
      <c r="L3895" t="n">
        <v>0</v>
      </c>
      <c r="M3895" t="n">
        <v>0</v>
      </c>
      <c r="Q3895" s="114" t="n">
        <v>0</v>
      </c>
      <c r="R3895" s="114" t="n">
        <v>511.88</v>
      </c>
      <c r="S3895" s="114" t="n">
        <v>0</v>
      </c>
      <c r="T3895" t="n">
        <v>10</v>
      </c>
    </row>
    <row r="3896">
      <c r="A3896" t="inlineStr">
        <is>
          <t>ttJTrans</t>
        </is>
      </c>
      <c r="B3896" s="38" t="inlineStr">
        <is>
          <t>0-4109</t>
        </is>
      </c>
      <c r="C3896" t="inlineStr">
        <is>
          <t>MA</t>
        </is>
      </c>
      <c r="D3896" t="inlineStr">
        <is>
          <t>MA1011245</t>
        </is>
      </c>
      <c r="E3896" t="inlineStr">
        <is>
          <t>MA</t>
        </is>
      </c>
      <c r="F3896" t="inlineStr">
        <is>
          <t>MA1011245</t>
        </is>
      </c>
      <c r="G3896" s="128" t="n">
        <v>46141</v>
      </c>
      <c r="H3896" s="127" t="n">
        <v>46149</v>
      </c>
      <c r="I3896" t="inlineStr">
        <is>
          <t>5</t>
        </is>
      </c>
      <c r="J3896" s="44" t="inlineStr">
        <is>
          <t>0-4109</t>
        </is>
      </c>
      <c r="K3896" t="inlineStr">
        <is>
          <t>AGGREGATE - PV ROADS - TXDOT BASE</t>
        </is>
      </c>
      <c r="L3896" t="n">
        <v>42000</v>
      </c>
      <c r="M3896" t="n">
        <v>1993005</v>
      </c>
      <c r="N3896" t="inlineStr">
        <is>
          <t>PO:COMMIT</t>
        </is>
      </c>
      <c r="O3896" t="inlineStr">
        <is>
          <t>21358</t>
        </is>
      </c>
      <c r="P3896" t="inlineStr">
        <is>
          <t>TEXAS GULF COAST AGGREGATES, LLC</t>
        </is>
      </c>
      <c r="Q3896" s="114" t="n">
        <v>0</v>
      </c>
      <c r="R3896" s="114" t="n">
        <v>0</v>
      </c>
      <c r="S3896" s="114" t="n">
        <v>1993005</v>
      </c>
      <c r="T3896" t="n">
        <v>0</v>
      </c>
    </row>
    <row r="3897">
      <c r="A3897" t="inlineStr">
        <is>
          <t>ttJTrans</t>
        </is>
      </c>
      <c r="B3897" s="38" t="inlineStr">
        <is>
          <t>0-4105</t>
        </is>
      </c>
      <c r="C3897" t="inlineStr">
        <is>
          <t>ER</t>
        </is>
      </c>
      <c r="E3897" t="inlineStr">
        <is>
          <t>ER</t>
        </is>
      </c>
      <c r="G3897" s="128" t="inlineStr"/>
      <c r="H3897" s="127" t="n">
        <v>46152</v>
      </c>
      <c r="J3897" s="38" t="inlineStr">
        <is>
          <t>0-4105</t>
        </is>
      </c>
      <c r="K3897" t="inlineStr">
        <is>
          <t>RDZ318 CAT D5 LGPVPR DOZER 170 HP CAT D5 LGPVPR DOZER 170 HP</t>
        </is>
      </c>
      <c r="L3897" t="n">
        <v>0</v>
      </c>
      <c r="M3897" t="n">
        <v>0</v>
      </c>
      <c r="O3897" t="inlineStr">
        <is>
          <t>RDZ318</t>
        </is>
      </c>
      <c r="Q3897" s="114" t="n">
        <v>0</v>
      </c>
      <c r="R3897" s="114" t="n">
        <v>778.74</v>
      </c>
      <c r="S3897" s="114" t="n">
        <v>0</v>
      </c>
      <c r="T3897" t="n">
        <v>0</v>
      </c>
    </row>
    <row r="3898">
      <c r="A3898" t="inlineStr">
        <is>
          <t>ttJTrans</t>
        </is>
      </c>
      <c r="B3898" s="38" t="inlineStr">
        <is>
          <t>0-4105</t>
        </is>
      </c>
      <c r="C3898" t="inlineStr">
        <is>
          <t>ER</t>
        </is>
      </c>
      <c r="E3898" t="inlineStr">
        <is>
          <t>ER</t>
        </is>
      </c>
      <c r="G3898" s="128" t="inlineStr"/>
      <c r="H3898" s="127" t="n">
        <v>46152</v>
      </c>
      <c r="J3898" s="38" t="inlineStr">
        <is>
          <t>0-4105</t>
        </is>
      </c>
      <c r="K3898" t="inlineStr">
        <is>
          <t>RDZ318 CAT D5 LGPVPR DOZER 170 HP CAT D5 LGPVPR DOZER 170 HP</t>
        </is>
      </c>
      <c r="L3898" t="n">
        <v>0</v>
      </c>
      <c r="M3898" t="n">
        <v>0</v>
      </c>
      <c r="O3898" t="inlineStr">
        <is>
          <t>RDZ318</t>
        </is>
      </c>
      <c r="Q3898" s="114" t="n">
        <v>0</v>
      </c>
      <c r="R3898" s="114" t="n">
        <v>778.74</v>
      </c>
      <c r="S3898" s="114" t="n">
        <v>0</v>
      </c>
      <c r="T3898" t="n">
        <v>0</v>
      </c>
    </row>
    <row r="3899">
      <c r="A3899" t="inlineStr">
        <is>
          <t>ttJTrans</t>
        </is>
      </c>
      <c r="B3899" s="38" t="inlineStr">
        <is>
          <t>0-4105</t>
        </is>
      </c>
      <c r="C3899" t="inlineStr">
        <is>
          <t>ER</t>
        </is>
      </c>
      <c r="E3899" t="inlineStr">
        <is>
          <t>ER</t>
        </is>
      </c>
      <c r="G3899" s="128" t="inlineStr"/>
      <c r="H3899" s="127" t="n">
        <v>46152</v>
      </c>
      <c r="J3899" s="38" t="inlineStr">
        <is>
          <t>0-4105</t>
        </is>
      </c>
      <c r="K3899" t="inlineStr">
        <is>
          <t>RHV96 PETERBILT 4,000 GALLON WATER TRUCK PETERBILT 4,000 GALLON WATER TRUCK</t>
        </is>
      </c>
      <c r="L3899" t="n">
        <v>0</v>
      </c>
      <c r="M3899" t="n">
        <v>0</v>
      </c>
      <c r="O3899" t="inlineStr">
        <is>
          <t>RHV96</t>
        </is>
      </c>
      <c r="Q3899" s="114" t="n">
        <v>0</v>
      </c>
      <c r="R3899" s="114" t="n">
        <v>200</v>
      </c>
      <c r="S3899" s="114" t="n">
        <v>0</v>
      </c>
      <c r="T3899" t="n">
        <v>0</v>
      </c>
    </row>
    <row r="3900">
      <c r="A3900" t="inlineStr">
        <is>
          <t>ttJTrans</t>
        </is>
      </c>
      <c r="B3900" s="38" t="inlineStr">
        <is>
          <t>0-4105</t>
        </is>
      </c>
      <c r="C3900" t="inlineStr">
        <is>
          <t>ER</t>
        </is>
      </c>
      <c r="E3900" t="inlineStr">
        <is>
          <t>ER</t>
        </is>
      </c>
      <c r="G3900" s="128" t="inlineStr"/>
      <c r="H3900" s="127" t="n">
        <v>46152</v>
      </c>
      <c r="J3900" s="38" t="inlineStr">
        <is>
          <t>0-4105</t>
        </is>
      </c>
      <c r="K3900" t="inlineStr">
        <is>
          <t>REX665 330 CATERPILLAR EXCAVATOR 330 CATERPILLAR EXCAVATOR</t>
        </is>
      </c>
      <c r="L3900" t="n">
        <v>0</v>
      </c>
      <c r="M3900" t="n">
        <v>0</v>
      </c>
      <c r="O3900" t="inlineStr">
        <is>
          <t>REX665</t>
        </is>
      </c>
      <c r="Q3900" s="114" t="n">
        <v>0</v>
      </c>
      <c r="R3900" s="114" t="n">
        <v>458.33</v>
      </c>
      <c r="S3900" s="114" t="n">
        <v>0</v>
      </c>
      <c r="T3900" t="n">
        <v>0</v>
      </c>
    </row>
    <row r="3901">
      <c r="A3901" t="inlineStr">
        <is>
          <t>ttJTrans</t>
        </is>
      </c>
      <c r="B3901" s="38" t="inlineStr">
        <is>
          <t>0-4105</t>
        </is>
      </c>
      <c r="C3901" t="inlineStr">
        <is>
          <t>ER</t>
        </is>
      </c>
      <c r="E3901" t="inlineStr">
        <is>
          <t>ER</t>
        </is>
      </c>
      <c r="G3901" s="128" t="inlineStr"/>
      <c r="H3901" s="127" t="n">
        <v>46152</v>
      </c>
      <c r="J3901" s="38" t="inlineStr">
        <is>
          <t>0-4105</t>
        </is>
      </c>
      <c r="K3901" t="inlineStr">
        <is>
          <t>REX665 330 CATERPILLAR EXCAVATOR 330 CATERPILLAR EXCAVATOR</t>
        </is>
      </c>
      <c r="L3901" t="n">
        <v>0</v>
      </c>
      <c r="M3901" t="n">
        <v>0</v>
      </c>
      <c r="O3901" t="inlineStr">
        <is>
          <t>REX665</t>
        </is>
      </c>
      <c r="Q3901" s="114" t="n">
        <v>0</v>
      </c>
      <c r="R3901" s="114" t="n">
        <v>458.33</v>
      </c>
      <c r="S3901" s="114" t="n">
        <v>0</v>
      </c>
      <c r="T3901" t="n">
        <v>0</v>
      </c>
    </row>
    <row r="3902">
      <c r="A3902" t="inlineStr">
        <is>
          <t>ttJTrans</t>
        </is>
      </c>
      <c r="B3902" s="38" t="inlineStr">
        <is>
          <t>0-4105</t>
        </is>
      </c>
      <c r="C3902" t="inlineStr">
        <is>
          <t>ER</t>
        </is>
      </c>
      <c r="E3902" t="inlineStr">
        <is>
          <t>ER</t>
        </is>
      </c>
      <c r="G3902" s="128" t="inlineStr"/>
      <c r="H3902" s="127" t="n">
        <v>46152</v>
      </c>
      <c r="J3902" s="38" t="inlineStr">
        <is>
          <t>0-4105</t>
        </is>
      </c>
      <c r="K3902" t="inlineStr">
        <is>
          <t>REX665 330 CATERPILLAR EXCAVATOR 330 CATERPILLAR EXCAVATOR</t>
        </is>
      </c>
      <c r="L3902" t="n">
        <v>0</v>
      </c>
      <c r="M3902" t="n">
        <v>0</v>
      </c>
      <c r="O3902" t="inlineStr">
        <is>
          <t>REX665</t>
        </is>
      </c>
      <c r="Q3902" s="114" t="n">
        <v>0</v>
      </c>
      <c r="R3902" s="114" t="n">
        <v>458.33</v>
      </c>
      <c r="S3902" s="114" t="n">
        <v>0</v>
      </c>
      <c r="T3902" t="n">
        <v>0</v>
      </c>
    </row>
    <row r="3903">
      <c r="A3903" t="inlineStr">
        <is>
          <t>ttJTrans</t>
        </is>
      </c>
      <c r="B3903" s="38" t="inlineStr">
        <is>
          <t>0-4105</t>
        </is>
      </c>
      <c r="C3903" t="inlineStr">
        <is>
          <t>ER</t>
        </is>
      </c>
      <c r="E3903" t="inlineStr">
        <is>
          <t>ER</t>
        </is>
      </c>
      <c r="G3903" s="128" t="inlineStr"/>
      <c r="H3903" s="127" t="n">
        <v>46152</v>
      </c>
      <c r="J3903" s="38" t="inlineStr">
        <is>
          <t>0-4105</t>
        </is>
      </c>
      <c r="K3903" t="inlineStr">
        <is>
          <t>RPK482 HAMM 84' SINGLE DRUM ROLLER HAMM 84' SINGLE DRUM ROLLER</t>
        </is>
      </c>
      <c r="L3903" t="n">
        <v>0</v>
      </c>
      <c r="M3903" t="n">
        <v>0</v>
      </c>
      <c r="O3903" t="inlineStr">
        <is>
          <t>RPK482</t>
        </is>
      </c>
      <c r="Q3903" s="114" t="n">
        <v>0</v>
      </c>
      <c r="R3903" s="114" t="n">
        <v>300</v>
      </c>
      <c r="S3903" s="114" t="n">
        <v>0</v>
      </c>
      <c r="T3903" t="n">
        <v>0</v>
      </c>
    </row>
    <row r="3904">
      <c r="A3904" t="inlineStr">
        <is>
          <t>ttJTrans</t>
        </is>
      </c>
      <c r="B3904" s="38" t="inlineStr">
        <is>
          <t>0-4105</t>
        </is>
      </c>
      <c r="C3904" t="inlineStr">
        <is>
          <t>ER</t>
        </is>
      </c>
      <c r="E3904" t="inlineStr">
        <is>
          <t>ER</t>
        </is>
      </c>
      <c r="G3904" s="128" t="inlineStr"/>
      <c r="H3904" s="127" t="n">
        <v>46152</v>
      </c>
      <c r="J3904" s="38" t="inlineStr">
        <is>
          <t>0-4105</t>
        </is>
      </c>
      <c r="K3904" t="inlineStr">
        <is>
          <t>RPK482 HAMM 84' SINGLE DRUM ROLLER HAMM 84' SINGLE DRUM ROLLER</t>
        </is>
      </c>
      <c r="L3904" t="n">
        <v>0</v>
      </c>
      <c r="M3904" t="n">
        <v>0</v>
      </c>
      <c r="O3904" t="inlineStr">
        <is>
          <t>RPK482</t>
        </is>
      </c>
      <c r="Q3904" s="114" t="n">
        <v>0</v>
      </c>
      <c r="R3904" s="114" t="n">
        <v>300</v>
      </c>
      <c r="S3904" s="114" t="n">
        <v>0</v>
      </c>
      <c r="T3904" t="n">
        <v>0</v>
      </c>
    </row>
    <row r="3905">
      <c r="A3905" t="inlineStr">
        <is>
          <t>ttJTrans</t>
        </is>
      </c>
      <c r="B3905" s="38" t="inlineStr">
        <is>
          <t>0-4105</t>
        </is>
      </c>
      <c r="C3905" t="inlineStr">
        <is>
          <t>ER</t>
        </is>
      </c>
      <c r="E3905" t="inlineStr">
        <is>
          <t>ER</t>
        </is>
      </c>
      <c r="G3905" s="128" t="inlineStr"/>
      <c r="H3905" s="127" t="n">
        <v>46152</v>
      </c>
      <c r="J3905" s="38" t="inlineStr">
        <is>
          <t>0-4105</t>
        </is>
      </c>
      <c r="K3905" t="inlineStr">
        <is>
          <t>RMS2317 TRIMBLE TD540 TOTAL STATING TRIMBLE TD540 TOTAL STATING</t>
        </is>
      </c>
      <c r="L3905" t="n">
        <v>0</v>
      </c>
      <c r="M3905" t="n">
        <v>0</v>
      </c>
      <c r="O3905" t="inlineStr">
        <is>
          <t>RMS2317</t>
        </is>
      </c>
      <c r="Q3905" s="114" t="n">
        <v>0</v>
      </c>
      <c r="R3905" s="114" t="n">
        <v>287.36</v>
      </c>
      <c r="S3905" s="114" t="n">
        <v>0</v>
      </c>
      <c r="T3905" t="n">
        <v>0</v>
      </c>
    </row>
    <row r="3906">
      <c r="A3906" t="inlineStr">
        <is>
          <t>ttJTrans</t>
        </is>
      </c>
      <c r="B3906" s="38" t="inlineStr">
        <is>
          <t>0-4105</t>
        </is>
      </c>
      <c r="C3906" t="inlineStr">
        <is>
          <t>ER</t>
        </is>
      </c>
      <c r="E3906" t="inlineStr">
        <is>
          <t>ER</t>
        </is>
      </c>
      <c r="G3906" s="128" t="inlineStr"/>
      <c r="H3906" s="127" t="n">
        <v>46152</v>
      </c>
      <c r="J3906" s="38" t="inlineStr">
        <is>
          <t>0-4105</t>
        </is>
      </c>
      <c r="K3906" t="inlineStr">
        <is>
          <t>RMS2317 TRIMBLE TD540 TOTAL STATING TRIMBLE TD540 TOTAL STATING</t>
        </is>
      </c>
      <c r="L3906" t="n">
        <v>0</v>
      </c>
      <c r="M3906" t="n">
        <v>0</v>
      </c>
      <c r="O3906" t="inlineStr">
        <is>
          <t>RMS2317</t>
        </is>
      </c>
      <c r="Q3906" s="114" t="n">
        <v>0</v>
      </c>
      <c r="R3906" s="114" t="n">
        <v>287.36</v>
      </c>
      <c r="S3906" s="114" t="n">
        <v>0</v>
      </c>
      <c r="T3906" t="n">
        <v>0</v>
      </c>
    </row>
    <row r="3907">
      <c r="A3907" t="inlineStr">
        <is>
          <t>ttJTrans</t>
        </is>
      </c>
      <c r="B3907" s="38" t="inlineStr">
        <is>
          <t>0-4105</t>
        </is>
      </c>
      <c r="C3907" t="inlineStr">
        <is>
          <t>ER</t>
        </is>
      </c>
      <c r="E3907" t="inlineStr">
        <is>
          <t>ER</t>
        </is>
      </c>
      <c r="G3907" s="128" t="inlineStr"/>
      <c r="H3907" s="127" t="n">
        <v>46159</v>
      </c>
      <c r="J3907" s="38" t="inlineStr">
        <is>
          <t>0-4105</t>
        </is>
      </c>
      <c r="K3907" t="inlineStr">
        <is>
          <t>RDZ318 CAT D5 LGPVPR DOZER 170 HP CAT D5 LGPVPR DOZER 170 HP</t>
        </is>
      </c>
      <c r="L3907" t="n">
        <v>0</v>
      </c>
      <c r="M3907" t="n">
        <v>0</v>
      </c>
      <c r="O3907" t="inlineStr">
        <is>
          <t>RDZ318</t>
        </is>
      </c>
      <c r="Q3907" s="114" t="n">
        <v>0</v>
      </c>
      <c r="R3907" s="114" t="n">
        <v>778.74</v>
      </c>
      <c r="S3907" s="114" t="n">
        <v>0</v>
      </c>
      <c r="T3907" t="n">
        <v>0</v>
      </c>
    </row>
    <row r="3908">
      <c r="A3908" t="inlineStr">
        <is>
          <t>ttJTrans</t>
        </is>
      </c>
      <c r="B3908" s="38" t="inlineStr">
        <is>
          <t>0-4105</t>
        </is>
      </c>
      <c r="C3908" t="inlineStr">
        <is>
          <t>ER</t>
        </is>
      </c>
      <c r="E3908" t="inlineStr">
        <is>
          <t>ER</t>
        </is>
      </c>
      <c r="G3908" s="128" t="inlineStr"/>
      <c r="H3908" s="127" t="n">
        <v>46159</v>
      </c>
      <c r="J3908" s="38" t="inlineStr">
        <is>
          <t>0-4105</t>
        </is>
      </c>
      <c r="K3908" t="inlineStr">
        <is>
          <t>RDZ318 CAT D5 LGPVPR DOZER 170 HP CAT D5 LGPVPR DOZER 170 HP</t>
        </is>
      </c>
      <c r="L3908" t="n">
        <v>0</v>
      </c>
      <c r="M3908" t="n">
        <v>0</v>
      </c>
      <c r="O3908" t="inlineStr">
        <is>
          <t>RDZ318</t>
        </is>
      </c>
      <c r="Q3908" s="114" t="n">
        <v>0</v>
      </c>
      <c r="R3908" s="114" t="n">
        <v>778.74</v>
      </c>
      <c r="S3908" s="114" t="n">
        <v>0</v>
      </c>
      <c r="T3908" t="n">
        <v>0</v>
      </c>
    </row>
    <row r="3909">
      <c r="A3909" t="inlineStr">
        <is>
          <t>ttJTrans</t>
        </is>
      </c>
      <c r="B3909" s="38" t="inlineStr">
        <is>
          <t>0-4105</t>
        </is>
      </c>
      <c r="C3909" t="inlineStr">
        <is>
          <t>ER</t>
        </is>
      </c>
      <c r="E3909" t="inlineStr">
        <is>
          <t>ER</t>
        </is>
      </c>
      <c r="G3909" s="128" t="inlineStr"/>
      <c r="H3909" s="127" t="n">
        <v>46159</v>
      </c>
      <c r="J3909" s="38" t="inlineStr">
        <is>
          <t>0-4105</t>
        </is>
      </c>
      <c r="K3909" t="inlineStr">
        <is>
          <t>RDZ318 CAT D5 LGPVPR DOZER 170 HP CAT D5 LGPVPR DOZER 170 HP</t>
        </is>
      </c>
      <c r="L3909" t="n">
        <v>0</v>
      </c>
      <c r="M3909" t="n">
        <v>0</v>
      </c>
      <c r="O3909" t="inlineStr">
        <is>
          <t>RDZ318</t>
        </is>
      </c>
      <c r="Q3909" s="114" t="n">
        <v>0</v>
      </c>
      <c r="R3909" s="114" t="n">
        <v>778.74</v>
      </c>
      <c r="S3909" s="114" t="n">
        <v>0</v>
      </c>
      <c r="T3909" t="n">
        <v>0</v>
      </c>
    </row>
    <row r="3910">
      <c r="A3910" t="inlineStr">
        <is>
          <t>ttJTrans</t>
        </is>
      </c>
      <c r="B3910" s="38" t="inlineStr">
        <is>
          <t>0-4105</t>
        </is>
      </c>
      <c r="C3910" t="inlineStr">
        <is>
          <t>ER</t>
        </is>
      </c>
      <c r="E3910" t="inlineStr">
        <is>
          <t>ER</t>
        </is>
      </c>
      <c r="G3910" s="128" t="inlineStr"/>
      <c r="H3910" s="127" t="n">
        <v>46159</v>
      </c>
      <c r="J3910" s="38" t="inlineStr">
        <is>
          <t>0-4105</t>
        </is>
      </c>
      <c r="K3910" t="inlineStr">
        <is>
          <t>RDZ318 CAT D5 LGPVPR DOZER 170 HP CAT D5 LGPVPR DOZER 170 HP</t>
        </is>
      </c>
      <c r="L3910" t="n">
        <v>0</v>
      </c>
      <c r="M3910" t="n">
        <v>0</v>
      </c>
      <c r="O3910" t="inlineStr">
        <is>
          <t>RDZ318</t>
        </is>
      </c>
      <c r="Q3910" s="114" t="n">
        <v>0</v>
      </c>
      <c r="R3910" s="114" t="n">
        <v>778.74</v>
      </c>
      <c r="S3910" s="114" t="n">
        <v>0</v>
      </c>
      <c r="T3910" t="n">
        <v>0</v>
      </c>
    </row>
    <row r="3911">
      <c r="A3911" t="inlineStr">
        <is>
          <t>ttJTrans</t>
        </is>
      </c>
      <c r="B3911" s="38" t="inlineStr">
        <is>
          <t>0-4105</t>
        </is>
      </c>
      <c r="C3911" t="inlineStr">
        <is>
          <t>ER</t>
        </is>
      </c>
      <c r="E3911" t="inlineStr">
        <is>
          <t>ER</t>
        </is>
      </c>
      <c r="G3911" s="128" t="inlineStr"/>
      <c r="H3911" s="127" t="n">
        <v>46159</v>
      </c>
      <c r="J3911" s="38" t="inlineStr">
        <is>
          <t>0-4105</t>
        </is>
      </c>
      <c r="K3911" t="inlineStr">
        <is>
          <t>RGR114 CATERPILLAR 150 AWD MOTOR GRADER CATERPILLAR 150 AWD MOTOR GRADER</t>
        </is>
      </c>
      <c r="L3911" t="n">
        <v>0</v>
      </c>
      <c r="M3911" t="n">
        <v>0</v>
      </c>
      <c r="O3911" t="inlineStr">
        <is>
          <t>RGR114</t>
        </is>
      </c>
      <c r="Q3911" s="114" t="n">
        <v>0</v>
      </c>
      <c r="R3911" s="114" t="n">
        <v>604.17</v>
      </c>
      <c r="S3911" s="114" t="n">
        <v>0</v>
      </c>
      <c r="T3911" t="n">
        <v>0</v>
      </c>
    </row>
    <row r="3912">
      <c r="A3912" t="inlineStr">
        <is>
          <t>ttJTrans</t>
        </is>
      </c>
      <c r="B3912" s="38" t="inlineStr">
        <is>
          <t>0-4105</t>
        </is>
      </c>
      <c r="C3912" t="inlineStr">
        <is>
          <t>ER</t>
        </is>
      </c>
      <c r="E3912" t="inlineStr">
        <is>
          <t>ER</t>
        </is>
      </c>
      <c r="G3912" s="128" t="inlineStr"/>
      <c r="H3912" s="127" t="n">
        <v>46159</v>
      </c>
      <c r="J3912" s="38" t="inlineStr">
        <is>
          <t>0-4105</t>
        </is>
      </c>
      <c r="K3912" t="inlineStr">
        <is>
          <t>RGR114 CATERPILLAR 150 AWD MOTOR GRADER CATERPILLAR 150 AWD MOTOR GRADER</t>
        </is>
      </c>
      <c r="L3912" t="n">
        <v>0</v>
      </c>
      <c r="M3912" t="n">
        <v>0</v>
      </c>
      <c r="O3912" t="inlineStr">
        <is>
          <t>RGR114</t>
        </is>
      </c>
      <c r="Q3912" s="114" t="n">
        <v>0</v>
      </c>
      <c r="R3912" s="114" t="n">
        <v>604.17</v>
      </c>
      <c r="S3912" s="114" t="n">
        <v>0</v>
      </c>
      <c r="T3912" t="n">
        <v>0</v>
      </c>
    </row>
    <row r="3913">
      <c r="A3913" t="inlineStr">
        <is>
          <t>ttJTrans</t>
        </is>
      </c>
      <c r="B3913" s="38" t="inlineStr">
        <is>
          <t>0-4105</t>
        </is>
      </c>
      <c r="C3913" t="inlineStr">
        <is>
          <t>ER</t>
        </is>
      </c>
      <c r="E3913" t="inlineStr">
        <is>
          <t>ER</t>
        </is>
      </c>
      <c r="G3913" s="128" t="inlineStr"/>
      <c r="H3913" s="127" t="n">
        <v>46159</v>
      </c>
      <c r="J3913" s="38" t="inlineStr">
        <is>
          <t>0-4105</t>
        </is>
      </c>
      <c r="K3913" t="inlineStr">
        <is>
          <t>RGR114 CATERPILLAR 150 AWD MOTOR GRADER CATERPILLAR 150 AWD MOTOR GRADER</t>
        </is>
      </c>
      <c r="L3913" t="n">
        <v>0</v>
      </c>
      <c r="M3913" t="n">
        <v>0</v>
      </c>
      <c r="O3913" t="inlineStr">
        <is>
          <t>RGR114</t>
        </is>
      </c>
      <c r="Q3913" s="114" t="n">
        <v>0</v>
      </c>
      <c r="R3913" s="114" t="n">
        <v>604.17</v>
      </c>
      <c r="S3913" s="114" t="n">
        <v>0</v>
      </c>
      <c r="T3913" t="n">
        <v>0</v>
      </c>
    </row>
    <row r="3914">
      <c r="A3914" t="inlineStr">
        <is>
          <t>ttJTrans</t>
        </is>
      </c>
      <c r="B3914" s="38" t="inlineStr">
        <is>
          <t>0-4105</t>
        </is>
      </c>
      <c r="C3914" t="inlineStr">
        <is>
          <t>ER</t>
        </is>
      </c>
      <c r="E3914" t="inlineStr">
        <is>
          <t>ER</t>
        </is>
      </c>
      <c r="G3914" s="128" t="inlineStr"/>
      <c r="H3914" s="127" t="n">
        <v>46159</v>
      </c>
      <c r="J3914" s="38" t="inlineStr">
        <is>
          <t>0-4105</t>
        </is>
      </c>
      <c r="K3914" t="inlineStr">
        <is>
          <t>RGR114 CATERPILLAR 150 AWD MOTOR GRADER CATERPILLAR 150 AWD MOTOR GRADER</t>
        </is>
      </c>
      <c r="L3914" t="n">
        <v>0</v>
      </c>
      <c r="M3914" t="n">
        <v>0</v>
      </c>
      <c r="O3914" t="inlineStr">
        <is>
          <t>RGR114</t>
        </is>
      </c>
      <c r="Q3914" s="114" t="n">
        <v>0</v>
      </c>
      <c r="R3914" s="114" t="n">
        <v>604.17</v>
      </c>
      <c r="S3914" s="114" t="n">
        <v>0</v>
      </c>
      <c r="T3914" t="n">
        <v>0</v>
      </c>
    </row>
    <row r="3915">
      <c r="A3915" t="inlineStr">
        <is>
          <t>ttJTrans</t>
        </is>
      </c>
      <c r="B3915" s="38" t="inlineStr">
        <is>
          <t>0-4105</t>
        </is>
      </c>
      <c r="C3915" t="inlineStr">
        <is>
          <t>ER</t>
        </is>
      </c>
      <c r="E3915" t="inlineStr">
        <is>
          <t>ER</t>
        </is>
      </c>
      <c r="G3915" s="128" t="inlineStr"/>
      <c r="H3915" s="127" t="n">
        <v>46159</v>
      </c>
      <c r="J3915" s="38" t="inlineStr">
        <is>
          <t>0-4105</t>
        </is>
      </c>
      <c r="K3915" t="inlineStr">
        <is>
          <t>RHV96 PETERBILT 4,000 GALLON WATER TRUCK PETERBILT 4,000 GALLON WATER TRUCK</t>
        </is>
      </c>
      <c r="L3915" t="n">
        <v>0</v>
      </c>
      <c r="M3915" t="n">
        <v>0</v>
      </c>
      <c r="O3915" t="inlineStr">
        <is>
          <t>RHV96</t>
        </is>
      </c>
      <c r="Q3915" s="114" t="n">
        <v>0</v>
      </c>
      <c r="R3915" s="114" t="n">
        <v>200</v>
      </c>
      <c r="S3915" s="114" t="n">
        <v>0</v>
      </c>
      <c r="T3915" t="n">
        <v>0</v>
      </c>
    </row>
    <row r="3916">
      <c r="A3916" t="inlineStr">
        <is>
          <t>ttJTrans</t>
        </is>
      </c>
      <c r="B3916" s="38" t="inlineStr">
        <is>
          <t>0-4105</t>
        </is>
      </c>
      <c r="C3916" t="inlineStr">
        <is>
          <t>ER</t>
        </is>
      </c>
      <c r="E3916" t="inlineStr">
        <is>
          <t>ER</t>
        </is>
      </c>
      <c r="G3916" s="128" t="inlineStr"/>
      <c r="H3916" s="127" t="n">
        <v>46159</v>
      </c>
      <c r="J3916" s="38" t="inlineStr">
        <is>
          <t>0-4105</t>
        </is>
      </c>
      <c r="K3916" t="inlineStr">
        <is>
          <t>REX665 330 CATERPILLAR EXCAVATOR 330 CATERPILLAR EXCAVATOR</t>
        </is>
      </c>
      <c r="L3916" t="n">
        <v>0</v>
      </c>
      <c r="M3916" t="n">
        <v>0</v>
      </c>
      <c r="O3916" t="inlineStr">
        <is>
          <t>REX665</t>
        </is>
      </c>
      <c r="Q3916" s="114" t="n">
        <v>0</v>
      </c>
      <c r="R3916" s="114" t="n">
        <v>458.33</v>
      </c>
      <c r="S3916" s="114" t="n">
        <v>0</v>
      </c>
      <c r="T3916" t="n">
        <v>0</v>
      </c>
    </row>
    <row r="3917">
      <c r="A3917" t="inlineStr">
        <is>
          <t>ttJTrans</t>
        </is>
      </c>
      <c r="B3917" s="38" t="inlineStr">
        <is>
          <t>0-4105</t>
        </is>
      </c>
      <c r="C3917" t="inlineStr">
        <is>
          <t>ER</t>
        </is>
      </c>
      <c r="E3917" t="inlineStr">
        <is>
          <t>ER</t>
        </is>
      </c>
      <c r="G3917" s="128" t="inlineStr"/>
      <c r="H3917" s="127" t="n">
        <v>46159</v>
      </c>
      <c r="J3917" s="38" t="inlineStr">
        <is>
          <t>0-4105</t>
        </is>
      </c>
      <c r="K3917" t="inlineStr">
        <is>
          <t>REX665 330 CATERPILLAR EXCAVATOR 330 CATERPILLAR EXCAVATOR</t>
        </is>
      </c>
      <c r="L3917" t="n">
        <v>0</v>
      </c>
      <c r="M3917" t="n">
        <v>0</v>
      </c>
      <c r="O3917" t="inlineStr">
        <is>
          <t>REX665</t>
        </is>
      </c>
      <c r="Q3917" s="114" t="n">
        <v>0</v>
      </c>
      <c r="R3917" s="114" t="n">
        <v>458.33</v>
      </c>
      <c r="S3917" s="114" t="n">
        <v>0</v>
      </c>
      <c r="T3917" t="n">
        <v>0</v>
      </c>
    </row>
    <row r="3918">
      <c r="A3918" t="inlineStr">
        <is>
          <t>ttJTrans</t>
        </is>
      </c>
      <c r="B3918" s="38" t="inlineStr">
        <is>
          <t>0-4105</t>
        </is>
      </c>
      <c r="C3918" t="inlineStr">
        <is>
          <t>ER</t>
        </is>
      </c>
      <c r="E3918" t="inlineStr">
        <is>
          <t>ER</t>
        </is>
      </c>
      <c r="G3918" s="128" t="inlineStr"/>
      <c r="H3918" s="127" t="n">
        <v>46159</v>
      </c>
      <c r="J3918" s="38" t="inlineStr">
        <is>
          <t>0-4105</t>
        </is>
      </c>
      <c r="K3918" t="inlineStr">
        <is>
          <t>REX665 330 CATERPILLAR EXCAVATOR 330 CATERPILLAR EXCAVATOR</t>
        </is>
      </c>
      <c r="L3918" t="n">
        <v>0</v>
      </c>
      <c r="M3918" t="n">
        <v>0</v>
      </c>
      <c r="O3918" t="inlineStr">
        <is>
          <t>REX665</t>
        </is>
      </c>
      <c r="Q3918" s="114" t="n">
        <v>0</v>
      </c>
      <c r="R3918" s="114" t="n">
        <v>458.33</v>
      </c>
      <c r="S3918" s="114" t="n">
        <v>0</v>
      </c>
      <c r="T3918" t="n">
        <v>0</v>
      </c>
    </row>
    <row r="3919">
      <c r="A3919" t="inlineStr">
        <is>
          <t>ttJTrans</t>
        </is>
      </c>
      <c r="B3919" s="38" t="inlineStr">
        <is>
          <t>0-4105</t>
        </is>
      </c>
      <c r="C3919" t="inlineStr">
        <is>
          <t>ER</t>
        </is>
      </c>
      <c r="E3919" t="inlineStr">
        <is>
          <t>ER</t>
        </is>
      </c>
      <c r="G3919" s="128" t="inlineStr"/>
      <c r="H3919" s="127" t="n">
        <v>46159</v>
      </c>
      <c r="J3919" s="38" t="inlineStr">
        <is>
          <t>0-4105</t>
        </is>
      </c>
      <c r="K3919" t="inlineStr">
        <is>
          <t>REX665 330 CATERPILLAR EXCAVATOR 330 CATERPILLAR EXCAVATOR</t>
        </is>
      </c>
      <c r="L3919" t="n">
        <v>0</v>
      </c>
      <c r="M3919" t="n">
        <v>0</v>
      </c>
      <c r="O3919" t="inlineStr">
        <is>
          <t>REX665</t>
        </is>
      </c>
      <c r="Q3919" s="114" t="n">
        <v>0</v>
      </c>
      <c r="R3919" s="114" t="n">
        <v>458.33</v>
      </c>
      <c r="S3919" s="114" t="n">
        <v>0</v>
      </c>
      <c r="T3919" t="n">
        <v>0</v>
      </c>
    </row>
    <row r="3920">
      <c r="A3920" t="inlineStr">
        <is>
          <t>ttJTrans</t>
        </is>
      </c>
      <c r="B3920" s="38" t="inlineStr">
        <is>
          <t>0-4105</t>
        </is>
      </c>
      <c r="C3920" t="inlineStr">
        <is>
          <t>ER</t>
        </is>
      </c>
      <c r="E3920" t="inlineStr">
        <is>
          <t>ER</t>
        </is>
      </c>
      <c r="G3920" s="128" t="inlineStr"/>
      <c r="H3920" s="127" t="n">
        <v>46159</v>
      </c>
      <c r="J3920" s="38" t="inlineStr">
        <is>
          <t>0-4105</t>
        </is>
      </c>
      <c r="K3920" t="inlineStr">
        <is>
          <t>REX665 330 CATERPILLAR EXCAVATOR 330 CATERPILLAR EXCAVATOR</t>
        </is>
      </c>
      <c r="L3920" t="n">
        <v>0</v>
      </c>
      <c r="M3920" t="n">
        <v>0</v>
      </c>
      <c r="O3920" t="inlineStr">
        <is>
          <t>REX665</t>
        </is>
      </c>
      <c r="Q3920" s="114" t="n">
        <v>0</v>
      </c>
      <c r="R3920" s="114" t="n">
        <v>458.33</v>
      </c>
      <c r="S3920" s="114" t="n">
        <v>0</v>
      </c>
      <c r="T3920" t="n">
        <v>0</v>
      </c>
    </row>
    <row r="3921">
      <c r="A3921" t="inlineStr">
        <is>
          <t>ttJTrans</t>
        </is>
      </c>
      <c r="B3921" s="38" t="inlineStr">
        <is>
          <t>0-4105</t>
        </is>
      </c>
      <c r="C3921" t="inlineStr">
        <is>
          <t>ER</t>
        </is>
      </c>
      <c r="E3921" t="inlineStr">
        <is>
          <t>ER</t>
        </is>
      </c>
      <c r="G3921" s="128" t="inlineStr"/>
      <c r="H3921" s="127" t="n">
        <v>46159</v>
      </c>
      <c r="J3921" s="38" t="inlineStr">
        <is>
          <t>0-4105</t>
        </is>
      </c>
      <c r="K3921" t="inlineStr">
        <is>
          <t>RPK482 HAMM 84' SINGLE DRUM ROLLER HAMM 84' SINGLE DRUM ROLLER</t>
        </is>
      </c>
      <c r="L3921" t="n">
        <v>0</v>
      </c>
      <c r="M3921" t="n">
        <v>0</v>
      </c>
      <c r="O3921" t="inlineStr">
        <is>
          <t>RPK482</t>
        </is>
      </c>
      <c r="Q3921" s="114" t="n">
        <v>0</v>
      </c>
      <c r="R3921" s="114" t="n">
        <v>300</v>
      </c>
      <c r="S3921" s="114" t="n">
        <v>0</v>
      </c>
      <c r="T3921" t="n">
        <v>0</v>
      </c>
    </row>
    <row r="3922">
      <c r="A3922" t="inlineStr">
        <is>
          <t>ttJTrans</t>
        </is>
      </c>
      <c r="B3922" s="38" t="inlineStr">
        <is>
          <t>0-4105</t>
        </is>
      </c>
      <c r="C3922" t="inlineStr">
        <is>
          <t>ER</t>
        </is>
      </c>
      <c r="E3922" t="inlineStr">
        <is>
          <t>ER</t>
        </is>
      </c>
      <c r="G3922" s="128" t="inlineStr"/>
      <c r="H3922" s="127" t="n">
        <v>46159</v>
      </c>
      <c r="J3922" s="38" t="inlineStr">
        <is>
          <t>0-4105</t>
        </is>
      </c>
      <c r="K3922" t="inlineStr">
        <is>
          <t>RPK482 HAMM 84' SINGLE DRUM ROLLER HAMM 84' SINGLE DRUM ROLLER</t>
        </is>
      </c>
      <c r="L3922" t="n">
        <v>0</v>
      </c>
      <c r="M3922" t="n">
        <v>0</v>
      </c>
      <c r="O3922" t="inlineStr">
        <is>
          <t>RPK482</t>
        </is>
      </c>
      <c r="Q3922" s="114" t="n">
        <v>0</v>
      </c>
      <c r="R3922" s="114" t="n">
        <v>300</v>
      </c>
      <c r="S3922" s="114" t="n">
        <v>0</v>
      </c>
      <c r="T3922" t="n">
        <v>0</v>
      </c>
    </row>
    <row r="3923">
      <c r="A3923" t="inlineStr">
        <is>
          <t>ttJTrans</t>
        </is>
      </c>
      <c r="B3923" s="38" t="inlineStr">
        <is>
          <t>0-4105</t>
        </is>
      </c>
      <c r="C3923" t="inlineStr">
        <is>
          <t>ER</t>
        </is>
      </c>
      <c r="E3923" t="inlineStr">
        <is>
          <t>ER</t>
        </is>
      </c>
      <c r="G3923" s="128" t="inlineStr"/>
      <c r="H3923" s="127" t="n">
        <v>46159</v>
      </c>
      <c r="J3923" s="38" t="inlineStr">
        <is>
          <t>0-4105</t>
        </is>
      </c>
      <c r="K3923" t="inlineStr">
        <is>
          <t>RPK482 HAMM 84' SINGLE DRUM ROLLER HAMM 84' SINGLE DRUM ROLLER</t>
        </is>
      </c>
      <c r="L3923" t="n">
        <v>0</v>
      </c>
      <c r="M3923" t="n">
        <v>0</v>
      </c>
      <c r="O3923" t="inlineStr">
        <is>
          <t>RPK482</t>
        </is>
      </c>
      <c r="Q3923" s="114" t="n">
        <v>0</v>
      </c>
      <c r="R3923" s="114" t="n">
        <v>300</v>
      </c>
      <c r="S3923" s="114" t="n">
        <v>0</v>
      </c>
      <c r="T3923" t="n">
        <v>0</v>
      </c>
    </row>
    <row r="3924">
      <c r="A3924" t="inlineStr">
        <is>
          <t>ttJTrans</t>
        </is>
      </c>
      <c r="B3924" s="38" t="inlineStr">
        <is>
          <t>0-4105</t>
        </is>
      </c>
      <c r="C3924" t="inlineStr">
        <is>
          <t>ER</t>
        </is>
      </c>
      <c r="E3924" t="inlineStr">
        <is>
          <t>ER</t>
        </is>
      </c>
      <c r="G3924" s="128" t="inlineStr"/>
      <c r="H3924" s="127" t="n">
        <v>46159</v>
      </c>
      <c r="J3924" s="38" t="inlineStr">
        <is>
          <t>0-4105</t>
        </is>
      </c>
      <c r="K3924" t="inlineStr">
        <is>
          <t>RPK482 HAMM 84' SINGLE DRUM ROLLER HAMM 84' SINGLE DRUM ROLLER</t>
        </is>
      </c>
      <c r="L3924" t="n">
        <v>0</v>
      </c>
      <c r="M3924" t="n">
        <v>0</v>
      </c>
      <c r="O3924" t="inlineStr">
        <is>
          <t>RPK482</t>
        </is>
      </c>
      <c r="Q3924" s="114" t="n">
        <v>0</v>
      </c>
      <c r="R3924" s="114" t="n">
        <v>300</v>
      </c>
      <c r="S3924" s="114" t="n">
        <v>0</v>
      </c>
      <c r="T3924" t="n">
        <v>0</v>
      </c>
    </row>
    <row r="3925">
      <c r="A3925" t="inlineStr">
        <is>
          <t>ttJTrans</t>
        </is>
      </c>
      <c r="B3925" s="38" t="inlineStr">
        <is>
          <t>0-4105</t>
        </is>
      </c>
      <c r="C3925" t="inlineStr">
        <is>
          <t>ER</t>
        </is>
      </c>
      <c r="E3925" t="inlineStr">
        <is>
          <t>ER</t>
        </is>
      </c>
      <c r="G3925" s="128" t="inlineStr"/>
      <c r="H3925" s="127" t="n">
        <v>46159</v>
      </c>
      <c r="J3925" s="38" t="inlineStr">
        <is>
          <t>0-4105</t>
        </is>
      </c>
      <c r="K3925" t="inlineStr">
        <is>
          <t>RMS2317 TRIMBLE TD540 TOTAL STATING TRIMBLE TD540 TOTAL STATING</t>
        </is>
      </c>
      <c r="L3925" t="n">
        <v>0</v>
      </c>
      <c r="M3925" t="n">
        <v>0</v>
      </c>
      <c r="O3925" t="inlineStr">
        <is>
          <t>RMS2317</t>
        </is>
      </c>
      <c r="Q3925" s="114" t="n">
        <v>0</v>
      </c>
      <c r="R3925" s="114" t="n">
        <v>287.36</v>
      </c>
      <c r="S3925" s="114" t="n">
        <v>0</v>
      </c>
      <c r="T3925" t="n">
        <v>0</v>
      </c>
    </row>
    <row r="3926">
      <c r="A3926" t="inlineStr">
        <is>
          <t>ttJTrans</t>
        </is>
      </c>
      <c r="B3926" s="38" t="inlineStr">
        <is>
          <t>0-4105</t>
        </is>
      </c>
      <c r="C3926" t="inlineStr">
        <is>
          <t>ER</t>
        </is>
      </c>
      <c r="E3926" t="inlineStr">
        <is>
          <t>ER</t>
        </is>
      </c>
      <c r="G3926" s="128" t="inlineStr"/>
      <c r="H3926" s="127" t="n">
        <v>46159</v>
      </c>
      <c r="J3926" s="38" t="inlineStr">
        <is>
          <t>0-4105</t>
        </is>
      </c>
      <c r="K3926" t="inlineStr">
        <is>
          <t>RMS2317 TRIMBLE TD540 TOTAL STATING TRIMBLE TD540 TOTAL STATING</t>
        </is>
      </c>
      <c r="L3926" t="n">
        <v>0</v>
      </c>
      <c r="M3926" t="n">
        <v>0</v>
      </c>
      <c r="O3926" t="inlineStr">
        <is>
          <t>RMS2317</t>
        </is>
      </c>
      <c r="Q3926" s="114" t="n">
        <v>0</v>
      </c>
      <c r="R3926" s="114" t="n">
        <v>287.36</v>
      </c>
      <c r="S3926" s="114" t="n">
        <v>0</v>
      </c>
      <c r="T3926" t="n">
        <v>0</v>
      </c>
    </row>
    <row r="3927">
      <c r="A3927" t="inlineStr">
        <is>
          <t>ttJTrans</t>
        </is>
      </c>
      <c r="B3927" s="38" t="inlineStr">
        <is>
          <t>0-4105</t>
        </is>
      </c>
      <c r="C3927" t="inlineStr">
        <is>
          <t>ER</t>
        </is>
      </c>
      <c r="E3927" t="inlineStr">
        <is>
          <t>ER</t>
        </is>
      </c>
      <c r="G3927" s="128" t="inlineStr"/>
      <c r="H3927" s="127" t="n">
        <v>46159</v>
      </c>
      <c r="J3927" s="38" t="inlineStr">
        <is>
          <t>0-4105</t>
        </is>
      </c>
      <c r="K3927" t="inlineStr">
        <is>
          <t>RMS2317 TRIMBLE TD540 TOTAL STATING TRIMBLE TD540 TOTAL STATING</t>
        </is>
      </c>
      <c r="L3927" t="n">
        <v>0</v>
      </c>
      <c r="M3927" t="n">
        <v>0</v>
      </c>
      <c r="O3927" t="inlineStr">
        <is>
          <t>RMS2317</t>
        </is>
      </c>
      <c r="Q3927" s="114" t="n">
        <v>0</v>
      </c>
      <c r="R3927" s="114" t="n">
        <v>287.36</v>
      </c>
      <c r="S3927" s="114" t="n">
        <v>0</v>
      </c>
      <c r="T3927" t="n">
        <v>0</v>
      </c>
    </row>
    <row r="3928">
      <c r="A3928" t="inlineStr">
        <is>
          <t>ttJTrans</t>
        </is>
      </c>
      <c r="B3928" s="38" t="inlineStr">
        <is>
          <t>0-4105</t>
        </is>
      </c>
      <c r="C3928" t="inlineStr">
        <is>
          <t>ER</t>
        </is>
      </c>
      <c r="E3928" t="inlineStr">
        <is>
          <t>ER</t>
        </is>
      </c>
      <c r="G3928" s="128" t="inlineStr"/>
      <c r="H3928" s="127" t="n">
        <v>46159</v>
      </c>
      <c r="J3928" s="38" t="inlineStr">
        <is>
          <t>0-4105</t>
        </is>
      </c>
      <c r="K3928" t="inlineStr">
        <is>
          <t>RMS2317 TRIMBLE TD540 TOTAL STATING TRIMBLE TD540 TOTAL STATING</t>
        </is>
      </c>
      <c r="L3928" t="n">
        <v>0</v>
      </c>
      <c r="M3928" t="n">
        <v>0</v>
      </c>
      <c r="O3928" t="inlineStr">
        <is>
          <t>RMS2317</t>
        </is>
      </c>
      <c r="Q3928" s="114" t="n">
        <v>0</v>
      </c>
      <c r="R3928" s="114" t="n">
        <v>287.36</v>
      </c>
      <c r="S3928" s="114" t="n">
        <v>0</v>
      </c>
      <c r="T3928" t="n">
        <v>0</v>
      </c>
    </row>
    <row r="3929">
      <c r="A3929" t="inlineStr">
        <is>
          <t>ttJTrans</t>
        </is>
      </c>
      <c r="B3929" s="38" t="inlineStr">
        <is>
          <t>0-4105</t>
        </is>
      </c>
      <c r="C3929" t="inlineStr">
        <is>
          <t>ER</t>
        </is>
      </c>
      <c r="E3929" t="inlineStr">
        <is>
          <t>ER</t>
        </is>
      </c>
      <c r="G3929" s="128" t="inlineStr"/>
      <c r="H3929" s="127" t="n">
        <v>46166</v>
      </c>
      <c r="J3929" s="38" t="inlineStr">
        <is>
          <t>0-4105</t>
        </is>
      </c>
      <c r="K3929" t="inlineStr">
        <is>
          <t>RMS2317 TRIMBLE TD540 TOTAL STATING TRIMBLE TD540 TOTAL STATING</t>
        </is>
      </c>
      <c r="L3929" t="n">
        <v>0</v>
      </c>
      <c r="M3929" t="n">
        <v>0</v>
      </c>
      <c r="O3929" t="inlineStr">
        <is>
          <t>RMS2317</t>
        </is>
      </c>
      <c r="Q3929" s="114" t="n">
        <v>0</v>
      </c>
      <c r="R3929" s="114" t="n">
        <v>287.36</v>
      </c>
      <c r="S3929" s="114" t="n">
        <v>0</v>
      </c>
      <c r="T3929" t="n">
        <v>0</v>
      </c>
    </row>
    <row r="3930">
      <c r="A3930" t="inlineStr">
        <is>
          <t>ttJTrans</t>
        </is>
      </c>
      <c r="B3930" s="38" t="inlineStr">
        <is>
          <t>0-4105</t>
        </is>
      </c>
      <c r="C3930" t="inlineStr">
        <is>
          <t>ER</t>
        </is>
      </c>
      <c r="E3930" t="inlineStr">
        <is>
          <t>ER</t>
        </is>
      </c>
      <c r="G3930" s="128" t="inlineStr"/>
      <c r="H3930" s="127" t="n">
        <v>46166</v>
      </c>
      <c r="J3930" s="38" t="inlineStr">
        <is>
          <t>0-4105</t>
        </is>
      </c>
      <c r="K3930" t="inlineStr">
        <is>
          <t>RDZ318 CAT D5 LGPVPR DOZER 170 HP CAT D5 LGPVPR DOZER 170 HP</t>
        </is>
      </c>
      <c r="L3930" t="n">
        <v>0</v>
      </c>
      <c r="M3930" t="n">
        <v>0</v>
      </c>
      <c r="O3930" t="inlineStr">
        <is>
          <t>RDZ318</t>
        </is>
      </c>
      <c r="Q3930" s="114" t="n">
        <v>0</v>
      </c>
      <c r="R3930" s="114" t="n">
        <v>778.74</v>
      </c>
      <c r="S3930" s="114" t="n">
        <v>0</v>
      </c>
      <c r="T3930" t="n">
        <v>0</v>
      </c>
    </row>
    <row r="3931">
      <c r="A3931" t="inlineStr">
        <is>
          <t>ttJTrans</t>
        </is>
      </c>
      <c r="B3931" s="38" t="inlineStr">
        <is>
          <t>0-4105</t>
        </is>
      </c>
      <c r="C3931" t="inlineStr">
        <is>
          <t>ER</t>
        </is>
      </c>
      <c r="E3931" t="inlineStr">
        <is>
          <t>ER</t>
        </is>
      </c>
      <c r="G3931" s="128" t="inlineStr"/>
      <c r="H3931" s="127" t="n">
        <v>46166</v>
      </c>
      <c r="J3931" s="38" t="inlineStr">
        <is>
          <t>0-4105</t>
        </is>
      </c>
      <c r="K3931" t="inlineStr">
        <is>
          <t>RDZ318 CAT D5 LGPVPR DOZER 170 HP CAT D5 LGPVPR DOZER 170 HP</t>
        </is>
      </c>
      <c r="L3931" t="n">
        <v>0</v>
      </c>
      <c r="M3931" t="n">
        <v>0</v>
      </c>
      <c r="O3931" t="inlineStr">
        <is>
          <t>RDZ318</t>
        </is>
      </c>
      <c r="Q3931" s="114" t="n">
        <v>0</v>
      </c>
      <c r="R3931" s="114" t="n">
        <v>778.74</v>
      </c>
      <c r="S3931" s="114" t="n">
        <v>0</v>
      </c>
      <c r="T3931" t="n">
        <v>0</v>
      </c>
    </row>
    <row r="3932">
      <c r="A3932" t="inlineStr">
        <is>
          <t>ttJTrans</t>
        </is>
      </c>
      <c r="B3932" s="38" t="inlineStr">
        <is>
          <t>0-4105</t>
        </is>
      </c>
      <c r="C3932" t="inlineStr">
        <is>
          <t>ER</t>
        </is>
      </c>
      <c r="E3932" t="inlineStr">
        <is>
          <t>ER</t>
        </is>
      </c>
      <c r="G3932" s="128" t="inlineStr"/>
      <c r="H3932" s="127" t="n">
        <v>46166</v>
      </c>
      <c r="J3932" s="38" t="inlineStr">
        <is>
          <t>0-4105</t>
        </is>
      </c>
      <c r="K3932" t="inlineStr">
        <is>
          <t>RGR114 CATERPILLAR 150 AWD MOTOR GRADER CATERPILLAR 150 AWD MOTOR GRADER</t>
        </is>
      </c>
      <c r="L3932" t="n">
        <v>0</v>
      </c>
      <c r="M3932" t="n">
        <v>0</v>
      </c>
      <c r="O3932" t="inlineStr">
        <is>
          <t>RGR114</t>
        </is>
      </c>
      <c r="Q3932" s="114" t="n">
        <v>0</v>
      </c>
      <c r="R3932" s="114" t="n">
        <v>604.17</v>
      </c>
      <c r="S3932" s="114" t="n">
        <v>0</v>
      </c>
      <c r="T3932" t="n">
        <v>0</v>
      </c>
    </row>
    <row r="3933">
      <c r="A3933" t="inlineStr">
        <is>
          <t>ttJTrans</t>
        </is>
      </c>
      <c r="B3933" s="38" t="inlineStr">
        <is>
          <t>0-4105</t>
        </is>
      </c>
      <c r="C3933" t="inlineStr">
        <is>
          <t>ER</t>
        </is>
      </c>
      <c r="E3933" t="inlineStr">
        <is>
          <t>ER</t>
        </is>
      </c>
      <c r="G3933" s="128" t="inlineStr"/>
      <c r="H3933" s="127" t="n">
        <v>46166</v>
      </c>
      <c r="J3933" s="38" t="inlineStr">
        <is>
          <t>0-4105</t>
        </is>
      </c>
      <c r="K3933" t="inlineStr">
        <is>
          <t>RGR114 CATERPILLAR 150 AWD MOTOR GRADER CATERPILLAR 150 AWD MOTOR GRADER</t>
        </is>
      </c>
      <c r="L3933" t="n">
        <v>0</v>
      </c>
      <c r="M3933" t="n">
        <v>0</v>
      </c>
      <c r="O3933" t="inlineStr">
        <is>
          <t>RGR114</t>
        </is>
      </c>
      <c r="Q3933" s="114" t="n">
        <v>0</v>
      </c>
      <c r="R3933" s="114" t="n">
        <v>604.17</v>
      </c>
      <c r="S3933" s="114" t="n">
        <v>0</v>
      </c>
      <c r="T3933" t="n">
        <v>0</v>
      </c>
    </row>
    <row r="3934">
      <c r="A3934" t="inlineStr">
        <is>
          <t>ttJTrans</t>
        </is>
      </c>
      <c r="B3934" s="38" t="inlineStr">
        <is>
          <t>0-4105</t>
        </is>
      </c>
      <c r="C3934" t="inlineStr">
        <is>
          <t>ER</t>
        </is>
      </c>
      <c r="E3934" t="inlineStr">
        <is>
          <t>ER</t>
        </is>
      </c>
      <c r="G3934" s="128" t="inlineStr"/>
      <c r="H3934" s="127" t="n">
        <v>46166</v>
      </c>
      <c r="J3934" s="38" t="inlineStr">
        <is>
          <t>0-4105</t>
        </is>
      </c>
      <c r="K3934" t="inlineStr">
        <is>
          <t>RGR114 CATERPILLAR 150 AWD MOTOR GRADER CATERPILLAR 150 AWD MOTOR GRADER</t>
        </is>
      </c>
      <c r="L3934" t="n">
        <v>0</v>
      </c>
      <c r="M3934" t="n">
        <v>0</v>
      </c>
      <c r="O3934" t="inlineStr">
        <is>
          <t>RGR114</t>
        </is>
      </c>
      <c r="Q3934" s="114" t="n">
        <v>0</v>
      </c>
      <c r="R3934" s="114" t="n">
        <v>604.17</v>
      </c>
      <c r="S3934" s="114" t="n">
        <v>0</v>
      </c>
      <c r="T3934" t="n">
        <v>0</v>
      </c>
    </row>
    <row r="3935">
      <c r="A3935" t="inlineStr">
        <is>
          <t>ttJTrans</t>
        </is>
      </c>
      <c r="B3935" s="38" t="inlineStr">
        <is>
          <t>0-4105</t>
        </is>
      </c>
      <c r="C3935" t="inlineStr">
        <is>
          <t>ER</t>
        </is>
      </c>
      <c r="E3935" t="inlineStr">
        <is>
          <t>ER</t>
        </is>
      </c>
      <c r="G3935" s="128" t="inlineStr"/>
      <c r="H3935" s="127" t="n">
        <v>46166</v>
      </c>
      <c r="J3935" s="38" t="inlineStr">
        <is>
          <t>0-4105</t>
        </is>
      </c>
      <c r="K3935" t="inlineStr">
        <is>
          <t>RHV96 PETERBILT 4,000 GALLON WATER TRUCK PETERBILT 4,000 GALLON WATER TRUCK</t>
        </is>
      </c>
      <c r="L3935" t="n">
        <v>0</v>
      </c>
      <c r="M3935" t="n">
        <v>0</v>
      </c>
      <c r="O3935" t="inlineStr">
        <is>
          <t>RHV96</t>
        </is>
      </c>
      <c r="Q3935" s="114" t="n">
        <v>0</v>
      </c>
      <c r="R3935" s="114" t="n">
        <v>200</v>
      </c>
      <c r="S3935" s="114" t="n">
        <v>0</v>
      </c>
      <c r="T3935" t="n">
        <v>0</v>
      </c>
    </row>
    <row r="3936">
      <c r="A3936" t="inlineStr">
        <is>
          <t>ttJTrans</t>
        </is>
      </c>
      <c r="B3936" s="38" t="inlineStr">
        <is>
          <t>0-4105</t>
        </is>
      </c>
      <c r="C3936" t="inlineStr">
        <is>
          <t>ER</t>
        </is>
      </c>
      <c r="E3936" t="inlineStr">
        <is>
          <t>ER</t>
        </is>
      </c>
      <c r="G3936" s="128" t="inlineStr"/>
      <c r="H3936" s="127" t="n">
        <v>46166</v>
      </c>
      <c r="J3936" s="38" t="inlineStr">
        <is>
          <t>0-4105</t>
        </is>
      </c>
      <c r="K3936" t="inlineStr">
        <is>
          <t>REX665 330 CATERPILLAR EXCAVATOR 330 CATERPILLAR EXCAVATOR</t>
        </is>
      </c>
      <c r="L3936" t="n">
        <v>0</v>
      </c>
      <c r="M3936" t="n">
        <v>0</v>
      </c>
      <c r="O3936" t="inlineStr">
        <is>
          <t>REX665</t>
        </is>
      </c>
      <c r="Q3936" s="114" t="n">
        <v>0</v>
      </c>
      <c r="R3936" s="114" t="n">
        <v>458.33</v>
      </c>
      <c r="S3936" s="114" t="n">
        <v>0</v>
      </c>
      <c r="T3936" t="n">
        <v>0</v>
      </c>
    </row>
    <row r="3937">
      <c r="A3937" t="inlineStr">
        <is>
          <t>ttJTrans</t>
        </is>
      </c>
      <c r="B3937" s="38" t="inlineStr">
        <is>
          <t>0-4105</t>
        </is>
      </c>
      <c r="C3937" t="inlineStr">
        <is>
          <t>ER</t>
        </is>
      </c>
      <c r="E3937" t="inlineStr">
        <is>
          <t>ER</t>
        </is>
      </c>
      <c r="G3937" s="128" t="inlineStr"/>
      <c r="H3937" s="127" t="n">
        <v>46166</v>
      </c>
      <c r="J3937" s="38" t="inlineStr">
        <is>
          <t>0-4105</t>
        </is>
      </c>
      <c r="K3937" t="inlineStr">
        <is>
          <t>REX665 330 CATERPILLAR EXCAVATOR 330 CATERPILLAR EXCAVATOR</t>
        </is>
      </c>
      <c r="L3937" t="n">
        <v>0</v>
      </c>
      <c r="M3937" t="n">
        <v>0</v>
      </c>
      <c r="O3937" t="inlineStr">
        <is>
          <t>REX665</t>
        </is>
      </c>
      <c r="Q3937" s="114" t="n">
        <v>0</v>
      </c>
      <c r="R3937" s="114" t="n">
        <v>458.33</v>
      </c>
      <c r="S3937" s="114" t="n">
        <v>0</v>
      </c>
      <c r="T3937" t="n">
        <v>0</v>
      </c>
    </row>
    <row r="3938">
      <c r="A3938" t="inlineStr">
        <is>
          <t>ttJTrans</t>
        </is>
      </c>
      <c r="B3938" s="38" t="inlineStr">
        <is>
          <t>0-4105</t>
        </is>
      </c>
      <c r="C3938" t="inlineStr">
        <is>
          <t>ER</t>
        </is>
      </c>
      <c r="E3938" t="inlineStr">
        <is>
          <t>ER</t>
        </is>
      </c>
      <c r="G3938" s="128" t="inlineStr"/>
      <c r="H3938" s="127" t="n">
        <v>46166</v>
      </c>
      <c r="J3938" s="38" t="inlineStr">
        <is>
          <t>0-4105</t>
        </is>
      </c>
      <c r="K3938" t="inlineStr">
        <is>
          <t>REX665 330 CATERPILLAR EXCAVATOR 330 CATERPILLAR EXCAVATOR</t>
        </is>
      </c>
      <c r="L3938" t="n">
        <v>0</v>
      </c>
      <c r="M3938" t="n">
        <v>0</v>
      </c>
      <c r="O3938" t="inlineStr">
        <is>
          <t>REX665</t>
        </is>
      </c>
      <c r="Q3938" s="114" t="n">
        <v>0</v>
      </c>
      <c r="R3938" s="114" t="n">
        <v>458.33</v>
      </c>
      <c r="S3938" s="114" t="n">
        <v>0</v>
      </c>
      <c r="T3938" t="n">
        <v>0</v>
      </c>
    </row>
    <row r="3939">
      <c r="A3939" t="inlineStr">
        <is>
          <t>ttJTrans</t>
        </is>
      </c>
      <c r="B3939" s="38" t="inlineStr">
        <is>
          <t>0-4105</t>
        </is>
      </c>
      <c r="C3939" t="inlineStr">
        <is>
          <t>ER</t>
        </is>
      </c>
      <c r="E3939" t="inlineStr">
        <is>
          <t>ER</t>
        </is>
      </c>
      <c r="G3939" s="128" t="inlineStr"/>
      <c r="H3939" s="127" t="n">
        <v>46166</v>
      </c>
      <c r="J3939" s="38" t="inlineStr">
        <is>
          <t>0-4105</t>
        </is>
      </c>
      <c r="K3939" t="inlineStr">
        <is>
          <t>RPK482 HAMM 84' SINGLE DRUM ROLLER HAMM 84' SINGLE DRUM ROLLER</t>
        </is>
      </c>
      <c r="L3939" t="n">
        <v>0</v>
      </c>
      <c r="M3939" t="n">
        <v>0</v>
      </c>
      <c r="O3939" t="inlineStr">
        <is>
          <t>RPK482</t>
        </is>
      </c>
      <c r="Q3939" s="114" t="n">
        <v>0</v>
      </c>
      <c r="R3939" s="114" t="n">
        <v>300</v>
      </c>
      <c r="S3939" s="114" t="n">
        <v>0</v>
      </c>
      <c r="T3939" t="n">
        <v>0</v>
      </c>
    </row>
    <row r="3940">
      <c r="A3940" t="inlineStr">
        <is>
          <t>ttJTrans</t>
        </is>
      </c>
      <c r="B3940" s="38" t="inlineStr">
        <is>
          <t>0-4105</t>
        </is>
      </c>
      <c r="C3940" t="inlineStr">
        <is>
          <t>ER</t>
        </is>
      </c>
      <c r="E3940" t="inlineStr">
        <is>
          <t>ER</t>
        </is>
      </c>
      <c r="G3940" s="128" t="inlineStr"/>
      <c r="H3940" s="127" t="n">
        <v>46166</v>
      </c>
      <c r="J3940" s="38" t="inlineStr">
        <is>
          <t>0-4105</t>
        </is>
      </c>
      <c r="K3940" t="inlineStr">
        <is>
          <t>RPK482 HAMM 84' SINGLE DRUM ROLLER HAMM 84' SINGLE DRUM ROLLER</t>
        </is>
      </c>
      <c r="L3940" t="n">
        <v>0</v>
      </c>
      <c r="M3940" t="n">
        <v>0</v>
      </c>
      <c r="O3940" t="inlineStr">
        <is>
          <t>RPK482</t>
        </is>
      </c>
      <c r="Q3940" s="114" t="n">
        <v>0</v>
      </c>
      <c r="R3940" s="114" t="n">
        <v>300</v>
      </c>
      <c r="S3940" s="114" t="n">
        <v>0</v>
      </c>
      <c r="T3940" t="n">
        <v>0</v>
      </c>
    </row>
    <row r="3941">
      <c r="A3941" t="inlineStr">
        <is>
          <t>ttJTrans</t>
        </is>
      </c>
      <c r="B3941" s="38" t="inlineStr">
        <is>
          <t>0-4105</t>
        </is>
      </c>
      <c r="C3941" t="inlineStr">
        <is>
          <t>ER</t>
        </is>
      </c>
      <c r="E3941" t="inlineStr">
        <is>
          <t>ER</t>
        </is>
      </c>
      <c r="G3941" s="128" t="inlineStr"/>
      <c r="H3941" s="127" t="n">
        <v>46166</v>
      </c>
      <c r="J3941" s="38" t="inlineStr">
        <is>
          <t>0-4105</t>
        </is>
      </c>
      <c r="K3941" t="inlineStr">
        <is>
          <t>RPK482 HAMM 84' SINGLE DRUM ROLLER HAMM 84' SINGLE DRUM ROLLER</t>
        </is>
      </c>
      <c r="L3941" t="n">
        <v>0</v>
      </c>
      <c r="M3941" t="n">
        <v>0</v>
      </c>
      <c r="O3941" t="inlineStr">
        <is>
          <t>RPK482</t>
        </is>
      </c>
      <c r="Q3941" s="114" t="n">
        <v>0</v>
      </c>
      <c r="R3941" s="114" t="n">
        <v>300</v>
      </c>
      <c r="S3941" s="114" t="n">
        <v>0</v>
      </c>
      <c r="T3941" t="n">
        <v>0</v>
      </c>
    </row>
    <row r="3942">
      <c r="A3942" t="inlineStr">
        <is>
          <t>ttJTrans</t>
        </is>
      </c>
      <c r="B3942" s="38" t="inlineStr">
        <is>
          <t>0-4105</t>
        </is>
      </c>
      <c r="C3942" t="inlineStr">
        <is>
          <t>ER</t>
        </is>
      </c>
      <c r="E3942" t="inlineStr">
        <is>
          <t>ER</t>
        </is>
      </c>
      <c r="G3942" s="128" t="inlineStr"/>
      <c r="H3942" s="127" t="n">
        <v>46166</v>
      </c>
      <c r="J3942" s="38" t="inlineStr">
        <is>
          <t>0-4105</t>
        </is>
      </c>
      <c r="K3942" t="inlineStr">
        <is>
          <t>RMS2317 TRIMBLE TD540 TOTAL STATING TRIMBLE TD540 TOTAL STATING</t>
        </is>
      </c>
      <c r="L3942" t="n">
        <v>0</v>
      </c>
      <c r="M3942" t="n">
        <v>0</v>
      </c>
      <c r="O3942" t="inlineStr">
        <is>
          <t>RMS2317</t>
        </is>
      </c>
      <c r="Q3942" s="114" t="n">
        <v>0</v>
      </c>
      <c r="R3942" s="114" t="n">
        <v>287.36</v>
      </c>
      <c r="S3942" s="114" t="n">
        <v>0</v>
      </c>
      <c r="T3942" t="n">
        <v>0</v>
      </c>
    </row>
    <row r="3943">
      <c r="A3943" t="inlineStr">
        <is>
          <t>ttJTrans</t>
        </is>
      </c>
      <c r="B3943" s="38" t="inlineStr">
        <is>
          <t>0-4105</t>
        </is>
      </c>
      <c r="C3943" t="inlineStr">
        <is>
          <t>ER</t>
        </is>
      </c>
      <c r="E3943" t="inlineStr">
        <is>
          <t>ER</t>
        </is>
      </c>
      <c r="G3943" s="128" t="inlineStr"/>
      <c r="H3943" s="127" t="n">
        <v>46152</v>
      </c>
      <c r="J3943" s="38" t="inlineStr">
        <is>
          <t>0-4105</t>
        </is>
      </c>
      <c r="K3943" t="inlineStr">
        <is>
          <t>RGR114 CATERPILLAR 150 AWD MOTOR GRADER CATERPILLAR 150 AWD MOTOR GRADER</t>
        </is>
      </c>
      <c r="L3943" t="n">
        <v>0</v>
      </c>
      <c r="M3943" t="n">
        <v>0</v>
      </c>
      <c r="O3943" t="inlineStr">
        <is>
          <t>RGR114</t>
        </is>
      </c>
      <c r="Q3943" s="114" t="n">
        <v>0</v>
      </c>
      <c r="R3943" s="114" t="n">
        <v>604.17</v>
      </c>
      <c r="S3943" s="114" t="n">
        <v>0</v>
      </c>
      <c r="T3943" t="n">
        <v>0</v>
      </c>
    </row>
    <row r="3944">
      <c r="A3944" t="inlineStr">
        <is>
          <t>ttJTrans</t>
        </is>
      </c>
      <c r="B3944" s="38" t="inlineStr">
        <is>
          <t>0-4105</t>
        </is>
      </c>
      <c r="C3944" t="inlineStr">
        <is>
          <t>ER</t>
        </is>
      </c>
      <c r="E3944" t="inlineStr">
        <is>
          <t>ER</t>
        </is>
      </c>
      <c r="G3944" s="128" t="inlineStr"/>
      <c r="H3944" s="127" t="n">
        <v>46152</v>
      </c>
      <c r="J3944" s="38" t="inlineStr">
        <is>
          <t>0-4105</t>
        </is>
      </c>
      <c r="K3944" t="inlineStr">
        <is>
          <t>RGR114 CATERPILLAR 150 AWD MOTOR GRADER CATERPILLAR 150 AWD MOTOR GRADER</t>
        </is>
      </c>
      <c r="L3944" t="n">
        <v>0</v>
      </c>
      <c r="M3944" t="n">
        <v>0</v>
      </c>
      <c r="O3944" t="inlineStr">
        <is>
          <t>RGR114</t>
        </is>
      </c>
      <c r="Q3944" s="114" t="n">
        <v>0</v>
      </c>
      <c r="R3944" s="114" t="n">
        <v>604.17</v>
      </c>
      <c r="S3944" s="114" t="n">
        <v>0</v>
      </c>
      <c r="T3944" t="n">
        <v>0</v>
      </c>
    </row>
    <row r="3945">
      <c r="A3945" t="inlineStr">
        <is>
          <t>ttJTrans</t>
        </is>
      </c>
      <c r="B3945" s="38" t="inlineStr">
        <is>
          <t>0-4105</t>
        </is>
      </c>
      <c r="C3945" t="inlineStr">
        <is>
          <t>LA</t>
        </is>
      </c>
      <c r="E3945" t="inlineStr">
        <is>
          <t>LA</t>
        </is>
      </c>
      <c r="G3945" s="128" t="inlineStr"/>
      <c r="H3945" s="127" t="n">
        <v>46128</v>
      </c>
      <c r="J3945" s="38" t="inlineStr">
        <is>
          <t>0-4105</t>
        </is>
      </c>
      <c r="K3945" t="inlineStr">
        <is>
          <t>PR P0COST 000526 (PR) Summary</t>
        </is>
      </c>
      <c r="L3945" t="n">
        <v>0</v>
      </c>
      <c r="M3945" t="n">
        <v>0</v>
      </c>
      <c r="Q3945" s="114" t="n">
        <v>0</v>
      </c>
      <c r="R3945" s="114" t="n">
        <v>1162.7</v>
      </c>
      <c r="S3945" s="114" t="n">
        <v>0</v>
      </c>
      <c r="T3945" t="n">
        <v>20</v>
      </c>
    </row>
    <row r="3946">
      <c r="A3946" t="inlineStr">
        <is>
          <t>ttJTrans</t>
        </is>
      </c>
      <c r="B3946" s="38" t="inlineStr">
        <is>
          <t>0-4105</t>
        </is>
      </c>
      <c r="C3946" t="inlineStr">
        <is>
          <t>LA</t>
        </is>
      </c>
      <c r="E3946" t="inlineStr">
        <is>
          <t>LA</t>
        </is>
      </c>
      <c r="G3946" s="128" t="inlineStr"/>
      <c r="H3946" s="127" t="n">
        <v>46149</v>
      </c>
      <c r="J3946" s="38" t="inlineStr">
        <is>
          <t>0-4105</t>
        </is>
      </c>
      <c r="K3946" t="inlineStr">
        <is>
          <t>PR P0COST 000529 (PR) Summary</t>
        </is>
      </c>
      <c r="L3946" t="n">
        <v>0</v>
      </c>
      <c r="M3946" t="n">
        <v>0</v>
      </c>
      <c r="Q3946" s="114" t="n">
        <v>0</v>
      </c>
      <c r="R3946" s="114" t="n">
        <v>969.22</v>
      </c>
      <c r="S3946" s="114" t="n">
        <v>0</v>
      </c>
      <c r="T3946" t="n">
        <v>20</v>
      </c>
    </row>
    <row r="3947">
      <c r="A3947" t="inlineStr">
        <is>
          <t>ttJTrans</t>
        </is>
      </c>
      <c r="B3947" s="38" t="inlineStr">
        <is>
          <t>0-4105</t>
        </is>
      </c>
      <c r="C3947" t="inlineStr">
        <is>
          <t>LA</t>
        </is>
      </c>
      <c r="E3947" t="inlineStr">
        <is>
          <t>LA</t>
        </is>
      </c>
      <c r="G3947" s="128" t="inlineStr"/>
      <c r="H3947" s="127" t="n">
        <v>46149</v>
      </c>
      <c r="J3947" s="38" t="inlineStr">
        <is>
          <t>0-4105</t>
        </is>
      </c>
      <c r="K3947" t="inlineStr">
        <is>
          <t>PR P0COST 000529 (PR) Summary</t>
        </is>
      </c>
      <c r="L3947" t="n">
        <v>0</v>
      </c>
      <c r="M3947" t="n">
        <v>0</v>
      </c>
      <c r="Q3947" s="114" t="n">
        <v>0</v>
      </c>
      <c r="R3947" s="114" t="n">
        <v>1710.42</v>
      </c>
      <c r="S3947" s="114" t="n">
        <v>0</v>
      </c>
      <c r="T3947" t="n">
        <v>40</v>
      </c>
    </row>
    <row r="3948">
      <c r="A3948" t="inlineStr">
        <is>
          <t>ttJTrans</t>
        </is>
      </c>
      <c r="B3948" s="38" t="inlineStr">
        <is>
          <t>0-4107</t>
        </is>
      </c>
      <c r="C3948" t="inlineStr">
        <is>
          <t>ER</t>
        </is>
      </c>
      <c r="E3948" t="inlineStr">
        <is>
          <t>ER</t>
        </is>
      </c>
      <c r="G3948" s="128" t="inlineStr"/>
      <c r="H3948" s="127" t="n">
        <v>46131</v>
      </c>
      <c r="J3948" s="38" t="inlineStr">
        <is>
          <t>0-4107</t>
        </is>
      </c>
      <c r="K3948" t="inlineStr">
        <is>
          <t>RMS2321 SEED DRILL FOR FARM TRACTOR SEED DRILL FOR FARM TRACTOR</t>
        </is>
      </c>
      <c r="L3948" t="n">
        <v>0</v>
      </c>
      <c r="M3948" t="n">
        <v>0</v>
      </c>
      <c r="O3948" t="inlineStr">
        <is>
          <t>RMS2321</t>
        </is>
      </c>
      <c r="Q3948" s="114" t="n">
        <v>0</v>
      </c>
      <c r="R3948" s="114" t="n">
        <v>1077.59</v>
      </c>
      <c r="S3948" s="114" t="n">
        <v>0</v>
      </c>
      <c r="T3948" t="n">
        <v>0</v>
      </c>
    </row>
    <row r="3949">
      <c r="A3949" t="inlineStr">
        <is>
          <t>ttJTrans</t>
        </is>
      </c>
      <c r="B3949" s="38" t="inlineStr">
        <is>
          <t>0-4107</t>
        </is>
      </c>
      <c r="C3949" t="inlineStr">
        <is>
          <t>ER</t>
        </is>
      </c>
      <c r="E3949" t="inlineStr">
        <is>
          <t>ER</t>
        </is>
      </c>
      <c r="G3949" s="128" t="inlineStr"/>
      <c r="H3949" s="127" t="n">
        <v>46131</v>
      </c>
      <c r="J3949" s="38" t="inlineStr">
        <is>
          <t>0-4107</t>
        </is>
      </c>
      <c r="K3949" t="inlineStr">
        <is>
          <t>RFT892 CASE PUMA 200 FARM TRACTOR W FRONT LOADER CASE PUMA 200 FARM TRACTOR W FRONT LOADER</t>
        </is>
      </c>
      <c r="L3949" t="n">
        <v>0</v>
      </c>
      <c r="M3949" t="n">
        <v>0</v>
      </c>
      <c r="O3949" t="inlineStr">
        <is>
          <t>RFT892</t>
        </is>
      </c>
      <c r="Q3949" s="114" t="n">
        <v>0</v>
      </c>
      <c r="R3949" s="114" t="n">
        <v>508.33</v>
      </c>
      <c r="S3949" s="114" t="n">
        <v>0</v>
      </c>
      <c r="T3949" t="n">
        <v>0</v>
      </c>
    </row>
    <row r="3950">
      <c r="A3950" t="inlineStr">
        <is>
          <t>ttJTrans</t>
        </is>
      </c>
      <c r="B3950" s="38" t="inlineStr">
        <is>
          <t>0-4107</t>
        </is>
      </c>
      <c r="C3950" t="inlineStr">
        <is>
          <t>ER</t>
        </is>
      </c>
      <c r="E3950" t="inlineStr">
        <is>
          <t>ER</t>
        </is>
      </c>
      <c r="G3950" s="128" t="inlineStr"/>
      <c r="H3950" s="127" t="n">
        <v>46131</v>
      </c>
      <c r="J3950" s="38" t="inlineStr">
        <is>
          <t>0-4107</t>
        </is>
      </c>
      <c r="K3950" t="inlineStr">
        <is>
          <t>RFT892 CASE PUMA 200 FARM TRACTOR W FRONT LOADER CASE PUMA 200 FARM TRACTOR W FRONT LOADER</t>
        </is>
      </c>
      <c r="L3950" t="n">
        <v>0</v>
      </c>
      <c r="M3950" t="n">
        <v>0</v>
      </c>
      <c r="O3950" t="inlineStr">
        <is>
          <t>RFT892</t>
        </is>
      </c>
      <c r="Q3950" s="114" t="n">
        <v>0</v>
      </c>
      <c r="R3950" s="114" t="n">
        <v>508.33</v>
      </c>
      <c r="S3950" s="114" t="n">
        <v>0</v>
      </c>
      <c r="T3950" t="n">
        <v>0</v>
      </c>
    </row>
    <row r="3951">
      <c r="A3951" t="inlineStr">
        <is>
          <t>ttJTrans</t>
        </is>
      </c>
      <c r="B3951" s="38" t="inlineStr">
        <is>
          <t>0-4107</t>
        </is>
      </c>
      <c r="C3951" t="inlineStr">
        <is>
          <t>ER</t>
        </is>
      </c>
      <c r="E3951" t="inlineStr">
        <is>
          <t>ER</t>
        </is>
      </c>
      <c r="G3951" s="128" t="inlineStr"/>
      <c r="H3951" s="127" t="n">
        <v>46131</v>
      </c>
      <c r="J3951" s="38" t="inlineStr">
        <is>
          <t>0-4107</t>
        </is>
      </c>
      <c r="K3951" t="inlineStr">
        <is>
          <t>RFT892 CASE PUMA 200 FARM TRACTOR W FRONT LOADER CASE PUMA 200 FARM TRACTOR W FRONT LOADER</t>
        </is>
      </c>
      <c r="L3951" t="n">
        <v>0</v>
      </c>
      <c r="M3951" t="n">
        <v>0</v>
      </c>
      <c r="O3951" t="inlineStr">
        <is>
          <t>RFT892</t>
        </is>
      </c>
      <c r="Q3951" s="114" t="n">
        <v>0</v>
      </c>
      <c r="R3951" s="114" t="n">
        <v>508.33</v>
      </c>
      <c r="S3951" s="114" t="n">
        <v>0</v>
      </c>
      <c r="T3951" t="n">
        <v>0</v>
      </c>
    </row>
    <row r="3952">
      <c r="A3952" t="inlineStr">
        <is>
          <t>ttJTrans</t>
        </is>
      </c>
      <c r="B3952" s="38" t="inlineStr">
        <is>
          <t>0-4107</t>
        </is>
      </c>
      <c r="C3952" t="inlineStr">
        <is>
          <t>ER</t>
        </is>
      </c>
      <c r="E3952" t="inlineStr">
        <is>
          <t>ER</t>
        </is>
      </c>
      <c r="G3952" s="128" t="inlineStr"/>
      <c r="H3952" s="127" t="n">
        <v>46131</v>
      </c>
      <c r="J3952" s="38" t="inlineStr">
        <is>
          <t>0-4107</t>
        </is>
      </c>
      <c r="K3952" t="inlineStr">
        <is>
          <t>RFT892 CASE PUMA 200 FARM TRACTOR W FRONT LOADER CASE PUMA 200 FARM TRACTOR W FRONT LOADER</t>
        </is>
      </c>
      <c r="L3952" t="n">
        <v>0</v>
      </c>
      <c r="M3952" t="n">
        <v>0</v>
      </c>
      <c r="O3952" t="inlineStr">
        <is>
          <t>RFT892</t>
        </is>
      </c>
      <c r="Q3952" s="114" t="n">
        <v>0</v>
      </c>
      <c r="R3952" s="114" t="n">
        <v>508.33</v>
      </c>
      <c r="S3952" s="114" t="n">
        <v>0</v>
      </c>
      <c r="T3952" t="n">
        <v>0</v>
      </c>
    </row>
    <row r="3953">
      <c r="A3953" t="inlineStr">
        <is>
          <t>ttJTrans</t>
        </is>
      </c>
      <c r="B3953" s="38" t="inlineStr">
        <is>
          <t>0-4107</t>
        </is>
      </c>
      <c r="C3953" t="inlineStr">
        <is>
          <t>ER</t>
        </is>
      </c>
      <c r="E3953" t="inlineStr">
        <is>
          <t>ER</t>
        </is>
      </c>
      <c r="G3953" s="128" t="inlineStr"/>
      <c r="H3953" s="127" t="n">
        <v>46131</v>
      </c>
      <c r="J3953" s="38" t="inlineStr">
        <is>
          <t>0-4107</t>
        </is>
      </c>
      <c r="K3953" t="inlineStr">
        <is>
          <t>RFT892 CASE PUMA 200 FARM TRACTOR W FRONT LOADER CASE PUMA 200 FARM TRACTOR W FRONT LOADER</t>
        </is>
      </c>
      <c r="L3953" t="n">
        <v>0</v>
      </c>
      <c r="M3953" t="n">
        <v>0</v>
      </c>
      <c r="O3953" t="inlineStr">
        <is>
          <t>RFT892</t>
        </is>
      </c>
      <c r="Q3953" s="114" t="n">
        <v>0</v>
      </c>
      <c r="R3953" s="114" t="n">
        <v>508.33</v>
      </c>
      <c r="S3953" s="114" t="n">
        <v>0</v>
      </c>
      <c r="T3953" t="n">
        <v>0</v>
      </c>
    </row>
    <row r="3954">
      <c r="A3954" t="inlineStr">
        <is>
          <t>ttJTrans</t>
        </is>
      </c>
      <c r="B3954" s="38" t="inlineStr">
        <is>
          <t>0-4107</t>
        </is>
      </c>
      <c r="C3954" t="inlineStr">
        <is>
          <t>ER</t>
        </is>
      </c>
      <c r="E3954" t="inlineStr">
        <is>
          <t>ER</t>
        </is>
      </c>
      <c r="G3954" s="128" t="inlineStr"/>
      <c r="H3954" s="127" t="n">
        <v>46131</v>
      </c>
      <c r="J3954" s="38" t="inlineStr">
        <is>
          <t>0-4107</t>
        </is>
      </c>
      <c r="K3954" t="inlineStr">
        <is>
          <t>RFT892 CASE PUMA 200 FARM TRACTOR W FRONT LOADER CASE PUMA 200 FARM TRACTOR W FRONT LOADER</t>
        </is>
      </c>
      <c r="L3954" t="n">
        <v>0</v>
      </c>
      <c r="M3954" t="n">
        <v>0</v>
      </c>
      <c r="O3954" t="inlineStr">
        <is>
          <t>RFT892</t>
        </is>
      </c>
      <c r="Q3954" s="114" t="n">
        <v>0</v>
      </c>
      <c r="R3954" s="114" t="n">
        <v>508.33</v>
      </c>
      <c r="S3954" s="114" t="n">
        <v>0</v>
      </c>
      <c r="T3954" t="n">
        <v>0</v>
      </c>
    </row>
    <row r="3955">
      <c r="A3955" t="inlineStr">
        <is>
          <t>ttJTrans</t>
        </is>
      </c>
      <c r="B3955" s="38" t="inlineStr">
        <is>
          <t>0-4107</t>
        </is>
      </c>
      <c r="C3955" t="inlineStr">
        <is>
          <t>ER</t>
        </is>
      </c>
      <c r="E3955" t="inlineStr">
        <is>
          <t>ER</t>
        </is>
      </c>
      <c r="G3955" s="128" t="inlineStr"/>
      <c r="H3955" s="127" t="n">
        <v>46131</v>
      </c>
      <c r="J3955" s="38" t="inlineStr">
        <is>
          <t>0-4107</t>
        </is>
      </c>
      <c r="K3955" t="inlineStr">
        <is>
          <t>RMS2321 SEED DRILL FOR FARM TRACTOR SEED DRILL FOR FARM TRACTOR</t>
        </is>
      </c>
      <c r="L3955" t="n">
        <v>0</v>
      </c>
      <c r="M3955" t="n">
        <v>0</v>
      </c>
      <c r="O3955" t="inlineStr">
        <is>
          <t>RMS2321</t>
        </is>
      </c>
      <c r="Q3955" s="114" t="n">
        <v>0</v>
      </c>
      <c r="R3955" s="114" t="n">
        <v>1077.59</v>
      </c>
      <c r="S3955" s="114" t="n">
        <v>0</v>
      </c>
      <c r="T3955" t="n">
        <v>0</v>
      </c>
    </row>
    <row r="3956">
      <c r="A3956" t="inlineStr">
        <is>
          <t>ttJTrans</t>
        </is>
      </c>
      <c r="B3956" s="38" t="inlineStr">
        <is>
          <t>0-4107</t>
        </is>
      </c>
      <c r="C3956" t="inlineStr">
        <is>
          <t>ER</t>
        </is>
      </c>
      <c r="E3956" t="inlineStr">
        <is>
          <t>ER</t>
        </is>
      </c>
      <c r="G3956" s="128" t="inlineStr"/>
      <c r="H3956" s="127" t="n">
        <v>46131</v>
      </c>
      <c r="J3956" s="38" t="inlineStr">
        <is>
          <t>0-4107</t>
        </is>
      </c>
      <c r="K3956" t="inlineStr">
        <is>
          <t>RMS2321 SEED DRILL FOR FARM TRACTOR SEED DRILL FOR FARM TRACTOR</t>
        </is>
      </c>
      <c r="L3956" t="n">
        <v>0</v>
      </c>
      <c r="M3956" t="n">
        <v>0</v>
      </c>
      <c r="O3956" t="inlineStr">
        <is>
          <t>RMS2321</t>
        </is>
      </c>
      <c r="Q3956" s="114" t="n">
        <v>0</v>
      </c>
      <c r="R3956" s="114" t="n">
        <v>1077.59</v>
      </c>
      <c r="S3956" s="114" t="n">
        <v>0</v>
      </c>
      <c r="T3956" t="n">
        <v>0</v>
      </c>
    </row>
    <row r="3957">
      <c r="A3957" t="inlineStr">
        <is>
          <t>ttJTrans</t>
        </is>
      </c>
      <c r="B3957" s="38" t="inlineStr">
        <is>
          <t>0-4107</t>
        </is>
      </c>
      <c r="C3957" t="inlineStr">
        <is>
          <t>ER</t>
        </is>
      </c>
      <c r="E3957" t="inlineStr">
        <is>
          <t>ER</t>
        </is>
      </c>
      <c r="G3957" s="128" t="inlineStr"/>
      <c r="H3957" s="127" t="n">
        <v>46131</v>
      </c>
      <c r="J3957" s="38" t="inlineStr">
        <is>
          <t>0-4107</t>
        </is>
      </c>
      <c r="K3957" t="inlineStr">
        <is>
          <t>RMS2321 SEED DRILL FOR FARM TRACTOR SEED DRILL FOR FARM TRACTOR</t>
        </is>
      </c>
      <c r="L3957" t="n">
        <v>0</v>
      </c>
      <c r="M3957" t="n">
        <v>0</v>
      </c>
      <c r="O3957" t="inlineStr">
        <is>
          <t>RMS2321</t>
        </is>
      </c>
      <c r="Q3957" s="114" t="n">
        <v>0</v>
      </c>
      <c r="R3957" s="114" t="n">
        <v>1077.59</v>
      </c>
      <c r="S3957" s="114" t="n">
        <v>0</v>
      </c>
      <c r="T3957" t="n">
        <v>0</v>
      </c>
    </row>
    <row r="3958">
      <c r="A3958" t="inlineStr">
        <is>
          <t>ttJTrans</t>
        </is>
      </c>
      <c r="B3958" s="38" t="inlineStr">
        <is>
          <t>0-4107</t>
        </is>
      </c>
      <c r="C3958" t="inlineStr">
        <is>
          <t>ER</t>
        </is>
      </c>
      <c r="E3958" t="inlineStr">
        <is>
          <t>ER</t>
        </is>
      </c>
      <c r="G3958" s="128" t="inlineStr"/>
      <c r="H3958" s="127" t="n">
        <v>46142</v>
      </c>
      <c r="J3958" s="38" t="inlineStr">
        <is>
          <t>0-4107</t>
        </is>
      </c>
      <c r="K3958" t="inlineStr">
        <is>
          <t>RFT890 CASE MAGNUN 220 FARM TRACTOR CASE MAGNUN 220 FARM TRACTOR</t>
        </is>
      </c>
      <c r="L3958" t="n">
        <v>0</v>
      </c>
      <c r="M3958" t="n">
        <v>0</v>
      </c>
      <c r="O3958" t="inlineStr">
        <is>
          <t>RFT890</t>
        </is>
      </c>
      <c r="Q3958" s="114" t="n">
        <v>0</v>
      </c>
      <c r="R3958" s="114" t="n">
        <v>500</v>
      </c>
      <c r="S3958" s="114" t="n">
        <v>0</v>
      </c>
      <c r="T3958" t="n">
        <v>0</v>
      </c>
    </row>
    <row r="3959">
      <c r="A3959" t="inlineStr">
        <is>
          <t>ttJTrans</t>
        </is>
      </c>
      <c r="B3959" s="38" t="inlineStr">
        <is>
          <t>0-4107</t>
        </is>
      </c>
      <c r="C3959" t="inlineStr">
        <is>
          <t>ER</t>
        </is>
      </c>
      <c r="E3959" t="inlineStr">
        <is>
          <t>ER</t>
        </is>
      </c>
      <c r="G3959" s="128" t="inlineStr"/>
      <c r="H3959" s="127" t="n">
        <v>46142</v>
      </c>
      <c r="J3959" s="38" t="inlineStr">
        <is>
          <t>0-4107</t>
        </is>
      </c>
      <c r="K3959" t="inlineStr">
        <is>
          <t>RFT892 CASE PUMA 200 FARM TRACTOR W FRONT LOADER CASE PUMA 200 FARM TRACTOR W FRONT LOADER</t>
        </is>
      </c>
      <c r="L3959" t="n">
        <v>0</v>
      </c>
      <c r="M3959" t="n">
        <v>0</v>
      </c>
      <c r="O3959" t="inlineStr">
        <is>
          <t>RFT892</t>
        </is>
      </c>
      <c r="Q3959" s="114" t="n">
        <v>0</v>
      </c>
      <c r="R3959" s="114" t="n">
        <v>508.33</v>
      </c>
      <c r="S3959" s="114" t="n">
        <v>0</v>
      </c>
      <c r="T3959" t="n">
        <v>0</v>
      </c>
    </row>
    <row r="3960">
      <c r="A3960" t="inlineStr">
        <is>
          <t>ttJTrans</t>
        </is>
      </c>
      <c r="B3960" s="38" t="inlineStr">
        <is>
          <t>0-4107</t>
        </is>
      </c>
      <c r="C3960" t="inlineStr">
        <is>
          <t>ER</t>
        </is>
      </c>
      <c r="E3960" t="inlineStr">
        <is>
          <t>ER</t>
        </is>
      </c>
      <c r="G3960" s="128" t="inlineStr"/>
      <c r="H3960" s="127" t="n">
        <v>46142</v>
      </c>
      <c r="J3960" s="38" t="inlineStr">
        <is>
          <t>0-4107</t>
        </is>
      </c>
      <c r="K3960" t="inlineStr">
        <is>
          <t>RFT892 CASE PUMA 200 FARM TRACTOR W FRONT LOADER CASE PUMA 200 FARM TRACTOR W FRONT LOADER</t>
        </is>
      </c>
      <c r="L3960" t="n">
        <v>0</v>
      </c>
      <c r="M3960" t="n">
        <v>0</v>
      </c>
      <c r="O3960" t="inlineStr">
        <is>
          <t>RFT892</t>
        </is>
      </c>
      <c r="Q3960" s="114" t="n">
        <v>0</v>
      </c>
      <c r="R3960" s="114" t="n">
        <v>508.33</v>
      </c>
      <c r="S3960" s="114" t="n">
        <v>0</v>
      </c>
      <c r="T3960" t="n">
        <v>0</v>
      </c>
    </row>
    <row r="3961">
      <c r="A3961" t="inlineStr">
        <is>
          <t>ttJTrans</t>
        </is>
      </c>
      <c r="B3961" s="38" t="inlineStr">
        <is>
          <t>0-4107</t>
        </is>
      </c>
      <c r="C3961" t="inlineStr">
        <is>
          <t>ER</t>
        </is>
      </c>
      <c r="E3961" t="inlineStr">
        <is>
          <t>ER</t>
        </is>
      </c>
      <c r="G3961" s="128" t="inlineStr"/>
      <c r="H3961" s="127" t="n">
        <v>46142</v>
      </c>
      <c r="J3961" s="38" t="inlineStr">
        <is>
          <t>0-4107</t>
        </is>
      </c>
      <c r="K3961" t="inlineStr">
        <is>
          <t>RFT892 CASE PUMA 200 FARM TRACTOR W FRONT LOADER CASE PUMA 200 FARM TRACTOR W FRONT LOADER</t>
        </is>
      </c>
      <c r="L3961" t="n">
        <v>0</v>
      </c>
      <c r="M3961" t="n">
        <v>0</v>
      </c>
      <c r="O3961" t="inlineStr">
        <is>
          <t>RFT892</t>
        </is>
      </c>
      <c r="Q3961" s="114" t="n">
        <v>0</v>
      </c>
      <c r="R3961" s="114" t="n">
        <v>508.33</v>
      </c>
      <c r="S3961" s="114" t="n">
        <v>0</v>
      </c>
      <c r="T3961" t="n">
        <v>0</v>
      </c>
    </row>
    <row r="3962">
      <c r="A3962" t="inlineStr">
        <is>
          <t>ttJTrans</t>
        </is>
      </c>
      <c r="B3962" s="38" t="inlineStr">
        <is>
          <t>0-4107</t>
        </is>
      </c>
      <c r="C3962" t="inlineStr">
        <is>
          <t>ER</t>
        </is>
      </c>
      <c r="E3962" t="inlineStr">
        <is>
          <t>ER</t>
        </is>
      </c>
      <c r="G3962" s="128" t="inlineStr"/>
      <c r="H3962" s="127" t="n">
        <v>46142</v>
      </c>
      <c r="J3962" s="38" t="inlineStr">
        <is>
          <t>0-4107</t>
        </is>
      </c>
      <c r="K3962" t="inlineStr">
        <is>
          <t>RFT892 CASE PUMA 200 FARM TRACTOR W FRONT LOADER CASE PUMA 200 FARM TRACTOR W FRONT LOADER</t>
        </is>
      </c>
      <c r="L3962" t="n">
        <v>0</v>
      </c>
      <c r="M3962" t="n">
        <v>0</v>
      </c>
      <c r="O3962" t="inlineStr">
        <is>
          <t>RFT892</t>
        </is>
      </c>
      <c r="Q3962" s="114" t="n">
        <v>0</v>
      </c>
      <c r="R3962" s="114" t="n">
        <v>508.33</v>
      </c>
      <c r="S3962" s="114" t="n">
        <v>0</v>
      </c>
      <c r="T3962" t="n">
        <v>0</v>
      </c>
    </row>
    <row r="3963">
      <c r="A3963" t="inlineStr">
        <is>
          <t>ttJTrans</t>
        </is>
      </c>
      <c r="B3963" s="38" t="inlineStr">
        <is>
          <t>0-4107</t>
        </is>
      </c>
      <c r="C3963" t="inlineStr">
        <is>
          <t>ER</t>
        </is>
      </c>
      <c r="E3963" t="inlineStr">
        <is>
          <t>ER</t>
        </is>
      </c>
      <c r="G3963" s="128" t="inlineStr"/>
      <c r="H3963" s="127" t="n">
        <v>46142</v>
      </c>
      <c r="J3963" s="38" t="inlineStr">
        <is>
          <t>0-4107</t>
        </is>
      </c>
      <c r="K3963" t="inlineStr">
        <is>
          <t>RFT891 CASE MAGNUM 220 FARM TRACTOR CASE MAGNUM 220 FARM TRACTOR</t>
        </is>
      </c>
      <c r="L3963" t="n">
        <v>0</v>
      </c>
      <c r="M3963" t="n">
        <v>0</v>
      </c>
      <c r="O3963" t="inlineStr">
        <is>
          <t>RFT891</t>
        </is>
      </c>
      <c r="Q3963" s="114" t="n">
        <v>0</v>
      </c>
      <c r="R3963" s="114" t="n">
        <v>500</v>
      </c>
      <c r="S3963" s="114" t="n">
        <v>0</v>
      </c>
      <c r="T3963" t="n">
        <v>0</v>
      </c>
    </row>
    <row r="3964">
      <c r="A3964" t="inlineStr">
        <is>
          <t>ttJTrans</t>
        </is>
      </c>
      <c r="B3964" s="38" t="inlineStr">
        <is>
          <t>0-4107</t>
        </is>
      </c>
      <c r="C3964" t="inlineStr">
        <is>
          <t>ER</t>
        </is>
      </c>
      <c r="E3964" t="inlineStr">
        <is>
          <t>ER</t>
        </is>
      </c>
      <c r="G3964" s="128" t="inlineStr"/>
      <c r="H3964" s="127" t="n">
        <v>46142</v>
      </c>
      <c r="J3964" s="38" t="inlineStr">
        <is>
          <t>0-4107</t>
        </is>
      </c>
      <c r="K3964" t="inlineStr">
        <is>
          <t>RFT891 CASE MAGNUM 220 FARM TRACTOR CASE MAGNUM 220 FARM TRACTOR</t>
        </is>
      </c>
      <c r="L3964" t="n">
        <v>0</v>
      </c>
      <c r="M3964" t="n">
        <v>0</v>
      </c>
      <c r="O3964" t="inlineStr">
        <is>
          <t>RFT891</t>
        </is>
      </c>
      <c r="Q3964" s="114" t="n">
        <v>0</v>
      </c>
      <c r="R3964" s="114" t="n">
        <v>500</v>
      </c>
      <c r="S3964" s="114" t="n">
        <v>0</v>
      </c>
      <c r="T3964" t="n">
        <v>0</v>
      </c>
    </row>
    <row r="3965">
      <c r="A3965" t="inlineStr">
        <is>
          <t>ttJTrans</t>
        </is>
      </c>
      <c r="B3965" s="38" t="inlineStr">
        <is>
          <t>0-4107</t>
        </is>
      </c>
      <c r="C3965" t="inlineStr">
        <is>
          <t>ER</t>
        </is>
      </c>
      <c r="E3965" t="inlineStr">
        <is>
          <t>ER</t>
        </is>
      </c>
      <c r="G3965" s="128" t="inlineStr"/>
      <c r="H3965" s="127" t="n">
        <v>46142</v>
      </c>
      <c r="J3965" s="38" t="inlineStr">
        <is>
          <t>0-4107</t>
        </is>
      </c>
      <c r="K3965" t="inlineStr">
        <is>
          <t>RFT891 CASE MAGNUM 220 FARM TRACTOR CASE MAGNUM 220 FARM TRACTOR</t>
        </is>
      </c>
      <c r="L3965" t="n">
        <v>0</v>
      </c>
      <c r="M3965" t="n">
        <v>0</v>
      </c>
      <c r="O3965" t="inlineStr">
        <is>
          <t>RFT891</t>
        </is>
      </c>
      <c r="Q3965" s="114" t="n">
        <v>0</v>
      </c>
      <c r="R3965" s="114" t="n">
        <v>500</v>
      </c>
      <c r="S3965" s="114" t="n">
        <v>0</v>
      </c>
      <c r="T3965" t="n">
        <v>0</v>
      </c>
    </row>
    <row r="3966">
      <c r="A3966" t="inlineStr">
        <is>
          <t>ttJTrans</t>
        </is>
      </c>
      <c r="B3966" s="38" t="inlineStr">
        <is>
          <t>0-4107</t>
        </is>
      </c>
      <c r="C3966" t="inlineStr">
        <is>
          <t>ER</t>
        </is>
      </c>
      <c r="E3966" t="inlineStr">
        <is>
          <t>ER</t>
        </is>
      </c>
      <c r="G3966" s="128" t="inlineStr"/>
      <c r="H3966" s="127" t="n">
        <v>46142</v>
      </c>
      <c r="J3966" s="38" t="inlineStr">
        <is>
          <t>0-4107</t>
        </is>
      </c>
      <c r="K3966" t="inlineStr">
        <is>
          <t>RFT891 CASE MAGNUM 220 FARM TRACTOR CASE MAGNUM 220 FARM TRACTOR</t>
        </is>
      </c>
      <c r="L3966" t="n">
        <v>0</v>
      </c>
      <c r="M3966" t="n">
        <v>0</v>
      </c>
      <c r="O3966" t="inlineStr">
        <is>
          <t>RFT891</t>
        </is>
      </c>
      <c r="Q3966" s="114" t="n">
        <v>0</v>
      </c>
      <c r="R3966" s="114" t="n">
        <v>500</v>
      </c>
      <c r="S3966" s="114" t="n">
        <v>0</v>
      </c>
      <c r="T3966" t="n">
        <v>0</v>
      </c>
    </row>
    <row r="3967">
      <c r="A3967" t="inlineStr">
        <is>
          <t>ttJTrans</t>
        </is>
      </c>
      <c r="B3967" s="38" t="inlineStr">
        <is>
          <t>0-4107</t>
        </is>
      </c>
      <c r="C3967" t="inlineStr">
        <is>
          <t>ER</t>
        </is>
      </c>
      <c r="E3967" t="inlineStr">
        <is>
          <t>ER</t>
        </is>
      </c>
      <c r="G3967" s="128" t="inlineStr"/>
      <c r="H3967" s="127" t="n">
        <v>46142</v>
      </c>
      <c r="J3967" s="38" t="inlineStr">
        <is>
          <t>0-4107</t>
        </is>
      </c>
      <c r="K3967" t="inlineStr">
        <is>
          <t>RMS2319 25' SMOOTH ROLLER FOR FARM TRACTOR 25' SMOOTH ROLLER FOR FARM TRACTOR</t>
        </is>
      </c>
      <c r="L3967" t="n">
        <v>0</v>
      </c>
      <c r="M3967" t="n">
        <v>0</v>
      </c>
      <c r="O3967" t="inlineStr">
        <is>
          <t>RMS2319</t>
        </is>
      </c>
      <c r="Q3967" s="114" t="n">
        <v>0</v>
      </c>
      <c r="R3967" s="114" t="n">
        <v>179.6</v>
      </c>
      <c r="S3967" s="114" t="n">
        <v>0</v>
      </c>
      <c r="T3967" t="n">
        <v>0</v>
      </c>
    </row>
    <row r="3968">
      <c r="A3968" t="inlineStr">
        <is>
          <t>ttJTrans</t>
        </is>
      </c>
      <c r="B3968" s="38" t="inlineStr">
        <is>
          <t>0-4107</t>
        </is>
      </c>
      <c r="C3968" t="inlineStr">
        <is>
          <t>ER</t>
        </is>
      </c>
      <c r="E3968" t="inlineStr">
        <is>
          <t>ER</t>
        </is>
      </c>
      <c r="G3968" s="128" t="inlineStr"/>
      <c r="H3968" s="127" t="n">
        <v>46142</v>
      </c>
      <c r="J3968" s="38" t="inlineStr">
        <is>
          <t>0-4107</t>
        </is>
      </c>
      <c r="K3968" t="inlineStr">
        <is>
          <t>RMS2319 25' SMOOTH ROLLER FOR FARM TRACTOR 25' SMOOTH ROLLER FOR FARM TRACTOR</t>
        </is>
      </c>
      <c r="L3968" t="n">
        <v>0</v>
      </c>
      <c r="M3968" t="n">
        <v>0</v>
      </c>
      <c r="O3968" t="inlineStr">
        <is>
          <t>RMS2319</t>
        </is>
      </c>
      <c r="Q3968" s="114" t="n">
        <v>0</v>
      </c>
      <c r="R3968" s="114" t="n">
        <v>179.6</v>
      </c>
      <c r="S3968" s="114" t="n">
        <v>0</v>
      </c>
      <c r="T3968" t="n">
        <v>0</v>
      </c>
    </row>
    <row r="3969">
      <c r="A3969" t="inlineStr">
        <is>
          <t>ttJTrans</t>
        </is>
      </c>
      <c r="B3969" s="38" t="inlineStr">
        <is>
          <t>0-4107</t>
        </is>
      </c>
      <c r="C3969" t="inlineStr">
        <is>
          <t>ER</t>
        </is>
      </c>
      <c r="E3969" t="inlineStr">
        <is>
          <t>ER</t>
        </is>
      </c>
      <c r="G3969" s="128" t="inlineStr"/>
      <c r="H3969" s="127" t="n">
        <v>46142</v>
      </c>
      <c r="J3969" s="38" t="inlineStr">
        <is>
          <t>0-4107</t>
        </is>
      </c>
      <c r="K3969" t="inlineStr">
        <is>
          <t>RMS2319 25' SMOOTH ROLLER FOR FARM TRACTOR 25' SMOOTH ROLLER FOR FARM TRACTOR</t>
        </is>
      </c>
      <c r="L3969" t="n">
        <v>0</v>
      </c>
      <c r="M3969" t="n">
        <v>0</v>
      </c>
      <c r="O3969" t="inlineStr">
        <is>
          <t>RMS2319</t>
        </is>
      </c>
      <c r="Q3969" s="114" t="n">
        <v>0</v>
      </c>
      <c r="R3969" s="114" t="n">
        <v>179.6</v>
      </c>
      <c r="S3969" s="114" t="n">
        <v>0</v>
      </c>
      <c r="T3969" t="n">
        <v>0</v>
      </c>
    </row>
    <row r="3970">
      <c r="A3970" t="inlineStr">
        <is>
          <t>ttJTrans</t>
        </is>
      </c>
      <c r="B3970" s="38" t="inlineStr">
        <is>
          <t>0-4107</t>
        </is>
      </c>
      <c r="C3970" t="inlineStr">
        <is>
          <t>ER</t>
        </is>
      </c>
      <c r="E3970" t="inlineStr">
        <is>
          <t>ER</t>
        </is>
      </c>
      <c r="G3970" s="128" t="inlineStr"/>
      <c r="H3970" s="127" t="n">
        <v>46142</v>
      </c>
      <c r="J3970" s="38" t="inlineStr">
        <is>
          <t>0-4107</t>
        </is>
      </c>
      <c r="K3970" t="inlineStr">
        <is>
          <t>RMS2319 25' SMOOTH ROLLER FOR FARM TRACTOR 25' SMOOTH ROLLER FOR FARM TRACTOR</t>
        </is>
      </c>
      <c r="L3970" t="n">
        <v>0</v>
      </c>
      <c r="M3970" t="n">
        <v>0</v>
      </c>
      <c r="O3970" t="inlineStr">
        <is>
          <t>RMS2319</t>
        </is>
      </c>
      <c r="Q3970" s="114" t="n">
        <v>0</v>
      </c>
      <c r="R3970" s="114" t="n">
        <v>179.6</v>
      </c>
      <c r="S3970" s="114" t="n">
        <v>0</v>
      </c>
      <c r="T3970" t="n">
        <v>0</v>
      </c>
    </row>
    <row r="3971">
      <c r="A3971" t="inlineStr">
        <is>
          <t>ttJTrans</t>
        </is>
      </c>
      <c r="B3971" s="38" t="inlineStr">
        <is>
          <t>0-4107</t>
        </is>
      </c>
      <c r="C3971" t="inlineStr">
        <is>
          <t>ER</t>
        </is>
      </c>
      <c r="E3971" t="inlineStr">
        <is>
          <t>ER</t>
        </is>
      </c>
      <c r="G3971" s="128" t="inlineStr"/>
      <c r="H3971" s="127" t="n">
        <v>46142</v>
      </c>
      <c r="J3971" s="38" t="inlineStr">
        <is>
          <t>0-4107</t>
        </is>
      </c>
      <c r="K3971" t="inlineStr">
        <is>
          <t>RMS2321 SEED DRILL FOR FARM TRACTOR SEED DRILL FOR FARM TRACTOR</t>
        </is>
      </c>
      <c r="L3971" t="n">
        <v>0</v>
      </c>
      <c r="M3971" t="n">
        <v>0</v>
      </c>
      <c r="O3971" t="inlineStr">
        <is>
          <t>RMS2321</t>
        </is>
      </c>
      <c r="Q3971" s="114" t="n">
        <v>0</v>
      </c>
      <c r="R3971" s="114" t="n">
        <v>1077.59</v>
      </c>
      <c r="S3971" s="114" t="n">
        <v>0</v>
      </c>
      <c r="T3971" t="n">
        <v>0</v>
      </c>
    </row>
    <row r="3972">
      <c r="A3972" t="inlineStr">
        <is>
          <t>ttJTrans</t>
        </is>
      </c>
      <c r="B3972" s="38" t="inlineStr">
        <is>
          <t>0-4107</t>
        </is>
      </c>
      <c r="C3972" t="inlineStr">
        <is>
          <t>ER</t>
        </is>
      </c>
      <c r="E3972" t="inlineStr">
        <is>
          <t>ER</t>
        </is>
      </c>
      <c r="G3972" s="128" t="inlineStr"/>
      <c r="H3972" s="127" t="n">
        <v>46142</v>
      </c>
      <c r="J3972" s="38" t="inlineStr">
        <is>
          <t>0-4107</t>
        </is>
      </c>
      <c r="K3972" t="inlineStr">
        <is>
          <t>RMS2321 SEED DRILL FOR FARM TRACTOR SEED DRILL FOR FARM TRACTOR</t>
        </is>
      </c>
      <c r="L3972" t="n">
        <v>0</v>
      </c>
      <c r="M3972" t="n">
        <v>0</v>
      </c>
      <c r="O3972" t="inlineStr">
        <is>
          <t>RMS2321</t>
        </is>
      </c>
      <c r="Q3972" s="114" t="n">
        <v>0</v>
      </c>
      <c r="R3972" s="114" t="n">
        <v>1077.59</v>
      </c>
      <c r="S3972" s="114" t="n">
        <v>0</v>
      </c>
      <c r="T3972" t="n">
        <v>0</v>
      </c>
    </row>
    <row r="3973">
      <c r="A3973" t="inlineStr">
        <is>
          <t>ttJTrans</t>
        </is>
      </c>
      <c r="B3973" s="38" t="inlineStr">
        <is>
          <t>0-4107</t>
        </is>
      </c>
      <c r="C3973" t="inlineStr">
        <is>
          <t>ER</t>
        </is>
      </c>
      <c r="E3973" t="inlineStr">
        <is>
          <t>ER</t>
        </is>
      </c>
      <c r="G3973" s="128" t="inlineStr"/>
      <c r="H3973" s="127" t="n">
        <v>46142</v>
      </c>
      <c r="J3973" s="38" t="inlineStr">
        <is>
          <t>0-4107</t>
        </is>
      </c>
      <c r="K3973" t="inlineStr">
        <is>
          <t>RMS2321 SEED DRILL FOR FARM TRACTOR SEED DRILL FOR FARM TRACTOR</t>
        </is>
      </c>
      <c r="L3973" t="n">
        <v>0</v>
      </c>
      <c r="M3973" t="n">
        <v>0</v>
      </c>
      <c r="O3973" t="inlineStr">
        <is>
          <t>RMS2321</t>
        </is>
      </c>
      <c r="Q3973" s="114" t="n">
        <v>0</v>
      </c>
      <c r="R3973" s="114" t="n">
        <v>1077.59</v>
      </c>
      <c r="S3973" s="114" t="n">
        <v>0</v>
      </c>
      <c r="T3973" t="n">
        <v>0</v>
      </c>
    </row>
    <row r="3974">
      <c r="A3974" t="inlineStr">
        <is>
          <t>ttJTrans</t>
        </is>
      </c>
      <c r="B3974" s="38" t="inlineStr">
        <is>
          <t>0-4107</t>
        </is>
      </c>
      <c r="C3974" t="inlineStr">
        <is>
          <t>ER</t>
        </is>
      </c>
      <c r="E3974" t="inlineStr">
        <is>
          <t>ER</t>
        </is>
      </c>
      <c r="G3974" s="128" t="inlineStr"/>
      <c r="H3974" s="127" t="n">
        <v>46142</v>
      </c>
      <c r="J3974" s="38" t="inlineStr">
        <is>
          <t>0-4107</t>
        </is>
      </c>
      <c r="K3974" t="inlineStr">
        <is>
          <t>RMS2321 SEED DRILL FOR FARM TRACTOR SEED DRILL FOR FARM TRACTOR</t>
        </is>
      </c>
      <c r="L3974" t="n">
        <v>0</v>
      </c>
      <c r="M3974" t="n">
        <v>0</v>
      </c>
      <c r="O3974" t="inlineStr">
        <is>
          <t>RMS2321</t>
        </is>
      </c>
      <c r="Q3974" s="114" t="n">
        <v>0</v>
      </c>
      <c r="R3974" s="114" t="n">
        <v>1077.59</v>
      </c>
      <c r="S3974" s="114" t="n">
        <v>0</v>
      </c>
      <c r="T3974" t="n">
        <v>0</v>
      </c>
    </row>
    <row r="3975">
      <c r="A3975" t="inlineStr">
        <is>
          <t>ttJTrans</t>
        </is>
      </c>
      <c r="B3975" s="38" t="inlineStr">
        <is>
          <t>0-4107</t>
        </is>
      </c>
      <c r="C3975" t="inlineStr">
        <is>
          <t>ER</t>
        </is>
      </c>
      <c r="E3975" t="inlineStr">
        <is>
          <t>ER</t>
        </is>
      </c>
      <c r="G3975" s="128" t="inlineStr"/>
      <c r="H3975" s="127" t="n">
        <v>46142</v>
      </c>
      <c r="J3975" s="38" t="inlineStr">
        <is>
          <t>0-4107</t>
        </is>
      </c>
      <c r="K3975" t="inlineStr">
        <is>
          <t>RMS2320 SEED DRILL FOR FARM TRACTOR SEED DRILL FOR FARM TRACTOR</t>
        </is>
      </c>
      <c r="L3975" t="n">
        <v>0</v>
      </c>
      <c r="M3975" t="n">
        <v>0</v>
      </c>
      <c r="O3975" t="inlineStr">
        <is>
          <t>RMS2320</t>
        </is>
      </c>
      <c r="Q3975" s="114" t="n">
        <v>0</v>
      </c>
      <c r="R3975" s="114" t="n">
        <v>1077.59</v>
      </c>
      <c r="S3975" s="114" t="n">
        <v>0</v>
      </c>
      <c r="T3975" t="n">
        <v>0</v>
      </c>
    </row>
    <row r="3976">
      <c r="A3976" t="inlineStr">
        <is>
          <t>ttJTrans</t>
        </is>
      </c>
      <c r="B3976" s="38" t="inlineStr">
        <is>
          <t>0-4107</t>
        </is>
      </c>
      <c r="C3976" t="inlineStr">
        <is>
          <t>ER</t>
        </is>
      </c>
      <c r="E3976" t="inlineStr">
        <is>
          <t>ER</t>
        </is>
      </c>
      <c r="G3976" s="128" t="inlineStr"/>
      <c r="H3976" s="127" t="n">
        <v>46142</v>
      </c>
      <c r="J3976" s="38" t="inlineStr">
        <is>
          <t>0-4107</t>
        </is>
      </c>
      <c r="K3976" t="inlineStr">
        <is>
          <t>RMS2320 SEED DRILL FOR FARM TRACTOR SEED DRILL FOR FARM TRACTOR</t>
        </is>
      </c>
      <c r="L3976" t="n">
        <v>0</v>
      </c>
      <c r="M3976" t="n">
        <v>0</v>
      </c>
      <c r="O3976" t="inlineStr">
        <is>
          <t>RMS2320</t>
        </is>
      </c>
      <c r="Q3976" s="114" t="n">
        <v>0</v>
      </c>
      <c r="R3976" s="114" t="n">
        <v>1077.59</v>
      </c>
      <c r="S3976" s="114" t="n">
        <v>0</v>
      </c>
      <c r="T3976" t="n">
        <v>0</v>
      </c>
    </row>
    <row r="3977">
      <c r="A3977" t="inlineStr">
        <is>
          <t>ttJTrans</t>
        </is>
      </c>
      <c r="B3977" s="38" t="inlineStr">
        <is>
          <t>0-4107</t>
        </is>
      </c>
      <c r="C3977" t="inlineStr">
        <is>
          <t>ER</t>
        </is>
      </c>
      <c r="E3977" t="inlineStr">
        <is>
          <t>ER</t>
        </is>
      </c>
      <c r="G3977" s="128" t="inlineStr"/>
      <c r="H3977" s="127" t="n">
        <v>46142</v>
      </c>
      <c r="J3977" s="38" t="inlineStr">
        <is>
          <t>0-4107</t>
        </is>
      </c>
      <c r="K3977" t="inlineStr">
        <is>
          <t>RMS2320 SEED DRILL FOR FARM TRACTOR SEED DRILL FOR FARM TRACTOR</t>
        </is>
      </c>
      <c r="L3977" t="n">
        <v>0</v>
      </c>
      <c r="M3977" t="n">
        <v>0</v>
      </c>
      <c r="O3977" t="inlineStr">
        <is>
          <t>RMS2320</t>
        </is>
      </c>
      <c r="Q3977" s="114" t="n">
        <v>0</v>
      </c>
      <c r="R3977" s="114" t="n">
        <v>1077.59</v>
      </c>
      <c r="S3977" s="114" t="n">
        <v>0</v>
      </c>
      <c r="T3977" t="n">
        <v>0</v>
      </c>
    </row>
    <row r="3978">
      <c r="A3978" t="inlineStr">
        <is>
          <t>ttJTrans</t>
        </is>
      </c>
      <c r="B3978" s="38" t="inlineStr">
        <is>
          <t>0-4107</t>
        </is>
      </c>
      <c r="C3978" t="inlineStr">
        <is>
          <t>ER</t>
        </is>
      </c>
      <c r="E3978" t="inlineStr">
        <is>
          <t>ER</t>
        </is>
      </c>
      <c r="G3978" s="128" t="inlineStr"/>
      <c r="H3978" s="127" t="n">
        <v>46142</v>
      </c>
      <c r="J3978" s="38" t="inlineStr">
        <is>
          <t>0-4107</t>
        </is>
      </c>
      <c r="K3978" t="inlineStr">
        <is>
          <t>RMS2320 SEED DRILL FOR FARM TRACTOR SEED DRILL FOR FARM TRACTOR</t>
        </is>
      </c>
      <c r="L3978" t="n">
        <v>0</v>
      </c>
      <c r="M3978" t="n">
        <v>0</v>
      </c>
      <c r="O3978" t="inlineStr">
        <is>
          <t>RMS2320</t>
        </is>
      </c>
      <c r="Q3978" s="114" t="n">
        <v>0</v>
      </c>
      <c r="R3978" s="114" t="n">
        <v>1077.59</v>
      </c>
      <c r="S3978" s="114" t="n">
        <v>0</v>
      </c>
      <c r="T3978" t="n">
        <v>0</v>
      </c>
    </row>
    <row r="3979">
      <c r="A3979" t="inlineStr">
        <is>
          <t>ttJTrans</t>
        </is>
      </c>
      <c r="B3979" s="38" t="inlineStr">
        <is>
          <t>0-4107</t>
        </is>
      </c>
      <c r="C3979" t="inlineStr">
        <is>
          <t>ER</t>
        </is>
      </c>
      <c r="E3979" t="inlineStr">
        <is>
          <t>ER</t>
        </is>
      </c>
      <c r="G3979" s="128" t="inlineStr"/>
      <c r="H3979" s="127" t="n">
        <v>46152</v>
      </c>
      <c r="J3979" s="38" t="inlineStr">
        <is>
          <t>0-4107</t>
        </is>
      </c>
      <c r="K3979" t="inlineStr">
        <is>
          <t>RFT890 CASE MAGNUN 220 FARM TRACTOR CASE MAGNUN 220 FARM TRACTOR</t>
        </is>
      </c>
      <c r="L3979" t="n">
        <v>0</v>
      </c>
      <c r="M3979" t="n">
        <v>0</v>
      </c>
      <c r="O3979" t="inlineStr">
        <is>
          <t>RFT890</t>
        </is>
      </c>
      <c r="Q3979" s="114" t="n">
        <v>0</v>
      </c>
      <c r="R3979" s="114" t="n">
        <v>500</v>
      </c>
      <c r="S3979" s="114" t="n">
        <v>0</v>
      </c>
      <c r="T3979" t="n">
        <v>0</v>
      </c>
    </row>
    <row r="3980">
      <c r="A3980" t="inlineStr">
        <is>
          <t>ttJTrans</t>
        </is>
      </c>
      <c r="B3980" s="38" t="inlineStr">
        <is>
          <t>0-4107</t>
        </is>
      </c>
      <c r="C3980" t="inlineStr">
        <is>
          <t>ER</t>
        </is>
      </c>
      <c r="E3980" t="inlineStr">
        <is>
          <t>ER</t>
        </is>
      </c>
      <c r="G3980" s="128" t="inlineStr"/>
      <c r="H3980" s="127" t="n">
        <v>46152</v>
      </c>
      <c r="J3980" s="38" t="inlineStr">
        <is>
          <t>0-4107</t>
        </is>
      </c>
      <c r="K3980" t="inlineStr">
        <is>
          <t>RFT890 CASE MAGNUN 220 FARM TRACTOR CASE MAGNUN 220 FARM TRACTOR</t>
        </is>
      </c>
      <c r="L3980" t="n">
        <v>0</v>
      </c>
      <c r="M3980" t="n">
        <v>0</v>
      </c>
      <c r="O3980" t="inlineStr">
        <is>
          <t>RFT890</t>
        </is>
      </c>
      <c r="Q3980" s="114" t="n">
        <v>0</v>
      </c>
      <c r="R3980" s="114" t="n">
        <v>500</v>
      </c>
      <c r="S3980" s="114" t="n">
        <v>0</v>
      </c>
      <c r="T3980" t="n">
        <v>0</v>
      </c>
    </row>
    <row r="3981">
      <c r="A3981" t="inlineStr">
        <is>
          <t>ttJTrans</t>
        </is>
      </c>
      <c r="B3981" s="38" t="inlineStr">
        <is>
          <t>0-4107</t>
        </is>
      </c>
      <c r="C3981" t="inlineStr">
        <is>
          <t>ER</t>
        </is>
      </c>
      <c r="E3981" t="inlineStr">
        <is>
          <t>ER</t>
        </is>
      </c>
      <c r="G3981" s="128" t="inlineStr"/>
      <c r="H3981" s="127" t="n">
        <v>46152</v>
      </c>
      <c r="J3981" s="38" t="inlineStr">
        <is>
          <t>0-4107</t>
        </is>
      </c>
      <c r="K3981" t="inlineStr">
        <is>
          <t>RFT890 CASE MAGNUN 220 FARM TRACTOR CASE MAGNUN 220 FARM TRACTOR</t>
        </is>
      </c>
      <c r="L3981" t="n">
        <v>0</v>
      </c>
      <c r="M3981" t="n">
        <v>0</v>
      </c>
      <c r="O3981" t="inlineStr">
        <is>
          <t>RFT890</t>
        </is>
      </c>
      <c r="Q3981" s="114" t="n">
        <v>0</v>
      </c>
      <c r="R3981" s="114" t="n">
        <v>500</v>
      </c>
      <c r="S3981" s="114" t="n">
        <v>0</v>
      </c>
      <c r="T3981" t="n">
        <v>0</v>
      </c>
    </row>
    <row r="3982">
      <c r="A3982" t="inlineStr">
        <is>
          <t>ttJTrans</t>
        </is>
      </c>
      <c r="B3982" s="38" t="inlineStr">
        <is>
          <t>0-4107</t>
        </is>
      </c>
      <c r="C3982" t="inlineStr">
        <is>
          <t>ER</t>
        </is>
      </c>
      <c r="E3982" t="inlineStr">
        <is>
          <t>ER</t>
        </is>
      </c>
      <c r="G3982" s="128" t="inlineStr"/>
      <c r="H3982" s="127" t="n">
        <v>46152</v>
      </c>
      <c r="J3982" s="38" t="inlineStr">
        <is>
          <t>0-4107</t>
        </is>
      </c>
      <c r="K3982" t="inlineStr">
        <is>
          <t>RFT890 CASE MAGNUN 220 FARM TRACTOR CASE MAGNUN 220 FARM TRACTOR</t>
        </is>
      </c>
      <c r="L3982" t="n">
        <v>0</v>
      </c>
      <c r="M3982" t="n">
        <v>0</v>
      </c>
      <c r="O3982" t="inlineStr">
        <is>
          <t>RFT890</t>
        </is>
      </c>
      <c r="Q3982" s="114" t="n">
        <v>0</v>
      </c>
      <c r="R3982" s="114" t="n">
        <v>500</v>
      </c>
      <c r="S3982" s="114" t="n">
        <v>0</v>
      </c>
      <c r="T3982" t="n">
        <v>0</v>
      </c>
    </row>
    <row r="3983">
      <c r="A3983" t="inlineStr">
        <is>
          <t>ttJTrans</t>
        </is>
      </c>
      <c r="B3983" s="38" t="inlineStr">
        <is>
          <t>0-4107</t>
        </is>
      </c>
      <c r="C3983" t="inlineStr">
        <is>
          <t>ER</t>
        </is>
      </c>
      <c r="E3983" t="inlineStr">
        <is>
          <t>ER</t>
        </is>
      </c>
      <c r="G3983" s="128" t="inlineStr"/>
      <c r="H3983" s="127" t="n">
        <v>46152</v>
      </c>
      <c r="J3983" s="38" t="inlineStr">
        <is>
          <t>0-4107</t>
        </is>
      </c>
      <c r="K3983" t="inlineStr">
        <is>
          <t>RFT892 CASE PUMA 200 FARM TRACTOR W FRONT LOADER CASE PUMA 200 FARM TRACTOR W FRONT LOADER</t>
        </is>
      </c>
      <c r="L3983" t="n">
        <v>0</v>
      </c>
      <c r="M3983" t="n">
        <v>0</v>
      </c>
      <c r="O3983" t="inlineStr">
        <is>
          <t>RFT892</t>
        </is>
      </c>
      <c r="Q3983" s="114" t="n">
        <v>0</v>
      </c>
      <c r="R3983" s="114" t="n">
        <v>508.33</v>
      </c>
      <c r="S3983" s="114" t="n">
        <v>0</v>
      </c>
      <c r="T3983" t="n">
        <v>0</v>
      </c>
    </row>
    <row r="3984">
      <c r="A3984" t="inlineStr">
        <is>
          <t>ttJTrans</t>
        </is>
      </c>
      <c r="B3984" s="38" t="inlineStr">
        <is>
          <t>0-4107</t>
        </is>
      </c>
      <c r="C3984" t="inlineStr">
        <is>
          <t>ER</t>
        </is>
      </c>
      <c r="E3984" t="inlineStr">
        <is>
          <t>ER</t>
        </is>
      </c>
      <c r="G3984" s="128" t="inlineStr"/>
      <c r="H3984" s="127" t="n">
        <v>46152</v>
      </c>
      <c r="J3984" s="38" t="inlineStr">
        <is>
          <t>0-4107</t>
        </is>
      </c>
      <c r="K3984" t="inlineStr">
        <is>
          <t>RFT892 CASE PUMA 200 FARM TRACTOR W FRONT LOADER CASE PUMA 200 FARM TRACTOR W FRONT LOADER</t>
        </is>
      </c>
      <c r="L3984" t="n">
        <v>0</v>
      </c>
      <c r="M3984" t="n">
        <v>0</v>
      </c>
      <c r="O3984" t="inlineStr">
        <is>
          <t>RFT892</t>
        </is>
      </c>
      <c r="Q3984" s="114" t="n">
        <v>0</v>
      </c>
      <c r="R3984" s="114" t="n">
        <v>508.33</v>
      </c>
      <c r="S3984" s="114" t="n">
        <v>0</v>
      </c>
      <c r="T3984" t="n">
        <v>0</v>
      </c>
    </row>
    <row r="3985">
      <c r="A3985" t="inlineStr">
        <is>
          <t>ttJTrans</t>
        </is>
      </c>
      <c r="B3985" s="38" t="inlineStr">
        <is>
          <t>0-4107</t>
        </is>
      </c>
      <c r="C3985" t="inlineStr">
        <is>
          <t>ER</t>
        </is>
      </c>
      <c r="E3985" t="inlineStr">
        <is>
          <t>ER</t>
        </is>
      </c>
      <c r="G3985" s="128" t="inlineStr"/>
      <c r="H3985" s="127" t="n">
        <v>46152</v>
      </c>
      <c r="J3985" s="38" t="inlineStr">
        <is>
          <t>0-4107</t>
        </is>
      </c>
      <c r="K3985" t="inlineStr">
        <is>
          <t>RFT892 CASE PUMA 200 FARM TRACTOR W FRONT LOADER CASE PUMA 200 FARM TRACTOR W FRONT LOADER</t>
        </is>
      </c>
      <c r="L3985" t="n">
        <v>0</v>
      </c>
      <c r="M3985" t="n">
        <v>0</v>
      </c>
      <c r="O3985" t="inlineStr">
        <is>
          <t>RFT892</t>
        </is>
      </c>
      <c r="Q3985" s="114" t="n">
        <v>0</v>
      </c>
      <c r="R3985" s="114" t="n">
        <v>508.33</v>
      </c>
      <c r="S3985" s="114" t="n">
        <v>0</v>
      </c>
      <c r="T3985" t="n">
        <v>0</v>
      </c>
    </row>
    <row r="3986">
      <c r="A3986" t="inlineStr">
        <is>
          <t>ttJTrans</t>
        </is>
      </c>
      <c r="B3986" s="38" t="inlineStr">
        <is>
          <t>0-4107</t>
        </is>
      </c>
      <c r="C3986" t="inlineStr">
        <is>
          <t>ER</t>
        </is>
      </c>
      <c r="E3986" t="inlineStr">
        <is>
          <t>ER</t>
        </is>
      </c>
      <c r="G3986" s="128" t="inlineStr"/>
      <c r="H3986" s="127" t="n">
        <v>46152</v>
      </c>
      <c r="J3986" s="38" t="inlineStr">
        <is>
          <t>0-4107</t>
        </is>
      </c>
      <c r="K3986" t="inlineStr">
        <is>
          <t>RFT892 CASE PUMA 200 FARM TRACTOR W FRONT LOADER CASE PUMA 200 FARM TRACTOR W FRONT LOADER</t>
        </is>
      </c>
      <c r="L3986" t="n">
        <v>0</v>
      </c>
      <c r="M3986" t="n">
        <v>0</v>
      </c>
      <c r="O3986" t="inlineStr">
        <is>
          <t>RFT892</t>
        </is>
      </c>
      <c r="Q3986" s="114" t="n">
        <v>0</v>
      </c>
      <c r="R3986" s="114" t="n">
        <v>508.33</v>
      </c>
      <c r="S3986" s="114" t="n">
        <v>0</v>
      </c>
      <c r="T3986" t="n">
        <v>0</v>
      </c>
    </row>
    <row r="3987">
      <c r="A3987" t="inlineStr">
        <is>
          <t>ttJTrans</t>
        </is>
      </c>
      <c r="B3987" s="38" t="inlineStr">
        <is>
          <t>0-4107</t>
        </is>
      </c>
      <c r="C3987" t="inlineStr">
        <is>
          <t>ER</t>
        </is>
      </c>
      <c r="E3987" t="inlineStr">
        <is>
          <t>ER</t>
        </is>
      </c>
      <c r="G3987" s="128" t="inlineStr"/>
      <c r="H3987" s="127" t="n">
        <v>46152</v>
      </c>
      <c r="J3987" s="38" t="inlineStr">
        <is>
          <t>0-4107</t>
        </is>
      </c>
      <c r="K3987" t="inlineStr">
        <is>
          <t>RFT891 CASE MAGNUM 220 FARM TRACTOR CASE MAGNUM 220 FARM TRACTOR</t>
        </is>
      </c>
      <c r="L3987" t="n">
        <v>0</v>
      </c>
      <c r="M3987" t="n">
        <v>0</v>
      </c>
      <c r="O3987" t="inlineStr">
        <is>
          <t>RFT891</t>
        </is>
      </c>
      <c r="Q3987" s="114" t="n">
        <v>0</v>
      </c>
      <c r="R3987" s="114" t="n">
        <v>500</v>
      </c>
      <c r="S3987" s="114" t="n">
        <v>0</v>
      </c>
      <c r="T3987" t="n">
        <v>0</v>
      </c>
    </row>
    <row r="3988">
      <c r="A3988" t="inlineStr">
        <is>
          <t>ttJTrans</t>
        </is>
      </c>
      <c r="B3988" s="38" t="inlineStr">
        <is>
          <t>0-4107</t>
        </is>
      </c>
      <c r="C3988" t="inlineStr">
        <is>
          <t>ER</t>
        </is>
      </c>
      <c r="E3988" t="inlineStr">
        <is>
          <t>ER</t>
        </is>
      </c>
      <c r="G3988" s="128" t="inlineStr"/>
      <c r="H3988" s="127" t="n">
        <v>46152</v>
      </c>
      <c r="J3988" s="38" t="inlineStr">
        <is>
          <t>0-4107</t>
        </is>
      </c>
      <c r="K3988" t="inlineStr">
        <is>
          <t>RFT891 CASE MAGNUM 220 FARM TRACTOR CASE MAGNUM 220 FARM TRACTOR</t>
        </is>
      </c>
      <c r="L3988" t="n">
        <v>0</v>
      </c>
      <c r="M3988" t="n">
        <v>0</v>
      </c>
      <c r="O3988" t="inlineStr">
        <is>
          <t>RFT891</t>
        </is>
      </c>
      <c r="Q3988" s="114" t="n">
        <v>0</v>
      </c>
      <c r="R3988" s="114" t="n">
        <v>500</v>
      </c>
      <c r="S3988" s="114" t="n">
        <v>0</v>
      </c>
      <c r="T3988" t="n">
        <v>0</v>
      </c>
    </row>
    <row r="3989">
      <c r="A3989" t="inlineStr">
        <is>
          <t>ttJTrans</t>
        </is>
      </c>
      <c r="B3989" s="38" t="inlineStr">
        <is>
          <t>0-4107</t>
        </is>
      </c>
      <c r="C3989" t="inlineStr">
        <is>
          <t>ER</t>
        </is>
      </c>
      <c r="E3989" t="inlineStr">
        <is>
          <t>ER</t>
        </is>
      </c>
      <c r="G3989" s="128" t="inlineStr"/>
      <c r="H3989" s="127" t="n">
        <v>46152</v>
      </c>
      <c r="J3989" s="38" t="inlineStr">
        <is>
          <t>0-4107</t>
        </is>
      </c>
      <c r="K3989" t="inlineStr">
        <is>
          <t>RFT891 CASE MAGNUM 220 FARM TRACTOR CASE MAGNUM 220 FARM TRACTOR</t>
        </is>
      </c>
      <c r="L3989" t="n">
        <v>0</v>
      </c>
      <c r="M3989" t="n">
        <v>0</v>
      </c>
      <c r="O3989" t="inlineStr">
        <is>
          <t>RFT891</t>
        </is>
      </c>
      <c r="Q3989" s="114" t="n">
        <v>0</v>
      </c>
      <c r="R3989" s="114" t="n">
        <v>500</v>
      </c>
      <c r="S3989" s="114" t="n">
        <v>0</v>
      </c>
      <c r="T3989" t="n">
        <v>0</v>
      </c>
    </row>
    <row r="3990">
      <c r="A3990" t="inlineStr">
        <is>
          <t>ttJTrans</t>
        </is>
      </c>
      <c r="B3990" s="38" t="inlineStr">
        <is>
          <t>0-4107</t>
        </is>
      </c>
      <c r="C3990" t="inlineStr">
        <is>
          <t>ER</t>
        </is>
      </c>
      <c r="E3990" t="inlineStr">
        <is>
          <t>ER</t>
        </is>
      </c>
      <c r="G3990" s="128" t="inlineStr"/>
      <c r="H3990" s="127" t="n">
        <v>46152</v>
      </c>
      <c r="J3990" s="38" t="inlineStr">
        <is>
          <t>0-4107</t>
        </is>
      </c>
      <c r="K3990" t="inlineStr">
        <is>
          <t>RFT891 CASE MAGNUM 220 FARM TRACTOR CASE MAGNUM 220 FARM TRACTOR</t>
        </is>
      </c>
      <c r="L3990" t="n">
        <v>0</v>
      </c>
      <c r="M3990" t="n">
        <v>0</v>
      </c>
      <c r="O3990" t="inlineStr">
        <is>
          <t>RFT891</t>
        </is>
      </c>
      <c r="Q3990" s="114" t="n">
        <v>0</v>
      </c>
      <c r="R3990" s="114" t="n">
        <v>500</v>
      </c>
      <c r="S3990" s="114" t="n">
        <v>0</v>
      </c>
      <c r="T3990" t="n">
        <v>0</v>
      </c>
    </row>
    <row r="3991">
      <c r="A3991" t="inlineStr">
        <is>
          <t>ttJTrans</t>
        </is>
      </c>
      <c r="B3991" s="38" t="inlineStr">
        <is>
          <t>0-4107</t>
        </is>
      </c>
      <c r="C3991" t="inlineStr">
        <is>
          <t>ER</t>
        </is>
      </c>
      <c r="E3991" t="inlineStr">
        <is>
          <t>ER</t>
        </is>
      </c>
      <c r="G3991" s="128" t="inlineStr"/>
      <c r="H3991" s="127" t="n">
        <v>46152</v>
      </c>
      <c r="J3991" s="38" t="inlineStr">
        <is>
          <t>0-4107</t>
        </is>
      </c>
      <c r="K3991" t="inlineStr">
        <is>
          <t>RMS2319 25' SMOOTH ROLLER FOR FARM TRACTOR 25' SMOOTH ROLLER FOR FARM TRACTOR</t>
        </is>
      </c>
      <c r="L3991" t="n">
        <v>0</v>
      </c>
      <c r="M3991" t="n">
        <v>0</v>
      </c>
      <c r="O3991" t="inlineStr">
        <is>
          <t>RMS2319</t>
        </is>
      </c>
      <c r="Q3991" s="114" t="n">
        <v>0</v>
      </c>
      <c r="R3991" s="114" t="n">
        <v>179.6</v>
      </c>
      <c r="S3991" s="114" t="n">
        <v>0</v>
      </c>
      <c r="T3991" t="n">
        <v>0</v>
      </c>
    </row>
    <row r="3992">
      <c r="A3992" t="inlineStr">
        <is>
          <t>ttJTrans</t>
        </is>
      </c>
      <c r="B3992" s="38" t="inlineStr">
        <is>
          <t>0-4107</t>
        </is>
      </c>
      <c r="C3992" t="inlineStr">
        <is>
          <t>ER</t>
        </is>
      </c>
      <c r="E3992" t="inlineStr">
        <is>
          <t>ER</t>
        </is>
      </c>
      <c r="G3992" s="128" t="inlineStr"/>
      <c r="H3992" s="127" t="n">
        <v>46152</v>
      </c>
      <c r="J3992" s="38" t="inlineStr">
        <is>
          <t>0-4107</t>
        </is>
      </c>
      <c r="K3992" t="inlineStr">
        <is>
          <t>RMS2319 25' SMOOTH ROLLER FOR FARM TRACTOR 25' SMOOTH ROLLER FOR FARM TRACTOR</t>
        </is>
      </c>
      <c r="L3992" t="n">
        <v>0</v>
      </c>
      <c r="M3992" t="n">
        <v>0</v>
      </c>
      <c r="O3992" t="inlineStr">
        <is>
          <t>RMS2319</t>
        </is>
      </c>
      <c r="Q3992" s="114" t="n">
        <v>0</v>
      </c>
      <c r="R3992" s="114" t="n">
        <v>179.6</v>
      </c>
      <c r="S3992" s="114" t="n">
        <v>0</v>
      </c>
      <c r="T3992" t="n">
        <v>0</v>
      </c>
    </row>
    <row r="3993">
      <c r="A3993" t="inlineStr">
        <is>
          <t>ttJTrans</t>
        </is>
      </c>
      <c r="B3993" s="38" t="inlineStr">
        <is>
          <t>0-4107</t>
        </is>
      </c>
      <c r="C3993" t="inlineStr">
        <is>
          <t>ER</t>
        </is>
      </c>
      <c r="E3993" t="inlineStr">
        <is>
          <t>ER</t>
        </is>
      </c>
      <c r="G3993" s="128" t="inlineStr"/>
      <c r="H3993" s="127" t="n">
        <v>46152</v>
      </c>
      <c r="J3993" s="38" t="inlineStr">
        <is>
          <t>0-4107</t>
        </is>
      </c>
      <c r="K3993" t="inlineStr">
        <is>
          <t>RMS2319 25' SMOOTH ROLLER FOR FARM TRACTOR 25' SMOOTH ROLLER FOR FARM TRACTOR</t>
        </is>
      </c>
      <c r="L3993" t="n">
        <v>0</v>
      </c>
      <c r="M3993" t="n">
        <v>0</v>
      </c>
      <c r="O3993" t="inlineStr">
        <is>
          <t>RMS2319</t>
        </is>
      </c>
      <c r="Q3993" s="114" t="n">
        <v>0</v>
      </c>
      <c r="R3993" s="114" t="n">
        <v>179.6</v>
      </c>
      <c r="S3993" s="114" t="n">
        <v>0</v>
      </c>
      <c r="T3993" t="n">
        <v>0</v>
      </c>
    </row>
    <row r="3994">
      <c r="A3994" t="inlineStr">
        <is>
          <t>ttJTrans</t>
        </is>
      </c>
      <c r="B3994" s="38" t="inlineStr">
        <is>
          <t>0-4107</t>
        </is>
      </c>
      <c r="C3994" t="inlineStr">
        <is>
          <t>ER</t>
        </is>
      </c>
      <c r="E3994" t="inlineStr">
        <is>
          <t>ER</t>
        </is>
      </c>
      <c r="G3994" s="128" t="inlineStr"/>
      <c r="H3994" s="127" t="n">
        <v>46152</v>
      </c>
      <c r="J3994" s="38" t="inlineStr">
        <is>
          <t>0-4107</t>
        </is>
      </c>
      <c r="K3994" t="inlineStr">
        <is>
          <t>RMS2319 25' SMOOTH ROLLER FOR FARM TRACTOR 25' SMOOTH ROLLER FOR FARM TRACTOR</t>
        </is>
      </c>
      <c r="L3994" t="n">
        <v>0</v>
      </c>
      <c r="M3994" t="n">
        <v>0</v>
      </c>
      <c r="O3994" t="inlineStr">
        <is>
          <t>RMS2319</t>
        </is>
      </c>
      <c r="Q3994" s="114" t="n">
        <v>0</v>
      </c>
      <c r="R3994" s="114" t="n">
        <v>179.6</v>
      </c>
      <c r="S3994" s="114" t="n">
        <v>0</v>
      </c>
      <c r="T3994" t="n">
        <v>0</v>
      </c>
    </row>
    <row r="3995">
      <c r="A3995" t="inlineStr">
        <is>
          <t>ttJTrans</t>
        </is>
      </c>
      <c r="B3995" s="38" t="inlineStr">
        <is>
          <t>0-4107</t>
        </is>
      </c>
      <c r="C3995" t="inlineStr">
        <is>
          <t>ER</t>
        </is>
      </c>
      <c r="E3995" t="inlineStr">
        <is>
          <t>ER</t>
        </is>
      </c>
      <c r="G3995" s="128" t="inlineStr"/>
      <c r="H3995" s="127" t="n">
        <v>46152</v>
      </c>
      <c r="J3995" s="38" t="inlineStr">
        <is>
          <t>0-4107</t>
        </is>
      </c>
      <c r="K3995" t="inlineStr">
        <is>
          <t>RMS2321 SEED DRILL FOR FARM TRACTOR SEED DRILL FOR FARM TRACTOR</t>
        </is>
      </c>
      <c r="L3995" t="n">
        <v>0</v>
      </c>
      <c r="M3995" t="n">
        <v>0</v>
      </c>
      <c r="O3995" t="inlineStr">
        <is>
          <t>RMS2321</t>
        </is>
      </c>
      <c r="Q3995" s="114" t="n">
        <v>0</v>
      </c>
      <c r="R3995" s="114" t="n">
        <v>1077.59</v>
      </c>
      <c r="S3995" s="114" t="n">
        <v>0</v>
      </c>
      <c r="T3995" t="n">
        <v>0</v>
      </c>
    </row>
    <row r="3996">
      <c r="A3996" t="inlineStr">
        <is>
          <t>ttJTrans</t>
        </is>
      </c>
      <c r="B3996" s="38" t="inlineStr">
        <is>
          <t>0-4107</t>
        </is>
      </c>
      <c r="C3996" t="inlineStr">
        <is>
          <t>ER</t>
        </is>
      </c>
      <c r="E3996" t="inlineStr">
        <is>
          <t>ER</t>
        </is>
      </c>
      <c r="G3996" s="128" t="inlineStr"/>
      <c r="H3996" s="127" t="n">
        <v>46152</v>
      </c>
      <c r="J3996" s="38" t="inlineStr">
        <is>
          <t>0-4107</t>
        </is>
      </c>
      <c r="K3996" t="inlineStr">
        <is>
          <t>RMS2321 SEED DRILL FOR FARM TRACTOR SEED DRILL FOR FARM TRACTOR</t>
        </is>
      </c>
      <c r="L3996" t="n">
        <v>0</v>
      </c>
      <c r="M3996" t="n">
        <v>0</v>
      </c>
      <c r="O3996" t="inlineStr">
        <is>
          <t>RMS2321</t>
        </is>
      </c>
      <c r="Q3996" s="114" t="n">
        <v>0</v>
      </c>
      <c r="R3996" s="114" t="n">
        <v>1077.59</v>
      </c>
      <c r="S3996" s="114" t="n">
        <v>0</v>
      </c>
      <c r="T3996" t="n">
        <v>0</v>
      </c>
    </row>
    <row r="3997">
      <c r="A3997" t="inlineStr">
        <is>
          <t>ttJTrans</t>
        </is>
      </c>
      <c r="B3997" s="38" t="inlineStr">
        <is>
          <t>0-4107</t>
        </is>
      </c>
      <c r="C3997" t="inlineStr">
        <is>
          <t>ER</t>
        </is>
      </c>
      <c r="E3997" t="inlineStr">
        <is>
          <t>ER</t>
        </is>
      </c>
      <c r="G3997" s="128" t="inlineStr"/>
      <c r="H3997" s="127" t="n">
        <v>46152</v>
      </c>
      <c r="J3997" s="38" t="inlineStr">
        <is>
          <t>0-4107</t>
        </is>
      </c>
      <c r="K3997" t="inlineStr">
        <is>
          <t>RMS2321 SEED DRILL FOR FARM TRACTOR SEED DRILL FOR FARM TRACTOR</t>
        </is>
      </c>
      <c r="L3997" t="n">
        <v>0</v>
      </c>
      <c r="M3997" t="n">
        <v>0</v>
      </c>
      <c r="O3997" t="inlineStr">
        <is>
          <t>RMS2321</t>
        </is>
      </c>
      <c r="Q3997" s="114" t="n">
        <v>0</v>
      </c>
      <c r="R3997" s="114" t="n">
        <v>1077.59</v>
      </c>
      <c r="S3997" s="114" t="n">
        <v>0</v>
      </c>
      <c r="T3997" t="n">
        <v>0</v>
      </c>
    </row>
    <row r="3998">
      <c r="A3998" t="inlineStr">
        <is>
          <t>ttJTrans</t>
        </is>
      </c>
      <c r="B3998" s="38" t="inlineStr">
        <is>
          <t>0-4107</t>
        </is>
      </c>
      <c r="C3998" t="inlineStr">
        <is>
          <t>ER</t>
        </is>
      </c>
      <c r="E3998" t="inlineStr">
        <is>
          <t>ER</t>
        </is>
      </c>
      <c r="G3998" s="128" t="inlineStr"/>
      <c r="H3998" s="127" t="n">
        <v>46152</v>
      </c>
      <c r="J3998" s="38" t="inlineStr">
        <is>
          <t>0-4107</t>
        </is>
      </c>
      <c r="K3998" t="inlineStr">
        <is>
          <t>RMS2321 SEED DRILL FOR FARM TRACTOR SEED DRILL FOR FARM TRACTOR</t>
        </is>
      </c>
      <c r="L3998" t="n">
        <v>0</v>
      </c>
      <c r="M3998" t="n">
        <v>0</v>
      </c>
      <c r="O3998" t="inlineStr">
        <is>
          <t>RMS2321</t>
        </is>
      </c>
      <c r="Q3998" s="114" t="n">
        <v>0</v>
      </c>
      <c r="R3998" s="114" t="n">
        <v>1077.59</v>
      </c>
      <c r="S3998" s="114" t="n">
        <v>0</v>
      </c>
      <c r="T3998" t="n">
        <v>0</v>
      </c>
    </row>
    <row r="3999">
      <c r="A3999" t="inlineStr">
        <is>
          <t>ttJTrans</t>
        </is>
      </c>
      <c r="B3999" s="38" t="inlineStr">
        <is>
          <t>0-4107</t>
        </is>
      </c>
      <c r="C3999" t="inlineStr">
        <is>
          <t>ER</t>
        </is>
      </c>
      <c r="E3999" t="inlineStr">
        <is>
          <t>ER</t>
        </is>
      </c>
      <c r="G3999" s="128" t="inlineStr"/>
      <c r="H3999" s="127" t="n">
        <v>46152</v>
      </c>
      <c r="J3999" s="38" t="inlineStr">
        <is>
          <t>0-4107</t>
        </is>
      </c>
      <c r="K3999" t="inlineStr">
        <is>
          <t>RMS2320 SEED DRILL FOR FARM TRACTOR SEED DRILL FOR FARM TRACTOR</t>
        </is>
      </c>
      <c r="L3999" t="n">
        <v>0</v>
      </c>
      <c r="M3999" t="n">
        <v>0</v>
      </c>
      <c r="O3999" t="inlineStr">
        <is>
          <t>RMS2320</t>
        </is>
      </c>
      <c r="Q3999" s="114" t="n">
        <v>0</v>
      </c>
      <c r="R3999" s="114" t="n">
        <v>1077.59</v>
      </c>
      <c r="S3999" s="114" t="n">
        <v>0</v>
      </c>
      <c r="T3999" t="n">
        <v>0</v>
      </c>
    </row>
    <row r="4000">
      <c r="A4000" t="inlineStr">
        <is>
          <t>ttJTrans</t>
        </is>
      </c>
      <c r="B4000" s="38" t="inlineStr">
        <is>
          <t>0-4107</t>
        </is>
      </c>
      <c r="C4000" t="inlineStr">
        <is>
          <t>ER</t>
        </is>
      </c>
      <c r="E4000" t="inlineStr">
        <is>
          <t>ER</t>
        </is>
      </c>
      <c r="G4000" s="128" t="inlineStr"/>
      <c r="H4000" s="127" t="n">
        <v>46152</v>
      </c>
      <c r="J4000" s="38" t="inlineStr">
        <is>
          <t>0-4107</t>
        </is>
      </c>
      <c r="K4000" t="inlineStr">
        <is>
          <t>RMS2320 SEED DRILL FOR FARM TRACTOR SEED DRILL FOR FARM TRACTOR</t>
        </is>
      </c>
      <c r="L4000" t="n">
        <v>0</v>
      </c>
      <c r="M4000" t="n">
        <v>0</v>
      </c>
      <c r="O4000" t="inlineStr">
        <is>
          <t>RMS2320</t>
        </is>
      </c>
      <c r="Q4000" s="114" t="n">
        <v>0</v>
      </c>
      <c r="R4000" s="114" t="n">
        <v>1077.59</v>
      </c>
      <c r="S4000" s="114" t="n">
        <v>0</v>
      </c>
      <c r="T4000" t="n">
        <v>0</v>
      </c>
    </row>
    <row r="4001">
      <c r="A4001" t="inlineStr">
        <is>
          <t>ttJTrans</t>
        </is>
      </c>
      <c r="B4001" s="38" t="inlineStr">
        <is>
          <t>0-4107</t>
        </is>
      </c>
      <c r="C4001" t="inlineStr">
        <is>
          <t>ER</t>
        </is>
      </c>
      <c r="E4001" t="inlineStr">
        <is>
          <t>ER</t>
        </is>
      </c>
      <c r="G4001" s="128" t="inlineStr"/>
      <c r="H4001" s="127" t="n">
        <v>46152</v>
      </c>
      <c r="J4001" s="38" t="inlineStr">
        <is>
          <t>0-4107</t>
        </is>
      </c>
      <c r="K4001" t="inlineStr">
        <is>
          <t>RMS2320 SEED DRILL FOR FARM TRACTOR SEED DRILL FOR FARM TRACTOR</t>
        </is>
      </c>
      <c r="L4001" t="n">
        <v>0</v>
      </c>
      <c r="M4001" t="n">
        <v>0</v>
      </c>
      <c r="O4001" t="inlineStr">
        <is>
          <t>RMS2320</t>
        </is>
      </c>
      <c r="Q4001" s="114" t="n">
        <v>0</v>
      </c>
      <c r="R4001" s="114" t="n">
        <v>1077.59</v>
      </c>
      <c r="S4001" s="114" t="n">
        <v>0</v>
      </c>
      <c r="T4001" t="n">
        <v>0</v>
      </c>
    </row>
    <row r="4002">
      <c r="A4002" t="inlineStr">
        <is>
          <t>ttJTrans</t>
        </is>
      </c>
      <c r="B4002" s="38" t="inlineStr">
        <is>
          <t>0-4107</t>
        </is>
      </c>
      <c r="C4002" t="inlineStr">
        <is>
          <t>ER</t>
        </is>
      </c>
      <c r="E4002" t="inlineStr">
        <is>
          <t>ER</t>
        </is>
      </c>
      <c r="G4002" s="128" t="inlineStr"/>
      <c r="H4002" s="127" t="n">
        <v>46152</v>
      </c>
      <c r="J4002" s="38" t="inlineStr">
        <is>
          <t>0-4107</t>
        </is>
      </c>
      <c r="K4002" t="inlineStr">
        <is>
          <t>RMS2320 SEED DRILL FOR FARM TRACTOR SEED DRILL FOR FARM TRACTOR</t>
        </is>
      </c>
      <c r="L4002" t="n">
        <v>0</v>
      </c>
      <c r="M4002" t="n">
        <v>0</v>
      </c>
      <c r="O4002" t="inlineStr">
        <is>
          <t>RMS2320</t>
        </is>
      </c>
      <c r="Q4002" s="114" t="n">
        <v>0</v>
      </c>
      <c r="R4002" s="114" t="n">
        <v>1077.59</v>
      </c>
      <c r="S4002" s="114" t="n">
        <v>0</v>
      </c>
      <c r="T4002" t="n">
        <v>0</v>
      </c>
    </row>
    <row r="4003">
      <c r="A4003" t="inlineStr">
        <is>
          <t>ttJTrans</t>
        </is>
      </c>
      <c r="B4003" s="38" t="inlineStr">
        <is>
          <t>0-4107</t>
        </is>
      </c>
      <c r="C4003" t="inlineStr">
        <is>
          <t>ER</t>
        </is>
      </c>
      <c r="E4003" t="inlineStr">
        <is>
          <t>ER</t>
        </is>
      </c>
      <c r="G4003" s="128" t="inlineStr"/>
      <c r="H4003" s="127" t="n">
        <v>46159</v>
      </c>
      <c r="J4003" s="38" t="inlineStr">
        <is>
          <t>0-4107</t>
        </is>
      </c>
      <c r="K4003" t="inlineStr">
        <is>
          <t>RFT890 CASE MAGNUN 220 FARM TRACTOR CASE MAGNUN 220 FARM TRACTOR</t>
        </is>
      </c>
      <c r="L4003" t="n">
        <v>0</v>
      </c>
      <c r="M4003" t="n">
        <v>0</v>
      </c>
      <c r="O4003" t="inlineStr">
        <is>
          <t>RFT890</t>
        </is>
      </c>
      <c r="Q4003" s="114" t="n">
        <v>0</v>
      </c>
      <c r="R4003" s="114" t="n">
        <v>500</v>
      </c>
      <c r="S4003" s="114" t="n">
        <v>0</v>
      </c>
      <c r="T4003" t="n">
        <v>0</v>
      </c>
    </row>
    <row r="4004">
      <c r="A4004" t="inlineStr">
        <is>
          <t>ttJTrans</t>
        </is>
      </c>
      <c r="B4004" s="38" t="inlineStr">
        <is>
          <t>0-4107</t>
        </is>
      </c>
      <c r="C4004" t="inlineStr">
        <is>
          <t>ER</t>
        </is>
      </c>
      <c r="E4004" t="inlineStr">
        <is>
          <t>ER</t>
        </is>
      </c>
      <c r="G4004" s="128" t="inlineStr"/>
      <c r="H4004" s="127" t="n">
        <v>46159</v>
      </c>
      <c r="J4004" s="38" t="inlineStr">
        <is>
          <t>0-4107</t>
        </is>
      </c>
      <c r="K4004" t="inlineStr">
        <is>
          <t>RFT890 CASE MAGNUN 220 FARM TRACTOR CASE MAGNUN 220 FARM TRACTOR</t>
        </is>
      </c>
      <c r="L4004" t="n">
        <v>0</v>
      </c>
      <c r="M4004" t="n">
        <v>0</v>
      </c>
      <c r="O4004" t="inlineStr">
        <is>
          <t>RFT890</t>
        </is>
      </c>
      <c r="Q4004" s="114" t="n">
        <v>0</v>
      </c>
      <c r="R4004" s="114" t="n">
        <v>500</v>
      </c>
      <c r="S4004" s="114" t="n">
        <v>0</v>
      </c>
      <c r="T4004" t="n">
        <v>0</v>
      </c>
    </row>
    <row r="4005">
      <c r="A4005" t="inlineStr">
        <is>
          <t>ttJTrans</t>
        </is>
      </c>
      <c r="B4005" s="38" t="inlineStr">
        <is>
          <t>0-4107</t>
        </is>
      </c>
      <c r="C4005" t="inlineStr">
        <is>
          <t>ER</t>
        </is>
      </c>
      <c r="E4005" t="inlineStr">
        <is>
          <t>ER</t>
        </is>
      </c>
      <c r="G4005" s="128" t="inlineStr"/>
      <c r="H4005" s="127" t="n">
        <v>46159</v>
      </c>
      <c r="J4005" s="38" t="inlineStr">
        <is>
          <t>0-4107</t>
        </is>
      </c>
      <c r="K4005" t="inlineStr">
        <is>
          <t>RFT890 CASE MAGNUN 220 FARM TRACTOR CASE MAGNUN 220 FARM TRACTOR</t>
        </is>
      </c>
      <c r="L4005" t="n">
        <v>0</v>
      </c>
      <c r="M4005" t="n">
        <v>0</v>
      </c>
      <c r="O4005" t="inlineStr">
        <is>
          <t>RFT890</t>
        </is>
      </c>
      <c r="Q4005" s="114" t="n">
        <v>0</v>
      </c>
      <c r="R4005" s="114" t="n">
        <v>500</v>
      </c>
      <c r="S4005" s="114" t="n">
        <v>0</v>
      </c>
      <c r="T4005" t="n">
        <v>0</v>
      </c>
    </row>
    <row r="4006">
      <c r="A4006" t="inlineStr">
        <is>
          <t>ttJTrans</t>
        </is>
      </c>
      <c r="B4006" s="38" t="inlineStr">
        <is>
          <t>0-4107</t>
        </is>
      </c>
      <c r="C4006" t="inlineStr">
        <is>
          <t>ER</t>
        </is>
      </c>
      <c r="E4006" t="inlineStr">
        <is>
          <t>ER</t>
        </is>
      </c>
      <c r="G4006" s="128" t="inlineStr"/>
      <c r="H4006" s="127" t="n">
        <v>46159</v>
      </c>
      <c r="J4006" s="38" t="inlineStr">
        <is>
          <t>0-4107</t>
        </is>
      </c>
      <c r="K4006" t="inlineStr">
        <is>
          <t>RFT890 CASE MAGNUN 220 FARM TRACTOR CASE MAGNUN 220 FARM TRACTOR</t>
        </is>
      </c>
      <c r="L4006" t="n">
        <v>0</v>
      </c>
      <c r="M4006" t="n">
        <v>0</v>
      </c>
      <c r="O4006" t="inlineStr">
        <is>
          <t>RFT890</t>
        </is>
      </c>
      <c r="Q4006" s="114" t="n">
        <v>0</v>
      </c>
      <c r="R4006" s="114" t="n">
        <v>500</v>
      </c>
      <c r="S4006" s="114" t="n">
        <v>0</v>
      </c>
      <c r="T4006" t="n">
        <v>0</v>
      </c>
    </row>
    <row r="4007">
      <c r="A4007" t="inlineStr">
        <is>
          <t>ttJTrans</t>
        </is>
      </c>
      <c r="B4007" s="38" t="inlineStr">
        <is>
          <t>0-4107</t>
        </is>
      </c>
      <c r="C4007" t="inlineStr">
        <is>
          <t>ER</t>
        </is>
      </c>
      <c r="E4007" t="inlineStr">
        <is>
          <t>ER</t>
        </is>
      </c>
      <c r="G4007" s="128" t="inlineStr"/>
      <c r="H4007" s="127" t="n">
        <v>46159</v>
      </c>
      <c r="J4007" s="38" t="inlineStr">
        <is>
          <t>0-4107</t>
        </is>
      </c>
      <c r="K4007" t="inlineStr">
        <is>
          <t>RFT890 CASE MAGNUN 220 FARM TRACTOR CASE MAGNUN 220 FARM TRACTOR</t>
        </is>
      </c>
      <c r="L4007" t="n">
        <v>0</v>
      </c>
      <c r="M4007" t="n">
        <v>0</v>
      </c>
      <c r="O4007" t="inlineStr">
        <is>
          <t>RFT890</t>
        </is>
      </c>
      <c r="Q4007" s="114" t="n">
        <v>0</v>
      </c>
      <c r="R4007" s="114" t="n">
        <v>500</v>
      </c>
      <c r="S4007" s="114" t="n">
        <v>0</v>
      </c>
      <c r="T4007" t="n">
        <v>0</v>
      </c>
    </row>
    <row r="4008">
      <c r="A4008" t="inlineStr">
        <is>
          <t>ttJTrans</t>
        </is>
      </c>
      <c r="B4008" s="38" t="inlineStr">
        <is>
          <t>0-4107</t>
        </is>
      </c>
      <c r="C4008" t="inlineStr">
        <is>
          <t>ER</t>
        </is>
      </c>
      <c r="E4008" t="inlineStr">
        <is>
          <t>ER</t>
        </is>
      </c>
      <c r="G4008" s="128" t="inlineStr"/>
      <c r="H4008" s="127" t="n">
        <v>46159</v>
      </c>
      <c r="J4008" s="38" t="inlineStr">
        <is>
          <t>0-4107</t>
        </is>
      </c>
      <c r="K4008" t="inlineStr">
        <is>
          <t>RFT890 CASE MAGNUN 220 FARM TRACTOR CASE MAGNUN 220 FARM TRACTOR</t>
        </is>
      </c>
      <c r="L4008" t="n">
        <v>0</v>
      </c>
      <c r="M4008" t="n">
        <v>0</v>
      </c>
      <c r="O4008" t="inlineStr">
        <is>
          <t>RFT890</t>
        </is>
      </c>
      <c r="Q4008" s="114" t="n">
        <v>0</v>
      </c>
      <c r="R4008" s="114" t="n">
        <v>500</v>
      </c>
      <c r="S4008" s="114" t="n">
        <v>0</v>
      </c>
      <c r="T4008" t="n">
        <v>0</v>
      </c>
    </row>
    <row r="4009">
      <c r="A4009" t="inlineStr">
        <is>
          <t>ttJTrans</t>
        </is>
      </c>
      <c r="B4009" s="38" t="inlineStr">
        <is>
          <t>0-4107</t>
        </is>
      </c>
      <c r="C4009" t="inlineStr">
        <is>
          <t>ER</t>
        </is>
      </c>
      <c r="E4009" t="inlineStr">
        <is>
          <t>ER</t>
        </is>
      </c>
      <c r="G4009" s="128" t="inlineStr"/>
      <c r="H4009" s="127" t="n">
        <v>46159</v>
      </c>
      <c r="J4009" s="38" t="inlineStr">
        <is>
          <t>0-4107</t>
        </is>
      </c>
      <c r="K4009" t="inlineStr">
        <is>
          <t>RFT892 CASE PUMA 200 FARM TRACTOR W FRONT LOADER CASE PUMA 200 FARM TRACTOR W FRONT LOADER</t>
        </is>
      </c>
      <c r="L4009" t="n">
        <v>0</v>
      </c>
      <c r="M4009" t="n">
        <v>0</v>
      </c>
      <c r="O4009" t="inlineStr">
        <is>
          <t>RFT892</t>
        </is>
      </c>
      <c r="Q4009" s="114" t="n">
        <v>0</v>
      </c>
      <c r="R4009" s="114" t="n">
        <v>508.33</v>
      </c>
      <c r="S4009" s="114" t="n">
        <v>0</v>
      </c>
      <c r="T4009" t="n">
        <v>0</v>
      </c>
    </row>
    <row r="4010">
      <c r="A4010" t="inlineStr">
        <is>
          <t>ttJTrans</t>
        </is>
      </c>
      <c r="B4010" s="38" t="inlineStr">
        <is>
          <t>0-4107</t>
        </is>
      </c>
      <c r="C4010" t="inlineStr">
        <is>
          <t>ER</t>
        </is>
      </c>
      <c r="E4010" t="inlineStr">
        <is>
          <t>ER</t>
        </is>
      </c>
      <c r="G4010" s="128" t="inlineStr"/>
      <c r="H4010" s="127" t="n">
        <v>46159</v>
      </c>
      <c r="J4010" s="38" t="inlineStr">
        <is>
          <t>0-4107</t>
        </is>
      </c>
      <c r="K4010" t="inlineStr">
        <is>
          <t>RFT892 CASE PUMA 200 FARM TRACTOR W FRONT LOADER CASE PUMA 200 FARM TRACTOR W FRONT LOADER</t>
        </is>
      </c>
      <c r="L4010" t="n">
        <v>0</v>
      </c>
      <c r="M4010" t="n">
        <v>0</v>
      </c>
      <c r="O4010" t="inlineStr">
        <is>
          <t>RFT892</t>
        </is>
      </c>
      <c r="Q4010" s="114" t="n">
        <v>0</v>
      </c>
      <c r="R4010" s="114" t="n">
        <v>508.33</v>
      </c>
      <c r="S4010" s="114" t="n">
        <v>0</v>
      </c>
      <c r="T4010" t="n">
        <v>0</v>
      </c>
    </row>
    <row r="4011">
      <c r="A4011" t="inlineStr">
        <is>
          <t>ttJTrans</t>
        </is>
      </c>
      <c r="B4011" s="38" t="inlineStr">
        <is>
          <t>0-4107</t>
        </is>
      </c>
      <c r="C4011" t="inlineStr">
        <is>
          <t>ER</t>
        </is>
      </c>
      <c r="E4011" t="inlineStr">
        <is>
          <t>ER</t>
        </is>
      </c>
      <c r="G4011" s="128" t="inlineStr"/>
      <c r="H4011" s="127" t="n">
        <v>46159</v>
      </c>
      <c r="J4011" s="38" t="inlineStr">
        <is>
          <t>0-4107</t>
        </is>
      </c>
      <c r="K4011" t="inlineStr">
        <is>
          <t>RFT892 CASE PUMA 200 FARM TRACTOR W FRONT LOADER CASE PUMA 200 FARM TRACTOR W FRONT LOADER</t>
        </is>
      </c>
      <c r="L4011" t="n">
        <v>0</v>
      </c>
      <c r="M4011" t="n">
        <v>0</v>
      </c>
      <c r="O4011" t="inlineStr">
        <is>
          <t>RFT892</t>
        </is>
      </c>
      <c r="Q4011" s="114" t="n">
        <v>0</v>
      </c>
      <c r="R4011" s="114" t="n">
        <v>508.33</v>
      </c>
      <c r="S4011" s="114" t="n">
        <v>0</v>
      </c>
      <c r="T4011" t="n">
        <v>0</v>
      </c>
    </row>
    <row r="4012">
      <c r="A4012" t="inlineStr">
        <is>
          <t>ttJTrans</t>
        </is>
      </c>
      <c r="B4012" s="38" t="inlineStr">
        <is>
          <t>0-4107</t>
        </is>
      </c>
      <c r="C4012" t="inlineStr">
        <is>
          <t>ER</t>
        </is>
      </c>
      <c r="E4012" t="inlineStr">
        <is>
          <t>ER</t>
        </is>
      </c>
      <c r="G4012" s="128" t="inlineStr"/>
      <c r="H4012" s="127" t="n">
        <v>46159</v>
      </c>
      <c r="J4012" s="38" t="inlineStr">
        <is>
          <t>0-4107</t>
        </is>
      </c>
      <c r="K4012" t="inlineStr">
        <is>
          <t>RFT892 CASE PUMA 200 FARM TRACTOR W FRONT LOADER CASE PUMA 200 FARM TRACTOR W FRONT LOADER</t>
        </is>
      </c>
      <c r="L4012" t="n">
        <v>0</v>
      </c>
      <c r="M4012" t="n">
        <v>0</v>
      </c>
      <c r="O4012" t="inlineStr">
        <is>
          <t>RFT892</t>
        </is>
      </c>
      <c r="Q4012" s="114" t="n">
        <v>0</v>
      </c>
      <c r="R4012" s="114" t="n">
        <v>508.33</v>
      </c>
      <c r="S4012" s="114" t="n">
        <v>0</v>
      </c>
      <c r="T4012" t="n">
        <v>0</v>
      </c>
    </row>
    <row r="4013">
      <c r="A4013" t="inlineStr">
        <is>
          <t>ttJTrans</t>
        </is>
      </c>
      <c r="B4013" s="38" t="inlineStr">
        <is>
          <t>0-4107</t>
        </is>
      </c>
      <c r="C4013" t="inlineStr">
        <is>
          <t>ER</t>
        </is>
      </c>
      <c r="E4013" t="inlineStr">
        <is>
          <t>ER</t>
        </is>
      </c>
      <c r="G4013" s="128" t="inlineStr"/>
      <c r="H4013" s="127" t="n">
        <v>46159</v>
      </c>
      <c r="J4013" s="38" t="inlineStr">
        <is>
          <t>0-4107</t>
        </is>
      </c>
      <c r="K4013" t="inlineStr">
        <is>
          <t>RFT892 CASE PUMA 200 FARM TRACTOR W FRONT LOADER CASE PUMA 200 FARM TRACTOR W FRONT LOADER</t>
        </is>
      </c>
      <c r="L4013" t="n">
        <v>0</v>
      </c>
      <c r="M4013" t="n">
        <v>0</v>
      </c>
      <c r="O4013" t="inlineStr">
        <is>
          <t>RFT892</t>
        </is>
      </c>
      <c r="Q4013" s="114" t="n">
        <v>0</v>
      </c>
      <c r="R4013" s="114" t="n">
        <v>508.33</v>
      </c>
      <c r="S4013" s="114" t="n">
        <v>0</v>
      </c>
      <c r="T4013" t="n">
        <v>0</v>
      </c>
    </row>
    <row r="4014">
      <c r="A4014" t="inlineStr">
        <is>
          <t>ttJTrans</t>
        </is>
      </c>
      <c r="B4014" s="38" t="inlineStr">
        <is>
          <t>0-4107</t>
        </is>
      </c>
      <c r="C4014" t="inlineStr">
        <is>
          <t>ER</t>
        </is>
      </c>
      <c r="E4014" t="inlineStr">
        <is>
          <t>ER</t>
        </is>
      </c>
      <c r="G4014" s="128" t="inlineStr"/>
      <c r="H4014" s="127" t="n">
        <v>46159</v>
      </c>
      <c r="J4014" s="38" t="inlineStr">
        <is>
          <t>0-4107</t>
        </is>
      </c>
      <c r="K4014" t="inlineStr">
        <is>
          <t>RFT892 CASE PUMA 200 FARM TRACTOR W FRONT LOADER CASE PUMA 200 FARM TRACTOR W FRONT LOADER</t>
        </is>
      </c>
      <c r="L4014" t="n">
        <v>0</v>
      </c>
      <c r="M4014" t="n">
        <v>0</v>
      </c>
      <c r="O4014" t="inlineStr">
        <is>
          <t>RFT892</t>
        </is>
      </c>
      <c r="Q4014" s="114" t="n">
        <v>0</v>
      </c>
      <c r="R4014" s="114" t="n">
        <v>508.33</v>
      </c>
      <c r="S4014" s="114" t="n">
        <v>0</v>
      </c>
      <c r="T4014" t="n">
        <v>0</v>
      </c>
    </row>
    <row r="4015">
      <c r="A4015" t="inlineStr">
        <is>
          <t>ttJTrans</t>
        </is>
      </c>
      <c r="B4015" s="38" t="inlineStr">
        <is>
          <t>0-4107</t>
        </is>
      </c>
      <c r="C4015" t="inlineStr">
        <is>
          <t>ER</t>
        </is>
      </c>
      <c r="E4015" t="inlineStr">
        <is>
          <t>ER</t>
        </is>
      </c>
      <c r="G4015" s="128" t="inlineStr"/>
      <c r="H4015" s="127" t="n">
        <v>46159</v>
      </c>
      <c r="J4015" s="38" t="inlineStr">
        <is>
          <t>0-4107</t>
        </is>
      </c>
      <c r="K4015" t="inlineStr">
        <is>
          <t>RFT891 CASE MAGNUM 220 FARM TRACTOR CASE MAGNUM 220 FARM TRACTOR</t>
        </is>
      </c>
      <c r="L4015" t="n">
        <v>0</v>
      </c>
      <c r="M4015" t="n">
        <v>0</v>
      </c>
      <c r="O4015" t="inlineStr">
        <is>
          <t>RFT891</t>
        </is>
      </c>
      <c r="Q4015" s="114" t="n">
        <v>0</v>
      </c>
      <c r="R4015" s="114" t="n">
        <v>500</v>
      </c>
      <c r="S4015" s="114" t="n">
        <v>0</v>
      </c>
      <c r="T4015" t="n">
        <v>0</v>
      </c>
    </row>
    <row r="4016">
      <c r="A4016" t="inlineStr">
        <is>
          <t>ttJTrans</t>
        </is>
      </c>
      <c r="B4016" s="38" t="inlineStr">
        <is>
          <t>0-4107</t>
        </is>
      </c>
      <c r="C4016" t="inlineStr">
        <is>
          <t>ER</t>
        </is>
      </c>
      <c r="E4016" t="inlineStr">
        <is>
          <t>ER</t>
        </is>
      </c>
      <c r="G4016" s="128" t="inlineStr"/>
      <c r="H4016" s="127" t="n">
        <v>46159</v>
      </c>
      <c r="J4016" s="38" t="inlineStr">
        <is>
          <t>0-4107</t>
        </is>
      </c>
      <c r="K4016" t="inlineStr">
        <is>
          <t>RFT891 CASE MAGNUM 220 FARM TRACTOR CASE MAGNUM 220 FARM TRACTOR</t>
        </is>
      </c>
      <c r="L4016" t="n">
        <v>0</v>
      </c>
      <c r="M4016" t="n">
        <v>0</v>
      </c>
      <c r="O4016" t="inlineStr">
        <is>
          <t>RFT891</t>
        </is>
      </c>
      <c r="Q4016" s="114" t="n">
        <v>0</v>
      </c>
      <c r="R4016" s="114" t="n">
        <v>500</v>
      </c>
      <c r="S4016" s="114" t="n">
        <v>0</v>
      </c>
      <c r="T4016" t="n">
        <v>0</v>
      </c>
    </row>
    <row r="4017">
      <c r="A4017" t="inlineStr">
        <is>
          <t>ttJTrans</t>
        </is>
      </c>
      <c r="B4017" s="38" t="inlineStr">
        <is>
          <t>0-4107</t>
        </is>
      </c>
      <c r="C4017" t="inlineStr">
        <is>
          <t>ER</t>
        </is>
      </c>
      <c r="E4017" t="inlineStr">
        <is>
          <t>ER</t>
        </is>
      </c>
      <c r="G4017" s="128" t="inlineStr"/>
      <c r="H4017" s="127" t="n">
        <v>46159</v>
      </c>
      <c r="J4017" s="38" t="inlineStr">
        <is>
          <t>0-4107</t>
        </is>
      </c>
      <c r="K4017" t="inlineStr">
        <is>
          <t>RFT891 CASE MAGNUM 220 FARM TRACTOR CASE MAGNUM 220 FARM TRACTOR</t>
        </is>
      </c>
      <c r="L4017" t="n">
        <v>0</v>
      </c>
      <c r="M4017" t="n">
        <v>0</v>
      </c>
      <c r="O4017" t="inlineStr">
        <is>
          <t>RFT891</t>
        </is>
      </c>
      <c r="Q4017" s="114" t="n">
        <v>0</v>
      </c>
      <c r="R4017" s="114" t="n">
        <v>500</v>
      </c>
      <c r="S4017" s="114" t="n">
        <v>0</v>
      </c>
      <c r="T4017" t="n">
        <v>0</v>
      </c>
    </row>
    <row r="4018">
      <c r="A4018" t="inlineStr">
        <is>
          <t>ttJTrans</t>
        </is>
      </c>
      <c r="B4018" s="38" t="inlineStr">
        <is>
          <t>0-4107</t>
        </is>
      </c>
      <c r="C4018" t="inlineStr">
        <is>
          <t>ER</t>
        </is>
      </c>
      <c r="E4018" t="inlineStr">
        <is>
          <t>ER</t>
        </is>
      </c>
      <c r="G4018" s="128" t="inlineStr"/>
      <c r="H4018" s="127" t="n">
        <v>46159</v>
      </c>
      <c r="J4018" s="38" t="inlineStr">
        <is>
          <t>0-4107</t>
        </is>
      </c>
      <c r="K4018" t="inlineStr">
        <is>
          <t>RFT891 CASE MAGNUM 220 FARM TRACTOR CASE MAGNUM 220 FARM TRACTOR</t>
        </is>
      </c>
      <c r="L4018" t="n">
        <v>0</v>
      </c>
      <c r="M4018" t="n">
        <v>0</v>
      </c>
      <c r="O4018" t="inlineStr">
        <is>
          <t>RFT891</t>
        </is>
      </c>
      <c r="Q4018" s="114" t="n">
        <v>0</v>
      </c>
      <c r="R4018" s="114" t="n">
        <v>500</v>
      </c>
      <c r="S4018" s="114" t="n">
        <v>0</v>
      </c>
      <c r="T4018" t="n">
        <v>0</v>
      </c>
    </row>
    <row r="4019">
      <c r="A4019" t="inlineStr">
        <is>
          <t>ttJTrans</t>
        </is>
      </c>
      <c r="B4019" s="38" t="inlineStr">
        <is>
          <t>0-4107</t>
        </is>
      </c>
      <c r="C4019" t="inlineStr">
        <is>
          <t>ER</t>
        </is>
      </c>
      <c r="E4019" t="inlineStr">
        <is>
          <t>ER</t>
        </is>
      </c>
      <c r="G4019" s="128" t="inlineStr"/>
      <c r="H4019" s="127" t="n">
        <v>46159</v>
      </c>
      <c r="J4019" s="38" t="inlineStr">
        <is>
          <t>0-4107</t>
        </is>
      </c>
      <c r="K4019" t="inlineStr">
        <is>
          <t>RFT891 CASE MAGNUM 220 FARM TRACTOR CASE MAGNUM 220 FARM TRACTOR</t>
        </is>
      </c>
      <c r="L4019" t="n">
        <v>0</v>
      </c>
      <c r="M4019" t="n">
        <v>0</v>
      </c>
      <c r="O4019" t="inlineStr">
        <is>
          <t>RFT891</t>
        </is>
      </c>
      <c r="Q4019" s="114" t="n">
        <v>0</v>
      </c>
      <c r="R4019" s="114" t="n">
        <v>500</v>
      </c>
      <c r="S4019" s="114" t="n">
        <v>0</v>
      </c>
      <c r="T4019" t="n">
        <v>0</v>
      </c>
    </row>
    <row r="4020">
      <c r="A4020" t="inlineStr">
        <is>
          <t>ttJTrans</t>
        </is>
      </c>
      <c r="B4020" s="38" t="inlineStr">
        <is>
          <t>0-4107</t>
        </is>
      </c>
      <c r="C4020" t="inlineStr">
        <is>
          <t>ER</t>
        </is>
      </c>
      <c r="E4020" t="inlineStr">
        <is>
          <t>ER</t>
        </is>
      </c>
      <c r="G4020" s="128" t="inlineStr"/>
      <c r="H4020" s="127" t="n">
        <v>46159</v>
      </c>
      <c r="J4020" s="38" t="inlineStr">
        <is>
          <t>0-4107</t>
        </is>
      </c>
      <c r="K4020" t="inlineStr">
        <is>
          <t>RFT891 CASE MAGNUM 220 FARM TRACTOR CASE MAGNUM 220 FARM TRACTOR</t>
        </is>
      </c>
      <c r="L4020" t="n">
        <v>0</v>
      </c>
      <c r="M4020" t="n">
        <v>0</v>
      </c>
      <c r="O4020" t="inlineStr">
        <is>
          <t>RFT891</t>
        </is>
      </c>
      <c r="Q4020" s="114" t="n">
        <v>0</v>
      </c>
      <c r="R4020" s="114" t="n">
        <v>500</v>
      </c>
      <c r="S4020" s="114" t="n">
        <v>0</v>
      </c>
      <c r="T4020" t="n">
        <v>0</v>
      </c>
    </row>
    <row r="4021">
      <c r="A4021" t="inlineStr">
        <is>
          <t>ttJTrans</t>
        </is>
      </c>
      <c r="B4021" s="38" t="inlineStr">
        <is>
          <t>0-4107</t>
        </is>
      </c>
      <c r="C4021" t="inlineStr">
        <is>
          <t>ER</t>
        </is>
      </c>
      <c r="E4021" t="inlineStr">
        <is>
          <t>ER</t>
        </is>
      </c>
      <c r="G4021" s="128" t="inlineStr"/>
      <c r="H4021" s="127" t="n">
        <v>46159</v>
      </c>
      <c r="J4021" s="38" t="inlineStr">
        <is>
          <t>0-4107</t>
        </is>
      </c>
      <c r="K4021" t="inlineStr">
        <is>
          <t>RMS2319 25' SMOOTH ROLLER FOR FARM TRACTOR 25' SMOOTH ROLLER FOR FARM TRACTOR</t>
        </is>
      </c>
      <c r="L4021" t="n">
        <v>0</v>
      </c>
      <c r="M4021" t="n">
        <v>0</v>
      </c>
      <c r="O4021" t="inlineStr">
        <is>
          <t>RMS2319</t>
        </is>
      </c>
      <c r="Q4021" s="114" t="n">
        <v>0</v>
      </c>
      <c r="R4021" s="114" t="n">
        <v>179.6</v>
      </c>
      <c r="S4021" s="114" t="n">
        <v>0</v>
      </c>
      <c r="T4021" t="n">
        <v>0</v>
      </c>
    </row>
    <row r="4022">
      <c r="A4022" t="inlineStr">
        <is>
          <t>ttJTrans</t>
        </is>
      </c>
      <c r="B4022" s="38" t="inlineStr">
        <is>
          <t>0-4107</t>
        </is>
      </c>
      <c r="C4022" t="inlineStr">
        <is>
          <t>ER</t>
        </is>
      </c>
      <c r="E4022" t="inlineStr">
        <is>
          <t>ER</t>
        </is>
      </c>
      <c r="G4022" s="128" t="inlineStr"/>
      <c r="H4022" s="127" t="n">
        <v>46159</v>
      </c>
      <c r="J4022" s="38" t="inlineStr">
        <is>
          <t>0-4107</t>
        </is>
      </c>
      <c r="K4022" t="inlineStr">
        <is>
          <t>RMS2319 25' SMOOTH ROLLER FOR FARM TRACTOR 25' SMOOTH ROLLER FOR FARM TRACTOR</t>
        </is>
      </c>
      <c r="L4022" t="n">
        <v>0</v>
      </c>
      <c r="M4022" t="n">
        <v>0</v>
      </c>
      <c r="O4022" t="inlineStr">
        <is>
          <t>RMS2319</t>
        </is>
      </c>
      <c r="Q4022" s="114" t="n">
        <v>0</v>
      </c>
      <c r="R4022" s="114" t="n">
        <v>179.6</v>
      </c>
      <c r="S4022" s="114" t="n">
        <v>0</v>
      </c>
      <c r="T4022" t="n">
        <v>0</v>
      </c>
    </row>
    <row r="4023">
      <c r="A4023" t="inlineStr">
        <is>
          <t>ttJTrans</t>
        </is>
      </c>
      <c r="B4023" s="38" t="inlineStr">
        <is>
          <t>0-4107</t>
        </is>
      </c>
      <c r="C4023" t="inlineStr">
        <is>
          <t>ER</t>
        </is>
      </c>
      <c r="E4023" t="inlineStr">
        <is>
          <t>ER</t>
        </is>
      </c>
      <c r="G4023" s="128" t="inlineStr"/>
      <c r="H4023" s="127" t="n">
        <v>46159</v>
      </c>
      <c r="J4023" s="38" t="inlineStr">
        <is>
          <t>0-4107</t>
        </is>
      </c>
      <c r="K4023" t="inlineStr">
        <is>
          <t>RMS2319 25' SMOOTH ROLLER FOR FARM TRACTOR 25' SMOOTH ROLLER FOR FARM TRACTOR</t>
        </is>
      </c>
      <c r="L4023" t="n">
        <v>0</v>
      </c>
      <c r="M4023" t="n">
        <v>0</v>
      </c>
      <c r="O4023" t="inlineStr">
        <is>
          <t>RMS2319</t>
        </is>
      </c>
      <c r="Q4023" s="114" t="n">
        <v>0</v>
      </c>
      <c r="R4023" s="114" t="n">
        <v>179.6</v>
      </c>
      <c r="S4023" s="114" t="n">
        <v>0</v>
      </c>
      <c r="T4023" t="n">
        <v>0</v>
      </c>
    </row>
    <row r="4024">
      <c r="A4024" t="inlineStr">
        <is>
          <t>ttJTrans</t>
        </is>
      </c>
      <c r="B4024" s="38" t="inlineStr">
        <is>
          <t>0-4107</t>
        </is>
      </c>
      <c r="C4024" t="inlineStr">
        <is>
          <t>ER</t>
        </is>
      </c>
      <c r="E4024" t="inlineStr">
        <is>
          <t>ER</t>
        </is>
      </c>
      <c r="G4024" s="128" t="inlineStr"/>
      <c r="H4024" s="127" t="n">
        <v>46159</v>
      </c>
      <c r="J4024" s="38" t="inlineStr">
        <is>
          <t>0-4107</t>
        </is>
      </c>
      <c r="K4024" t="inlineStr">
        <is>
          <t>RMS2319 25' SMOOTH ROLLER FOR FARM TRACTOR 25' SMOOTH ROLLER FOR FARM TRACTOR</t>
        </is>
      </c>
      <c r="L4024" t="n">
        <v>0</v>
      </c>
      <c r="M4024" t="n">
        <v>0</v>
      </c>
      <c r="O4024" t="inlineStr">
        <is>
          <t>RMS2319</t>
        </is>
      </c>
      <c r="Q4024" s="114" t="n">
        <v>0</v>
      </c>
      <c r="R4024" s="114" t="n">
        <v>179.6</v>
      </c>
      <c r="S4024" s="114" t="n">
        <v>0</v>
      </c>
      <c r="T4024" t="n">
        <v>0</v>
      </c>
    </row>
    <row r="4025">
      <c r="A4025" t="inlineStr">
        <is>
          <t>ttJTrans</t>
        </is>
      </c>
      <c r="B4025" s="38" t="inlineStr">
        <is>
          <t>0-4107</t>
        </is>
      </c>
      <c r="C4025" t="inlineStr">
        <is>
          <t>ER</t>
        </is>
      </c>
      <c r="E4025" t="inlineStr">
        <is>
          <t>ER</t>
        </is>
      </c>
      <c r="G4025" s="128" t="inlineStr"/>
      <c r="H4025" s="127" t="n">
        <v>46159</v>
      </c>
      <c r="J4025" s="38" t="inlineStr">
        <is>
          <t>0-4107</t>
        </is>
      </c>
      <c r="K4025" t="inlineStr">
        <is>
          <t>RMS2319 25' SMOOTH ROLLER FOR FARM TRACTOR 25' SMOOTH ROLLER FOR FARM TRACTOR</t>
        </is>
      </c>
      <c r="L4025" t="n">
        <v>0</v>
      </c>
      <c r="M4025" t="n">
        <v>0</v>
      </c>
      <c r="O4025" t="inlineStr">
        <is>
          <t>RMS2319</t>
        </is>
      </c>
      <c r="Q4025" s="114" t="n">
        <v>0</v>
      </c>
      <c r="R4025" s="114" t="n">
        <v>179.6</v>
      </c>
      <c r="S4025" s="114" t="n">
        <v>0</v>
      </c>
      <c r="T4025" t="n">
        <v>0</v>
      </c>
    </row>
    <row r="4026">
      <c r="A4026" t="inlineStr">
        <is>
          <t>ttJTrans</t>
        </is>
      </c>
      <c r="B4026" s="38" t="inlineStr">
        <is>
          <t>0-4107</t>
        </is>
      </c>
      <c r="C4026" t="inlineStr">
        <is>
          <t>ER</t>
        </is>
      </c>
      <c r="E4026" t="inlineStr">
        <is>
          <t>ER</t>
        </is>
      </c>
      <c r="G4026" s="128" t="inlineStr"/>
      <c r="H4026" s="127" t="n">
        <v>46159</v>
      </c>
      <c r="J4026" s="38" t="inlineStr">
        <is>
          <t>0-4107</t>
        </is>
      </c>
      <c r="K4026" t="inlineStr">
        <is>
          <t>RMS2319 25' SMOOTH ROLLER FOR FARM TRACTOR 25' SMOOTH ROLLER FOR FARM TRACTOR</t>
        </is>
      </c>
      <c r="L4026" t="n">
        <v>0</v>
      </c>
      <c r="M4026" t="n">
        <v>0</v>
      </c>
      <c r="O4026" t="inlineStr">
        <is>
          <t>RMS2319</t>
        </is>
      </c>
      <c r="Q4026" s="114" t="n">
        <v>0</v>
      </c>
      <c r="R4026" s="114" t="n">
        <v>179.6</v>
      </c>
      <c r="S4026" s="114" t="n">
        <v>0</v>
      </c>
      <c r="T4026" t="n">
        <v>0</v>
      </c>
    </row>
    <row r="4027">
      <c r="A4027" t="inlineStr">
        <is>
          <t>ttJTrans</t>
        </is>
      </c>
      <c r="B4027" s="38" t="inlineStr">
        <is>
          <t>0-4107</t>
        </is>
      </c>
      <c r="C4027" t="inlineStr">
        <is>
          <t>ER</t>
        </is>
      </c>
      <c r="E4027" t="inlineStr">
        <is>
          <t>ER</t>
        </is>
      </c>
      <c r="G4027" s="128" t="inlineStr"/>
      <c r="H4027" s="127" t="n">
        <v>46159</v>
      </c>
      <c r="J4027" s="38" t="inlineStr">
        <is>
          <t>0-4107</t>
        </is>
      </c>
      <c r="K4027" t="inlineStr">
        <is>
          <t>RMS2321 SEED DRILL FOR FARM TRACTOR SEED DRILL FOR FARM TRACTOR</t>
        </is>
      </c>
      <c r="L4027" t="n">
        <v>0</v>
      </c>
      <c r="M4027" t="n">
        <v>0</v>
      </c>
      <c r="O4027" t="inlineStr">
        <is>
          <t>RMS2321</t>
        </is>
      </c>
      <c r="Q4027" s="114" t="n">
        <v>0</v>
      </c>
      <c r="R4027" s="114" t="n">
        <v>1077.59</v>
      </c>
      <c r="S4027" s="114" t="n">
        <v>0</v>
      </c>
      <c r="T4027" t="n">
        <v>0</v>
      </c>
    </row>
    <row r="4028">
      <c r="A4028" t="inlineStr">
        <is>
          <t>ttJTrans</t>
        </is>
      </c>
      <c r="B4028" s="38" t="inlineStr">
        <is>
          <t>0-4107</t>
        </is>
      </c>
      <c r="C4028" t="inlineStr">
        <is>
          <t>ER</t>
        </is>
      </c>
      <c r="E4028" t="inlineStr">
        <is>
          <t>ER</t>
        </is>
      </c>
      <c r="G4028" s="128" t="inlineStr"/>
      <c r="H4028" s="127" t="n">
        <v>46159</v>
      </c>
      <c r="J4028" s="38" t="inlineStr">
        <is>
          <t>0-4107</t>
        </is>
      </c>
      <c r="K4028" t="inlineStr">
        <is>
          <t>RMS2321 SEED DRILL FOR FARM TRACTOR SEED DRILL FOR FARM TRACTOR</t>
        </is>
      </c>
      <c r="L4028" t="n">
        <v>0</v>
      </c>
      <c r="M4028" t="n">
        <v>0</v>
      </c>
      <c r="O4028" t="inlineStr">
        <is>
          <t>RMS2321</t>
        </is>
      </c>
      <c r="Q4028" s="114" t="n">
        <v>0</v>
      </c>
      <c r="R4028" s="114" t="n">
        <v>1077.59</v>
      </c>
      <c r="S4028" s="114" t="n">
        <v>0</v>
      </c>
      <c r="T4028" t="n">
        <v>0</v>
      </c>
    </row>
    <row r="4029">
      <c r="A4029" t="inlineStr">
        <is>
          <t>ttJTrans</t>
        </is>
      </c>
      <c r="B4029" s="38" t="inlineStr">
        <is>
          <t>0-4107</t>
        </is>
      </c>
      <c r="C4029" t="inlineStr">
        <is>
          <t>ER</t>
        </is>
      </c>
      <c r="E4029" t="inlineStr">
        <is>
          <t>ER</t>
        </is>
      </c>
      <c r="G4029" s="128" t="inlineStr"/>
      <c r="H4029" s="127" t="n">
        <v>46159</v>
      </c>
      <c r="J4029" s="38" t="inlineStr">
        <is>
          <t>0-4107</t>
        </is>
      </c>
      <c r="K4029" t="inlineStr">
        <is>
          <t>RMS2321 SEED DRILL FOR FARM TRACTOR SEED DRILL FOR FARM TRACTOR</t>
        </is>
      </c>
      <c r="L4029" t="n">
        <v>0</v>
      </c>
      <c r="M4029" t="n">
        <v>0</v>
      </c>
      <c r="O4029" t="inlineStr">
        <is>
          <t>RMS2321</t>
        </is>
      </c>
      <c r="Q4029" s="114" t="n">
        <v>0</v>
      </c>
      <c r="R4029" s="114" t="n">
        <v>1077.59</v>
      </c>
      <c r="S4029" s="114" t="n">
        <v>0</v>
      </c>
      <c r="T4029" t="n">
        <v>0</v>
      </c>
    </row>
    <row r="4030">
      <c r="A4030" t="inlineStr">
        <is>
          <t>ttJTrans</t>
        </is>
      </c>
      <c r="B4030" s="38" t="inlineStr">
        <is>
          <t>0-4107</t>
        </is>
      </c>
      <c r="C4030" t="inlineStr">
        <is>
          <t>ER</t>
        </is>
      </c>
      <c r="E4030" t="inlineStr">
        <is>
          <t>ER</t>
        </is>
      </c>
      <c r="G4030" s="128" t="inlineStr"/>
      <c r="H4030" s="127" t="n">
        <v>46159</v>
      </c>
      <c r="J4030" s="38" t="inlineStr">
        <is>
          <t>0-4107</t>
        </is>
      </c>
      <c r="K4030" t="inlineStr">
        <is>
          <t>RMS2321 SEED DRILL FOR FARM TRACTOR SEED DRILL FOR FARM TRACTOR</t>
        </is>
      </c>
      <c r="L4030" t="n">
        <v>0</v>
      </c>
      <c r="M4030" t="n">
        <v>0</v>
      </c>
      <c r="O4030" t="inlineStr">
        <is>
          <t>RMS2321</t>
        </is>
      </c>
      <c r="Q4030" s="114" t="n">
        <v>0</v>
      </c>
      <c r="R4030" s="114" t="n">
        <v>1077.59</v>
      </c>
      <c r="S4030" s="114" t="n">
        <v>0</v>
      </c>
      <c r="T4030" t="n">
        <v>0</v>
      </c>
    </row>
    <row r="4031">
      <c r="A4031" t="inlineStr">
        <is>
          <t>ttJTrans</t>
        </is>
      </c>
      <c r="B4031" s="38" t="inlineStr">
        <is>
          <t>0-4107</t>
        </is>
      </c>
      <c r="C4031" t="inlineStr">
        <is>
          <t>ER</t>
        </is>
      </c>
      <c r="E4031" t="inlineStr">
        <is>
          <t>ER</t>
        </is>
      </c>
      <c r="G4031" s="128" t="inlineStr"/>
      <c r="H4031" s="127" t="n">
        <v>46159</v>
      </c>
      <c r="J4031" s="38" t="inlineStr">
        <is>
          <t>0-4107</t>
        </is>
      </c>
      <c r="K4031" t="inlineStr">
        <is>
          <t>RMS2321 SEED DRILL FOR FARM TRACTOR SEED DRILL FOR FARM TRACTOR</t>
        </is>
      </c>
      <c r="L4031" t="n">
        <v>0</v>
      </c>
      <c r="M4031" t="n">
        <v>0</v>
      </c>
      <c r="O4031" t="inlineStr">
        <is>
          <t>RMS2321</t>
        </is>
      </c>
      <c r="Q4031" s="114" t="n">
        <v>0</v>
      </c>
      <c r="R4031" s="114" t="n">
        <v>1077.59</v>
      </c>
      <c r="S4031" s="114" t="n">
        <v>0</v>
      </c>
      <c r="T4031" t="n">
        <v>0</v>
      </c>
    </row>
    <row r="4032">
      <c r="A4032" t="inlineStr">
        <is>
          <t>ttJTrans</t>
        </is>
      </c>
      <c r="B4032" s="38" t="inlineStr">
        <is>
          <t>0-4107</t>
        </is>
      </c>
      <c r="C4032" t="inlineStr">
        <is>
          <t>ER</t>
        </is>
      </c>
      <c r="E4032" t="inlineStr">
        <is>
          <t>ER</t>
        </is>
      </c>
      <c r="G4032" s="128" t="inlineStr"/>
      <c r="H4032" s="127" t="n">
        <v>46159</v>
      </c>
      <c r="J4032" s="38" t="inlineStr">
        <is>
          <t>0-4107</t>
        </is>
      </c>
      <c r="K4032" t="inlineStr">
        <is>
          <t>RMS2321 SEED DRILL FOR FARM TRACTOR SEED DRILL FOR FARM TRACTOR</t>
        </is>
      </c>
      <c r="L4032" t="n">
        <v>0</v>
      </c>
      <c r="M4032" t="n">
        <v>0</v>
      </c>
      <c r="O4032" t="inlineStr">
        <is>
          <t>RMS2321</t>
        </is>
      </c>
      <c r="Q4032" s="114" t="n">
        <v>0</v>
      </c>
      <c r="R4032" s="114" t="n">
        <v>1077.59</v>
      </c>
      <c r="S4032" s="114" t="n">
        <v>0</v>
      </c>
      <c r="T4032" t="n">
        <v>0</v>
      </c>
    </row>
    <row r="4033">
      <c r="A4033" t="inlineStr">
        <is>
          <t>ttJTrans</t>
        </is>
      </c>
      <c r="B4033" s="38" t="inlineStr">
        <is>
          <t>0-4107</t>
        </is>
      </c>
      <c r="C4033" t="inlineStr">
        <is>
          <t>ER</t>
        </is>
      </c>
      <c r="E4033" t="inlineStr">
        <is>
          <t>ER</t>
        </is>
      </c>
      <c r="G4033" s="128" t="inlineStr"/>
      <c r="H4033" s="127" t="n">
        <v>46159</v>
      </c>
      <c r="J4033" s="38" t="inlineStr">
        <is>
          <t>0-4107</t>
        </is>
      </c>
      <c r="K4033" t="inlineStr">
        <is>
          <t>RMS2320 SEED DRILL FOR FARM TRACTOR SEED DRILL FOR FARM TRACTOR</t>
        </is>
      </c>
      <c r="L4033" t="n">
        <v>0</v>
      </c>
      <c r="M4033" t="n">
        <v>0</v>
      </c>
      <c r="O4033" t="inlineStr">
        <is>
          <t>RMS2320</t>
        </is>
      </c>
      <c r="Q4033" s="114" t="n">
        <v>0</v>
      </c>
      <c r="R4033" s="114" t="n">
        <v>1077.59</v>
      </c>
      <c r="S4033" s="114" t="n">
        <v>0</v>
      </c>
      <c r="T4033" t="n">
        <v>0</v>
      </c>
    </row>
    <row r="4034">
      <c r="A4034" t="inlineStr">
        <is>
          <t>ttJTrans</t>
        </is>
      </c>
      <c r="B4034" s="38" t="inlineStr">
        <is>
          <t>0-4107</t>
        </is>
      </c>
      <c r="C4034" t="inlineStr">
        <is>
          <t>ER</t>
        </is>
      </c>
      <c r="E4034" t="inlineStr">
        <is>
          <t>ER</t>
        </is>
      </c>
      <c r="G4034" s="128" t="inlineStr"/>
      <c r="H4034" s="127" t="n">
        <v>46159</v>
      </c>
      <c r="J4034" s="38" t="inlineStr">
        <is>
          <t>0-4107</t>
        </is>
      </c>
      <c r="K4034" t="inlineStr">
        <is>
          <t>RMS2320 SEED DRILL FOR FARM TRACTOR SEED DRILL FOR FARM TRACTOR</t>
        </is>
      </c>
      <c r="L4034" t="n">
        <v>0</v>
      </c>
      <c r="M4034" t="n">
        <v>0</v>
      </c>
      <c r="O4034" t="inlineStr">
        <is>
          <t>RMS2320</t>
        </is>
      </c>
      <c r="Q4034" s="114" t="n">
        <v>0</v>
      </c>
      <c r="R4034" s="114" t="n">
        <v>1077.59</v>
      </c>
      <c r="S4034" s="114" t="n">
        <v>0</v>
      </c>
      <c r="T4034" t="n">
        <v>0</v>
      </c>
    </row>
    <row r="4035">
      <c r="A4035" t="inlineStr">
        <is>
          <t>ttJTrans</t>
        </is>
      </c>
      <c r="B4035" s="38" t="inlineStr">
        <is>
          <t>0-4107</t>
        </is>
      </c>
      <c r="C4035" t="inlineStr">
        <is>
          <t>ER</t>
        </is>
      </c>
      <c r="E4035" t="inlineStr">
        <is>
          <t>ER</t>
        </is>
      </c>
      <c r="G4035" s="128" t="inlineStr"/>
      <c r="H4035" s="127" t="n">
        <v>46159</v>
      </c>
      <c r="J4035" s="38" t="inlineStr">
        <is>
          <t>0-4107</t>
        </is>
      </c>
      <c r="K4035" t="inlineStr">
        <is>
          <t>RMS2320 SEED DRILL FOR FARM TRACTOR SEED DRILL FOR FARM TRACTOR</t>
        </is>
      </c>
      <c r="L4035" t="n">
        <v>0</v>
      </c>
      <c r="M4035" t="n">
        <v>0</v>
      </c>
      <c r="O4035" t="inlineStr">
        <is>
          <t>RMS2320</t>
        </is>
      </c>
      <c r="Q4035" s="114" t="n">
        <v>0</v>
      </c>
      <c r="R4035" s="114" t="n">
        <v>1077.59</v>
      </c>
      <c r="S4035" s="114" t="n">
        <v>0</v>
      </c>
      <c r="T4035" t="n">
        <v>0</v>
      </c>
    </row>
    <row r="4036">
      <c r="A4036" t="inlineStr">
        <is>
          <t>ttJTrans</t>
        </is>
      </c>
      <c r="B4036" s="38" t="inlineStr">
        <is>
          <t>0-4107</t>
        </is>
      </c>
      <c r="C4036" t="inlineStr">
        <is>
          <t>ER</t>
        </is>
      </c>
      <c r="E4036" t="inlineStr">
        <is>
          <t>ER</t>
        </is>
      </c>
      <c r="G4036" s="128" t="inlineStr"/>
      <c r="H4036" s="127" t="n">
        <v>46159</v>
      </c>
      <c r="J4036" s="38" t="inlineStr">
        <is>
          <t>0-4107</t>
        </is>
      </c>
      <c r="K4036" t="inlineStr">
        <is>
          <t>RMS2320 SEED DRILL FOR FARM TRACTOR SEED DRILL FOR FARM TRACTOR</t>
        </is>
      </c>
      <c r="L4036" t="n">
        <v>0</v>
      </c>
      <c r="M4036" t="n">
        <v>0</v>
      </c>
      <c r="O4036" t="inlineStr">
        <is>
          <t>RMS2320</t>
        </is>
      </c>
      <c r="Q4036" s="114" t="n">
        <v>0</v>
      </c>
      <c r="R4036" s="114" t="n">
        <v>1077.59</v>
      </c>
      <c r="S4036" s="114" t="n">
        <v>0</v>
      </c>
      <c r="T4036" t="n">
        <v>0</v>
      </c>
    </row>
    <row r="4037">
      <c r="A4037" t="inlineStr">
        <is>
          <t>ttJTrans</t>
        </is>
      </c>
      <c r="B4037" s="38" t="inlineStr">
        <is>
          <t>0-4107</t>
        </is>
      </c>
      <c r="C4037" t="inlineStr">
        <is>
          <t>ER</t>
        </is>
      </c>
      <c r="E4037" t="inlineStr">
        <is>
          <t>ER</t>
        </is>
      </c>
      <c r="G4037" s="128" t="inlineStr"/>
      <c r="H4037" s="127" t="n">
        <v>46159</v>
      </c>
      <c r="J4037" s="38" t="inlineStr">
        <is>
          <t>0-4107</t>
        </is>
      </c>
      <c r="K4037" t="inlineStr">
        <is>
          <t>RMS2320 SEED DRILL FOR FARM TRACTOR SEED DRILL FOR FARM TRACTOR</t>
        </is>
      </c>
      <c r="L4037" t="n">
        <v>0</v>
      </c>
      <c r="M4037" t="n">
        <v>0</v>
      </c>
      <c r="O4037" t="inlineStr">
        <is>
          <t>RMS2320</t>
        </is>
      </c>
      <c r="Q4037" s="114" t="n">
        <v>0</v>
      </c>
      <c r="R4037" s="114" t="n">
        <v>1077.59</v>
      </c>
      <c r="S4037" s="114" t="n">
        <v>0</v>
      </c>
      <c r="T4037" t="n">
        <v>0</v>
      </c>
    </row>
    <row r="4038">
      <c r="A4038" t="inlineStr">
        <is>
          <t>ttJTrans</t>
        </is>
      </c>
      <c r="B4038" s="38" t="inlineStr">
        <is>
          <t>0-4107</t>
        </is>
      </c>
      <c r="C4038" t="inlineStr">
        <is>
          <t>ER</t>
        </is>
      </c>
      <c r="E4038" t="inlineStr">
        <is>
          <t>ER</t>
        </is>
      </c>
      <c r="G4038" s="128" t="inlineStr"/>
      <c r="H4038" s="127" t="n">
        <v>46159</v>
      </c>
      <c r="J4038" s="38" t="inlineStr">
        <is>
          <t>0-4107</t>
        </is>
      </c>
      <c r="K4038" t="inlineStr">
        <is>
          <t>RMS2320 SEED DRILL FOR FARM TRACTOR SEED DRILL FOR FARM TRACTOR</t>
        </is>
      </c>
      <c r="L4038" t="n">
        <v>0</v>
      </c>
      <c r="M4038" t="n">
        <v>0</v>
      </c>
      <c r="O4038" t="inlineStr">
        <is>
          <t>RMS2320</t>
        </is>
      </c>
      <c r="Q4038" s="114" t="n">
        <v>0</v>
      </c>
      <c r="R4038" s="114" t="n">
        <v>1077.59</v>
      </c>
      <c r="S4038" s="114" t="n">
        <v>0</v>
      </c>
      <c r="T4038" t="n">
        <v>0</v>
      </c>
    </row>
    <row r="4039">
      <c r="A4039" t="inlineStr">
        <is>
          <t>ttJTrans</t>
        </is>
      </c>
      <c r="B4039" s="38" t="inlineStr">
        <is>
          <t>0-4107</t>
        </is>
      </c>
      <c r="C4039" t="inlineStr">
        <is>
          <t>ER</t>
        </is>
      </c>
      <c r="E4039" t="inlineStr">
        <is>
          <t>ER</t>
        </is>
      </c>
      <c r="G4039" s="128" t="inlineStr"/>
      <c r="H4039" s="127" t="n">
        <v>46166</v>
      </c>
      <c r="J4039" s="38" t="inlineStr">
        <is>
          <t>0-4107</t>
        </is>
      </c>
      <c r="K4039" t="inlineStr">
        <is>
          <t>RFT890 CASE MAGNUN 220 FARM TRACTOR CASE MAGNUN 220 FARM TRACTOR</t>
        </is>
      </c>
      <c r="L4039" t="n">
        <v>0</v>
      </c>
      <c r="M4039" t="n">
        <v>0</v>
      </c>
      <c r="O4039" t="inlineStr">
        <is>
          <t>RFT890</t>
        </is>
      </c>
      <c r="Q4039" s="114" t="n">
        <v>0</v>
      </c>
      <c r="R4039" s="114" t="n">
        <v>500</v>
      </c>
      <c r="S4039" s="114" t="n">
        <v>0</v>
      </c>
      <c r="T4039" t="n">
        <v>0</v>
      </c>
    </row>
    <row r="4040">
      <c r="A4040" t="inlineStr">
        <is>
          <t>ttJTrans</t>
        </is>
      </c>
      <c r="B4040" s="38" t="inlineStr">
        <is>
          <t>0-4107</t>
        </is>
      </c>
      <c r="C4040" t="inlineStr">
        <is>
          <t>ER</t>
        </is>
      </c>
      <c r="E4040" t="inlineStr">
        <is>
          <t>ER</t>
        </is>
      </c>
      <c r="G4040" s="128" t="inlineStr"/>
      <c r="H4040" s="127" t="n">
        <v>46166</v>
      </c>
      <c r="J4040" s="38" t="inlineStr">
        <is>
          <t>0-4107</t>
        </is>
      </c>
      <c r="K4040" t="inlineStr">
        <is>
          <t>RFT890 CASE MAGNUN 220 FARM TRACTOR CASE MAGNUN 220 FARM TRACTOR</t>
        </is>
      </c>
      <c r="L4040" t="n">
        <v>0</v>
      </c>
      <c r="M4040" t="n">
        <v>0</v>
      </c>
      <c r="O4040" t="inlineStr">
        <is>
          <t>RFT890</t>
        </is>
      </c>
      <c r="Q4040" s="114" t="n">
        <v>0</v>
      </c>
      <c r="R4040" s="114" t="n">
        <v>500</v>
      </c>
      <c r="S4040" s="114" t="n">
        <v>0</v>
      </c>
      <c r="T4040" t="n">
        <v>0</v>
      </c>
    </row>
    <row r="4041">
      <c r="A4041" t="inlineStr">
        <is>
          <t>ttJTrans</t>
        </is>
      </c>
      <c r="B4041" s="38" t="inlineStr">
        <is>
          <t>0-4107</t>
        </is>
      </c>
      <c r="C4041" t="inlineStr">
        <is>
          <t>ER</t>
        </is>
      </c>
      <c r="E4041" t="inlineStr">
        <is>
          <t>ER</t>
        </is>
      </c>
      <c r="G4041" s="128" t="inlineStr"/>
      <c r="H4041" s="127" t="n">
        <v>46166</v>
      </c>
      <c r="J4041" s="38" t="inlineStr">
        <is>
          <t>0-4107</t>
        </is>
      </c>
      <c r="K4041" t="inlineStr">
        <is>
          <t>RFT890 CASE MAGNUN 220 FARM TRACTOR CASE MAGNUN 220 FARM TRACTOR</t>
        </is>
      </c>
      <c r="L4041" t="n">
        <v>0</v>
      </c>
      <c r="M4041" t="n">
        <v>0</v>
      </c>
      <c r="O4041" t="inlineStr">
        <is>
          <t>RFT890</t>
        </is>
      </c>
      <c r="Q4041" s="114" t="n">
        <v>0</v>
      </c>
      <c r="R4041" s="114" t="n">
        <v>500</v>
      </c>
      <c r="S4041" s="114" t="n">
        <v>0</v>
      </c>
      <c r="T4041" t="n">
        <v>0</v>
      </c>
    </row>
    <row r="4042">
      <c r="A4042" t="inlineStr">
        <is>
          <t>ttJTrans</t>
        </is>
      </c>
      <c r="B4042" s="38" t="inlineStr">
        <is>
          <t>0-4107</t>
        </is>
      </c>
      <c r="C4042" t="inlineStr">
        <is>
          <t>ER</t>
        </is>
      </c>
      <c r="E4042" t="inlineStr">
        <is>
          <t>ER</t>
        </is>
      </c>
      <c r="G4042" s="128" t="inlineStr"/>
      <c r="H4042" s="127" t="n">
        <v>46166</v>
      </c>
      <c r="J4042" s="38" t="inlineStr">
        <is>
          <t>0-4107</t>
        </is>
      </c>
      <c r="K4042" t="inlineStr">
        <is>
          <t>RFT892 CASE PUMA 200 FARM TRACTOR W FRONT LOADER CASE PUMA 200 FARM TRACTOR W FRONT LOADER</t>
        </is>
      </c>
      <c r="L4042" t="n">
        <v>0</v>
      </c>
      <c r="M4042" t="n">
        <v>0</v>
      </c>
      <c r="O4042" t="inlineStr">
        <is>
          <t>RFT892</t>
        </is>
      </c>
      <c r="Q4042" s="114" t="n">
        <v>0</v>
      </c>
      <c r="R4042" s="114" t="n">
        <v>508.33</v>
      </c>
      <c r="S4042" s="114" t="n">
        <v>0</v>
      </c>
      <c r="T4042" t="n">
        <v>0</v>
      </c>
    </row>
    <row r="4043">
      <c r="A4043" t="inlineStr">
        <is>
          <t>ttJTrans</t>
        </is>
      </c>
      <c r="B4043" s="38" t="inlineStr">
        <is>
          <t>0-4107</t>
        </is>
      </c>
      <c r="C4043" t="inlineStr">
        <is>
          <t>ER</t>
        </is>
      </c>
      <c r="E4043" t="inlineStr">
        <is>
          <t>ER</t>
        </is>
      </c>
      <c r="G4043" s="128" t="inlineStr"/>
      <c r="H4043" s="127" t="n">
        <v>46166</v>
      </c>
      <c r="J4043" s="38" t="inlineStr">
        <is>
          <t>0-4107</t>
        </is>
      </c>
      <c r="K4043" t="inlineStr">
        <is>
          <t>RFT892 CASE PUMA 200 FARM TRACTOR W FRONT LOADER CASE PUMA 200 FARM TRACTOR W FRONT LOADER</t>
        </is>
      </c>
      <c r="L4043" t="n">
        <v>0</v>
      </c>
      <c r="M4043" t="n">
        <v>0</v>
      </c>
      <c r="O4043" t="inlineStr">
        <is>
          <t>RFT892</t>
        </is>
      </c>
      <c r="Q4043" s="114" t="n">
        <v>0</v>
      </c>
      <c r="R4043" s="114" t="n">
        <v>508.33</v>
      </c>
      <c r="S4043" s="114" t="n">
        <v>0</v>
      </c>
      <c r="T4043" t="n">
        <v>0</v>
      </c>
    </row>
    <row r="4044">
      <c r="A4044" t="inlineStr">
        <is>
          <t>ttJTrans</t>
        </is>
      </c>
      <c r="B4044" s="38" t="inlineStr">
        <is>
          <t>0-4107</t>
        </is>
      </c>
      <c r="C4044" t="inlineStr">
        <is>
          <t>ER</t>
        </is>
      </c>
      <c r="E4044" t="inlineStr">
        <is>
          <t>ER</t>
        </is>
      </c>
      <c r="G4044" s="128" t="inlineStr"/>
      <c r="H4044" s="127" t="n">
        <v>46166</v>
      </c>
      <c r="J4044" s="38" t="inlineStr">
        <is>
          <t>0-4107</t>
        </is>
      </c>
      <c r="K4044" t="inlineStr">
        <is>
          <t>RFT892 CASE PUMA 200 FARM TRACTOR W FRONT LOADER CASE PUMA 200 FARM TRACTOR W FRONT LOADER</t>
        </is>
      </c>
      <c r="L4044" t="n">
        <v>0</v>
      </c>
      <c r="M4044" t="n">
        <v>0</v>
      </c>
      <c r="O4044" t="inlineStr">
        <is>
          <t>RFT892</t>
        </is>
      </c>
      <c r="Q4044" s="114" t="n">
        <v>0</v>
      </c>
      <c r="R4044" s="114" t="n">
        <v>508.33</v>
      </c>
      <c r="S4044" s="114" t="n">
        <v>0</v>
      </c>
      <c r="T4044" t="n">
        <v>0</v>
      </c>
    </row>
    <row r="4045">
      <c r="A4045" t="inlineStr">
        <is>
          <t>ttJTrans</t>
        </is>
      </c>
      <c r="B4045" s="38" t="inlineStr">
        <is>
          <t>0-4107</t>
        </is>
      </c>
      <c r="C4045" t="inlineStr">
        <is>
          <t>ER</t>
        </is>
      </c>
      <c r="E4045" t="inlineStr">
        <is>
          <t>ER</t>
        </is>
      </c>
      <c r="G4045" s="128" t="inlineStr"/>
      <c r="H4045" s="127" t="n">
        <v>46166</v>
      </c>
      <c r="J4045" s="38" t="inlineStr">
        <is>
          <t>0-4107</t>
        </is>
      </c>
      <c r="K4045" t="inlineStr">
        <is>
          <t>RFT891 CASE MAGNUM 220 FARM TRACTOR CASE MAGNUM 220 FARM TRACTOR</t>
        </is>
      </c>
      <c r="L4045" t="n">
        <v>0</v>
      </c>
      <c r="M4045" t="n">
        <v>0</v>
      </c>
      <c r="O4045" t="inlineStr">
        <is>
          <t>RFT891</t>
        </is>
      </c>
      <c r="Q4045" s="114" t="n">
        <v>0</v>
      </c>
      <c r="R4045" s="114" t="n">
        <v>500</v>
      </c>
      <c r="S4045" s="114" t="n">
        <v>0</v>
      </c>
      <c r="T4045" t="n">
        <v>0</v>
      </c>
    </row>
    <row r="4046">
      <c r="A4046" t="inlineStr">
        <is>
          <t>ttJTrans</t>
        </is>
      </c>
      <c r="B4046" s="38" t="inlineStr">
        <is>
          <t>0-4107</t>
        </is>
      </c>
      <c r="C4046" t="inlineStr">
        <is>
          <t>ER</t>
        </is>
      </c>
      <c r="E4046" t="inlineStr">
        <is>
          <t>ER</t>
        </is>
      </c>
      <c r="G4046" s="128" t="inlineStr"/>
      <c r="H4046" s="127" t="n">
        <v>46166</v>
      </c>
      <c r="J4046" s="38" t="inlineStr">
        <is>
          <t>0-4107</t>
        </is>
      </c>
      <c r="K4046" t="inlineStr">
        <is>
          <t>RFT891 CASE MAGNUM 220 FARM TRACTOR CASE MAGNUM 220 FARM TRACTOR</t>
        </is>
      </c>
      <c r="L4046" t="n">
        <v>0</v>
      </c>
      <c r="M4046" t="n">
        <v>0</v>
      </c>
      <c r="O4046" t="inlineStr">
        <is>
          <t>RFT891</t>
        </is>
      </c>
      <c r="Q4046" s="114" t="n">
        <v>0</v>
      </c>
      <c r="R4046" s="114" t="n">
        <v>500</v>
      </c>
      <c r="S4046" s="114" t="n">
        <v>0</v>
      </c>
      <c r="T4046" t="n">
        <v>0</v>
      </c>
    </row>
    <row r="4047">
      <c r="A4047" t="inlineStr">
        <is>
          <t>ttJTrans</t>
        </is>
      </c>
      <c r="B4047" s="38" t="inlineStr">
        <is>
          <t>0-4107</t>
        </is>
      </c>
      <c r="C4047" t="inlineStr">
        <is>
          <t>ER</t>
        </is>
      </c>
      <c r="E4047" t="inlineStr">
        <is>
          <t>ER</t>
        </is>
      </c>
      <c r="G4047" s="128" t="inlineStr"/>
      <c r="H4047" s="127" t="n">
        <v>46166</v>
      </c>
      <c r="J4047" s="38" t="inlineStr">
        <is>
          <t>0-4107</t>
        </is>
      </c>
      <c r="K4047" t="inlineStr">
        <is>
          <t>RFT891 CASE MAGNUM 220 FARM TRACTOR CASE MAGNUM 220 FARM TRACTOR</t>
        </is>
      </c>
      <c r="L4047" t="n">
        <v>0</v>
      </c>
      <c r="M4047" t="n">
        <v>0</v>
      </c>
      <c r="O4047" t="inlineStr">
        <is>
          <t>RFT891</t>
        </is>
      </c>
      <c r="Q4047" s="114" t="n">
        <v>0</v>
      </c>
      <c r="R4047" s="114" t="n">
        <v>500</v>
      </c>
      <c r="S4047" s="114" t="n">
        <v>0</v>
      </c>
      <c r="T4047" t="n">
        <v>0</v>
      </c>
    </row>
    <row r="4048">
      <c r="A4048" t="inlineStr">
        <is>
          <t>ttJTrans</t>
        </is>
      </c>
      <c r="B4048" s="38" t="inlineStr">
        <is>
          <t>0-4107</t>
        </is>
      </c>
      <c r="C4048" t="inlineStr">
        <is>
          <t>ER</t>
        </is>
      </c>
      <c r="E4048" t="inlineStr">
        <is>
          <t>ER</t>
        </is>
      </c>
      <c r="G4048" s="128" t="inlineStr"/>
      <c r="H4048" s="127" t="n">
        <v>46166</v>
      </c>
      <c r="J4048" s="38" t="inlineStr">
        <is>
          <t>0-4107</t>
        </is>
      </c>
      <c r="K4048" t="inlineStr">
        <is>
          <t>RMS2319 25' SMOOTH ROLLER FOR FARM TRACTOR 25' SMOOTH ROLLER FOR FARM TRACTOR</t>
        </is>
      </c>
      <c r="L4048" t="n">
        <v>0</v>
      </c>
      <c r="M4048" t="n">
        <v>0</v>
      </c>
      <c r="O4048" t="inlineStr">
        <is>
          <t>RMS2319</t>
        </is>
      </c>
      <c r="Q4048" s="114" t="n">
        <v>0</v>
      </c>
      <c r="R4048" s="114" t="n">
        <v>179.6</v>
      </c>
      <c r="S4048" s="114" t="n">
        <v>0</v>
      </c>
      <c r="T4048" t="n">
        <v>0</v>
      </c>
    </row>
    <row r="4049">
      <c r="A4049" t="inlineStr">
        <is>
          <t>ttJTrans</t>
        </is>
      </c>
      <c r="B4049" s="38" t="inlineStr">
        <is>
          <t>0-4107</t>
        </is>
      </c>
      <c r="C4049" t="inlineStr">
        <is>
          <t>ER</t>
        </is>
      </c>
      <c r="E4049" t="inlineStr">
        <is>
          <t>ER</t>
        </is>
      </c>
      <c r="G4049" s="128" t="inlineStr"/>
      <c r="H4049" s="127" t="n">
        <v>46166</v>
      </c>
      <c r="J4049" s="38" t="inlineStr">
        <is>
          <t>0-4107</t>
        </is>
      </c>
      <c r="K4049" t="inlineStr">
        <is>
          <t>RMS2319 25' SMOOTH ROLLER FOR FARM TRACTOR 25' SMOOTH ROLLER FOR FARM TRACTOR</t>
        </is>
      </c>
      <c r="L4049" t="n">
        <v>0</v>
      </c>
      <c r="M4049" t="n">
        <v>0</v>
      </c>
      <c r="O4049" t="inlineStr">
        <is>
          <t>RMS2319</t>
        </is>
      </c>
      <c r="Q4049" s="114" t="n">
        <v>0</v>
      </c>
      <c r="R4049" s="114" t="n">
        <v>179.6</v>
      </c>
      <c r="S4049" s="114" t="n">
        <v>0</v>
      </c>
      <c r="T4049" t="n">
        <v>0</v>
      </c>
    </row>
    <row r="4050">
      <c r="A4050" t="inlineStr">
        <is>
          <t>ttJTrans</t>
        </is>
      </c>
      <c r="B4050" s="38" t="inlineStr">
        <is>
          <t>0-4107</t>
        </is>
      </c>
      <c r="C4050" t="inlineStr">
        <is>
          <t>ER</t>
        </is>
      </c>
      <c r="E4050" t="inlineStr">
        <is>
          <t>ER</t>
        </is>
      </c>
      <c r="G4050" s="128" t="inlineStr"/>
      <c r="H4050" s="127" t="n">
        <v>46166</v>
      </c>
      <c r="J4050" s="38" t="inlineStr">
        <is>
          <t>0-4107</t>
        </is>
      </c>
      <c r="K4050" t="inlineStr">
        <is>
          <t>RMS2319 25' SMOOTH ROLLER FOR FARM TRACTOR 25' SMOOTH ROLLER FOR FARM TRACTOR</t>
        </is>
      </c>
      <c r="L4050" t="n">
        <v>0</v>
      </c>
      <c r="M4050" t="n">
        <v>0</v>
      </c>
      <c r="O4050" t="inlineStr">
        <is>
          <t>RMS2319</t>
        </is>
      </c>
      <c r="Q4050" s="114" t="n">
        <v>0</v>
      </c>
      <c r="R4050" s="114" t="n">
        <v>179.6</v>
      </c>
      <c r="S4050" s="114" t="n">
        <v>0</v>
      </c>
      <c r="T4050" t="n">
        <v>0</v>
      </c>
    </row>
    <row r="4051">
      <c r="A4051" t="inlineStr">
        <is>
          <t>ttJTrans</t>
        </is>
      </c>
      <c r="B4051" s="38" t="inlineStr">
        <is>
          <t>0-4107</t>
        </is>
      </c>
      <c r="C4051" t="inlineStr">
        <is>
          <t>ER</t>
        </is>
      </c>
      <c r="E4051" t="inlineStr">
        <is>
          <t>ER</t>
        </is>
      </c>
      <c r="G4051" s="128" t="inlineStr"/>
      <c r="H4051" s="127" t="n">
        <v>46166</v>
      </c>
      <c r="J4051" s="38" t="inlineStr">
        <is>
          <t>0-4107</t>
        </is>
      </c>
      <c r="K4051" t="inlineStr">
        <is>
          <t>RMS2321 SEED DRILL FOR FARM TRACTOR SEED DRILL FOR FARM TRACTOR</t>
        </is>
      </c>
      <c r="L4051" t="n">
        <v>0</v>
      </c>
      <c r="M4051" t="n">
        <v>0</v>
      </c>
      <c r="O4051" t="inlineStr">
        <is>
          <t>RMS2321</t>
        </is>
      </c>
      <c r="Q4051" s="114" t="n">
        <v>0</v>
      </c>
      <c r="R4051" s="114" t="n">
        <v>1077.59</v>
      </c>
      <c r="S4051" s="114" t="n">
        <v>0</v>
      </c>
      <c r="T4051" t="n">
        <v>0</v>
      </c>
    </row>
    <row r="4052">
      <c r="A4052" t="inlineStr">
        <is>
          <t>ttJTrans</t>
        </is>
      </c>
      <c r="B4052" s="38" t="inlineStr">
        <is>
          <t>0-4107</t>
        </is>
      </c>
      <c r="C4052" t="inlineStr">
        <is>
          <t>ER</t>
        </is>
      </c>
      <c r="E4052" t="inlineStr">
        <is>
          <t>ER</t>
        </is>
      </c>
      <c r="G4052" s="128" t="inlineStr"/>
      <c r="H4052" s="127" t="n">
        <v>46166</v>
      </c>
      <c r="J4052" s="38" t="inlineStr">
        <is>
          <t>0-4107</t>
        </is>
      </c>
      <c r="K4052" t="inlineStr">
        <is>
          <t>RMS2321 SEED DRILL FOR FARM TRACTOR SEED DRILL FOR FARM TRACTOR</t>
        </is>
      </c>
      <c r="L4052" t="n">
        <v>0</v>
      </c>
      <c r="M4052" t="n">
        <v>0</v>
      </c>
      <c r="O4052" t="inlineStr">
        <is>
          <t>RMS2321</t>
        </is>
      </c>
      <c r="Q4052" s="114" t="n">
        <v>0</v>
      </c>
      <c r="R4052" s="114" t="n">
        <v>1077.59</v>
      </c>
      <c r="S4052" s="114" t="n">
        <v>0</v>
      </c>
      <c r="T4052" t="n">
        <v>0</v>
      </c>
    </row>
    <row r="4053">
      <c r="A4053" t="inlineStr">
        <is>
          <t>ttJTrans</t>
        </is>
      </c>
      <c r="B4053" s="38" t="inlineStr">
        <is>
          <t>0-4107</t>
        </is>
      </c>
      <c r="C4053" t="inlineStr">
        <is>
          <t>ER</t>
        </is>
      </c>
      <c r="E4053" t="inlineStr">
        <is>
          <t>ER</t>
        </is>
      </c>
      <c r="G4053" s="128" t="inlineStr"/>
      <c r="H4053" s="127" t="n">
        <v>46166</v>
      </c>
      <c r="J4053" s="38" t="inlineStr">
        <is>
          <t>0-4107</t>
        </is>
      </c>
      <c r="K4053" t="inlineStr">
        <is>
          <t>RMS2321 SEED DRILL FOR FARM TRACTOR SEED DRILL FOR FARM TRACTOR</t>
        </is>
      </c>
      <c r="L4053" t="n">
        <v>0</v>
      </c>
      <c r="M4053" t="n">
        <v>0</v>
      </c>
      <c r="O4053" t="inlineStr">
        <is>
          <t>RMS2321</t>
        </is>
      </c>
      <c r="Q4053" s="114" t="n">
        <v>0</v>
      </c>
      <c r="R4053" s="114" t="n">
        <v>1077.59</v>
      </c>
      <c r="S4053" s="114" t="n">
        <v>0</v>
      </c>
      <c r="T4053" t="n">
        <v>0</v>
      </c>
    </row>
    <row r="4054">
      <c r="A4054" t="inlineStr">
        <is>
          <t>ttJTrans</t>
        </is>
      </c>
      <c r="B4054" s="38" t="inlineStr">
        <is>
          <t>0-4107</t>
        </is>
      </c>
      <c r="C4054" t="inlineStr">
        <is>
          <t>ER</t>
        </is>
      </c>
      <c r="E4054" t="inlineStr">
        <is>
          <t>ER</t>
        </is>
      </c>
      <c r="G4054" s="128" t="inlineStr"/>
      <c r="H4054" s="127" t="n">
        <v>46166</v>
      </c>
      <c r="J4054" s="38" t="inlineStr">
        <is>
          <t>0-4107</t>
        </is>
      </c>
      <c r="K4054" t="inlineStr">
        <is>
          <t>RMS2320 SEED DRILL FOR FARM TRACTOR SEED DRILL FOR FARM TRACTOR</t>
        </is>
      </c>
      <c r="L4054" t="n">
        <v>0</v>
      </c>
      <c r="M4054" t="n">
        <v>0</v>
      </c>
      <c r="O4054" t="inlineStr">
        <is>
          <t>RMS2320</t>
        </is>
      </c>
      <c r="Q4054" s="114" t="n">
        <v>0</v>
      </c>
      <c r="R4054" s="114" t="n">
        <v>1077.59</v>
      </c>
      <c r="S4054" s="114" t="n">
        <v>0</v>
      </c>
      <c r="T4054" t="n">
        <v>0</v>
      </c>
    </row>
    <row r="4055">
      <c r="A4055" t="inlineStr">
        <is>
          <t>ttJTrans</t>
        </is>
      </c>
      <c r="B4055" s="38" t="inlineStr">
        <is>
          <t>0-4107</t>
        </is>
      </c>
      <c r="C4055" t="inlineStr">
        <is>
          <t>ER</t>
        </is>
      </c>
      <c r="E4055" t="inlineStr">
        <is>
          <t>ER</t>
        </is>
      </c>
      <c r="G4055" s="128" t="inlineStr"/>
      <c r="H4055" s="127" t="n">
        <v>46166</v>
      </c>
      <c r="J4055" s="38" t="inlineStr">
        <is>
          <t>0-4107</t>
        </is>
      </c>
      <c r="K4055" t="inlineStr">
        <is>
          <t>RMS2320 SEED DRILL FOR FARM TRACTOR SEED DRILL FOR FARM TRACTOR</t>
        </is>
      </c>
      <c r="L4055" t="n">
        <v>0</v>
      </c>
      <c r="M4055" t="n">
        <v>0</v>
      </c>
      <c r="O4055" t="inlineStr">
        <is>
          <t>RMS2320</t>
        </is>
      </c>
      <c r="Q4055" s="114" t="n">
        <v>0</v>
      </c>
      <c r="R4055" s="114" t="n">
        <v>1077.59</v>
      </c>
      <c r="S4055" s="114" t="n">
        <v>0</v>
      </c>
      <c r="T4055" t="n">
        <v>0</v>
      </c>
    </row>
    <row r="4056">
      <c r="A4056" t="inlineStr">
        <is>
          <t>ttJTrans</t>
        </is>
      </c>
      <c r="B4056" s="38" t="inlineStr">
        <is>
          <t>0-4107</t>
        </is>
      </c>
      <c r="C4056" t="inlineStr">
        <is>
          <t>ER</t>
        </is>
      </c>
      <c r="E4056" t="inlineStr">
        <is>
          <t>ER</t>
        </is>
      </c>
      <c r="G4056" s="128" t="inlineStr"/>
      <c r="H4056" s="127" t="n">
        <v>46166</v>
      </c>
      <c r="J4056" s="38" t="inlineStr">
        <is>
          <t>0-4107</t>
        </is>
      </c>
      <c r="K4056" t="inlineStr">
        <is>
          <t>RMS2320 SEED DRILL FOR FARM TRACTOR SEED DRILL FOR FARM TRACTOR</t>
        </is>
      </c>
      <c r="L4056" t="n">
        <v>0</v>
      </c>
      <c r="M4056" t="n">
        <v>0</v>
      </c>
      <c r="O4056" t="inlineStr">
        <is>
          <t>RMS2320</t>
        </is>
      </c>
      <c r="Q4056" s="114" t="n">
        <v>0</v>
      </c>
      <c r="R4056" s="114" t="n">
        <v>1077.59</v>
      </c>
      <c r="S4056" s="114" t="n">
        <v>0</v>
      </c>
      <c r="T4056" t="n">
        <v>0</v>
      </c>
    </row>
    <row r="4057">
      <c r="A4057" t="inlineStr">
        <is>
          <t>ttJTrans</t>
        </is>
      </c>
      <c r="B4057" s="38" t="inlineStr">
        <is>
          <t>0-4107</t>
        </is>
      </c>
      <c r="C4057" t="inlineStr">
        <is>
          <t>ER</t>
        </is>
      </c>
      <c r="E4057" t="inlineStr">
        <is>
          <t>ER</t>
        </is>
      </c>
      <c r="G4057" s="128" t="inlineStr"/>
      <c r="H4057" s="127" t="n">
        <v>46142</v>
      </c>
      <c r="J4057" s="38" t="inlineStr">
        <is>
          <t>0-4107</t>
        </is>
      </c>
      <c r="K4057" t="inlineStr">
        <is>
          <t>RFT890 CASE MAGNUN 220 FARM TRACTOR CASE MAGNUN 220 FARM TRACTOR</t>
        </is>
      </c>
      <c r="L4057" t="n">
        <v>0</v>
      </c>
      <c r="M4057" t="n">
        <v>0</v>
      </c>
      <c r="O4057" t="inlineStr">
        <is>
          <t>RFT890</t>
        </is>
      </c>
      <c r="Q4057" s="114" t="n">
        <v>0</v>
      </c>
      <c r="R4057" s="114" t="n">
        <v>500</v>
      </c>
      <c r="S4057" s="114" t="n">
        <v>0</v>
      </c>
      <c r="T4057" t="n">
        <v>0</v>
      </c>
    </row>
    <row r="4058">
      <c r="A4058" t="inlineStr">
        <is>
          <t>ttJTrans</t>
        </is>
      </c>
      <c r="B4058" s="38" t="inlineStr">
        <is>
          <t>0-4107</t>
        </is>
      </c>
      <c r="C4058" t="inlineStr">
        <is>
          <t>ER</t>
        </is>
      </c>
      <c r="E4058" t="inlineStr">
        <is>
          <t>ER</t>
        </is>
      </c>
      <c r="G4058" s="128" t="inlineStr"/>
      <c r="H4058" s="127" t="n">
        <v>46131</v>
      </c>
      <c r="J4058" s="38" t="inlineStr">
        <is>
          <t>0-4107</t>
        </is>
      </c>
      <c r="K4058" t="inlineStr">
        <is>
          <t>RMS2321 SEED DRILL FOR FARM TRACTOR SEED DRILL FOR FARM TRACTOR</t>
        </is>
      </c>
      <c r="L4058" t="n">
        <v>0</v>
      </c>
      <c r="M4058" t="n">
        <v>0</v>
      </c>
      <c r="O4058" t="inlineStr">
        <is>
          <t>RMS2321</t>
        </is>
      </c>
      <c r="Q4058" s="114" t="n">
        <v>0</v>
      </c>
      <c r="R4058" s="114" t="n">
        <v>1077.59</v>
      </c>
      <c r="S4058" s="114" t="n">
        <v>0</v>
      </c>
      <c r="T4058" t="n">
        <v>0</v>
      </c>
    </row>
    <row r="4059">
      <c r="A4059" t="inlineStr">
        <is>
          <t>ttJTrans</t>
        </is>
      </c>
      <c r="B4059" s="38" t="inlineStr">
        <is>
          <t>0-4107</t>
        </is>
      </c>
      <c r="C4059" t="inlineStr">
        <is>
          <t>ER</t>
        </is>
      </c>
      <c r="E4059" t="inlineStr">
        <is>
          <t>ER</t>
        </is>
      </c>
      <c r="G4059" s="128" t="inlineStr"/>
      <c r="H4059" s="127" t="n">
        <v>46131</v>
      </c>
      <c r="J4059" s="38" t="inlineStr">
        <is>
          <t>0-4107</t>
        </is>
      </c>
      <c r="K4059" t="inlineStr">
        <is>
          <t>RMS2321 SEED DRILL FOR FARM TRACTOR SEED DRILL FOR FARM TRACTOR</t>
        </is>
      </c>
      <c r="L4059" t="n">
        <v>0</v>
      </c>
      <c r="M4059" t="n">
        <v>0</v>
      </c>
      <c r="O4059" t="inlineStr">
        <is>
          <t>RMS2321</t>
        </is>
      </c>
      <c r="Q4059" s="114" t="n">
        <v>0</v>
      </c>
      <c r="R4059" s="114" t="n">
        <v>1077.59</v>
      </c>
      <c r="S4059" s="114" t="n">
        <v>0</v>
      </c>
      <c r="T4059" t="n">
        <v>0</v>
      </c>
    </row>
    <row r="4060">
      <c r="A4060" t="inlineStr">
        <is>
          <t>ttJTrans</t>
        </is>
      </c>
      <c r="B4060" s="38" t="inlineStr">
        <is>
          <t>0-4107</t>
        </is>
      </c>
      <c r="C4060" t="inlineStr">
        <is>
          <t>ER</t>
        </is>
      </c>
      <c r="E4060" t="inlineStr">
        <is>
          <t>ER</t>
        </is>
      </c>
      <c r="G4060" s="128" t="inlineStr"/>
      <c r="H4060" s="127" t="n">
        <v>46138</v>
      </c>
      <c r="J4060" s="38" t="inlineStr">
        <is>
          <t>0-4107</t>
        </is>
      </c>
      <c r="K4060" t="inlineStr">
        <is>
          <t>RFT892 CASE PUMA 200 FARM TRACTOR W FRONT LOADER CASE PUMA 200 FARM TRACTOR W FRONT LOADER</t>
        </is>
      </c>
      <c r="L4060" t="n">
        <v>0</v>
      </c>
      <c r="M4060" t="n">
        <v>0</v>
      </c>
      <c r="O4060" t="inlineStr">
        <is>
          <t>RFT892</t>
        </is>
      </c>
      <c r="Q4060" s="114" t="n">
        <v>0</v>
      </c>
      <c r="R4060" s="114" t="n">
        <v>508.33</v>
      </c>
      <c r="S4060" s="114" t="n">
        <v>0</v>
      </c>
      <c r="T4060" t="n">
        <v>0</v>
      </c>
    </row>
    <row r="4061">
      <c r="A4061" t="inlineStr">
        <is>
          <t>ttJTrans</t>
        </is>
      </c>
      <c r="B4061" s="38" t="inlineStr">
        <is>
          <t>0-4107</t>
        </is>
      </c>
      <c r="C4061" t="inlineStr">
        <is>
          <t>ER</t>
        </is>
      </c>
      <c r="E4061" t="inlineStr">
        <is>
          <t>ER</t>
        </is>
      </c>
      <c r="G4061" s="128" t="inlineStr"/>
      <c r="H4061" s="127" t="n">
        <v>46138</v>
      </c>
      <c r="J4061" s="38" t="inlineStr">
        <is>
          <t>0-4107</t>
        </is>
      </c>
      <c r="K4061" t="inlineStr">
        <is>
          <t>RFT892 CASE PUMA 200 FARM TRACTOR W FRONT LOADER CASE PUMA 200 FARM TRACTOR W FRONT LOADER</t>
        </is>
      </c>
      <c r="L4061" t="n">
        <v>0</v>
      </c>
      <c r="M4061" t="n">
        <v>0</v>
      </c>
      <c r="O4061" t="inlineStr">
        <is>
          <t>RFT892</t>
        </is>
      </c>
      <c r="Q4061" s="114" t="n">
        <v>0</v>
      </c>
      <c r="R4061" s="114" t="n">
        <v>508.33</v>
      </c>
      <c r="S4061" s="114" t="n">
        <v>0</v>
      </c>
      <c r="T4061" t="n">
        <v>0</v>
      </c>
    </row>
    <row r="4062">
      <c r="A4062" t="inlineStr">
        <is>
          <t>ttJTrans</t>
        </is>
      </c>
      <c r="B4062" s="38" t="inlineStr">
        <is>
          <t>0-4107</t>
        </is>
      </c>
      <c r="C4062" t="inlineStr">
        <is>
          <t>ER</t>
        </is>
      </c>
      <c r="E4062" t="inlineStr">
        <is>
          <t>ER</t>
        </is>
      </c>
      <c r="G4062" s="128" t="inlineStr"/>
      <c r="H4062" s="127" t="n">
        <v>46138</v>
      </c>
      <c r="J4062" s="38" t="inlineStr">
        <is>
          <t>0-4107</t>
        </is>
      </c>
      <c r="K4062" t="inlineStr">
        <is>
          <t>RFT892 CASE PUMA 200 FARM TRACTOR W FRONT LOADER CASE PUMA 200 FARM TRACTOR W FRONT LOADER</t>
        </is>
      </c>
      <c r="L4062" t="n">
        <v>0</v>
      </c>
      <c r="M4062" t="n">
        <v>0</v>
      </c>
      <c r="O4062" t="inlineStr">
        <is>
          <t>RFT892</t>
        </is>
      </c>
      <c r="Q4062" s="114" t="n">
        <v>0</v>
      </c>
      <c r="R4062" s="114" t="n">
        <v>508.33</v>
      </c>
      <c r="S4062" s="114" t="n">
        <v>0</v>
      </c>
      <c r="T4062" t="n">
        <v>0</v>
      </c>
    </row>
    <row r="4063">
      <c r="A4063" t="inlineStr">
        <is>
          <t>ttJTrans</t>
        </is>
      </c>
      <c r="B4063" s="38" t="inlineStr">
        <is>
          <t>0-4107</t>
        </is>
      </c>
      <c r="C4063" t="inlineStr">
        <is>
          <t>ER</t>
        </is>
      </c>
      <c r="E4063" t="inlineStr">
        <is>
          <t>ER</t>
        </is>
      </c>
      <c r="G4063" s="128" t="inlineStr"/>
      <c r="H4063" s="127" t="n">
        <v>46138</v>
      </c>
      <c r="J4063" s="38" t="inlineStr">
        <is>
          <t>0-4107</t>
        </is>
      </c>
      <c r="K4063" t="inlineStr">
        <is>
          <t>RMS2321 SEED DRILL FOR FARM TRACTOR SEED DRILL FOR FARM TRACTOR</t>
        </is>
      </c>
      <c r="L4063" t="n">
        <v>0</v>
      </c>
      <c r="M4063" t="n">
        <v>0</v>
      </c>
      <c r="O4063" t="inlineStr">
        <is>
          <t>RMS2321</t>
        </is>
      </c>
      <c r="Q4063" s="114" t="n">
        <v>0</v>
      </c>
      <c r="R4063" s="114" t="n">
        <v>1077.59</v>
      </c>
      <c r="S4063" s="114" t="n">
        <v>0</v>
      </c>
      <c r="T4063" t="n">
        <v>0</v>
      </c>
    </row>
    <row r="4064">
      <c r="A4064" t="inlineStr">
        <is>
          <t>ttJTrans</t>
        </is>
      </c>
      <c r="B4064" s="38" t="inlineStr">
        <is>
          <t>0-4107</t>
        </is>
      </c>
      <c r="C4064" t="inlineStr">
        <is>
          <t>ER</t>
        </is>
      </c>
      <c r="E4064" t="inlineStr">
        <is>
          <t>ER</t>
        </is>
      </c>
      <c r="G4064" s="128" t="inlineStr"/>
      <c r="H4064" s="127" t="n">
        <v>46138</v>
      </c>
      <c r="J4064" s="38" t="inlineStr">
        <is>
          <t>0-4107</t>
        </is>
      </c>
      <c r="K4064" t="inlineStr">
        <is>
          <t>RMS2321 SEED DRILL FOR FARM TRACTOR SEED DRILL FOR FARM TRACTOR</t>
        </is>
      </c>
      <c r="L4064" t="n">
        <v>0</v>
      </c>
      <c r="M4064" t="n">
        <v>0</v>
      </c>
      <c r="O4064" t="inlineStr">
        <is>
          <t>RMS2321</t>
        </is>
      </c>
      <c r="Q4064" s="114" t="n">
        <v>0</v>
      </c>
      <c r="R4064" s="114" t="n">
        <v>1077.59</v>
      </c>
      <c r="S4064" s="114" t="n">
        <v>0</v>
      </c>
      <c r="T4064" t="n">
        <v>0</v>
      </c>
    </row>
    <row r="4065">
      <c r="A4065" t="inlineStr">
        <is>
          <t>ttJTrans</t>
        </is>
      </c>
      <c r="B4065" s="38" t="inlineStr">
        <is>
          <t>0-4107</t>
        </is>
      </c>
      <c r="C4065" t="inlineStr">
        <is>
          <t>ER</t>
        </is>
      </c>
      <c r="E4065" t="inlineStr">
        <is>
          <t>ER</t>
        </is>
      </c>
      <c r="G4065" s="128" t="inlineStr"/>
      <c r="H4065" s="127" t="n">
        <v>46138</v>
      </c>
      <c r="J4065" s="38" t="inlineStr">
        <is>
          <t>0-4107</t>
        </is>
      </c>
      <c r="K4065" t="inlineStr">
        <is>
          <t>RMS2321 SEED DRILL FOR FARM TRACTOR SEED DRILL FOR FARM TRACTOR</t>
        </is>
      </c>
      <c r="L4065" t="n">
        <v>0</v>
      </c>
      <c r="M4065" t="n">
        <v>0</v>
      </c>
      <c r="O4065" t="inlineStr">
        <is>
          <t>RMS2321</t>
        </is>
      </c>
      <c r="Q4065" s="114" t="n">
        <v>0</v>
      </c>
      <c r="R4065" s="114" t="n">
        <v>1077.59</v>
      </c>
      <c r="S4065" s="114" t="n">
        <v>0</v>
      </c>
      <c r="T4065" t="n">
        <v>0</v>
      </c>
    </row>
    <row r="4066">
      <c r="A4066" t="inlineStr">
        <is>
          <t>ttJTrans</t>
        </is>
      </c>
      <c r="B4066" s="38" t="inlineStr">
        <is>
          <t>0-4107</t>
        </is>
      </c>
      <c r="C4066" t="inlineStr">
        <is>
          <t>ER</t>
        </is>
      </c>
      <c r="E4066" t="inlineStr">
        <is>
          <t>ER</t>
        </is>
      </c>
      <c r="G4066" s="128" t="inlineStr"/>
      <c r="H4066" s="127" t="n">
        <v>46142</v>
      </c>
      <c r="J4066" s="38" t="inlineStr">
        <is>
          <t>0-4107</t>
        </is>
      </c>
      <c r="K4066" t="inlineStr">
        <is>
          <t>RFT890 CASE MAGNUN 220 FARM TRACTOR CASE MAGNUN 220 FARM TRACTOR</t>
        </is>
      </c>
      <c r="L4066" t="n">
        <v>0</v>
      </c>
      <c r="M4066" t="n">
        <v>0</v>
      </c>
      <c r="O4066" t="inlineStr">
        <is>
          <t>RFT890</t>
        </is>
      </c>
      <c r="Q4066" s="114" t="n">
        <v>0</v>
      </c>
      <c r="R4066" s="114" t="n">
        <v>500</v>
      </c>
      <c r="S4066" s="114" t="n">
        <v>0</v>
      </c>
      <c r="T4066" t="n">
        <v>0</v>
      </c>
    </row>
    <row r="4067">
      <c r="A4067" t="inlineStr">
        <is>
          <t>ttJTrans</t>
        </is>
      </c>
      <c r="B4067" s="38" t="inlineStr">
        <is>
          <t>0-4107</t>
        </is>
      </c>
      <c r="C4067" t="inlineStr">
        <is>
          <t>ER</t>
        </is>
      </c>
      <c r="E4067" t="inlineStr">
        <is>
          <t>ER</t>
        </is>
      </c>
      <c r="G4067" s="128" t="inlineStr"/>
      <c r="H4067" s="127" t="n">
        <v>46142</v>
      </c>
      <c r="J4067" s="38" t="inlineStr">
        <is>
          <t>0-4107</t>
        </is>
      </c>
      <c r="K4067" t="inlineStr">
        <is>
          <t>RFT890 CASE MAGNUN 220 FARM TRACTOR CASE MAGNUN 220 FARM TRACTOR</t>
        </is>
      </c>
      <c r="L4067" t="n">
        <v>0</v>
      </c>
      <c r="M4067" t="n">
        <v>0</v>
      </c>
      <c r="O4067" t="inlineStr">
        <is>
          <t>RFT890</t>
        </is>
      </c>
      <c r="Q4067" s="114" t="n">
        <v>0</v>
      </c>
      <c r="R4067" s="114" t="n">
        <v>500</v>
      </c>
      <c r="S4067" s="114" t="n">
        <v>0</v>
      </c>
      <c r="T4067" t="n">
        <v>0</v>
      </c>
    </row>
    <row r="4068">
      <c r="A4068" t="inlineStr">
        <is>
          <t>ttJTrans</t>
        </is>
      </c>
      <c r="B4068" s="38" t="inlineStr">
        <is>
          <t>0-4107</t>
        </is>
      </c>
      <c r="C4068" t="inlineStr">
        <is>
          <t>LA</t>
        </is>
      </c>
      <c r="E4068" t="inlineStr">
        <is>
          <t>LA</t>
        </is>
      </c>
      <c r="G4068" s="128" t="inlineStr"/>
      <c r="H4068" s="127" t="n">
        <v>46121</v>
      </c>
      <c r="J4068" s="38" t="inlineStr">
        <is>
          <t>0-4107</t>
        </is>
      </c>
      <c r="K4068" t="inlineStr">
        <is>
          <t>PR P0COST 000525 (PR) Summary</t>
        </is>
      </c>
      <c r="L4068" t="n">
        <v>0</v>
      </c>
      <c r="M4068" t="n">
        <v>0</v>
      </c>
      <c r="Q4068" s="114" t="n">
        <v>0</v>
      </c>
      <c r="R4068" s="114" t="n">
        <v>1154.91</v>
      </c>
      <c r="S4068" s="114" t="n">
        <v>0</v>
      </c>
      <c r="T4068" t="n">
        <v>20</v>
      </c>
    </row>
    <row r="4069">
      <c r="A4069" t="inlineStr">
        <is>
          <t>ttJTrans</t>
        </is>
      </c>
      <c r="B4069" s="38" t="inlineStr">
        <is>
          <t>0-4107</t>
        </is>
      </c>
      <c r="C4069" t="inlineStr">
        <is>
          <t>LA</t>
        </is>
      </c>
      <c r="E4069" t="inlineStr">
        <is>
          <t>LA</t>
        </is>
      </c>
      <c r="G4069" s="128" t="inlineStr"/>
      <c r="H4069" s="127" t="n">
        <v>46128</v>
      </c>
      <c r="J4069" s="38" t="inlineStr">
        <is>
          <t>0-4107</t>
        </is>
      </c>
      <c r="K4069" t="inlineStr">
        <is>
          <t>PR P0COST 000526 (PR) Summary</t>
        </is>
      </c>
      <c r="L4069" t="n">
        <v>0</v>
      </c>
      <c r="M4069" t="n">
        <v>0</v>
      </c>
      <c r="Q4069" s="114" t="n">
        <v>0</v>
      </c>
      <c r="R4069" s="114" t="n">
        <v>1723.05</v>
      </c>
      <c r="S4069" s="114" t="n">
        <v>0</v>
      </c>
      <c r="T4069" t="n">
        <v>30</v>
      </c>
    </row>
    <row r="4070">
      <c r="A4070" t="inlineStr">
        <is>
          <t>ttJTrans</t>
        </is>
      </c>
      <c r="B4070" s="38" t="inlineStr">
        <is>
          <t>0-4107</t>
        </is>
      </c>
      <c r="C4070" t="inlineStr">
        <is>
          <t>LA</t>
        </is>
      </c>
      <c r="E4070" t="inlineStr">
        <is>
          <t>LA</t>
        </is>
      </c>
      <c r="G4070" s="128" t="inlineStr"/>
      <c r="H4070" s="127" t="n">
        <v>46128</v>
      </c>
      <c r="J4070" s="38" t="inlineStr">
        <is>
          <t>0-4107</t>
        </is>
      </c>
      <c r="K4070" t="inlineStr">
        <is>
          <t>PR P0COST 000526 (PR) Summary</t>
        </is>
      </c>
      <c r="L4070" t="n">
        <v>0</v>
      </c>
      <c r="M4070" t="n">
        <v>0</v>
      </c>
      <c r="Q4070" s="114" t="n">
        <v>0</v>
      </c>
      <c r="R4070" s="114" t="n">
        <v>1723.05</v>
      </c>
      <c r="S4070" s="114" t="n">
        <v>0</v>
      </c>
      <c r="T4070" t="n">
        <v>30</v>
      </c>
    </row>
    <row r="4071">
      <c r="A4071" t="inlineStr">
        <is>
          <t>ttJTrans</t>
        </is>
      </c>
      <c r="B4071" s="38" t="inlineStr">
        <is>
          <t>0-4107</t>
        </is>
      </c>
      <c r="C4071" t="inlineStr">
        <is>
          <t>LA</t>
        </is>
      </c>
      <c r="E4071" t="inlineStr">
        <is>
          <t>LA</t>
        </is>
      </c>
      <c r="G4071" s="128" t="inlineStr"/>
      <c r="H4071" s="127" t="n">
        <v>46128</v>
      </c>
      <c r="J4071" s="38" t="inlineStr">
        <is>
          <t>0-4107</t>
        </is>
      </c>
      <c r="K4071" t="inlineStr">
        <is>
          <t>PR P0COST 000526 (PR) Summary</t>
        </is>
      </c>
      <c r="L4071" t="n">
        <v>0</v>
      </c>
      <c r="M4071" t="n">
        <v>0</v>
      </c>
      <c r="Q4071" s="114" t="n">
        <v>0</v>
      </c>
      <c r="R4071" s="114" t="n">
        <v>702.1900000000001</v>
      </c>
      <c r="S4071" s="114" t="n">
        <v>0</v>
      </c>
      <c r="T4071" t="n">
        <v>10</v>
      </c>
    </row>
    <row r="4072">
      <c r="A4072" t="inlineStr">
        <is>
          <t>ttJTrans</t>
        </is>
      </c>
      <c r="B4072" s="38" t="inlineStr">
        <is>
          <t>0-4107</t>
        </is>
      </c>
      <c r="C4072" t="inlineStr">
        <is>
          <t>LA</t>
        </is>
      </c>
      <c r="E4072" t="inlineStr">
        <is>
          <t>LA</t>
        </is>
      </c>
      <c r="G4072" s="128" t="inlineStr"/>
      <c r="H4072" s="127" t="n">
        <v>46128</v>
      </c>
      <c r="J4072" s="38" t="inlineStr">
        <is>
          <t>0-4107</t>
        </is>
      </c>
      <c r="K4072" t="inlineStr">
        <is>
          <t>PR P0COST 000526 (PR) Summary</t>
        </is>
      </c>
      <c r="L4072" t="n">
        <v>0</v>
      </c>
      <c r="M4072" t="n">
        <v>0</v>
      </c>
      <c r="Q4072" s="114" t="n">
        <v>0</v>
      </c>
      <c r="R4072" s="114" t="n">
        <v>1470.19</v>
      </c>
      <c r="S4072" s="114" t="n">
        <v>0</v>
      </c>
      <c r="T4072" t="n">
        <v>20</v>
      </c>
    </row>
    <row r="4073">
      <c r="A4073" t="inlineStr">
        <is>
          <t>ttJTrans</t>
        </is>
      </c>
      <c r="B4073" s="38" t="inlineStr">
        <is>
          <t>0-4107</t>
        </is>
      </c>
      <c r="C4073" t="inlineStr">
        <is>
          <t>LA</t>
        </is>
      </c>
      <c r="E4073" t="inlineStr">
        <is>
          <t>LA</t>
        </is>
      </c>
      <c r="G4073" s="128" t="inlineStr"/>
      <c r="H4073" s="127" t="n">
        <v>46128</v>
      </c>
      <c r="J4073" s="38" t="inlineStr">
        <is>
          <t>0-4107</t>
        </is>
      </c>
      <c r="K4073" t="inlineStr">
        <is>
          <t>PR P0COST 000526 (PR) Summary</t>
        </is>
      </c>
      <c r="L4073" t="n">
        <v>0</v>
      </c>
      <c r="M4073" t="n">
        <v>0</v>
      </c>
      <c r="Q4073" s="114" t="n">
        <v>0</v>
      </c>
      <c r="R4073" s="114" t="n">
        <v>2557.1</v>
      </c>
      <c r="S4073" s="114" t="n">
        <v>0</v>
      </c>
      <c r="T4073" t="n">
        <v>39.35</v>
      </c>
    </row>
    <row r="4074">
      <c r="A4074" t="inlineStr">
        <is>
          <t>ttJTrans</t>
        </is>
      </c>
      <c r="B4074" s="38" t="inlineStr">
        <is>
          <t>0-4107</t>
        </is>
      </c>
      <c r="C4074" t="inlineStr">
        <is>
          <t>LA</t>
        </is>
      </c>
      <c r="E4074" t="inlineStr">
        <is>
          <t>LA</t>
        </is>
      </c>
      <c r="G4074" s="128" t="inlineStr"/>
      <c r="H4074" s="127" t="n">
        <v>46135</v>
      </c>
      <c r="J4074" s="38" t="inlineStr">
        <is>
          <t>0-4107</t>
        </is>
      </c>
      <c r="K4074" t="inlineStr">
        <is>
          <t>PR P0COST 000527 (PR) Summary</t>
        </is>
      </c>
      <c r="L4074" t="n">
        <v>0</v>
      </c>
      <c r="M4074" t="n">
        <v>0</v>
      </c>
      <c r="Q4074" s="114" t="n">
        <v>0</v>
      </c>
      <c r="R4074" s="114" t="n">
        <v>1846.14</v>
      </c>
      <c r="S4074" s="114" t="n">
        <v>0</v>
      </c>
      <c r="T4074" t="n">
        <v>30</v>
      </c>
    </row>
    <row r="4075">
      <c r="A4075" t="inlineStr">
        <is>
          <t>ttJTrans</t>
        </is>
      </c>
      <c r="B4075" s="38" t="inlineStr">
        <is>
          <t>0-4107</t>
        </is>
      </c>
      <c r="C4075" t="inlineStr">
        <is>
          <t>LA</t>
        </is>
      </c>
      <c r="E4075" t="inlineStr">
        <is>
          <t>LA</t>
        </is>
      </c>
      <c r="G4075" s="128" t="inlineStr"/>
      <c r="H4075" s="127" t="n">
        <v>46135</v>
      </c>
      <c r="J4075" s="38" t="inlineStr">
        <is>
          <t>0-4107</t>
        </is>
      </c>
      <c r="K4075" t="inlineStr">
        <is>
          <t>PR P0COST 000527 (PR) Summary</t>
        </is>
      </c>
      <c r="L4075" t="n">
        <v>0</v>
      </c>
      <c r="M4075" t="n">
        <v>0</v>
      </c>
      <c r="Q4075" s="114" t="n">
        <v>0</v>
      </c>
      <c r="R4075" s="114" t="n">
        <v>1268.88</v>
      </c>
      <c r="S4075" s="114" t="n">
        <v>0</v>
      </c>
      <c r="T4075" t="n">
        <v>20</v>
      </c>
    </row>
    <row r="4076">
      <c r="A4076" t="inlineStr">
        <is>
          <t>ttJTrans</t>
        </is>
      </c>
      <c r="B4076" s="38" t="inlineStr">
        <is>
          <t>0-4107</t>
        </is>
      </c>
      <c r="C4076" t="inlineStr">
        <is>
          <t>LA</t>
        </is>
      </c>
      <c r="E4076" t="inlineStr">
        <is>
          <t>LA</t>
        </is>
      </c>
      <c r="G4076" s="128" t="inlineStr"/>
      <c r="H4076" s="127" t="n">
        <v>46135</v>
      </c>
      <c r="J4076" s="38" t="inlineStr">
        <is>
          <t>0-4107</t>
        </is>
      </c>
      <c r="K4076" t="inlineStr">
        <is>
          <t>PR P0COST 000527 (PR) Summary</t>
        </is>
      </c>
      <c r="L4076" t="n">
        <v>0</v>
      </c>
      <c r="M4076" t="n">
        <v>0</v>
      </c>
      <c r="Q4076" s="114" t="n">
        <v>0</v>
      </c>
      <c r="R4076" s="114" t="n">
        <v>1268.82</v>
      </c>
      <c r="S4076" s="114" t="n">
        <v>0</v>
      </c>
      <c r="T4076" t="n">
        <v>20</v>
      </c>
    </row>
    <row r="4077">
      <c r="A4077" t="inlineStr">
        <is>
          <t>ttJTrans</t>
        </is>
      </c>
      <c r="B4077" s="38" t="inlineStr">
        <is>
          <t>0-4107</t>
        </is>
      </c>
      <c r="C4077" t="inlineStr">
        <is>
          <t>LA</t>
        </is>
      </c>
      <c r="E4077" t="inlineStr">
        <is>
          <t>LA</t>
        </is>
      </c>
      <c r="G4077" s="128" t="inlineStr"/>
      <c r="H4077" s="127" t="n">
        <v>46135</v>
      </c>
      <c r="J4077" s="38" t="inlineStr">
        <is>
          <t>0-4107</t>
        </is>
      </c>
      <c r="K4077" t="inlineStr">
        <is>
          <t>PR P0COST 000527 (PR) Summary</t>
        </is>
      </c>
      <c r="L4077" t="n">
        <v>0</v>
      </c>
      <c r="M4077" t="n">
        <v>0</v>
      </c>
      <c r="Q4077" s="114" t="n">
        <v>0</v>
      </c>
      <c r="R4077" s="114" t="n">
        <v>457.24</v>
      </c>
      <c r="S4077" s="114" t="n">
        <v>0</v>
      </c>
      <c r="T4077" t="n">
        <v>8</v>
      </c>
    </row>
    <row r="4078">
      <c r="A4078" t="inlineStr">
        <is>
          <t>ttJTrans</t>
        </is>
      </c>
      <c r="B4078" s="38" t="inlineStr">
        <is>
          <t>0-4107</t>
        </is>
      </c>
      <c r="C4078" t="inlineStr">
        <is>
          <t>LA</t>
        </is>
      </c>
      <c r="E4078" t="inlineStr">
        <is>
          <t>LA</t>
        </is>
      </c>
      <c r="G4078" s="128" t="inlineStr"/>
      <c r="H4078" s="127" t="n">
        <v>46142</v>
      </c>
      <c r="J4078" s="38" t="inlineStr">
        <is>
          <t>0-4107</t>
        </is>
      </c>
      <c r="K4078" t="inlineStr">
        <is>
          <t>PR P0COST 000528 (PR) Summary</t>
        </is>
      </c>
      <c r="L4078" t="n">
        <v>0</v>
      </c>
      <c r="M4078" t="n">
        <v>0</v>
      </c>
      <c r="Q4078" s="114" t="n">
        <v>0</v>
      </c>
      <c r="R4078" s="114" t="n">
        <v>528.77</v>
      </c>
      <c r="S4078" s="114" t="n">
        <v>0</v>
      </c>
      <c r="T4078" t="n">
        <v>10</v>
      </c>
    </row>
    <row r="4079">
      <c r="A4079" t="inlineStr">
        <is>
          <t>ttJTrans</t>
        </is>
      </c>
      <c r="B4079" s="38" t="inlineStr">
        <is>
          <t>0-4107</t>
        </is>
      </c>
      <c r="C4079" t="inlineStr">
        <is>
          <t>LA</t>
        </is>
      </c>
      <c r="E4079" t="inlineStr">
        <is>
          <t>LA</t>
        </is>
      </c>
      <c r="G4079" s="128" t="inlineStr"/>
      <c r="H4079" s="127" t="n">
        <v>46142</v>
      </c>
      <c r="J4079" s="38" t="inlineStr">
        <is>
          <t>0-4107</t>
        </is>
      </c>
      <c r="K4079" t="inlineStr">
        <is>
          <t>PR P0COST 000528 (PR) Summary</t>
        </is>
      </c>
      <c r="L4079" t="n">
        <v>0</v>
      </c>
      <c r="M4079" t="n">
        <v>0</v>
      </c>
      <c r="Q4079" s="114" t="n">
        <v>0</v>
      </c>
      <c r="R4079" s="114" t="n">
        <v>1085.02</v>
      </c>
      <c r="S4079" s="114" t="n">
        <v>0</v>
      </c>
      <c r="T4079" t="n">
        <v>19.02</v>
      </c>
    </row>
    <row r="4080">
      <c r="A4080" t="inlineStr">
        <is>
          <t>ttJTrans</t>
        </is>
      </c>
      <c r="B4080" s="38" t="inlineStr">
        <is>
          <t>0-4107</t>
        </is>
      </c>
      <c r="C4080" t="inlineStr">
        <is>
          <t>LA</t>
        </is>
      </c>
      <c r="E4080" t="inlineStr">
        <is>
          <t>LA</t>
        </is>
      </c>
      <c r="G4080" s="128" t="inlineStr"/>
      <c r="H4080" s="127" t="n">
        <v>46156</v>
      </c>
      <c r="J4080" s="38" t="inlineStr">
        <is>
          <t>0-4107</t>
        </is>
      </c>
      <c r="K4080" t="inlineStr">
        <is>
          <t>PR P0COST 000530 (PR) Summary</t>
        </is>
      </c>
      <c r="L4080" t="n">
        <v>0</v>
      </c>
      <c r="M4080" t="n">
        <v>0</v>
      </c>
      <c r="Q4080" s="114" t="n">
        <v>0</v>
      </c>
      <c r="R4080" s="114" t="n">
        <v>1381.75</v>
      </c>
      <c r="S4080" s="114" t="n">
        <v>0</v>
      </c>
      <c r="T4080" t="n">
        <v>20</v>
      </c>
    </row>
    <row r="4081">
      <c r="A4081" t="inlineStr">
        <is>
          <t>ttJTrans</t>
        </is>
      </c>
      <c r="B4081" s="38" t="inlineStr">
        <is>
          <t>0-4107</t>
        </is>
      </c>
      <c r="C4081" t="inlineStr">
        <is>
          <t>LA</t>
        </is>
      </c>
      <c r="E4081" t="inlineStr">
        <is>
          <t>LA</t>
        </is>
      </c>
      <c r="G4081" s="128" t="inlineStr"/>
      <c r="H4081" s="127" t="n">
        <v>46156</v>
      </c>
      <c r="J4081" s="38" t="inlineStr">
        <is>
          <t>0-4107</t>
        </is>
      </c>
      <c r="K4081" t="inlineStr">
        <is>
          <t>PR P0COST 000530 (PR) Summary</t>
        </is>
      </c>
      <c r="L4081" t="n">
        <v>0</v>
      </c>
      <c r="M4081" t="n">
        <v>0</v>
      </c>
      <c r="Q4081" s="114" t="n">
        <v>0</v>
      </c>
      <c r="R4081" s="114" t="n">
        <v>1079.67</v>
      </c>
      <c r="S4081" s="114" t="n">
        <v>0</v>
      </c>
      <c r="T4081" t="n">
        <v>22.9</v>
      </c>
    </row>
    <row r="4082">
      <c r="A4082" t="inlineStr">
        <is>
          <t>ttJTrans</t>
        </is>
      </c>
      <c r="B4082" s="38" t="inlineStr">
        <is>
          <t>0-4107</t>
        </is>
      </c>
      <c r="C4082" t="inlineStr">
        <is>
          <t>LA</t>
        </is>
      </c>
      <c r="E4082" t="inlineStr">
        <is>
          <t>LA</t>
        </is>
      </c>
      <c r="G4082" s="128" t="inlineStr"/>
      <c r="H4082" s="127" t="n">
        <v>46156</v>
      </c>
      <c r="J4082" s="38" t="inlineStr">
        <is>
          <t>0-4107</t>
        </is>
      </c>
      <c r="K4082" t="inlineStr">
        <is>
          <t>PR P0COST 000530 (PR) Summary</t>
        </is>
      </c>
      <c r="L4082" t="n">
        <v>0</v>
      </c>
      <c r="M4082" t="n">
        <v>0</v>
      </c>
      <c r="Q4082" s="114" t="n">
        <v>0</v>
      </c>
      <c r="R4082" s="114" t="n">
        <v>1130.76</v>
      </c>
      <c r="S4082" s="114" t="n">
        <v>0</v>
      </c>
      <c r="T4082" t="n">
        <v>20.11</v>
      </c>
    </row>
    <row r="4083">
      <c r="A4083" t="inlineStr">
        <is>
          <t>ttJTrans</t>
        </is>
      </c>
      <c r="B4083" s="38" t="inlineStr">
        <is>
          <t>0-4107</t>
        </is>
      </c>
      <c r="C4083" t="inlineStr">
        <is>
          <t>LA</t>
        </is>
      </c>
      <c r="E4083" t="inlineStr">
        <is>
          <t>LA</t>
        </is>
      </c>
      <c r="G4083" s="128" t="inlineStr"/>
      <c r="H4083" s="127" t="n">
        <v>46156</v>
      </c>
      <c r="J4083" s="38" t="inlineStr">
        <is>
          <t>0-4107</t>
        </is>
      </c>
      <c r="K4083" t="inlineStr">
        <is>
          <t>PR P0COST 000530 (PR) Summary</t>
        </is>
      </c>
      <c r="L4083" t="n">
        <v>0</v>
      </c>
      <c r="M4083" t="n">
        <v>0</v>
      </c>
      <c r="Q4083" s="114" t="n">
        <v>0</v>
      </c>
      <c r="R4083" s="114" t="n">
        <v>1130.76</v>
      </c>
      <c r="S4083" s="114" t="n">
        <v>0</v>
      </c>
      <c r="T4083" t="n">
        <v>20</v>
      </c>
    </row>
    <row r="4084">
      <c r="A4084" t="inlineStr">
        <is>
          <t>ttJTrans</t>
        </is>
      </c>
      <c r="B4084" s="38" t="inlineStr">
        <is>
          <t>0-4107</t>
        </is>
      </c>
      <c r="C4084" t="inlineStr">
        <is>
          <t>LA</t>
        </is>
      </c>
      <c r="E4084" t="inlineStr">
        <is>
          <t>LA</t>
        </is>
      </c>
      <c r="G4084" s="128" t="inlineStr"/>
      <c r="H4084" s="127" t="n">
        <v>46156</v>
      </c>
      <c r="J4084" s="38" t="inlineStr">
        <is>
          <t>0-4107</t>
        </is>
      </c>
      <c r="K4084" t="inlineStr">
        <is>
          <t>PR P0COST 000530 (PR) Summary</t>
        </is>
      </c>
      <c r="L4084" t="n">
        <v>0</v>
      </c>
      <c r="M4084" t="n">
        <v>0</v>
      </c>
      <c r="Q4084" s="114" t="n">
        <v>0</v>
      </c>
      <c r="R4084" s="114" t="n">
        <v>593.8099999999999</v>
      </c>
      <c r="S4084" s="114" t="n">
        <v>0</v>
      </c>
      <c r="T4084" t="n">
        <v>12.61</v>
      </c>
    </row>
    <row r="4085">
      <c r="A4085" t="inlineStr">
        <is>
          <t>ttJTrans</t>
        </is>
      </c>
      <c r="B4085" s="38" t="inlineStr">
        <is>
          <t>0-4107</t>
        </is>
      </c>
      <c r="C4085" t="inlineStr">
        <is>
          <t>LA</t>
        </is>
      </c>
      <c r="E4085" t="inlineStr">
        <is>
          <t>LA</t>
        </is>
      </c>
      <c r="G4085" s="128" t="inlineStr"/>
      <c r="H4085" s="127" t="n">
        <v>46156</v>
      </c>
      <c r="J4085" s="38" t="inlineStr">
        <is>
          <t>0-4107</t>
        </is>
      </c>
      <c r="K4085" t="inlineStr">
        <is>
          <t>PR P0COST 000530 (PR) Summary</t>
        </is>
      </c>
      <c r="L4085" t="n">
        <v>0</v>
      </c>
      <c r="M4085" t="n">
        <v>0</v>
      </c>
      <c r="Q4085" s="114" t="n">
        <v>0</v>
      </c>
      <c r="R4085" s="114" t="n">
        <v>656.04</v>
      </c>
      <c r="S4085" s="114" t="n">
        <v>0</v>
      </c>
      <c r="T4085" t="n">
        <v>10.01</v>
      </c>
    </row>
    <row r="4086">
      <c r="A4086" t="inlineStr">
        <is>
          <t>ttJTrans</t>
        </is>
      </c>
      <c r="B4086" s="38" t="inlineStr">
        <is>
          <t>0-4107</t>
        </is>
      </c>
      <c r="C4086" t="inlineStr">
        <is>
          <t>LA</t>
        </is>
      </c>
      <c r="E4086" t="inlineStr">
        <is>
          <t>LA</t>
        </is>
      </c>
      <c r="G4086" s="128" t="inlineStr"/>
      <c r="H4086" s="127" t="n">
        <v>46156</v>
      </c>
      <c r="J4086" s="38" t="inlineStr">
        <is>
          <t>0-4107</t>
        </is>
      </c>
      <c r="K4086" t="inlineStr">
        <is>
          <t>PR P0COST 000530 (PR) Summary</t>
        </is>
      </c>
      <c r="L4086" t="n">
        <v>0</v>
      </c>
      <c r="M4086" t="n">
        <v>0</v>
      </c>
      <c r="Q4086" s="114" t="n">
        <v>0</v>
      </c>
      <c r="R4086" s="114" t="n">
        <v>656.04</v>
      </c>
      <c r="S4086" s="114" t="n">
        <v>0</v>
      </c>
      <c r="T4086" t="n">
        <v>8.02</v>
      </c>
    </row>
    <row r="4087">
      <c r="A4087" t="inlineStr">
        <is>
          <t>ttJTrans</t>
        </is>
      </c>
      <c r="B4087" s="38" t="inlineStr">
        <is>
          <t>0-4107</t>
        </is>
      </c>
      <c r="C4087" t="inlineStr">
        <is>
          <t>LA</t>
        </is>
      </c>
      <c r="E4087" t="inlineStr">
        <is>
          <t>LA</t>
        </is>
      </c>
      <c r="G4087" s="128" t="inlineStr"/>
      <c r="H4087" s="127" t="n">
        <v>46163</v>
      </c>
      <c r="J4087" s="38" t="inlineStr">
        <is>
          <t>0-4107</t>
        </is>
      </c>
      <c r="K4087" t="inlineStr">
        <is>
          <t>PR P0COST 000531 (PR) Summary</t>
        </is>
      </c>
      <c r="L4087" t="n">
        <v>0</v>
      </c>
      <c r="M4087" t="n">
        <v>0</v>
      </c>
      <c r="Q4087" s="114" t="n">
        <v>0</v>
      </c>
      <c r="R4087" s="114" t="n">
        <v>1891.06</v>
      </c>
      <c r="S4087" s="114" t="n">
        <v>0</v>
      </c>
      <c r="T4087" t="n">
        <v>30.02</v>
      </c>
    </row>
    <row r="4088">
      <c r="A4088" t="inlineStr">
        <is>
          <t>ttJTrans</t>
        </is>
      </c>
      <c r="B4088" s="38" t="inlineStr">
        <is>
          <t>0-4107</t>
        </is>
      </c>
      <c r="C4088" t="inlineStr">
        <is>
          <t>LA</t>
        </is>
      </c>
      <c r="E4088" t="inlineStr">
        <is>
          <t>LA</t>
        </is>
      </c>
      <c r="G4088" s="128" t="inlineStr"/>
      <c r="H4088" s="127" t="n">
        <v>46163</v>
      </c>
      <c r="J4088" s="38" t="inlineStr">
        <is>
          <t>0-4107</t>
        </is>
      </c>
      <c r="K4088" t="inlineStr">
        <is>
          <t>PR P0COST 000531 (PR) Summary</t>
        </is>
      </c>
      <c r="L4088" t="n">
        <v>0</v>
      </c>
      <c r="M4088" t="n">
        <v>0</v>
      </c>
      <c r="Q4088" s="114" t="n">
        <v>0</v>
      </c>
      <c r="R4088" s="114" t="n">
        <v>560.36</v>
      </c>
      <c r="S4088" s="114" t="n">
        <v>0</v>
      </c>
      <c r="T4088" t="n">
        <v>10</v>
      </c>
    </row>
    <row r="4089">
      <c r="A4089" t="inlineStr">
        <is>
          <t>ttJTrans</t>
        </is>
      </c>
      <c r="B4089" s="38" t="inlineStr">
        <is>
          <t>0-4107</t>
        </is>
      </c>
      <c r="C4089" t="inlineStr">
        <is>
          <t>MA</t>
        </is>
      </c>
      <c r="D4089" t="inlineStr">
        <is>
          <t>MA1010834</t>
        </is>
      </c>
      <c r="E4089" t="inlineStr">
        <is>
          <t>MA</t>
        </is>
      </c>
      <c r="F4089" t="inlineStr">
        <is>
          <t>MA1010834</t>
        </is>
      </c>
      <c r="G4089" s="128" t="n">
        <v>46108</v>
      </c>
      <c r="H4089" s="127" t="n">
        <v>46111</v>
      </c>
      <c r="I4089" t="inlineStr">
        <is>
          <t>1</t>
        </is>
      </c>
      <c r="J4089" s="38" t="inlineStr">
        <is>
          <t>0-4107</t>
        </is>
      </c>
      <c r="K4089" t="inlineStr">
        <is>
          <t>Native Warm-Season MIX - Order #1 - 9.5</t>
        </is>
      </c>
      <c r="L4089" t="n">
        <v>19000</v>
      </c>
      <c r="M4089" t="n">
        <v>397546.5</v>
      </c>
      <c r="N4089" t="inlineStr">
        <is>
          <t>PO:COMMIT</t>
        </is>
      </c>
      <c r="O4089" t="inlineStr">
        <is>
          <t>12662</t>
        </is>
      </c>
      <c r="P4089" t="inlineStr">
        <is>
          <t>ENVIRO SERVICES RENTAL, LLC</t>
        </is>
      </c>
      <c r="Q4089" s="114" t="n">
        <v>0</v>
      </c>
      <c r="R4089" s="114" t="n">
        <v>0</v>
      </c>
      <c r="S4089" s="114" t="n">
        <v>397546.5</v>
      </c>
      <c r="T4089" t="n">
        <v>0</v>
      </c>
    </row>
    <row r="4090">
      <c r="A4090" t="inlineStr">
        <is>
          <t>ttJTrans</t>
        </is>
      </c>
      <c r="B4090" s="38" t="inlineStr">
        <is>
          <t>0-4107</t>
        </is>
      </c>
      <c r="C4090" t="inlineStr">
        <is>
          <t>MA</t>
        </is>
      </c>
      <c r="D4090" t="inlineStr">
        <is>
          <t>MA1010834</t>
        </is>
      </c>
      <c r="E4090" t="inlineStr">
        <is>
          <t>MA</t>
        </is>
      </c>
      <c r="F4090" t="inlineStr">
        <is>
          <t>MA1010834</t>
        </is>
      </c>
      <c r="G4090" s="128" t="n">
        <v>46108</v>
      </c>
      <c r="H4090" s="127" t="n">
        <v>46111</v>
      </c>
      <c r="I4090" t="inlineStr">
        <is>
          <t>2</t>
        </is>
      </c>
      <c r="J4090" s="38" t="inlineStr">
        <is>
          <t>0-4107</t>
        </is>
      </c>
      <c r="K4090" t="inlineStr">
        <is>
          <t>Native Warm-Season MIX - Order #2 - 9.5</t>
        </is>
      </c>
      <c r="L4090" t="n">
        <v>19000</v>
      </c>
      <c r="M4090" t="n">
        <v>397546.5</v>
      </c>
      <c r="N4090" t="inlineStr">
        <is>
          <t>PO:COMMIT</t>
        </is>
      </c>
      <c r="O4090" t="inlineStr">
        <is>
          <t>12662</t>
        </is>
      </c>
      <c r="P4090" t="inlineStr">
        <is>
          <t>ENVIRO SERVICES RENTAL, LLC</t>
        </is>
      </c>
      <c r="Q4090" s="114" t="n">
        <v>0</v>
      </c>
      <c r="R4090" s="114" t="n">
        <v>0</v>
      </c>
      <c r="S4090" s="114" t="n">
        <v>397546.5</v>
      </c>
      <c r="T4090" t="n">
        <v>0</v>
      </c>
    </row>
    <row r="4091">
      <c r="A4091" t="inlineStr">
        <is>
          <t>ttJTrans</t>
        </is>
      </c>
      <c r="B4091" s="38" t="inlineStr">
        <is>
          <t>0-4107</t>
        </is>
      </c>
      <c r="C4091" t="inlineStr">
        <is>
          <t>OC</t>
        </is>
      </c>
      <c r="D4091" t="inlineStr">
        <is>
          <t>MA1010834</t>
        </is>
      </c>
      <c r="E4091" t="inlineStr">
        <is>
          <t>OC</t>
        </is>
      </c>
      <c r="F4091" t="inlineStr">
        <is>
          <t>MA1010834</t>
        </is>
      </c>
      <c r="G4091" s="128" t="n">
        <v>46108</v>
      </c>
      <c r="H4091" s="127" t="n">
        <v>46111</v>
      </c>
      <c r="I4091" t="inlineStr">
        <is>
          <t>3</t>
        </is>
      </c>
      <c r="J4091" s="38" t="inlineStr">
        <is>
          <t>0-4107</t>
        </is>
      </c>
      <c r="K4091" t="inlineStr">
        <is>
          <t>TBD FREIGHT *Absolutely no cancellations or</t>
        </is>
      </c>
      <c r="L4091" t="n">
        <v>1</v>
      </c>
      <c r="M4091" t="n">
        <v>0</v>
      </c>
      <c r="N4091" t="inlineStr">
        <is>
          <t>PO:COMMIT</t>
        </is>
      </c>
      <c r="O4091" t="inlineStr">
        <is>
          <t>12662</t>
        </is>
      </c>
      <c r="P4091" t="inlineStr">
        <is>
          <t>ENVIRO SERVICES RENTAL, LLC</t>
        </is>
      </c>
      <c r="Q4091" s="114" t="n">
        <v>0</v>
      </c>
      <c r="R4091" s="114" t="n">
        <v>0</v>
      </c>
      <c r="S4091" s="114" t="n">
        <v>0</v>
      </c>
      <c r="T4091" t="n">
        <v>0</v>
      </c>
    </row>
    <row r="4092">
      <c r="A4092" t="inlineStr">
        <is>
          <t>ttJTrans</t>
        </is>
      </c>
      <c r="B4092" s="38" t="inlineStr">
        <is>
          <t>0-4110</t>
        </is>
      </c>
      <c r="C4092" t="inlineStr">
        <is>
          <t>LA</t>
        </is>
      </c>
      <c r="E4092" t="inlineStr">
        <is>
          <t>LA</t>
        </is>
      </c>
      <c r="G4092" s="128" t="inlineStr"/>
      <c r="H4092" s="127" t="n">
        <v>46135</v>
      </c>
      <c r="J4092" s="38" t="inlineStr">
        <is>
          <t>0-4110</t>
        </is>
      </c>
      <c r="K4092" t="inlineStr">
        <is>
          <t>PR P0COST 000527 (PR) Summary</t>
        </is>
      </c>
      <c r="L4092" t="n">
        <v>0</v>
      </c>
      <c r="M4092" t="n">
        <v>0</v>
      </c>
      <c r="Q4092" s="114" t="n">
        <v>0</v>
      </c>
      <c r="R4092" s="114" t="n">
        <v>317.38</v>
      </c>
      <c r="S4092" s="114" t="n">
        <v>0</v>
      </c>
      <c r="T4092" t="n">
        <v>8</v>
      </c>
    </row>
    <row r="4093">
      <c r="A4093" t="inlineStr">
        <is>
          <t>ttJTrans</t>
        </is>
      </c>
      <c r="B4093" s="38" t="inlineStr">
        <is>
          <t>0-4111</t>
        </is>
      </c>
      <c r="C4093" t="inlineStr">
        <is>
          <t>ER</t>
        </is>
      </c>
      <c r="E4093" t="inlineStr">
        <is>
          <t>ER</t>
        </is>
      </c>
      <c r="G4093" s="128" t="inlineStr"/>
      <c r="H4093" s="127" t="n">
        <v>46152</v>
      </c>
      <c r="J4093" s="38" t="inlineStr">
        <is>
          <t>0-4111</t>
        </is>
      </c>
      <c r="K4093" t="inlineStr">
        <is>
          <t>RGR114 CATERPILLAR 150 AWD MOTOR GRADER CATERPILLAR 150 AWD MOTOR GRADER</t>
        </is>
      </c>
      <c r="L4093" t="n">
        <v>0</v>
      </c>
      <c r="M4093" t="n">
        <v>0</v>
      </c>
      <c r="O4093" t="inlineStr">
        <is>
          <t>RGR114</t>
        </is>
      </c>
      <c r="Q4093" s="114" t="n">
        <v>0</v>
      </c>
      <c r="R4093" s="114" t="n">
        <v>604.17</v>
      </c>
      <c r="S4093" s="114" t="n">
        <v>0</v>
      </c>
      <c r="T4093" t="n">
        <v>0</v>
      </c>
    </row>
    <row r="4094">
      <c r="A4094" t="inlineStr">
        <is>
          <t>ttJTrans</t>
        </is>
      </c>
      <c r="B4094" s="38" t="inlineStr">
        <is>
          <t>0-4111</t>
        </is>
      </c>
      <c r="C4094" t="inlineStr">
        <is>
          <t>ER</t>
        </is>
      </c>
      <c r="E4094" t="inlineStr">
        <is>
          <t>ER</t>
        </is>
      </c>
      <c r="G4094" s="128" t="inlineStr"/>
      <c r="H4094" s="127" t="n">
        <v>46152</v>
      </c>
      <c r="J4094" s="38" t="inlineStr">
        <is>
          <t>0-4111</t>
        </is>
      </c>
      <c r="K4094" t="inlineStr">
        <is>
          <t>RHV96 PETERBILT 4,000 GALLON WATER TRUCK PETERBILT 4,000 GALLON WATER TRUCK</t>
        </is>
      </c>
      <c r="L4094" t="n">
        <v>0</v>
      </c>
      <c r="M4094" t="n">
        <v>0</v>
      </c>
      <c r="O4094" t="inlineStr">
        <is>
          <t>RHV96</t>
        </is>
      </c>
      <c r="Q4094" s="114" t="n">
        <v>0</v>
      </c>
      <c r="R4094" s="114" t="n">
        <v>200</v>
      </c>
      <c r="S4094" s="114" t="n">
        <v>0</v>
      </c>
      <c r="T4094" t="n">
        <v>0</v>
      </c>
    </row>
    <row r="4095">
      <c r="A4095" t="inlineStr">
        <is>
          <t>ttJTrans</t>
        </is>
      </c>
      <c r="B4095" s="38" t="inlineStr">
        <is>
          <t>0-4111</t>
        </is>
      </c>
      <c r="C4095" t="inlineStr">
        <is>
          <t>ER</t>
        </is>
      </c>
      <c r="E4095" t="inlineStr">
        <is>
          <t>ER</t>
        </is>
      </c>
      <c r="G4095" s="128" t="inlineStr"/>
      <c r="H4095" s="127" t="n">
        <v>46152</v>
      </c>
      <c r="J4095" s="38" t="inlineStr">
        <is>
          <t>0-4111</t>
        </is>
      </c>
      <c r="K4095" t="inlineStr">
        <is>
          <t>RPK482 HAMM 84' SINGLE DRUM ROLLER HAMM 84' SINGLE DRUM ROLLER</t>
        </is>
      </c>
      <c r="L4095" t="n">
        <v>0</v>
      </c>
      <c r="M4095" t="n">
        <v>0</v>
      </c>
      <c r="O4095" t="inlineStr">
        <is>
          <t>RPK482</t>
        </is>
      </c>
      <c r="Q4095" s="114" t="n">
        <v>0</v>
      </c>
      <c r="R4095" s="114" t="n">
        <v>300</v>
      </c>
      <c r="S4095" s="114" t="n">
        <v>0</v>
      </c>
      <c r="T4095" t="n">
        <v>0</v>
      </c>
    </row>
    <row r="4096">
      <c r="A4096" t="inlineStr">
        <is>
          <t>ttJTrans</t>
        </is>
      </c>
      <c r="B4096" s="38" t="inlineStr">
        <is>
          <t>0-4111</t>
        </is>
      </c>
      <c r="C4096" t="inlineStr">
        <is>
          <t>ER</t>
        </is>
      </c>
      <c r="E4096" t="inlineStr">
        <is>
          <t>ER</t>
        </is>
      </c>
      <c r="G4096" s="128" t="inlineStr"/>
      <c r="H4096" s="127" t="n">
        <v>46152</v>
      </c>
      <c r="J4096" s="38" t="inlineStr">
        <is>
          <t>0-4111</t>
        </is>
      </c>
      <c r="K4096" t="inlineStr">
        <is>
          <t>RPK500 CATERPILLAR 84" PADFOOT ROLLER CATERPILLAR 84" PADFOOT ROLLER</t>
        </is>
      </c>
      <c r="L4096" t="n">
        <v>0</v>
      </c>
      <c r="M4096" t="n">
        <v>0</v>
      </c>
      <c r="O4096" t="inlineStr">
        <is>
          <t>RPK500</t>
        </is>
      </c>
      <c r="Q4096" s="114" t="n">
        <v>0</v>
      </c>
      <c r="R4096" s="114" t="n">
        <v>340</v>
      </c>
      <c r="S4096" s="114" t="n">
        <v>0</v>
      </c>
      <c r="T4096" t="n">
        <v>0</v>
      </c>
    </row>
    <row r="4097">
      <c r="A4097" t="inlineStr">
        <is>
          <t>ttJTrans</t>
        </is>
      </c>
      <c r="B4097" s="38" t="inlineStr">
        <is>
          <t>0-4111</t>
        </is>
      </c>
      <c r="C4097" t="inlineStr">
        <is>
          <t>ER</t>
        </is>
      </c>
      <c r="E4097" t="inlineStr">
        <is>
          <t>ER</t>
        </is>
      </c>
      <c r="G4097" s="128" t="inlineStr"/>
      <c r="H4097" s="127" t="n">
        <v>46152</v>
      </c>
      <c r="J4097" s="38" t="inlineStr">
        <is>
          <t>0-4111</t>
        </is>
      </c>
      <c r="K4097" t="inlineStr">
        <is>
          <t>RPK500 CATERPILLAR 84" PADFOOT ROLLER CATERPILLAR 84" PADFOOT ROLLER</t>
        </is>
      </c>
      <c r="L4097" t="n">
        <v>0</v>
      </c>
      <c r="M4097" t="n">
        <v>0</v>
      </c>
      <c r="O4097" t="inlineStr">
        <is>
          <t>RPK500</t>
        </is>
      </c>
      <c r="Q4097" s="114" t="n">
        <v>0</v>
      </c>
      <c r="R4097" s="114" t="n">
        <v>340</v>
      </c>
      <c r="S4097" s="114" t="n">
        <v>0</v>
      </c>
      <c r="T4097" t="n">
        <v>0</v>
      </c>
    </row>
    <row r="4098">
      <c r="A4098" t="inlineStr">
        <is>
          <t>ttJTrans</t>
        </is>
      </c>
      <c r="B4098" s="38" t="inlineStr">
        <is>
          <t>0-4111</t>
        </is>
      </c>
      <c r="C4098" t="inlineStr">
        <is>
          <t>ER</t>
        </is>
      </c>
      <c r="E4098" t="inlineStr">
        <is>
          <t>ER</t>
        </is>
      </c>
      <c r="G4098" s="128" t="inlineStr"/>
      <c r="H4098" s="127" t="n">
        <v>46152</v>
      </c>
      <c r="J4098" s="38" t="inlineStr">
        <is>
          <t>0-4111</t>
        </is>
      </c>
      <c r="K4098" t="inlineStr">
        <is>
          <t>RPK500 CATERPILLAR 84" PADFOOT ROLLER CATERPILLAR 84" PADFOOT ROLLER</t>
        </is>
      </c>
      <c r="L4098" t="n">
        <v>0</v>
      </c>
      <c r="M4098" t="n">
        <v>0</v>
      </c>
      <c r="O4098" t="inlineStr">
        <is>
          <t>RPK500</t>
        </is>
      </c>
      <c r="Q4098" s="114" t="n">
        <v>0</v>
      </c>
      <c r="R4098" s="114" t="n">
        <v>340</v>
      </c>
      <c r="S4098" s="114" t="n">
        <v>0</v>
      </c>
      <c r="T4098" t="n">
        <v>0</v>
      </c>
    </row>
    <row r="4099">
      <c r="A4099" t="inlineStr">
        <is>
          <t>ttJTrans</t>
        </is>
      </c>
      <c r="B4099" s="38" t="inlineStr">
        <is>
          <t>0-4111</t>
        </is>
      </c>
      <c r="C4099" t="inlineStr">
        <is>
          <t>ER</t>
        </is>
      </c>
      <c r="E4099" t="inlineStr">
        <is>
          <t>ER</t>
        </is>
      </c>
      <c r="G4099" s="128" t="inlineStr"/>
      <c r="H4099" s="127" t="n">
        <v>46152</v>
      </c>
      <c r="J4099" s="38" t="inlineStr">
        <is>
          <t>0-4111</t>
        </is>
      </c>
      <c r="K4099" t="inlineStr">
        <is>
          <t>RPK500 CATERPILLAR 84" PADFOOT ROLLER CATERPILLAR 84" PADFOOT ROLLER</t>
        </is>
      </c>
      <c r="L4099" t="n">
        <v>0</v>
      </c>
      <c r="M4099" t="n">
        <v>0</v>
      </c>
      <c r="O4099" t="inlineStr">
        <is>
          <t>RPK500</t>
        </is>
      </c>
      <c r="Q4099" s="114" t="n">
        <v>0</v>
      </c>
      <c r="R4099" s="114" t="n">
        <v>340</v>
      </c>
      <c r="S4099" s="114" t="n">
        <v>0</v>
      </c>
      <c r="T4099" t="n">
        <v>0</v>
      </c>
    </row>
    <row r="4100">
      <c r="A4100" t="inlineStr">
        <is>
          <t>ttJTrans</t>
        </is>
      </c>
      <c r="B4100" s="38" t="inlineStr">
        <is>
          <t>0-4111</t>
        </is>
      </c>
      <c r="C4100" t="inlineStr">
        <is>
          <t>ER</t>
        </is>
      </c>
      <c r="E4100" t="inlineStr">
        <is>
          <t>ER</t>
        </is>
      </c>
      <c r="G4100" s="128" t="inlineStr"/>
      <c r="H4100" s="127" t="n">
        <v>46159</v>
      </c>
      <c r="J4100" s="38" t="inlineStr">
        <is>
          <t>0-4111</t>
        </is>
      </c>
      <c r="K4100" t="inlineStr">
        <is>
          <t>RGR114 CATERPILLAR 150 AWD MOTOR GRADER CATERPILLAR 150 AWD MOTOR GRADER</t>
        </is>
      </c>
      <c r="L4100" t="n">
        <v>0</v>
      </c>
      <c r="M4100" t="n">
        <v>0</v>
      </c>
      <c r="O4100" t="inlineStr">
        <is>
          <t>RGR114</t>
        </is>
      </c>
      <c r="Q4100" s="114" t="n">
        <v>0</v>
      </c>
      <c r="R4100" s="114" t="n">
        <v>604.17</v>
      </c>
      <c r="S4100" s="114" t="n">
        <v>0</v>
      </c>
      <c r="T4100" t="n">
        <v>0</v>
      </c>
    </row>
    <row r="4101">
      <c r="A4101" t="inlineStr">
        <is>
          <t>ttJTrans</t>
        </is>
      </c>
      <c r="B4101" s="38" t="inlineStr">
        <is>
          <t>0-4111</t>
        </is>
      </c>
      <c r="C4101" t="inlineStr">
        <is>
          <t>ER</t>
        </is>
      </c>
      <c r="E4101" t="inlineStr">
        <is>
          <t>ER</t>
        </is>
      </c>
      <c r="G4101" s="128" t="inlineStr"/>
      <c r="H4101" s="127" t="n">
        <v>46159</v>
      </c>
      <c r="J4101" s="38" t="inlineStr">
        <is>
          <t>0-4111</t>
        </is>
      </c>
      <c r="K4101" t="inlineStr">
        <is>
          <t>RHV96 PETERBILT 4,000 GALLON WATER TRUCK PETERBILT 4,000 GALLON WATER TRUCK</t>
        </is>
      </c>
      <c r="L4101" t="n">
        <v>0</v>
      </c>
      <c r="M4101" t="n">
        <v>0</v>
      </c>
      <c r="O4101" t="inlineStr">
        <is>
          <t>RHV96</t>
        </is>
      </c>
      <c r="Q4101" s="114" t="n">
        <v>0</v>
      </c>
      <c r="R4101" s="114" t="n">
        <v>200</v>
      </c>
      <c r="S4101" s="114" t="n">
        <v>0</v>
      </c>
      <c r="T4101" t="n">
        <v>0</v>
      </c>
    </row>
    <row r="4102">
      <c r="A4102" t="inlineStr">
        <is>
          <t>ttJTrans</t>
        </is>
      </c>
      <c r="B4102" s="38" t="inlineStr">
        <is>
          <t>0-4111</t>
        </is>
      </c>
      <c r="C4102" t="inlineStr">
        <is>
          <t>ER</t>
        </is>
      </c>
      <c r="E4102" t="inlineStr">
        <is>
          <t>ER</t>
        </is>
      </c>
      <c r="G4102" s="128" t="inlineStr"/>
      <c r="H4102" s="127" t="n">
        <v>46159</v>
      </c>
      <c r="J4102" s="38" t="inlineStr">
        <is>
          <t>0-4111</t>
        </is>
      </c>
      <c r="K4102" t="inlineStr">
        <is>
          <t>RHV96 PETERBILT 4,000 GALLON WATER TRUCK PETERBILT 4,000 GALLON WATER TRUCK</t>
        </is>
      </c>
      <c r="L4102" t="n">
        <v>0</v>
      </c>
      <c r="M4102" t="n">
        <v>0</v>
      </c>
      <c r="O4102" t="inlineStr">
        <is>
          <t>RHV96</t>
        </is>
      </c>
      <c r="Q4102" s="114" t="n">
        <v>0</v>
      </c>
      <c r="R4102" s="114" t="n">
        <v>200</v>
      </c>
      <c r="S4102" s="114" t="n">
        <v>0</v>
      </c>
      <c r="T4102" t="n">
        <v>0</v>
      </c>
    </row>
    <row r="4103">
      <c r="A4103" t="inlineStr">
        <is>
          <t>ttJTrans</t>
        </is>
      </c>
      <c r="B4103" s="38" t="inlineStr">
        <is>
          <t>0-4111</t>
        </is>
      </c>
      <c r="C4103" t="inlineStr">
        <is>
          <t>ER</t>
        </is>
      </c>
      <c r="E4103" t="inlineStr">
        <is>
          <t>ER</t>
        </is>
      </c>
      <c r="G4103" s="128" t="inlineStr"/>
      <c r="H4103" s="127" t="n">
        <v>46159</v>
      </c>
      <c r="J4103" s="38" t="inlineStr">
        <is>
          <t>0-4111</t>
        </is>
      </c>
      <c r="K4103" t="inlineStr">
        <is>
          <t>RPK482 HAMM 84' SINGLE DRUM ROLLER HAMM 84' SINGLE DRUM ROLLER</t>
        </is>
      </c>
      <c r="L4103" t="n">
        <v>0</v>
      </c>
      <c r="M4103" t="n">
        <v>0</v>
      </c>
      <c r="O4103" t="inlineStr">
        <is>
          <t>RPK482</t>
        </is>
      </c>
      <c r="Q4103" s="114" t="n">
        <v>0</v>
      </c>
      <c r="R4103" s="114" t="n">
        <v>300</v>
      </c>
      <c r="S4103" s="114" t="n">
        <v>0</v>
      </c>
      <c r="T4103" t="n">
        <v>0</v>
      </c>
    </row>
    <row r="4104">
      <c r="A4104" t="inlineStr">
        <is>
          <t>ttJTrans</t>
        </is>
      </c>
      <c r="B4104" s="38" t="inlineStr">
        <is>
          <t>0-4111</t>
        </is>
      </c>
      <c r="C4104" t="inlineStr">
        <is>
          <t>ER</t>
        </is>
      </c>
      <c r="E4104" t="inlineStr">
        <is>
          <t>ER</t>
        </is>
      </c>
      <c r="H4104" s="127" t="n">
        <v>46159</v>
      </c>
      <c r="J4104" s="38" t="inlineStr">
        <is>
          <t>0-4111</t>
        </is>
      </c>
      <c r="K4104" t="inlineStr">
        <is>
          <t>RPK500 CATERPILLAR 84" PADFOOT ROLLER CATERPILLAR 84" PADFOOT ROLLER</t>
        </is>
      </c>
      <c r="L4104" t="n">
        <v>0</v>
      </c>
      <c r="M4104" t="n">
        <v>0</v>
      </c>
      <c r="O4104" t="inlineStr">
        <is>
          <t>RPK500</t>
        </is>
      </c>
      <c r="Q4104" s="114" t="n">
        <v>0</v>
      </c>
      <c r="R4104" s="114" t="n">
        <v>340</v>
      </c>
      <c r="S4104" s="114" t="n">
        <v>0</v>
      </c>
      <c r="T4104" t="n">
        <v>0</v>
      </c>
    </row>
    <row r="4105">
      <c r="A4105" t="inlineStr">
        <is>
          <t>ttJTrans</t>
        </is>
      </c>
      <c r="B4105" s="38" t="inlineStr">
        <is>
          <t>0-4111</t>
        </is>
      </c>
      <c r="C4105" t="inlineStr">
        <is>
          <t>ER</t>
        </is>
      </c>
      <c r="E4105" t="inlineStr">
        <is>
          <t>ER</t>
        </is>
      </c>
      <c r="H4105" s="127" t="n">
        <v>46159</v>
      </c>
      <c r="J4105" s="38" t="inlineStr">
        <is>
          <t>0-4111</t>
        </is>
      </c>
      <c r="K4105" t="inlineStr">
        <is>
          <t>RPK500 CATERPILLAR 84" PADFOOT ROLLER CATERPILLAR 84" PADFOOT ROLLER</t>
        </is>
      </c>
      <c r="L4105" t="n">
        <v>0</v>
      </c>
      <c r="M4105" t="n">
        <v>0</v>
      </c>
      <c r="O4105" t="inlineStr">
        <is>
          <t>RPK500</t>
        </is>
      </c>
      <c r="Q4105" s="114" t="n">
        <v>0</v>
      </c>
      <c r="R4105" s="114" t="n">
        <v>340</v>
      </c>
      <c r="S4105" s="114" t="n">
        <v>0</v>
      </c>
      <c r="T4105" t="n">
        <v>0</v>
      </c>
    </row>
    <row r="4106">
      <c r="A4106" t="inlineStr">
        <is>
          <t>ttJTrans</t>
        </is>
      </c>
      <c r="B4106" s="38" t="inlineStr">
        <is>
          <t>0-4111</t>
        </is>
      </c>
      <c r="C4106" t="inlineStr">
        <is>
          <t>LA</t>
        </is>
      </c>
      <c r="E4106" t="inlineStr">
        <is>
          <t>LA</t>
        </is>
      </c>
      <c r="H4106" s="127" t="n">
        <v>46149</v>
      </c>
      <c r="J4106" s="38" t="inlineStr">
        <is>
          <t>0-4111</t>
        </is>
      </c>
      <c r="K4106" t="inlineStr">
        <is>
          <t>PR P0COST 000529 (PR) Summary</t>
        </is>
      </c>
      <c r="L4106" t="n">
        <v>0</v>
      </c>
      <c r="M4106" t="n">
        <v>0</v>
      </c>
      <c r="Q4106" s="114" t="n">
        <v>0</v>
      </c>
      <c r="R4106" s="114" t="n">
        <v>2342.07</v>
      </c>
      <c r="S4106" s="114" t="n">
        <v>0</v>
      </c>
      <c r="T4106" t="n">
        <v>50</v>
      </c>
    </row>
    <row r="4107">
      <c r="A4107" t="inlineStr">
        <is>
          <t>ttJTrans</t>
        </is>
      </c>
      <c r="B4107" s="38" t="inlineStr">
        <is>
          <t>0-4111</t>
        </is>
      </c>
      <c r="C4107" t="inlineStr">
        <is>
          <t>LA</t>
        </is>
      </c>
      <c r="E4107" t="inlineStr">
        <is>
          <t>LA</t>
        </is>
      </c>
      <c r="H4107" s="127" t="n">
        <v>46156</v>
      </c>
      <c r="J4107" s="38" t="inlineStr">
        <is>
          <t>0-4111</t>
        </is>
      </c>
      <c r="K4107" t="inlineStr">
        <is>
          <t>PR P0COST 000530 (PR) Summary</t>
        </is>
      </c>
      <c r="L4107" t="n">
        <v>0</v>
      </c>
      <c r="M4107" t="n">
        <v>0</v>
      </c>
      <c r="Q4107" s="114" t="n">
        <v>0</v>
      </c>
      <c r="R4107" s="114" t="n">
        <v>2267.62</v>
      </c>
      <c r="S4107" s="114" t="n">
        <v>0</v>
      </c>
      <c r="T4107" t="n">
        <v>30</v>
      </c>
    </row>
    <row r="4108">
      <c r="A4108" t="inlineStr">
        <is>
          <t>ttJTrans</t>
        </is>
      </c>
      <c r="B4108" s="38" t="inlineStr">
        <is>
          <t>0-4111</t>
        </is>
      </c>
      <c r="C4108" t="inlineStr">
        <is>
          <t>OC</t>
        </is>
      </c>
      <c r="D4108" t="inlineStr">
        <is>
          <t>MA1011065</t>
        </is>
      </c>
      <c r="E4108" t="inlineStr">
        <is>
          <t>OC</t>
        </is>
      </c>
      <c r="F4108" t="inlineStr">
        <is>
          <t>MA1011065</t>
        </is>
      </c>
      <c r="G4108" t="n">
        <v>46120</v>
      </c>
      <c r="H4108" s="127" t="n">
        <v>46120</v>
      </c>
      <c r="I4108" t="inlineStr">
        <is>
          <t>1</t>
        </is>
      </c>
      <c r="J4108" s="38" t="inlineStr">
        <is>
          <t>0-4111</t>
        </is>
      </c>
      <c r="K4108" t="inlineStr">
        <is>
          <t>SOIL PROCTOR TESTING BULK PO ALL CHARGES TO</t>
        </is>
      </c>
      <c r="L4108" t="n">
        <v>1</v>
      </c>
      <c r="M4108" t="n">
        <v>55500</v>
      </c>
      <c r="N4108" t="inlineStr">
        <is>
          <t>PO:COMMIT</t>
        </is>
      </c>
      <c r="O4108" t="inlineStr">
        <is>
          <t>13296</t>
        </is>
      </c>
      <c r="P4108" t="inlineStr">
        <is>
          <t>TERRACON CONSULTANTS, INC</t>
        </is>
      </c>
      <c r="Q4108" s="114" t="n">
        <v>0</v>
      </c>
      <c r="R4108" s="114" t="n">
        <v>0</v>
      </c>
      <c r="S4108" s="114" t="n">
        <v>55500</v>
      </c>
      <c r="T4108" t="n">
        <v>0</v>
      </c>
    </row>
    <row r="4109">
      <c r="A4109" t="inlineStr">
        <is>
          <t>ttJTrans</t>
        </is>
      </c>
      <c r="B4109" s="38" t="inlineStr">
        <is>
          <t>0-4113</t>
        </is>
      </c>
      <c r="C4109" t="inlineStr">
        <is>
          <t>EQ</t>
        </is>
      </c>
      <c r="E4109" t="inlineStr">
        <is>
          <t>EQ</t>
        </is>
      </c>
      <c r="H4109" s="127" t="n">
        <v>46142</v>
      </c>
      <c r="J4109" s="38" t="inlineStr">
        <is>
          <t>0-4113</t>
        </is>
      </c>
      <c r="K4109" t="inlineStr">
        <is>
          <t>RT1447 2024 FORD F250 XL STX CREW CAB DIESEL SWB 2024 FORD F250 XL STX CREW CAB DIESEL SWB</t>
        </is>
      </c>
      <c r="L4109" t="n">
        <v>0</v>
      </c>
      <c r="M4109" t="n">
        <v>0</v>
      </c>
      <c r="O4109" t="inlineStr">
        <is>
          <t>RT1447</t>
        </is>
      </c>
      <c r="Q4109" s="114" t="n">
        <v>0</v>
      </c>
      <c r="R4109" s="114" t="n">
        <v>79.14</v>
      </c>
      <c r="S4109" s="114" t="n">
        <v>0</v>
      </c>
      <c r="T4109" t="n">
        <v>0</v>
      </c>
    </row>
    <row r="4110">
      <c r="A4110" t="inlineStr">
        <is>
          <t>ttJTrans</t>
        </is>
      </c>
      <c r="B4110" s="38" t="inlineStr">
        <is>
          <t>0-4113</t>
        </is>
      </c>
      <c r="C4110" t="inlineStr">
        <is>
          <t>EQ</t>
        </is>
      </c>
      <c r="E4110" t="inlineStr">
        <is>
          <t>EQ</t>
        </is>
      </c>
      <c r="H4110" s="127" t="n">
        <v>46142</v>
      </c>
      <c r="J4110" s="38" t="inlineStr">
        <is>
          <t>0-4113</t>
        </is>
      </c>
      <c r="K4110" t="inlineStr">
        <is>
          <t>RT1447 2024 FORD F250 XL STX CREW CAB DIESEL SWB 2024 FORD F250 XL STX CREW CAB DIESEL SWB</t>
        </is>
      </c>
      <c r="L4110" t="n">
        <v>0</v>
      </c>
      <c r="M4110" t="n">
        <v>0</v>
      </c>
      <c r="O4110" t="inlineStr">
        <is>
          <t>RT1447</t>
        </is>
      </c>
      <c r="Q4110" s="114" t="n">
        <v>0</v>
      </c>
      <c r="R4110" s="114" t="n">
        <v>79.14</v>
      </c>
      <c r="S4110" s="114" t="n">
        <v>0</v>
      </c>
      <c r="T4110" t="n">
        <v>0</v>
      </c>
    </row>
    <row r="4111">
      <c r="A4111" t="inlineStr">
        <is>
          <t>ttJTrans</t>
        </is>
      </c>
      <c r="B4111" s="38" t="inlineStr">
        <is>
          <t>0-4113</t>
        </is>
      </c>
      <c r="C4111" t="inlineStr">
        <is>
          <t>EQ</t>
        </is>
      </c>
      <c r="E4111" t="inlineStr">
        <is>
          <t>EQ</t>
        </is>
      </c>
      <c r="H4111" s="127" t="n">
        <v>46142</v>
      </c>
      <c r="J4111" s="38" t="inlineStr">
        <is>
          <t>0-4113</t>
        </is>
      </c>
      <c r="K4111" t="inlineStr">
        <is>
          <t>RT1447 2024 FORD F250 XL STX CREW CAB DIESEL SWB 2024 FORD F250 XL STX CREW CAB DIESEL SWB</t>
        </is>
      </c>
      <c r="L4111" t="n">
        <v>0</v>
      </c>
      <c r="M4111" t="n">
        <v>0</v>
      </c>
      <c r="O4111" t="inlineStr">
        <is>
          <t>RT1447</t>
        </is>
      </c>
      <c r="Q4111" s="114" t="n">
        <v>0</v>
      </c>
      <c r="R4111" s="114" t="n">
        <v>79.14</v>
      </c>
      <c r="S4111" s="114" t="n">
        <v>0</v>
      </c>
      <c r="T4111" t="n">
        <v>0</v>
      </c>
    </row>
    <row r="4112">
      <c r="A4112" t="inlineStr">
        <is>
          <t>ttJTrans</t>
        </is>
      </c>
      <c r="B4112" s="38" t="inlineStr">
        <is>
          <t>0-4113</t>
        </is>
      </c>
      <c r="C4112" t="inlineStr">
        <is>
          <t>EQ</t>
        </is>
      </c>
      <c r="E4112" t="inlineStr">
        <is>
          <t>EQ</t>
        </is>
      </c>
      <c r="H4112" s="127" t="n">
        <v>46142</v>
      </c>
      <c r="J4112" s="38" t="inlineStr">
        <is>
          <t>0-4113</t>
        </is>
      </c>
      <c r="K4112" t="inlineStr">
        <is>
          <t>RT1447 2024 FORD F250 XL STX CREW CAB DIESEL SWB 2024 FORD F250 XL STX CREW CAB DIESEL SWB</t>
        </is>
      </c>
      <c r="L4112" t="n">
        <v>0</v>
      </c>
      <c r="M4112" t="n">
        <v>0</v>
      </c>
      <c r="O4112" t="inlineStr">
        <is>
          <t>RT1447</t>
        </is>
      </c>
      <c r="Q4112" s="114" t="n">
        <v>0</v>
      </c>
      <c r="R4112" s="114" t="n">
        <v>79.14</v>
      </c>
      <c r="S4112" s="114" t="n">
        <v>0</v>
      </c>
      <c r="T4112" t="n">
        <v>0</v>
      </c>
    </row>
    <row r="4113">
      <c r="A4113" t="inlineStr">
        <is>
          <t>ttJTrans</t>
        </is>
      </c>
      <c r="B4113" s="38" t="inlineStr">
        <is>
          <t>0-4113</t>
        </is>
      </c>
      <c r="C4113" t="inlineStr">
        <is>
          <t>EQ</t>
        </is>
      </c>
      <c r="E4113" t="inlineStr">
        <is>
          <t>EQ</t>
        </is>
      </c>
      <c r="H4113" s="127" t="n">
        <v>46145</v>
      </c>
      <c r="J4113" s="38" t="inlineStr">
        <is>
          <t>0-4113</t>
        </is>
      </c>
      <c r="K4113" t="inlineStr">
        <is>
          <t>RT1447 2024 FORD F250 XL STX CREW CAB DIESEL SWB 2024 FORD F250 XL STX CREW CAB DIESEL SWB</t>
        </is>
      </c>
      <c r="L4113" t="n">
        <v>0</v>
      </c>
      <c r="M4113" t="n">
        <v>0</v>
      </c>
      <c r="O4113" t="inlineStr">
        <is>
          <t>RT1447</t>
        </is>
      </c>
      <c r="Q4113" s="114" t="n">
        <v>0</v>
      </c>
      <c r="R4113" s="114" t="n">
        <v>79.14</v>
      </c>
      <c r="S4113" s="114" t="n">
        <v>0</v>
      </c>
      <c r="T4113" t="n">
        <v>0</v>
      </c>
    </row>
    <row r="4114">
      <c r="A4114" t="inlineStr">
        <is>
          <t>ttJTrans</t>
        </is>
      </c>
      <c r="B4114" s="38" t="inlineStr">
        <is>
          <t>0-4113</t>
        </is>
      </c>
      <c r="C4114" t="inlineStr">
        <is>
          <t>EQ</t>
        </is>
      </c>
      <c r="E4114" t="inlineStr">
        <is>
          <t>EQ</t>
        </is>
      </c>
      <c r="H4114" s="127" t="n">
        <v>46145</v>
      </c>
      <c r="J4114" s="38" t="inlineStr">
        <is>
          <t>0-4113</t>
        </is>
      </c>
      <c r="K4114" t="inlineStr">
        <is>
          <t>RT1447 2024 FORD F250 XL STX CREW CAB DIESEL SWB 2024 FORD F250 XL STX CREW CAB DIESEL SWB</t>
        </is>
      </c>
      <c r="L4114" t="n">
        <v>0</v>
      </c>
      <c r="M4114" t="n">
        <v>0</v>
      </c>
      <c r="O4114" t="inlineStr">
        <is>
          <t>RT1447</t>
        </is>
      </c>
      <c r="Q4114" s="114" t="n">
        <v>0</v>
      </c>
      <c r="R4114" s="114" t="n">
        <v>79.14</v>
      </c>
      <c r="S4114" s="114" t="n">
        <v>0</v>
      </c>
      <c r="T4114" t="n">
        <v>0</v>
      </c>
    </row>
    <row r="4115">
      <c r="A4115" t="inlineStr">
        <is>
          <t>ttJTrans</t>
        </is>
      </c>
      <c r="B4115" s="38" t="inlineStr">
        <is>
          <t>0-4113</t>
        </is>
      </c>
      <c r="C4115" t="inlineStr">
        <is>
          <t>EQ</t>
        </is>
      </c>
      <c r="E4115" t="inlineStr">
        <is>
          <t>EQ</t>
        </is>
      </c>
      <c r="H4115" s="127" t="n">
        <v>46152</v>
      </c>
      <c r="J4115" s="38" t="inlineStr">
        <is>
          <t>0-4113</t>
        </is>
      </c>
      <c r="K4115" t="inlineStr">
        <is>
          <t>RT1447 2024 FORD F250 XL STX CREW CAB DIESEL SWB 2024 FORD F250 XL STX CREW CAB DIESEL SWB</t>
        </is>
      </c>
      <c r="L4115" t="n">
        <v>0</v>
      </c>
      <c r="M4115" t="n">
        <v>0</v>
      </c>
      <c r="O4115" t="inlineStr">
        <is>
          <t>RT1447</t>
        </is>
      </c>
      <c r="Q4115" s="114" t="n">
        <v>0</v>
      </c>
      <c r="R4115" s="114" t="n">
        <v>79.14</v>
      </c>
      <c r="S4115" s="114" t="n">
        <v>0</v>
      </c>
      <c r="T4115" t="n">
        <v>0</v>
      </c>
    </row>
    <row r="4116">
      <c r="A4116" t="inlineStr">
        <is>
          <t>ttJTrans</t>
        </is>
      </c>
      <c r="B4116" s="38" t="inlineStr">
        <is>
          <t>0-4113</t>
        </is>
      </c>
      <c r="C4116" t="inlineStr">
        <is>
          <t>EQ</t>
        </is>
      </c>
      <c r="E4116" t="inlineStr">
        <is>
          <t>EQ</t>
        </is>
      </c>
      <c r="H4116" s="127" t="n">
        <v>46152</v>
      </c>
      <c r="J4116" s="38" t="inlineStr">
        <is>
          <t>0-4113</t>
        </is>
      </c>
      <c r="K4116" t="inlineStr">
        <is>
          <t>RT1447 2024 FORD F250 XL STX CREW CAB DIESEL SWB 2024 FORD F250 XL STX CREW CAB DIESEL SWB</t>
        </is>
      </c>
      <c r="L4116" t="n">
        <v>0</v>
      </c>
      <c r="M4116" t="n">
        <v>0</v>
      </c>
      <c r="O4116" t="inlineStr">
        <is>
          <t>RT1447</t>
        </is>
      </c>
      <c r="Q4116" s="114" t="n">
        <v>0</v>
      </c>
      <c r="R4116" s="114" t="n">
        <v>79.14</v>
      </c>
      <c r="S4116" s="114" t="n">
        <v>0</v>
      </c>
      <c r="T4116" t="n">
        <v>0</v>
      </c>
    </row>
    <row r="4117">
      <c r="A4117" t="inlineStr">
        <is>
          <t>ttJTrans</t>
        </is>
      </c>
      <c r="B4117" s="38" t="inlineStr">
        <is>
          <t>0-4113</t>
        </is>
      </c>
      <c r="C4117" t="inlineStr">
        <is>
          <t>EQ</t>
        </is>
      </c>
      <c r="E4117" t="inlineStr">
        <is>
          <t>EQ</t>
        </is>
      </c>
      <c r="H4117" s="127" t="n">
        <v>46159</v>
      </c>
      <c r="J4117" s="38" t="inlineStr">
        <is>
          <t>0-4113</t>
        </is>
      </c>
      <c r="K4117" t="inlineStr">
        <is>
          <t>RT1447 2024 FORD F250 XL STX CREW CAB DIESEL SWB 2024 FORD F250 XL STX CREW CAB DIESEL SWB</t>
        </is>
      </c>
      <c r="L4117" t="n">
        <v>0</v>
      </c>
      <c r="M4117" t="n">
        <v>0</v>
      </c>
      <c r="O4117" t="inlineStr">
        <is>
          <t>RT1447</t>
        </is>
      </c>
      <c r="Q4117" s="114" t="n">
        <v>0</v>
      </c>
      <c r="R4117" s="114" t="n">
        <v>79.14</v>
      </c>
      <c r="S4117" s="114" t="n">
        <v>0</v>
      </c>
      <c r="T4117" t="n">
        <v>0</v>
      </c>
    </row>
    <row r="4118">
      <c r="A4118" t="inlineStr">
        <is>
          <t>ttJTrans</t>
        </is>
      </c>
      <c r="B4118" s="38" t="inlineStr">
        <is>
          <t>0-4113</t>
        </is>
      </c>
      <c r="C4118" t="inlineStr">
        <is>
          <t>ER</t>
        </is>
      </c>
      <c r="E4118" t="inlineStr">
        <is>
          <t>ER</t>
        </is>
      </c>
      <c r="H4118" s="127" t="n">
        <v>46142</v>
      </c>
      <c r="J4118" s="38" t="inlineStr">
        <is>
          <t>0-4113</t>
        </is>
      </c>
      <c r="K4118" t="inlineStr">
        <is>
          <t>RGR114 CATERPILLAR 150 AWD MOTOR GRADER CATERPILLAR 150 AWD MOTOR GRADER</t>
        </is>
      </c>
      <c r="L4118" t="n">
        <v>0</v>
      </c>
      <c r="M4118" t="n">
        <v>0</v>
      </c>
      <c r="O4118" t="inlineStr">
        <is>
          <t>RGR114</t>
        </is>
      </c>
      <c r="Q4118" s="114" t="n">
        <v>0</v>
      </c>
      <c r="R4118" s="114" t="n">
        <v>604.17</v>
      </c>
      <c r="S4118" s="114" t="n">
        <v>0</v>
      </c>
      <c r="T4118" t="n">
        <v>0</v>
      </c>
    </row>
    <row r="4119">
      <c r="A4119" t="inlineStr">
        <is>
          <t>ttJTrans</t>
        </is>
      </c>
      <c r="B4119" s="38" t="inlineStr">
        <is>
          <t>0-4113</t>
        </is>
      </c>
      <c r="C4119" t="inlineStr">
        <is>
          <t>ER</t>
        </is>
      </c>
      <c r="E4119" t="inlineStr">
        <is>
          <t>ER</t>
        </is>
      </c>
      <c r="H4119" s="127" t="n">
        <v>46142</v>
      </c>
      <c r="J4119" s="38" t="inlineStr">
        <is>
          <t>0-4113</t>
        </is>
      </c>
      <c r="K4119" t="inlineStr">
        <is>
          <t>RGR114 CATERPILLAR 150 AWD MOTOR GRADER CATERPILLAR 150 AWD MOTOR GRADER</t>
        </is>
      </c>
      <c r="L4119" t="n">
        <v>0</v>
      </c>
      <c r="M4119" t="n">
        <v>0</v>
      </c>
      <c r="O4119" t="inlineStr">
        <is>
          <t>RGR114</t>
        </is>
      </c>
      <c r="Q4119" s="114" t="n">
        <v>0</v>
      </c>
      <c r="R4119" s="114" t="n">
        <v>604.17</v>
      </c>
      <c r="S4119" s="114" t="n">
        <v>0</v>
      </c>
      <c r="T4119" t="n">
        <v>0</v>
      </c>
    </row>
    <row r="4120">
      <c r="A4120" t="inlineStr">
        <is>
          <t>ttJTrans</t>
        </is>
      </c>
      <c r="B4120" s="38" t="inlineStr">
        <is>
          <t>0-4113</t>
        </is>
      </c>
      <c r="C4120" t="inlineStr">
        <is>
          <t>ER</t>
        </is>
      </c>
      <c r="E4120" t="inlineStr">
        <is>
          <t>ER</t>
        </is>
      </c>
      <c r="H4120" s="127" t="n">
        <v>46142</v>
      </c>
      <c r="J4120" s="38" t="inlineStr">
        <is>
          <t>0-4113</t>
        </is>
      </c>
      <c r="K4120" t="inlineStr">
        <is>
          <t>RGR114 CATERPILLAR 150 AWD MOTOR GRADER CATERPILLAR 150 AWD MOTOR GRADER</t>
        </is>
      </c>
      <c r="L4120" t="n">
        <v>0</v>
      </c>
      <c r="M4120" t="n">
        <v>0</v>
      </c>
      <c r="O4120" t="inlineStr">
        <is>
          <t>RGR114</t>
        </is>
      </c>
      <c r="Q4120" s="114" t="n">
        <v>0</v>
      </c>
      <c r="R4120" s="114" t="n">
        <v>604.17</v>
      </c>
      <c r="S4120" s="114" t="n">
        <v>0</v>
      </c>
      <c r="T4120" t="n">
        <v>0</v>
      </c>
    </row>
    <row r="4121">
      <c r="A4121" t="inlineStr">
        <is>
          <t>ttJTrans</t>
        </is>
      </c>
      <c r="B4121" s="38" t="inlineStr">
        <is>
          <t>0-4113</t>
        </is>
      </c>
      <c r="C4121" t="inlineStr">
        <is>
          <t>ER</t>
        </is>
      </c>
      <c r="E4121" t="inlineStr">
        <is>
          <t>ER</t>
        </is>
      </c>
      <c r="H4121" s="127" t="n">
        <v>46142</v>
      </c>
      <c r="J4121" s="38" t="inlineStr">
        <is>
          <t>0-4113</t>
        </is>
      </c>
      <c r="K4121" t="inlineStr">
        <is>
          <t>RGR114 CATERPILLAR 150 AWD MOTOR GRADER CATERPILLAR 150 AWD MOTOR GRADER</t>
        </is>
      </c>
      <c r="L4121" t="n">
        <v>0</v>
      </c>
      <c r="M4121" t="n">
        <v>0</v>
      </c>
      <c r="O4121" t="inlineStr">
        <is>
          <t>RGR114</t>
        </is>
      </c>
      <c r="Q4121" s="114" t="n">
        <v>0</v>
      </c>
      <c r="R4121" s="114" t="n">
        <v>604.17</v>
      </c>
      <c r="S4121" s="114" t="n">
        <v>0</v>
      </c>
      <c r="T4121" t="n">
        <v>0</v>
      </c>
    </row>
    <row r="4122">
      <c r="A4122" t="inlineStr">
        <is>
          <t>ttJTrans</t>
        </is>
      </c>
      <c r="B4122" s="38" t="inlineStr">
        <is>
          <t>0-4113</t>
        </is>
      </c>
      <c r="C4122" t="inlineStr">
        <is>
          <t>ER</t>
        </is>
      </c>
      <c r="E4122" t="inlineStr">
        <is>
          <t>ER</t>
        </is>
      </c>
      <c r="H4122" s="127" t="n">
        <v>46142</v>
      </c>
      <c r="J4122" s="38" t="inlineStr">
        <is>
          <t>0-4113</t>
        </is>
      </c>
      <c r="K4122" t="inlineStr">
        <is>
          <t>REX665 330 CATERPILLAR EXCAVATOR 330 CATERPILLAR EXCAVATOR</t>
        </is>
      </c>
      <c r="L4122" t="n">
        <v>0</v>
      </c>
      <c r="M4122" t="n">
        <v>0</v>
      </c>
      <c r="O4122" t="inlineStr">
        <is>
          <t>REX665</t>
        </is>
      </c>
      <c r="Q4122" s="114" t="n">
        <v>0</v>
      </c>
      <c r="R4122" s="114" t="n">
        <v>458.33</v>
      </c>
      <c r="S4122" s="114" t="n">
        <v>0</v>
      </c>
      <c r="T4122" t="n">
        <v>0</v>
      </c>
    </row>
    <row r="4123">
      <c r="A4123" t="inlineStr">
        <is>
          <t>ttJTrans</t>
        </is>
      </c>
      <c r="B4123" s="38" t="inlineStr">
        <is>
          <t>0-4113</t>
        </is>
      </c>
      <c r="C4123" t="inlineStr">
        <is>
          <t>LA</t>
        </is>
      </c>
      <c r="E4123" t="inlineStr">
        <is>
          <t>LA</t>
        </is>
      </c>
      <c r="H4123" s="127" t="n">
        <v>46142</v>
      </c>
      <c r="J4123" s="38" t="inlineStr">
        <is>
          <t>0-4113</t>
        </is>
      </c>
      <c r="K4123" t="inlineStr">
        <is>
          <t>PR P0COST 000528 (PR) Summary</t>
        </is>
      </c>
      <c r="L4123" t="n">
        <v>0</v>
      </c>
      <c r="M4123" t="n">
        <v>0</v>
      </c>
      <c r="Q4123" s="114" t="n">
        <v>0</v>
      </c>
      <c r="R4123" s="114" t="n">
        <v>1705.23</v>
      </c>
      <c r="S4123" s="114" t="n">
        <v>0</v>
      </c>
      <c r="T4123" t="n">
        <v>30</v>
      </c>
    </row>
    <row r="4124">
      <c r="A4124" t="inlineStr">
        <is>
          <t>ttJTrans</t>
        </is>
      </c>
      <c r="B4124" s="38" t="inlineStr">
        <is>
          <t>0-4113</t>
        </is>
      </c>
      <c r="C4124" t="inlineStr">
        <is>
          <t>LA</t>
        </is>
      </c>
      <c r="E4124" t="inlineStr">
        <is>
          <t>LA</t>
        </is>
      </c>
      <c r="H4124" s="127" t="n">
        <v>46142</v>
      </c>
      <c r="J4124" s="38" t="inlineStr">
        <is>
          <t>0-4113</t>
        </is>
      </c>
      <c r="K4124" t="inlineStr">
        <is>
          <t>PR P0COST 000528 (PR) Summary</t>
        </is>
      </c>
      <c r="L4124" t="n">
        <v>0</v>
      </c>
      <c r="M4124" t="n">
        <v>0</v>
      </c>
      <c r="Q4124" s="114" t="n">
        <v>0</v>
      </c>
      <c r="R4124" s="114" t="n">
        <v>1705.23</v>
      </c>
      <c r="S4124" s="114" t="n">
        <v>0</v>
      </c>
      <c r="T4124" t="n">
        <v>30</v>
      </c>
    </row>
    <row r="4125">
      <c r="A4125" t="inlineStr">
        <is>
          <t>ttJTrans</t>
        </is>
      </c>
      <c r="B4125" s="38" t="inlineStr">
        <is>
          <t>0-4116</t>
        </is>
      </c>
      <c r="C4125" t="inlineStr">
        <is>
          <t>EQ</t>
        </is>
      </c>
      <c r="E4125" t="inlineStr">
        <is>
          <t>EQ</t>
        </is>
      </c>
      <c r="H4125" s="127" t="n">
        <v>46152</v>
      </c>
      <c r="J4125" s="38" t="inlineStr">
        <is>
          <t>0-4116</t>
        </is>
      </c>
      <c r="K4125" t="inlineStr">
        <is>
          <t>FT011 JOHN DEERE 6130M TRACTOR W/ 620R LOADER JOHN DEERE 6130M TRACTOR W/ 620R LOADER</t>
        </is>
      </c>
      <c r="L4125" t="n">
        <v>0</v>
      </c>
      <c r="M4125" t="n">
        <v>0</v>
      </c>
      <c r="O4125" t="inlineStr">
        <is>
          <t>FT011</t>
        </is>
      </c>
      <c r="Q4125" s="114" t="n">
        <v>0</v>
      </c>
      <c r="R4125" s="114" t="n">
        <v>291.67</v>
      </c>
      <c r="S4125" s="114" t="n">
        <v>0</v>
      </c>
      <c r="T4125" t="n">
        <v>0</v>
      </c>
    </row>
    <row r="4126">
      <c r="A4126" t="inlineStr">
        <is>
          <t>ttJTrans</t>
        </is>
      </c>
      <c r="B4126" s="38" t="inlineStr">
        <is>
          <t>0-4116</t>
        </is>
      </c>
      <c r="C4126" t="inlineStr">
        <is>
          <t>EQ</t>
        </is>
      </c>
      <c r="E4126" t="inlineStr">
        <is>
          <t>EQ</t>
        </is>
      </c>
      <c r="H4126" s="127" t="n">
        <v>46152</v>
      </c>
      <c r="J4126" s="38" t="inlineStr">
        <is>
          <t>0-4116</t>
        </is>
      </c>
      <c r="K4126" t="inlineStr">
        <is>
          <t>FT011 JOHN DEERE 6130M TRACTOR W/ 620R LOADER JOHN DEERE 6130M TRACTOR W/ 620R LOADER</t>
        </is>
      </c>
      <c r="L4126" t="n">
        <v>0</v>
      </c>
      <c r="M4126" t="n">
        <v>0</v>
      </c>
      <c r="O4126" t="inlineStr">
        <is>
          <t>FT011</t>
        </is>
      </c>
      <c r="Q4126" s="114" t="n">
        <v>0</v>
      </c>
      <c r="R4126" s="114" t="n">
        <v>291.67</v>
      </c>
      <c r="S4126" s="114" t="n">
        <v>0</v>
      </c>
      <c r="T4126" t="n">
        <v>0</v>
      </c>
    </row>
    <row r="4127">
      <c r="A4127" t="inlineStr">
        <is>
          <t>ttJTrans</t>
        </is>
      </c>
      <c r="B4127" s="38" t="inlineStr">
        <is>
          <t>0-4116</t>
        </is>
      </c>
      <c r="C4127" t="inlineStr">
        <is>
          <t>EQ</t>
        </is>
      </c>
      <c r="E4127" t="inlineStr">
        <is>
          <t>EQ</t>
        </is>
      </c>
      <c r="H4127" s="127" t="n">
        <v>46152</v>
      </c>
      <c r="J4127" s="38" t="inlineStr">
        <is>
          <t>0-4116</t>
        </is>
      </c>
      <c r="K4127" t="inlineStr">
        <is>
          <t>FT011 JOHN DEERE 6130M TRACTOR W/ 620R LOADER JOHN DEERE 6130M TRACTOR W/ 620R LOADER</t>
        </is>
      </c>
      <c r="L4127" t="n">
        <v>0</v>
      </c>
      <c r="M4127" t="n">
        <v>0</v>
      </c>
      <c r="O4127" t="inlineStr">
        <is>
          <t>FT011</t>
        </is>
      </c>
      <c r="Q4127" s="114" t="n">
        <v>0</v>
      </c>
      <c r="R4127" s="114" t="n">
        <v>291.67</v>
      </c>
      <c r="S4127" s="114" t="n">
        <v>0</v>
      </c>
      <c r="T4127" t="n">
        <v>0</v>
      </c>
    </row>
    <row r="4128">
      <c r="A4128" t="inlineStr">
        <is>
          <t>ttJTrans</t>
        </is>
      </c>
      <c r="B4128" s="38" t="inlineStr">
        <is>
          <t>0-4116</t>
        </is>
      </c>
      <c r="C4128" t="inlineStr">
        <is>
          <t>EQ</t>
        </is>
      </c>
      <c r="E4128" t="inlineStr">
        <is>
          <t>EQ</t>
        </is>
      </c>
      <c r="H4128" s="127" t="n">
        <v>46159</v>
      </c>
      <c r="J4128" s="38" t="inlineStr">
        <is>
          <t>0-4116</t>
        </is>
      </c>
      <c r="K4128" t="inlineStr">
        <is>
          <t>FT011 JOHN DEERE 6130M TRACTOR W/ 620R LOADER JOHN DEERE 6130M TRACTOR W/ 620R LOADER</t>
        </is>
      </c>
      <c r="L4128" t="n">
        <v>0</v>
      </c>
      <c r="M4128" t="n">
        <v>0</v>
      </c>
      <c r="O4128" t="inlineStr">
        <is>
          <t>FT011</t>
        </is>
      </c>
      <c r="Q4128" s="114" t="n">
        <v>0</v>
      </c>
      <c r="R4128" s="114" t="n">
        <v>291.67</v>
      </c>
      <c r="S4128" s="114" t="n">
        <v>0</v>
      </c>
      <c r="T4128" t="n">
        <v>0</v>
      </c>
    </row>
    <row r="4129">
      <c r="A4129" t="inlineStr">
        <is>
          <t>ttJTrans</t>
        </is>
      </c>
      <c r="B4129" s="38" t="inlineStr">
        <is>
          <t>0-4116</t>
        </is>
      </c>
      <c r="C4129" t="inlineStr">
        <is>
          <t>EQ</t>
        </is>
      </c>
      <c r="E4129" t="inlineStr">
        <is>
          <t>EQ</t>
        </is>
      </c>
      <c r="H4129" s="127" t="n">
        <v>46159</v>
      </c>
      <c r="J4129" s="38" t="inlineStr">
        <is>
          <t>0-4116</t>
        </is>
      </c>
      <c r="K4129" t="inlineStr">
        <is>
          <t>FT011 JOHN DEERE 6130M TRACTOR W/ 620R LOADER JOHN DEERE 6130M TRACTOR W/ 620R LOADER</t>
        </is>
      </c>
      <c r="L4129" t="n">
        <v>0</v>
      </c>
      <c r="M4129" t="n">
        <v>0</v>
      </c>
      <c r="O4129" t="inlineStr">
        <is>
          <t>FT011</t>
        </is>
      </c>
      <c r="Q4129" s="114" t="n">
        <v>0</v>
      </c>
      <c r="R4129" s="114" t="n">
        <v>291.67</v>
      </c>
      <c r="S4129" s="114" t="n">
        <v>0</v>
      </c>
      <c r="T4129" t="n">
        <v>0</v>
      </c>
    </row>
    <row r="4130">
      <c r="A4130" t="inlineStr">
        <is>
          <t>ttJTrans</t>
        </is>
      </c>
      <c r="B4130" s="38" t="inlineStr">
        <is>
          <t>0-4116</t>
        </is>
      </c>
      <c r="C4130" t="inlineStr">
        <is>
          <t>EQ</t>
        </is>
      </c>
      <c r="E4130" t="inlineStr">
        <is>
          <t>EQ</t>
        </is>
      </c>
      <c r="H4130" s="127" t="n">
        <v>46159</v>
      </c>
      <c r="J4130" s="38" t="inlineStr">
        <is>
          <t>0-4116</t>
        </is>
      </c>
      <c r="K4130" t="inlineStr">
        <is>
          <t>FT011 JOHN DEERE 6130M TRACTOR W/ 620R LOADER JOHN DEERE 6130M TRACTOR W/ 620R LOADER</t>
        </is>
      </c>
      <c r="L4130" t="n">
        <v>0</v>
      </c>
      <c r="M4130" t="n">
        <v>0</v>
      </c>
      <c r="O4130" t="inlineStr">
        <is>
          <t>FT011</t>
        </is>
      </c>
      <c r="Q4130" s="114" t="n">
        <v>0</v>
      </c>
      <c r="R4130" s="114" t="n">
        <v>291.67</v>
      </c>
      <c r="S4130" s="114" t="n">
        <v>0</v>
      </c>
      <c r="T4130" t="n">
        <v>0</v>
      </c>
    </row>
    <row r="4131">
      <c r="A4131" t="inlineStr">
        <is>
          <t>ttJTrans</t>
        </is>
      </c>
      <c r="B4131" s="38" t="inlineStr">
        <is>
          <t>0-4116</t>
        </is>
      </c>
      <c r="C4131" t="inlineStr">
        <is>
          <t>EQ</t>
        </is>
      </c>
      <c r="E4131" t="inlineStr">
        <is>
          <t>EQ</t>
        </is>
      </c>
      <c r="H4131" s="127" t="n">
        <v>46159</v>
      </c>
      <c r="J4131" s="38" t="inlineStr">
        <is>
          <t>0-4116</t>
        </is>
      </c>
      <c r="K4131" t="inlineStr">
        <is>
          <t>FT011 JOHN DEERE 6130M TRACTOR W/ 620R LOADER JOHN DEERE 6130M TRACTOR W/ 620R LOADER</t>
        </is>
      </c>
      <c r="L4131" t="n">
        <v>0</v>
      </c>
      <c r="M4131" t="n">
        <v>0</v>
      </c>
      <c r="O4131" t="inlineStr">
        <is>
          <t>FT011</t>
        </is>
      </c>
      <c r="Q4131" s="114" t="n">
        <v>0</v>
      </c>
      <c r="R4131" s="114" t="n">
        <v>291.67</v>
      </c>
      <c r="S4131" s="114" t="n">
        <v>0</v>
      </c>
      <c r="T4131" t="n">
        <v>0</v>
      </c>
    </row>
    <row r="4132">
      <c r="A4132" t="inlineStr">
        <is>
          <t>ttJTrans</t>
        </is>
      </c>
      <c r="B4132" s="38" t="inlineStr">
        <is>
          <t>0-4116</t>
        </is>
      </c>
      <c r="C4132" t="inlineStr">
        <is>
          <t>EQ</t>
        </is>
      </c>
      <c r="E4132" t="inlineStr">
        <is>
          <t>EQ</t>
        </is>
      </c>
      <c r="H4132" s="127" t="n">
        <v>46166</v>
      </c>
      <c r="J4132" s="38" t="inlineStr">
        <is>
          <t>0-4116</t>
        </is>
      </c>
      <c r="K4132" t="inlineStr">
        <is>
          <t>FT011 JOHN DEERE 6130M TRACTOR W/ 620R LOADER JOHN DEERE 6130M TRACTOR W/ 620R LOADER</t>
        </is>
      </c>
      <c r="L4132" t="n">
        <v>0</v>
      </c>
      <c r="M4132" t="n">
        <v>0</v>
      </c>
      <c r="O4132" t="inlineStr">
        <is>
          <t>FT011</t>
        </is>
      </c>
      <c r="Q4132" s="114" t="n">
        <v>0</v>
      </c>
      <c r="R4132" s="114" t="n">
        <v>291.67</v>
      </c>
      <c r="S4132" s="114" t="n">
        <v>0</v>
      </c>
      <c r="T4132" t="n">
        <v>0</v>
      </c>
    </row>
    <row r="4133">
      <c r="A4133" t="inlineStr">
        <is>
          <t>ttJTrans</t>
        </is>
      </c>
      <c r="B4133" s="38" t="inlineStr">
        <is>
          <t>0-4116</t>
        </is>
      </c>
      <c r="C4133" t="inlineStr">
        <is>
          <t>EQ</t>
        </is>
      </c>
      <c r="E4133" t="inlineStr">
        <is>
          <t>EQ</t>
        </is>
      </c>
      <c r="H4133" s="127" t="n">
        <v>46166</v>
      </c>
      <c r="J4133" s="38" t="inlineStr">
        <is>
          <t>0-4116</t>
        </is>
      </c>
      <c r="K4133" t="inlineStr">
        <is>
          <t>FT011 JOHN DEERE 6130M TRACTOR W/ 620R LOADER JOHN DEERE 6130M TRACTOR W/ 620R LOADER</t>
        </is>
      </c>
      <c r="L4133" t="n">
        <v>0</v>
      </c>
      <c r="M4133" t="n">
        <v>0</v>
      </c>
      <c r="O4133" t="inlineStr">
        <is>
          <t>FT011</t>
        </is>
      </c>
      <c r="Q4133" s="114" t="n">
        <v>0</v>
      </c>
      <c r="R4133" s="114" t="n">
        <v>291.67</v>
      </c>
      <c r="S4133" s="114" t="n">
        <v>0</v>
      </c>
      <c r="T4133" t="n">
        <v>0</v>
      </c>
    </row>
    <row r="4134">
      <c r="A4134" t="inlineStr">
        <is>
          <t>ttJTrans</t>
        </is>
      </c>
      <c r="B4134" s="38" t="inlineStr">
        <is>
          <t>0-4116</t>
        </is>
      </c>
      <c r="C4134" t="inlineStr">
        <is>
          <t>EQ</t>
        </is>
      </c>
      <c r="E4134" t="inlineStr">
        <is>
          <t>EQ</t>
        </is>
      </c>
      <c r="H4134" s="127" t="n">
        <v>46166</v>
      </c>
      <c r="J4134" s="38" t="inlineStr">
        <is>
          <t>0-4116</t>
        </is>
      </c>
      <c r="K4134" t="inlineStr">
        <is>
          <t>FT011 JOHN DEERE 6130M TRACTOR W/ 620R LOADER JOHN DEERE 6130M TRACTOR W/ 620R LOADER</t>
        </is>
      </c>
      <c r="L4134" t="n">
        <v>0</v>
      </c>
      <c r="M4134" t="n">
        <v>0</v>
      </c>
      <c r="O4134" t="inlineStr">
        <is>
          <t>FT011</t>
        </is>
      </c>
      <c r="Q4134" s="114" t="n">
        <v>0</v>
      </c>
      <c r="R4134" s="114" t="n">
        <v>291.67</v>
      </c>
      <c r="S4134" s="114" t="n">
        <v>0</v>
      </c>
      <c r="T4134" t="n">
        <v>0</v>
      </c>
    </row>
    <row r="4135">
      <c r="A4135" t="inlineStr">
        <is>
          <t>ttJTrans</t>
        </is>
      </c>
      <c r="B4135" s="38" t="inlineStr">
        <is>
          <t>0-4116</t>
        </is>
      </c>
      <c r="C4135" t="inlineStr">
        <is>
          <t>EQ</t>
        </is>
      </c>
      <c r="E4135" t="inlineStr">
        <is>
          <t>EQ</t>
        </is>
      </c>
      <c r="H4135" s="127" t="n">
        <v>46166</v>
      </c>
      <c r="J4135" s="38" t="inlineStr">
        <is>
          <t>0-4116</t>
        </is>
      </c>
      <c r="K4135" t="inlineStr">
        <is>
          <t>RT1385 2024 RAM 2500 TRADESMAN GAS 4X4 CREW CAB 8FT BED W/ DRAGUP TANK &amp; TOOLBOX COMBO 2024 RAM 2500 TRADESMAN GAS 4X4 CREW CAB 8FT BED W/ DRAGUP TANK &amp; TOOLBOX COMBO</t>
        </is>
      </c>
      <c r="L4135" t="n">
        <v>0</v>
      </c>
      <c r="M4135" t="n">
        <v>0</v>
      </c>
      <c r="O4135" t="inlineStr">
        <is>
          <t>RT1385</t>
        </is>
      </c>
      <c r="Q4135" s="114" t="n">
        <v>0</v>
      </c>
      <c r="R4135" s="114" t="n">
        <v>79.14</v>
      </c>
      <c r="S4135" s="114" t="n">
        <v>0</v>
      </c>
      <c r="T4135" t="n">
        <v>0</v>
      </c>
    </row>
    <row r="4136">
      <c r="A4136" t="inlineStr">
        <is>
          <t>ttJTrans</t>
        </is>
      </c>
      <c r="B4136" s="38" t="inlineStr">
        <is>
          <t>0-4116</t>
        </is>
      </c>
      <c r="C4136" t="inlineStr">
        <is>
          <t>EQ</t>
        </is>
      </c>
      <c r="E4136" t="inlineStr">
        <is>
          <t>EQ</t>
        </is>
      </c>
      <c r="H4136" s="127" t="n">
        <v>46166</v>
      </c>
      <c r="J4136" s="38" t="inlineStr">
        <is>
          <t>0-4116</t>
        </is>
      </c>
      <c r="K4136" t="inlineStr">
        <is>
          <t>RT1385 2024 RAM 2500 TRADESMAN GAS 4X4 CREW CAB 8FT BED W/ DRAGUP TANK &amp; TOOLBOX COMBO 2024 RAM 2500 TRADESMAN GAS 4X4 CREW CAB 8FT BED W/ DRAGUP TANK &amp; TOOLBOX COMBO</t>
        </is>
      </c>
      <c r="L4136" t="n">
        <v>0</v>
      </c>
      <c r="M4136" t="n">
        <v>0</v>
      </c>
      <c r="O4136" t="inlineStr">
        <is>
          <t>RT1385</t>
        </is>
      </c>
      <c r="Q4136" s="114" t="n">
        <v>0</v>
      </c>
      <c r="R4136" s="114" t="n">
        <v>79.14</v>
      </c>
      <c r="S4136" s="114" t="n">
        <v>0</v>
      </c>
      <c r="T4136" t="n">
        <v>0</v>
      </c>
    </row>
    <row r="4137">
      <c r="A4137" t="inlineStr">
        <is>
          <t>ttJTrans</t>
        </is>
      </c>
      <c r="B4137" s="38" t="inlineStr">
        <is>
          <t>0-4116</t>
        </is>
      </c>
      <c r="C4137" t="inlineStr">
        <is>
          <t>EQ</t>
        </is>
      </c>
      <c r="E4137" t="inlineStr">
        <is>
          <t>EQ</t>
        </is>
      </c>
      <c r="H4137" s="127" t="n">
        <v>46166</v>
      </c>
      <c r="J4137" s="38" t="inlineStr">
        <is>
          <t>0-4116</t>
        </is>
      </c>
      <c r="K4137" t="inlineStr">
        <is>
          <t>RT1385 2024 RAM 2500 TRADESMAN GAS 4X4 CREW CAB 8FT BED W/ DRAGUP TANK &amp; TOOLBOX COMBO 2024 RAM 2500 TRADESMAN GAS 4X4 CREW CAB 8FT BED W/ DRAGUP TANK &amp; TOOLBOX COMBO</t>
        </is>
      </c>
      <c r="L4137" t="n">
        <v>0</v>
      </c>
      <c r="M4137" t="n">
        <v>0</v>
      </c>
      <c r="O4137" t="inlineStr">
        <is>
          <t>RT1385</t>
        </is>
      </c>
      <c r="Q4137" s="114" t="n">
        <v>0</v>
      </c>
      <c r="R4137" s="114" t="n">
        <v>79.14</v>
      </c>
      <c r="S4137" s="114" t="n">
        <v>0</v>
      </c>
      <c r="T4137" t="n">
        <v>0</v>
      </c>
    </row>
    <row r="4138">
      <c r="A4138" t="inlineStr">
        <is>
          <t>ttJTrans</t>
        </is>
      </c>
      <c r="B4138" s="38" t="inlineStr">
        <is>
          <t>0-4116</t>
        </is>
      </c>
      <c r="C4138" t="inlineStr">
        <is>
          <t>ER</t>
        </is>
      </c>
      <c r="E4138" t="inlineStr">
        <is>
          <t>ER</t>
        </is>
      </c>
      <c r="H4138" s="127" t="n">
        <v>46142</v>
      </c>
      <c r="J4138" s="38" t="inlineStr">
        <is>
          <t>0-4116</t>
        </is>
      </c>
      <c r="K4138" t="inlineStr">
        <is>
          <t>RMS2388 BUSH-HACKER 15' BRUSH CUTTER BUSH-HACKER 15' BRUSH CUTTER</t>
        </is>
      </c>
      <c r="L4138" t="n">
        <v>0</v>
      </c>
      <c r="M4138" t="n">
        <v>0</v>
      </c>
      <c r="O4138" t="inlineStr">
        <is>
          <t>RMS2388</t>
        </is>
      </c>
      <c r="Q4138" s="114" t="n">
        <v>0</v>
      </c>
      <c r="R4138" s="114" t="n">
        <v>125</v>
      </c>
      <c r="S4138" s="114" t="n">
        <v>0</v>
      </c>
      <c r="T4138" t="n">
        <v>0</v>
      </c>
    </row>
    <row r="4139">
      <c r="A4139" t="inlineStr">
        <is>
          <t>ttJTrans</t>
        </is>
      </c>
      <c r="B4139" s="38" t="inlineStr">
        <is>
          <t>0-4116</t>
        </is>
      </c>
      <c r="C4139" t="inlineStr">
        <is>
          <t>ER</t>
        </is>
      </c>
      <c r="E4139" t="inlineStr">
        <is>
          <t>ER</t>
        </is>
      </c>
      <c r="H4139" s="127" t="n">
        <v>46152</v>
      </c>
      <c r="J4139" s="38" t="inlineStr">
        <is>
          <t>0-4116</t>
        </is>
      </c>
      <c r="K4139" t="inlineStr">
        <is>
          <t>RMS2388 BUSH-HACKER 15' BRUSH CUTTER BUSH-HACKER 15' BRUSH CUTTER</t>
        </is>
      </c>
      <c r="L4139" t="n">
        <v>0</v>
      </c>
      <c r="M4139" t="n">
        <v>0</v>
      </c>
      <c r="O4139" t="inlineStr">
        <is>
          <t>RMS2388</t>
        </is>
      </c>
      <c r="Q4139" s="114" t="n">
        <v>0</v>
      </c>
      <c r="R4139" s="114" t="n">
        <v>125</v>
      </c>
      <c r="S4139" s="114" t="n">
        <v>0</v>
      </c>
      <c r="T4139" t="n">
        <v>0</v>
      </c>
    </row>
    <row r="4140">
      <c r="A4140" t="inlineStr">
        <is>
          <t>ttJTrans</t>
        </is>
      </c>
      <c r="B4140" s="38" t="inlineStr">
        <is>
          <t>0-4116</t>
        </is>
      </c>
      <c r="C4140" t="inlineStr">
        <is>
          <t>ER</t>
        </is>
      </c>
      <c r="E4140" t="inlineStr">
        <is>
          <t>ER</t>
        </is>
      </c>
      <c r="H4140" s="127" t="n">
        <v>46152</v>
      </c>
      <c r="J4140" s="38" t="inlineStr">
        <is>
          <t>0-4116</t>
        </is>
      </c>
      <c r="K4140" t="inlineStr">
        <is>
          <t>RMS2388 BUSH-HACKER 15' BRUSH CUTTER BUSH-HACKER 15' BRUSH CUTTER</t>
        </is>
      </c>
      <c r="L4140" t="n">
        <v>0</v>
      </c>
      <c r="M4140" t="n">
        <v>0</v>
      </c>
      <c r="O4140" t="inlineStr">
        <is>
          <t>RMS2388</t>
        </is>
      </c>
      <c r="Q4140" s="114" t="n">
        <v>0</v>
      </c>
      <c r="R4140" s="114" t="n">
        <v>125</v>
      </c>
      <c r="S4140" s="114" t="n">
        <v>0</v>
      </c>
      <c r="T4140" t="n">
        <v>0</v>
      </c>
    </row>
    <row r="4141">
      <c r="A4141" t="inlineStr">
        <is>
          <t>ttJTrans</t>
        </is>
      </c>
      <c r="B4141" s="38" t="inlineStr">
        <is>
          <t>0-4116</t>
        </is>
      </c>
      <c r="C4141" t="inlineStr">
        <is>
          <t>ER</t>
        </is>
      </c>
      <c r="E4141" t="inlineStr">
        <is>
          <t>ER</t>
        </is>
      </c>
      <c r="H4141" s="127" t="n">
        <v>46152</v>
      </c>
      <c r="J4141" s="38" t="inlineStr">
        <is>
          <t>0-4116</t>
        </is>
      </c>
      <c r="K4141" t="inlineStr">
        <is>
          <t>RMS2388 BUSH-HACKER 15' BRUSH CUTTER BUSH-HACKER 15' BRUSH CUTTER</t>
        </is>
      </c>
      <c r="L4141" t="n">
        <v>0</v>
      </c>
      <c r="M4141" t="n">
        <v>0</v>
      </c>
      <c r="O4141" t="inlineStr">
        <is>
          <t>RMS2388</t>
        </is>
      </c>
      <c r="Q4141" s="114" t="n">
        <v>0</v>
      </c>
      <c r="R4141" s="114" t="n">
        <v>125</v>
      </c>
      <c r="S4141" s="114" t="n">
        <v>0</v>
      </c>
      <c r="T4141" t="n">
        <v>0</v>
      </c>
    </row>
    <row r="4142">
      <c r="A4142" t="inlineStr">
        <is>
          <t>ttJTrans</t>
        </is>
      </c>
      <c r="B4142" s="38" t="inlineStr">
        <is>
          <t>0-4116</t>
        </is>
      </c>
      <c r="C4142" t="inlineStr">
        <is>
          <t>ER</t>
        </is>
      </c>
      <c r="E4142" t="inlineStr">
        <is>
          <t>ER</t>
        </is>
      </c>
      <c r="H4142" s="127" t="n">
        <v>46152</v>
      </c>
      <c r="J4142" s="38" t="inlineStr">
        <is>
          <t>0-4116</t>
        </is>
      </c>
      <c r="K4142" t="inlineStr">
        <is>
          <t>RPK500 CATERPILLAR 84" PADFOOT ROLLER CATERPILLAR 84" PADFOOT ROLLER</t>
        </is>
      </c>
      <c r="L4142" t="n">
        <v>0</v>
      </c>
      <c r="M4142" t="n">
        <v>0</v>
      </c>
      <c r="O4142" t="inlineStr">
        <is>
          <t>RPK500</t>
        </is>
      </c>
      <c r="Q4142" s="114" t="n">
        <v>0</v>
      </c>
      <c r="R4142" s="114" t="n">
        <v>340</v>
      </c>
      <c r="S4142" s="114" t="n">
        <v>0</v>
      </c>
      <c r="T4142" t="n">
        <v>0</v>
      </c>
    </row>
    <row r="4143">
      <c r="A4143" t="inlineStr">
        <is>
          <t>ttJTrans</t>
        </is>
      </c>
      <c r="B4143" s="38" t="inlineStr">
        <is>
          <t>0-4116</t>
        </is>
      </c>
      <c r="C4143" t="inlineStr">
        <is>
          <t>ER</t>
        </is>
      </c>
      <c r="E4143" t="inlineStr">
        <is>
          <t>ER</t>
        </is>
      </c>
      <c r="H4143" s="127" t="n">
        <v>46159</v>
      </c>
      <c r="J4143" s="38" t="inlineStr">
        <is>
          <t>0-4116</t>
        </is>
      </c>
      <c r="K4143" t="inlineStr">
        <is>
          <t>RMS2388 BUSH-HACKER 15' BRUSH CUTTER BUSH-HACKER 15' BRUSH CUTTER</t>
        </is>
      </c>
      <c r="L4143" t="n">
        <v>0</v>
      </c>
      <c r="M4143" t="n">
        <v>0</v>
      </c>
      <c r="O4143" t="inlineStr">
        <is>
          <t>RMS2388</t>
        </is>
      </c>
      <c r="Q4143" s="114" t="n">
        <v>0</v>
      </c>
      <c r="R4143" s="114" t="n">
        <v>125</v>
      </c>
      <c r="S4143" s="114" t="n">
        <v>0</v>
      </c>
      <c r="T4143" t="n">
        <v>0</v>
      </c>
    </row>
    <row r="4144">
      <c r="A4144" t="inlineStr">
        <is>
          <t>ttJTrans</t>
        </is>
      </c>
      <c r="B4144" s="38" t="inlineStr">
        <is>
          <t>0-4116</t>
        </is>
      </c>
      <c r="C4144" t="inlineStr">
        <is>
          <t>ER</t>
        </is>
      </c>
      <c r="E4144" t="inlineStr">
        <is>
          <t>ER</t>
        </is>
      </c>
      <c r="H4144" s="127" t="n">
        <v>46159</v>
      </c>
      <c r="J4144" s="38" t="inlineStr">
        <is>
          <t>0-4116</t>
        </is>
      </c>
      <c r="K4144" t="inlineStr">
        <is>
          <t>RMS2388 BUSH-HACKER 15' BRUSH CUTTER BUSH-HACKER 15' BRUSH CUTTER</t>
        </is>
      </c>
      <c r="L4144" t="n">
        <v>0</v>
      </c>
      <c r="M4144" t="n">
        <v>0</v>
      </c>
      <c r="O4144" t="inlineStr">
        <is>
          <t>RMS2388</t>
        </is>
      </c>
      <c r="Q4144" s="114" t="n">
        <v>0</v>
      </c>
      <c r="R4144" s="114" t="n">
        <v>125</v>
      </c>
      <c r="S4144" s="114" t="n">
        <v>0</v>
      </c>
      <c r="T4144" t="n">
        <v>0</v>
      </c>
    </row>
    <row r="4145">
      <c r="A4145" t="inlineStr">
        <is>
          <t>ttJTrans</t>
        </is>
      </c>
      <c r="B4145" s="38" t="inlineStr">
        <is>
          <t>0-4116</t>
        </is>
      </c>
      <c r="C4145" t="inlineStr">
        <is>
          <t>ER</t>
        </is>
      </c>
      <c r="E4145" t="inlineStr">
        <is>
          <t>ER</t>
        </is>
      </c>
      <c r="H4145" s="127" t="n">
        <v>46159</v>
      </c>
      <c r="J4145" s="38" t="inlineStr">
        <is>
          <t>0-4116</t>
        </is>
      </c>
      <c r="K4145" t="inlineStr">
        <is>
          <t>RMS2388 BUSH-HACKER 15' BRUSH CUTTER BUSH-HACKER 15' BRUSH CUTTER</t>
        </is>
      </c>
      <c r="L4145" t="n">
        <v>0</v>
      </c>
      <c r="M4145" t="n">
        <v>0</v>
      </c>
      <c r="O4145" t="inlineStr">
        <is>
          <t>RMS2388</t>
        </is>
      </c>
      <c r="Q4145" s="114" t="n">
        <v>0</v>
      </c>
      <c r="R4145" s="114" t="n">
        <v>125</v>
      </c>
      <c r="S4145" s="114" t="n">
        <v>0</v>
      </c>
      <c r="T4145" t="n">
        <v>0</v>
      </c>
    </row>
    <row r="4146">
      <c r="A4146" t="inlineStr">
        <is>
          <t>ttJTrans</t>
        </is>
      </c>
      <c r="B4146" s="38" t="inlineStr">
        <is>
          <t>0-4116</t>
        </is>
      </c>
      <c r="C4146" t="inlineStr">
        <is>
          <t>ER</t>
        </is>
      </c>
      <c r="E4146" t="inlineStr">
        <is>
          <t>ER</t>
        </is>
      </c>
      <c r="H4146" s="127" t="n">
        <v>46159</v>
      </c>
      <c r="J4146" s="38" t="inlineStr">
        <is>
          <t>0-4116</t>
        </is>
      </c>
      <c r="K4146" t="inlineStr">
        <is>
          <t>RMS2388 BUSH-HACKER 15' BRUSH CUTTER BUSH-HACKER 15' BRUSH CUTTER</t>
        </is>
      </c>
      <c r="L4146" t="n">
        <v>0</v>
      </c>
      <c r="M4146" t="n">
        <v>0</v>
      </c>
      <c r="O4146" t="inlineStr">
        <is>
          <t>RMS2388</t>
        </is>
      </c>
      <c r="Q4146" s="114" t="n">
        <v>0</v>
      </c>
      <c r="R4146" s="114" t="n">
        <v>125</v>
      </c>
      <c r="S4146" s="114" t="n">
        <v>0</v>
      </c>
      <c r="T4146" t="n">
        <v>0</v>
      </c>
    </row>
    <row r="4147">
      <c r="A4147" t="inlineStr">
        <is>
          <t>ttJTrans</t>
        </is>
      </c>
      <c r="B4147" s="38" t="inlineStr">
        <is>
          <t>0-4116</t>
        </is>
      </c>
      <c r="C4147" t="inlineStr">
        <is>
          <t>ER</t>
        </is>
      </c>
      <c r="E4147" t="inlineStr">
        <is>
          <t>ER</t>
        </is>
      </c>
      <c r="H4147" s="127" t="n">
        <v>46159</v>
      </c>
      <c r="J4147" s="38" t="inlineStr">
        <is>
          <t>0-4116</t>
        </is>
      </c>
      <c r="K4147" t="inlineStr">
        <is>
          <t>RMS2388 BUSH-HACKER 15' BRUSH CUTTER BUSH-HACKER 15' BRUSH CUTTER</t>
        </is>
      </c>
      <c r="L4147" t="n">
        <v>0</v>
      </c>
      <c r="M4147" t="n">
        <v>0</v>
      </c>
      <c r="O4147" t="inlineStr">
        <is>
          <t>RMS2388</t>
        </is>
      </c>
      <c r="Q4147" s="114" t="n">
        <v>0</v>
      </c>
      <c r="R4147" s="114" t="n">
        <v>125</v>
      </c>
      <c r="S4147" s="114" t="n">
        <v>0</v>
      </c>
      <c r="T4147" t="n">
        <v>0</v>
      </c>
    </row>
    <row r="4148">
      <c r="A4148" t="inlineStr">
        <is>
          <t>ttJTrans</t>
        </is>
      </c>
      <c r="B4148" s="38" t="inlineStr">
        <is>
          <t>0-4116</t>
        </is>
      </c>
      <c r="C4148" t="inlineStr">
        <is>
          <t>ER</t>
        </is>
      </c>
      <c r="E4148" t="inlineStr">
        <is>
          <t>ER</t>
        </is>
      </c>
      <c r="H4148" s="127" t="n">
        <v>46159</v>
      </c>
      <c r="J4148" s="38" t="inlineStr">
        <is>
          <t>0-4116</t>
        </is>
      </c>
      <c r="K4148" t="inlineStr">
        <is>
          <t>RPK500 CATERPILLAR 84" PADFOOT ROLLER CATERPILLAR 84" PADFOOT ROLLER</t>
        </is>
      </c>
      <c r="L4148" t="n">
        <v>0</v>
      </c>
      <c r="M4148" t="n">
        <v>0</v>
      </c>
      <c r="O4148" t="inlineStr">
        <is>
          <t>RPK500</t>
        </is>
      </c>
      <c r="Q4148" s="114" t="n">
        <v>0</v>
      </c>
      <c r="R4148" s="114" t="n">
        <v>340</v>
      </c>
      <c r="S4148" s="114" t="n">
        <v>0</v>
      </c>
      <c r="T4148" t="n">
        <v>0</v>
      </c>
    </row>
    <row r="4149">
      <c r="A4149" t="inlineStr">
        <is>
          <t>ttJTrans</t>
        </is>
      </c>
      <c r="B4149" s="38" t="inlineStr">
        <is>
          <t>0-4116</t>
        </is>
      </c>
      <c r="C4149" t="inlineStr">
        <is>
          <t>ER</t>
        </is>
      </c>
      <c r="E4149" t="inlineStr">
        <is>
          <t>ER</t>
        </is>
      </c>
      <c r="H4149" s="127" t="n">
        <v>46166</v>
      </c>
      <c r="J4149" s="38" t="inlineStr">
        <is>
          <t>0-4116</t>
        </is>
      </c>
      <c r="K4149" t="inlineStr">
        <is>
          <t>RMS2388 BUSH-HACKER 15' BRUSH CUTTER BUSH-HACKER 15' BRUSH CUTTER</t>
        </is>
      </c>
      <c r="L4149" t="n">
        <v>0</v>
      </c>
      <c r="M4149" t="n">
        <v>0</v>
      </c>
      <c r="O4149" t="inlineStr">
        <is>
          <t>RMS2388</t>
        </is>
      </c>
      <c r="Q4149" s="114" t="n">
        <v>0</v>
      </c>
      <c r="R4149" s="114" t="n">
        <v>125</v>
      </c>
      <c r="S4149" s="114" t="n">
        <v>0</v>
      </c>
      <c r="T4149" t="n">
        <v>0</v>
      </c>
    </row>
    <row r="4150">
      <c r="A4150" t="inlineStr">
        <is>
          <t>ttJTrans</t>
        </is>
      </c>
      <c r="B4150" s="38" t="inlineStr">
        <is>
          <t>0-4116</t>
        </is>
      </c>
      <c r="C4150" t="inlineStr">
        <is>
          <t>ER</t>
        </is>
      </c>
      <c r="E4150" t="inlineStr">
        <is>
          <t>ER</t>
        </is>
      </c>
      <c r="H4150" s="127" t="n">
        <v>46166</v>
      </c>
      <c r="J4150" s="38" t="inlineStr">
        <is>
          <t>0-4116</t>
        </is>
      </c>
      <c r="K4150" t="inlineStr">
        <is>
          <t>RMS2388 BUSH-HACKER 15' BRUSH CUTTER BUSH-HACKER 15' BRUSH CUTTER</t>
        </is>
      </c>
      <c r="L4150" t="n">
        <v>0</v>
      </c>
      <c r="M4150" t="n">
        <v>0</v>
      </c>
      <c r="O4150" t="inlineStr">
        <is>
          <t>RMS2388</t>
        </is>
      </c>
      <c r="Q4150" s="114" t="n">
        <v>0</v>
      </c>
      <c r="R4150" s="114" t="n">
        <v>125</v>
      </c>
      <c r="S4150" s="114" t="n">
        <v>0</v>
      </c>
      <c r="T4150" t="n">
        <v>0</v>
      </c>
    </row>
    <row r="4151">
      <c r="A4151" t="inlineStr">
        <is>
          <t>ttJTrans</t>
        </is>
      </c>
      <c r="B4151" s="38" t="inlineStr">
        <is>
          <t>0-4116</t>
        </is>
      </c>
      <c r="C4151" t="inlineStr">
        <is>
          <t>LA</t>
        </is>
      </c>
      <c r="E4151" t="inlineStr">
        <is>
          <t>LA</t>
        </is>
      </c>
      <c r="H4151" s="127" t="n">
        <v>46121</v>
      </c>
      <c r="J4151" s="38" t="inlineStr">
        <is>
          <t>0-4116</t>
        </is>
      </c>
      <c r="K4151" t="inlineStr">
        <is>
          <t>PR P0COST 000525 (PR) Summary</t>
        </is>
      </c>
      <c r="L4151" t="n">
        <v>0</v>
      </c>
      <c r="M4151" t="n">
        <v>0</v>
      </c>
      <c r="Q4151" s="114" t="n">
        <v>0</v>
      </c>
      <c r="R4151" s="114" t="n">
        <v>410.68</v>
      </c>
      <c r="S4151" s="114" t="n">
        <v>0</v>
      </c>
      <c r="T4151" t="n">
        <v>10</v>
      </c>
    </row>
    <row r="4152">
      <c r="A4152" t="inlineStr">
        <is>
          <t>ttJTrans</t>
        </is>
      </c>
      <c r="B4152" s="38" t="inlineStr">
        <is>
          <t>0-4116</t>
        </is>
      </c>
      <c r="C4152" t="inlineStr">
        <is>
          <t>LA</t>
        </is>
      </c>
      <c r="E4152" t="inlineStr">
        <is>
          <t>LA</t>
        </is>
      </c>
      <c r="H4152" s="127" t="n">
        <v>46128</v>
      </c>
      <c r="J4152" s="38" t="inlineStr">
        <is>
          <t>0-4116</t>
        </is>
      </c>
      <c r="K4152" t="inlineStr">
        <is>
          <t>PR P0COST 000526 (PR) Summary</t>
        </is>
      </c>
      <c r="L4152" t="n">
        <v>0</v>
      </c>
      <c r="M4152" t="n">
        <v>0</v>
      </c>
      <c r="Q4152" s="114" t="n">
        <v>0</v>
      </c>
      <c r="R4152" s="114" t="n">
        <v>433.27</v>
      </c>
      <c r="S4152" s="114" t="n">
        <v>0</v>
      </c>
      <c r="T4152" t="n">
        <v>10</v>
      </c>
    </row>
    <row r="4153">
      <c r="A4153" t="inlineStr">
        <is>
          <t>ttJTrans</t>
        </is>
      </c>
      <c r="B4153" s="38" t="inlineStr">
        <is>
          <t>0-4116</t>
        </is>
      </c>
      <c r="C4153" t="inlineStr">
        <is>
          <t>LA</t>
        </is>
      </c>
      <c r="E4153" t="inlineStr">
        <is>
          <t>LA</t>
        </is>
      </c>
      <c r="H4153" s="127" t="n">
        <v>46128</v>
      </c>
      <c r="J4153" s="38" t="inlineStr">
        <is>
          <t>0-4116</t>
        </is>
      </c>
      <c r="K4153" t="inlineStr">
        <is>
          <t>PR P0COST 000526 (PR) Summary</t>
        </is>
      </c>
      <c r="L4153" t="n">
        <v>0</v>
      </c>
      <c r="M4153" t="n">
        <v>0</v>
      </c>
      <c r="Q4153" s="114" t="n">
        <v>0</v>
      </c>
      <c r="R4153" s="114" t="n">
        <v>647.3</v>
      </c>
      <c r="S4153" s="114" t="n">
        <v>0</v>
      </c>
      <c r="T4153" t="n">
        <v>10</v>
      </c>
    </row>
    <row r="4154">
      <c r="A4154" t="inlineStr">
        <is>
          <t>ttJTrans</t>
        </is>
      </c>
      <c r="B4154" s="38" t="inlineStr">
        <is>
          <t>0-4116</t>
        </is>
      </c>
      <c r="C4154" t="inlineStr">
        <is>
          <t>LA</t>
        </is>
      </c>
      <c r="E4154" t="inlineStr">
        <is>
          <t>LA</t>
        </is>
      </c>
      <c r="H4154" s="127" t="n">
        <v>46128</v>
      </c>
      <c r="J4154" s="38" t="inlineStr">
        <is>
          <t>0-4116</t>
        </is>
      </c>
      <c r="K4154" t="inlineStr">
        <is>
          <t>PR P0COST 000526 (PR) Summary</t>
        </is>
      </c>
      <c r="L4154" t="n">
        <v>0</v>
      </c>
      <c r="M4154" t="n">
        <v>0</v>
      </c>
      <c r="Q4154" s="114" t="n">
        <v>0</v>
      </c>
      <c r="R4154" s="114" t="n">
        <v>434.83</v>
      </c>
      <c r="S4154" s="114" t="n">
        <v>0</v>
      </c>
      <c r="T4154" t="n">
        <v>10</v>
      </c>
    </row>
    <row r="4155">
      <c r="A4155" t="inlineStr">
        <is>
          <t>ttJTrans</t>
        </is>
      </c>
      <c r="B4155" s="38" t="inlineStr">
        <is>
          <t>0-4116</t>
        </is>
      </c>
      <c r="C4155" t="inlineStr">
        <is>
          <t>LA</t>
        </is>
      </c>
      <c r="E4155" t="inlineStr">
        <is>
          <t>LA</t>
        </is>
      </c>
      <c r="H4155" s="127" t="n">
        <v>46135</v>
      </c>
      <c r="J4155" s="38" t="inlineStr">
        <is>
          <t>0-4116</t>
        </is>
      </c>
      <c r="K4155" t="inlineStr">
        <is>
          <t>PR P0COST 000527 (PR) Summary</t>
        </is>
      </c>
      <c r="L4155" t="n">
        <v>0</v>
      </c>
      <c r="M4155" t="n">
        <v>0</v>
      </c>
      <c r="Q4155" s="114" t="n">
        <v>0</v>
      </c>
      <c r="R4155" s="114" t="n">
        <v>680.6</v>
      </c>
      <c r="S4155" s="114" t="n">
        <v>0</v>
      </c>
      <c r="T4155" t="n">
        <v>16</v>
      </c>
    </row>
    <row r="4156">
      <c r="A4156" t="inlineStr">
        <is>
          <t>ttJTrans</t>
        </is>
      </c>
      <c r="B4156" s="38" t="inlineStr">
        <is>
          <t>0-4116</t>
        </is>
      </c>
      <c r="C4156" t="inlineStr">
        <is>
          <t>LA</t>
        </is>
      </c>
      <c r="E4156" t="inlineStr">
        <is>
          <t>LA</t>
        </is>
      </c>
      <c r="H4156" s="127" t="n">
        <v>46150</v>
      </c>
      <c r="J4156" s="38" t="inlineStr">
        <is>
          <t>0-4116</t>
        </is>
      </c>
      <c r="K4156" t="inlineStr">
        <is>
          <t>COST CODE TRANSFER 25-4005</t>
        </is>
      </c>
      <c r="L4156" t="n">
        <v>0</v>
      </c>
      <c r="M4156" t="n">
        <v>0</v>
      </c>
      <c r="Q4156" s="114" t="n">
        <v>0</v>
      </c>
      <c r="R4156" s="114" t="n">
        <v>-647.3</v>
      </c>
      <c r="S4156" s="114" t="n">
        <v>0</v>
      </c>
      <c r="T4156" t="n">
        <v>-10</v>
      </c>
    </row>
    <row r="4157">
      <c r="A4157" t="inlineStr">
        <is>
          <t>ttJTrans</t>
        </is>
      </c>
      <c r="B4157" s="38" t="inlineStr">
        <is>
          <t>0-4116</t>
        </is>
      </c>
      <c r="C4157" t="inlineStr">
        <is>
          <t>LA</t>
        </is>
      </c>
      <c r="E4157" t="inlineStr">
        <is>
          <t>LA</t>
        </is>
      </c>
      <c r="H4157" s="127" t="n">
        <v>46149</v>
      </c>
      <c r="J4157" s="38" t="inlineStr">
        <is>
          <t>0-4116</t>
        </is>
      </c>
      <c r="K4157" t="inlineStr">
        <is>
          <t>PR P0COST 000529 (PR) Summary</t>
        </is>
      </c>
      <c r="L4157" t="n">
        <v>0</v>
      </c>
      <c r="M4157" t="n">
        <v>0</v>
      </c>
      <c r="Q4157" s="114" t="n">
        <v>0</v>
      </c>
      <c r="R4157" s="114" t="n">
        <v>391.13</v>
      </c>
      <c r="S4157" s="114" t="n">
        <v>0</v>
      </c>
      <c r="T4157" t="n">
        <v>10</v>
      </c>
    </row>
    <row r="4158">
      <c r="A4158" t="inlineStr">
        <is>
          <t>ttJTrans</t>
        </is>
      </c>
      <c r="B4158" s="38" t="inlineStr">
        <is>
          <t>0-4116</t>
        </is>
      </c>
      <c r="C4158" t="inlineStr">
        <is>
          <t>LA</t>
        </is>
      </c>
      <c r="E4158" t="inlineStr">
        <is>
          <t>LA</t>
        </is>
      </c>
      <c r="H4158" s="127" t="n">
        <v>46149</v>
      </c>
      <c r="J4158" s="38" t="inlineStr">
        <is>
          <t>0-4116</t>
        </is>
      </c>
      <c r="K4158" t="inlineStr">
        <is>
          <t>PR P0COST 000529 (PR) Summary</t>
        </is>
      </c>
      <c r="L4158" t="n">
        <v>0</v>
      </c>
      <c r="M4158" t="n">
        <v>0</v>
      </c>
      <c r="Q4158" s="114" t="n">
        <v>0</v>
      </c>
      <c r="R4158" s="114" t="n">
        <v>391.13</v>
      </c>
      <c r="S4158" s="114" t="n">
        <v>0</v>
      </c>
      <c r="T4158" t="n">
        <v>10</v>
      </c>
    </row>
    <row r="4159">
      <c r="A4159" t="inlineStr">
        <is>
          <t>ttJTrans</t>
        </is>
      </c>
      <c r="B4159" s="38" t="inlineStr">
        <is>
          <t>0-4116</t>
        </is>
      </c>
      <c r="C4159" t="inlineStr">
        <is>
          <t>LA</t>
        </is>
      </c>
      <c r="E4159" t="inlineStr">
        <is>
          <t>LA</t>
        </is>
      </c>
      <c r="H4159" s="127" t="n">
        <v>46149</v>
      </c>
      <c r="J4159" s="38" t="inlineStr">
        <is>
          <t>0-4116</t>
        </is>
      </c>
      <c r="K4159" t="inlineStr">
        <is>
          <t>PR P0COST 000529 (PR) Summary</t>
        </is>
      </c>
      <c r="L4159" t="n">
        <v>0</v>
      </c>
      <c r="M4159" t="n">
        <v>0</v>
      </c>
      <c r="Q4159" s="114" t="n">
        <v>0</v>
      </c>
      <c r="R4159" s="114" t="n">
        <v>709.24</v>
      </c>
      <c r="S4159" s="114" t="n">
        <v>0</v>
      </c>
      <c r="T4159" t="n">
        <v>10</v>
      </c>
    </row>
    <row r="4160">
      <c r="A4160" t="inlineStr">
        <is>
          <t>ttJTrans</t>
        </is>
      </c>
      <c r="B4160" s="38" t="inlineStr">
        <is>
          <t>0-4116</t>
        </is>
      </c>
      <c r="C4160" t="inlineStr">
        <is>
          <t>LA</t>
        </is>
      </c>
      <c r="E4160" t="inlineStr">
        <is>
          <t>LA</t>
        </is>
      </c>
      <c r="H4160" s="127" t="n">
        <v>46149</v>
      </c>
      <c r="J4160" s="38" t="inlineStr">
        <is>
          <t>0-4116</t>
        </is>
      </c>
      <c r="K4160" t="inlineStr">
        <is>
          <t>PR P0COST 000529 (PR) Summary</t>
        </is>
      </c>
      <c r="L4160" t="n">
        <v>0</v>
      </c>
      <c r="M4160" t="n">
        <v>0</v>
      </c>
      <c r="Q4160" s="114" t="n">
        <v>0</v>
      </c>
      <c r="R4160" s="114" t="n">
        <v>707.85</v>
      </c>
      <c r="S4160" s="114" t="n">
        <v>0</v>
      </c>
      <c r="T4160" t="n">
        <v>10</v>
      </c>
    </row>
    <row r="4161">
      <c r="A4161" t="inlineStr">
        <is>
          <t>ttJTrans</t>
        </is>
      </c>
      <c r="B4161" s="38" t="inlineStr">
        <is>
          <t>0-4116</t>
        </is>
      </c>
      <c r="C4161" t="inlineStr">
        <is>
          <t>LA</t>
        </is>
      </c>
      <c r="E4161" t="inlineStr">
        <is>
          <t>LA</t>
        </is>
      </c>
      <c r="H4161" s="127" t="n">
        <v>46156</v>
      </c>
      <c r="J4161" s="38" t="inlineStr">
        <is>
          <t>0-4116</t>
        </is>
      </c>
      <c r="K4161" t="inlineStr">
        <is>
          <t>PR P0COST 000530 (PR) Summary</t>
        </is>
      </c>
      <c r="L4161" t="n">
        <v>0</v>
      </c>
      <c r="M4161" t="n">
        <v>0</v>
      </c>
      <c r="Q4161" s="114" t="n">
        <v>0</v>
      </c>
      <c r="R4161" s="114" t="n">
        <v>581.08</v>
      </c>
      <c r="S4161" s="114" t="n">
        <v>0</v>
      </c>
      <c r="T4161" t="n">
        <v>10</v>
      </c>
    </row>
    <row r="4162">
      <c r="A4162" t="inlineStr">
        <is>
          <t>ttJTrans</t>
        </is>
      </c>
      <c r="B4162" s="38" t="inlineStr">
        <is>
          <t>0-4116</t>
        </is>
      </c>
      <c r="C4162" t="inlineStr">
        <is>
          <t>LA</t>
        </is>
      </c>
      <c r="E4162" t="inlineStr">
        <is>
          <t>LA</t>
        </is>
      </c>
      <c r="H4162" s="127" t="n">
        <v>46156</v>
      </c>
      <c r="J4162" s="38" t="inlineStr">
        <is>
          <t>0-4116</t>
        </is>
      </c>
      <c r="K4162" t="inlineStr">
        <is>
          <t>PR P0COST 000530 (PR) Summary</t>
        </is>
      </c>
      <c r="L4162" t="n">
        <v>0</v>
      </c>
      <c r="M4162" t="n">
        <v>0</v>
      </c>
      <c r="Q4162" s="114" t="n">
        <v>0</v>
      </c>
      <c r="R4162" s="114" t="n">
        <v>581.0700000000001</v>
      </c>
      <c r="S4162" s="114" t="n">
        <v>0</v>
      </c>
      <c r="T4162" t="n">
        <v>10</v>
      </c>
    </row>
    <row r="4163">
      <c r="A4163" t="inlineStr">
        <is>
          <t>ttJTrans</t>
        </is>
      </c>
      <c r="B4163" s="38" t="inlineStr">
        <is>
          <t>0-4116</t>
        </is>
      </c>
      <c r="C4163" t="inlineStr">
        <is>
          <t>LA</t>
        </is>
      </c>
      <c r="E4163" t="inlineStr">
        <is>
          <t>LA</t>
        </is>
      </c>
      <c r="H4163" s="127" t="n">
        <v>46156</v>
      </c>
      <c r="J4163" s="38" t="inlineStr">
        <is>
          <t>0-4116</t>
        </is>
      </c>
      <c r="K4163" t="inlineStr">
        <is>
          <t>PR P0COST 000530 (PR) Summary</t>
        </is>
      </c>
      <c r="L4163" t="n">
        <v>0</v>
      </c>
      <c r="M4163" t="n">
        <v>0</v>
      </c>
      <c r="Q4163" s="114" t="n">
        <v>0</v>
      </c>
      <c r="R4163" s="114" t="n">
        <v>391.13</v>
      </c>
      <c r="S4163" s="114" t="n">
        <v>0</v>
      </c>
      <c r="T4163" t="n">
        <v>10</v>
      </c>
    </row>
    <row r="4164">
      <c r="A4164" t="inlineStr">
        <is>
          <t>ttJTrans</t>
        </is>
      </c>
      <c r="B4164" s="38" t="inlineStr">
        <is>
          <t>0-4116</t>
        </is>
      </c>
      <c r="C4164" t="inlineStr">
        <is>
          <t>LA</t>
        </is>
      </c>
      <c r="E4164" t="inlineStr">
        <is>
          <t>LA</t>
        </is>
      </c>
      <c r="H4164" s="127" t="n">
        <v>46156</v>
      </c>
      <c r="J4164" s="38" t="inlineStr">
        <is>
          <t>0-4116</t>
        </is>
      </c>
      <c r="K4164" t="inlineStr">
        <is>
          <t>PR P0COST 000530 (PR) Summary</t>
        </is>
      </c>
      <c r="L4164" t="n">
        <v>0</v>
      </c>
      <c r="M4164" t="n">
        <v>0</v>
      </c>
      <c r="Q4164" s="114" t="n">
        <v>0</v>
      </c>
      <c r="R4164" s="114" t="n">
        <v>391.13</v>
      </c>
      <c r="S4164" s="114" t="n">
        <v>0</v>
      </c>
      <c r="T4164" t="n">
        <v>10</v>
      </c>
    </row>
    <row r="4165">
      <c r="A4165" t="inlineStr">
        <is>
          <t>ttJTrans</t>
        </is>
      </c>
      <c r="B4165" s="38" t="inlineStr">
        <is>
          <t>0-4116</t>
        </is>
      </c>
      <c r="C4165" t="inlineStr">
        <is>
          <t>LA</t>
        </is>
      </c>
      <c r="E4165" t="inlineStr">
        <is>
          <t>LA</t>
        </is>
      </c>
      <c r="H4165" s="127" t="n">
        <v>46156</v>
      </c>
      <c r="J4165" s="38" t="inlineStr">
        <is>
          <t>0-4116</t>
        </is>
      </c>
      <c r="K4165" t="inlineStr">
        <is>
          <t>PR P0COST 000530 (PR) Summary</t>
        </is>
      </c>
      <c r="L4165" t="n">
        <v>0</v>
      </c>
      <c r="M4165" t="n">
        <v>0</v>
      </c>
      <c r="Q4165" s="114" t="n">
        <v>0</v>
      </c>
      <c r="R4165" s="114" t="n">
        <v>391.13</v>
      </c>
      <c r="S4165" s="114" t="n">
        <v>0</v>
      </c>
      <c r="T4165" t="n">
        <v>10</v>
      </c>
    </row>
    <row r="4166">
      <c r="A4166" t="inlineStr">
        <is>
          <t>ttJTrans</t>
        </is>
      </c>
      <c r="B4166" s="38" t="inlineStr">
        <is>
          <t>0-4116</t>
        </is>
      </c>
      <c r="C4166" t="inlineStr">
        <is>
          <t>LA</t>
        </is>
      </c>
      <c r="E4166" t="inlineStr">
        <is>
          <t>LA</t>
        </is>
      </c>
      <c r="H4166" s="127" t="n">
        <v>46156</v>
      </c>
      <c r="J4166" s="38" t="inlineStr">
        <is>
          <t>0-4116</t>
        </is>
      </c>
      <c r="K4166" t="inlineStr">
        <is>
          <t>PR P0COST 000530 (PR) Summary</t>
        </is>
      </c>
      <c r="L4166" t="n">
        <v>0</v>
      </c>
      <c r="M4166" t="n">
        <v>0</v>
      </c>
      <c r="Q4166" s="114" t="n">
        <v>0</v>
      </c>
      <c r="R4166" s="114" t="n">
        <v>492.76</v>
      </c>
      <c r="S4166" s="114" t="n">
        <v>0</v>
      </c>
      <c r="T4166" t="n">
        <v>10</v>
      </c>
    </row>
    <row r="4167">
      <c r="A4167" t="inlineStr">
        <is>
          <t>ttJTrans</t>
        </is>
      </c>
      <c r="B4167" s="38" t="inlineStr">
        <is>
          <t>0-4116</t>
        </is>
      </c>
      <c r="C4167" t="inlineStr">
        <is>
          <t>LA</t>
        </is>
      </c>
      <c r="E4167" t="inlineStr">
        <is>
          <t>LA</t>
        </is>
      </c>
      <c r="H4167" s="127" t="n">
        <v>46163</v>
      </c>
      <c r="J4167" s="38" t="inlineStr">
        <is>
          <t>0-4116</t>
        </is>
      </c>
      <c r="K4167" t="inlineStr">
        <is>
          <t>PR P0COST 000531 (PR) Summary</t>
        </is>
      </c>
      <c r="L4167" t="n">
        <v>0</v>
      </c>
      <c r="M4167" t="n">
        <v>0</v>
      </c>
      <c r="Q4167" s="114" t="n">
        <v>0</v>
      </c>
      <c r="R4167" s="114" t="n">
        <v>1175.14</v>
      </c>
      <c r="S4167" s="114" t="n">
        <v>0</v>
      </c>
      <c r="T4167" t="n">
        <v>20</v>
      </c>
    </row>
    <row r="4168">
      <c r="A4168" t="inlineStr">
        <is>
          <t>ttJTrans</t>
        </is>
      </c>
      <c r="B4168" s="38" t="inlineStr">
        <is>
          <t>0-4116</t>
        </is>
      </c>
      <c r="C4168" t="inlineStr">
        <is>
          <t>LA</t>
        </is>
      </c>
      <c r="E4168" t="inlineStr">
        <is>
          <t>LA</t>
        </is>
      </c>
      <c r="H4168" s="127" t="n">
        <v>46163</v>
      </c>
      <c r="J4168" s="38" t="inlineStr">
        <is>
          <t>0-4116</t>
        </is>
      </c>
      <c r="K4168" t="inlineStr">
        <is>
          <t>PR P0COST 000531 (PR) Summary</t>
        </is>
      </c>
      <c r="L4168" t="n">
        <v>0</v>
      </c>
      <c r="M4168" t="n">
        <v>0</v>
      </c>
      <c r="Q4168" s="114" t="n">
        <v>0</v>
      </c>
      <c r="R4168" s="114" t="n">
        <v>2862.96</v>
      </c>
      <c r="S4168" s="114" t="n">
        <v>0</v>
      </c>
      <c r="T4168" t="n">
        <v>50</v>
      </c>
    </row>
    <row r="4169">
      <c r="A4169" t="inlineStr">
        <is>
          <t>ttJTrans</t>
        </is>
      </c>
      <c r="B4169" s="38" t="inlineStr">
        <is>
          <t>0-4121</t>
        </is>
      </c>
      <c r="C4169" t="inlineStr">
        <is>
          <t>ER</t>
        </is>
      </c>
      <c r="E4169" t="inlineStr">
        <is>
          <t>ER</t>
        </is>
      </c>
      <c r="H4169" s="127" t="n">
        <v>46142</v>
      </c>
      <c r="J4169" s="38" t="inlineStr">
        <is>
          <t>0-4121</t>
        </is>
      </c>
      <c r="K4169" t="inlineStr">
        <is>
          <t>RPK482 HAMM 84' SINGLE DRUM ROLLER HAMM 84' SINGLE DRUM ROLLER</t>
        </is>
      </c>
      <c r="L4169" t="n">
        <v>0</v>
      </c>
      <c r="M4169" t="n">
        <v>0</v>
      </c>
      <c r="O4169" t="inlineStr">
        <is>
          <t>RPK482</t>
        </is>
      </c>
      <c r="Q4169" s="114" t="n">
        <v>0</v>
      </c>
      <c r="R4169" s="114" t="n">
        <v>300</v>
      </c>
      <c r="S4169" s="114" t="n">
        <v>0</v>
      </c>
      <c r="T4169" t="n">
        <v>0</v>
      </c>
    </row>
    <row r="4170">
      <c r="A4170" t="inlineStr">
        <is>
          <t>ttJTrans</t>
        </is>
      </c>
      <c r="B4170" s="38" t="inlineStr">
        <is>
          <t>0-4121</t>
        </is>
      </c>
      <c r="C4170" t="inlineStr">
        <is>
          <t>ER</t>
        </is>
      </c>
      <c r="E4170" t="inlineStr">
        <is>
          <t>ER</t>
        </is>
      </c>
      <c r="H4170" s="127" t="n">
        <v>46142</v>
      </c>
      <c r="J4170" s="38" t="inlineStr">
        <is>
          <t>0-4121</t>
        </is>
      </c>
      <c r="K4170" t="inlineStr">
        <is>
          <t>RPK482 HAMM 84' SINGLE DRUM ROLLER HAMM 84' SINGLE DRUM ROLLER</t>
        </is>
      </c>
      <c r="L4170" t="n">
        <v>0</v>
      </c>
      <c r="M4170" t="n">
        <v>0</v>
      </c>
      <c r="O4170" t="inlineStr">
        <is>
          <t>RPK482</t>
        </is>
      </c>
      <c r="Q4170" s="114" t="n">
        <v>0</v>
      </c>
      <c r="R4170" s="114" t="n">
        <v>300</v>
      </c>
      <c r="S4170" s="114" t="n">
        <v>0</v>
      </c>
      <c r="T4170" t="n">
        <v>0</v>
      </c>
    </row>
    <row r="4171">
      <c r="A4171" t="inlineStr">
        <is>
          <t>ttJTrans</t>
        </is>
      </c>
      <c r="B4171" s="38" t="inlineStr">
        <is>
          <t>0-4121</t>
        </is>
      </c>
      <c r="C4171" t="inlineStr">
        <is>
          <t>ER</t>
        </is>
      </c>
      <c r="E4171" t="inlineStr">
        <is>
          <t>ER</t>
        </is>
      </c>
      <c r="H4171" s="127" t="n">
        <v>46142</v>
      </c>
      <c r="J4171" s="38" t="inlineStr">
        <is>
          <t>0-4121</t>
        </is>
      </c>
      <c r="K4171" t="inlineStr">
        <is>
          <t>RPK482 HAMM 84' SINGLE DRUM ROLLER HAMM 84' SINGLE DRUM ROLLER</t>
        </is>
      </c>
      <c r="L4171" t="n">
        <v>0</v>
      </c>
      <c r="M4171" t="n">
        <v>0</v>
      </c>
      <c r="O4171" t="inlineStr">
        <is>
          <t>RPK482</t>
        </is>
      </c>
      <c r="Q4171" s="114" t="n">
        <v>0</v>
      </c>
      <c r="R4171" s="114" t="n">
        <v>300</v>
      </c>
      <c r="S4171" s="114" t="n">
        <v>0</v>
      </c>
      <c r="T4171" t="n">
        <v>0</v>
      </c>
    </row>
    <row r="4172">
      <c r="A4172" t="inlineStr">
        <is>
          <t>ttJTrans</t>
        </is>
      </c>
      <c r="B4172" s="38" t="inlineStr">
        <is>
          <t>0-4121</t>
        </is>
      </c>
      <c r="C4172" t="inlineStr">
        <is>
          <t>ER</t>
        </is>
      </c>
      <c r="E4172" t="inlineStr">
        <is>
          <t>ER</t>
        </is>
      </c>
      <c r="H4172" s="127" t="n">
        <v>46142</v>
      </c>
      <c r="J4172" s="38" t="inlineStr">
        <is>
          <t>0-4121</t>
        </is>
      </c>
      <c r="K4172" t="inlineStr">
        <is>
          <t>RMS2317 TRIMBLE TD540 TOTAL STATING TRIMBLE TD540 TOTAL STATING</t>
        </is>
      </c>
      <c r="L4172" t="n">
        <v>0</v>
      </c>
      <c r="M4172" t="n">
        <v>0</v>
      </c>
      <c r="O4172" t="inlineStr">
        <is>
          <t>RMS2317</t>
        </is>
      </c>
      <c r="Q4172" s="114" t="n">
        <v>0</v>
      </c>
      <c r="R4172" s="114" t="n">
        <v>287.36</v>
      </c>
      <c r="S4172" s="114" t="n">
        <v>0</v>
      </c>
      <c r="T4172" t="n">
        <v>0</v>
      </c>
    </row>
    <row r="4173">
      <c r="A4173" t="inlineStr">
        <is>
          <t>ttJTrans</t>
        </is>
      </c>
      <c r="B4173" s="38" t="inlineStr">
        <is>
          <t>0-4121</t>
        </is>
      </c>
      <c r="C4173" t="inlineStr">
        <is>
          <t>ER</t>
        </is>
      </c>
      <c r="E4173" t="inlineStr">
        <is>
          <t>ER</t>
        </is>
      </c>
      <c r="H4173" s="127" t="n">
        <v>46142</v>
      </c>
      <c r="J4173" s="38" t="inlineStr">
        <is>
          <t>0-4121</t>
        </is>
      </c>
      <c r="K4173" t="inlineStr">
        <is>
          <t>RMS2317 TRIMBLE TD540 TOTAL STATING TRIMBLE TD540 TOTAL STATING</t>
        </is>
      </c>
      <c r="L4173" t="n">
        <v>0</v>
      </c>
      <c r="M4173" t="n">
        <v>0</v>
      </c>
      <c r="O4173" t="inlineStr">
        <is>
          <t>RMS2317</t>
        </is>
      </c>
      <c r="Q4173" s="114" t="n">
        <v>0</v>
      </c>
      <c r="R4173" s="114" t="n">
        <v>287.36</v>
      </c>
      <c r="S4173" s="114" t="n">
        <v>0</v>
      </c>
      <c r="T4173" t="n">
        <v>0</v>
      </c>
    </row>
    <row r="4174">
      <c r="A4174" t="inlineStr">
        <is>
          <t>ttJTrans</t>
        </is>
      </c>
      <c r="B4174" s="38" t="inlineStr">
        <is>
          <t>0-4121</t>
        </is>
      </c>
      <c r="C4174" t="inlineStr">
        <is>
          <t>ER</t>
        </is>
      </c>
      <c r="E4174" t="inlineStr">
        <is>
          <t>ER</t>
        </is>
      </c>
      <c r="H4174" s="127" t="n">
        <v>46142</v>
      </c>
      <c r="J4174" s="38" t="inlineStr">
        <is>
          <t>0-4121</t>
        </is>
      </c>
      <c r="K4174" t="inlineStr">
        <is>
          <t>RMS2317 TRIMBLE TD540 TOTAL STATING TRIMBLE TD540 TOTAL STATING</t>
        </is>
      </c>
      <c r="L4174" t="n">
        <v>0</v>
      </c>
      <c r="M4174" t="n">
        <v>0</v>
      </c>
      <c r="O4174" t="inlineStr">
        <is>
          <t>RMS2317</t>
        </is>
      </c>
      <c r="Q4174" s="114" t="n">
        <v>0</v>
      </c>
      <c r="R4174" s="114" t="n">
        <v>287.36</v>
      </c>
      <c r="S4174" s="114" t="n">
        <v>0</v>
      </c>
      <c r="T4174" t="n">
        <v>0</v>
      </c>
    </row>
    <row r="4175">
      <c r="A4175" t="inlineStr">
        <is>
          <t>ttJTrans</t>
        </is>
      </c>
      <c r="B4175" s="38" t="inlineStr">
        <is>
          <t>0-4121</t>
        </is>
      </c>
      <c r="C4175" t="inlineStr">
        <is>
          <t>ER</t>
        </is>
      </c>
      <c r="E4175" t="inlineStr">
        <is>
          <t>ER</t>
        </is>
      </c>
      <c r="H4175" s="127" t="n">
        <v>46142</v>
      </c>
      <c r="J4175" s="38" t="inlineStr">
        <is>
          <t>0-4121</t>
        </is>
      </c>
      <c r="K4175" t="inlineStr">
        <is>
          <t>RPK482 HAMM 84' SINGLE DRUM ROLLER HAMM 84' SINGLE DRUM ROLLER</t>
        </is>
      </c>
      <c r="L4175" t="n">
        <v>0</v>
      </c>
      <c r="M4175" t="n">
        <v>0</v>
      </c>
      <c r="O4175" t="inlineStr">
        <is>
          <t>RPK482</t>
        </is>
      </c>
      <c r="Q4175" s="114" t="n">
        <v>0</v>
      </c>
      <c r="R4175" s="114" t="n">
        <v>300</v>
      </c>
      <c r="S4175" s="114" t="n">
        <v>0</v>
      </c>
      <c r="T4175" t="n">
        <v>0</v>
      </c>
    </row>
    <row r="4176">
      <c r="A4176" t="inlineStr">
        <is>
          <t>ttJTrans</t>
        </is>
      </c>
      <c r="B4176" s="38" t="inlineStr">
        <is>
          <t>0-4121</t>
        </is>
      </c>
      <c r="C4176" t="inlineStr">
        <is>
          <t>ER</t>
        </is>
      </c>
      <c r="E4176" t="inlineStr">
        <is>
          <t>ER</t>
        </is>
      </c>
      <c r="H4176" s="127" t="n">
        <v>46152</v>
      </c>
      <c r="J4176" s="38" t="inlineStr">
        <is>
          <t>0-4121</t>
        </is>
      </c>
      <c r="K4176" t="inlineStr">
        <is>
          <t>RHV96 PETERBILT 4,000 GALLON WATER TRUCK PETERBILT 4,000 GALLON WATER TRUCK</t>
        </is>
      </c>
      <c r="L4176" t="n">
        <v>0</v>
      </c>
      <c r="M4176" t="n">
        <v>0</v>
      </c>
      <c r="O4176" t="inlineStr">
        <is>
          <t>RHV96</t>
        </is>
      </c>
      <c r="Q4176" s="114" t="n">
        <v>0</v>
      </c>
      <c r="R4176" s="114" t="n">
        <v>200</v>
      </c>
      <c r="S4176" s="114" t="n">
        <v>0</v>
      </c>
      <c r="T4176" t="n">
        <v>0</v>
      </c>
    </row>
    <row r="4177">
      <c r="A4177" t="inlineStr">
        <is>
          <t>ttJTrans</t>
        </is>
      </c>
      <c r="B4177" s="38" t="inlineStr">
        <is>
          <t>0-4121</t>
        </is>
      </c>
      <c r="C4177" t="inlineStr">
        <is>
          <t>ER</t>
        </is>
      </c>
      <c r="E4177" t="inlineStr">
        <is>
          <t>ER</t>
        </is>
      </c>
      <c r="H4177" s="127" t="n">
        <v>46142</v>
      </c>
      <c r="J4177" s="38" t="inlineStr">
        <is>
          <t>0-4121</t>
        </is>
      </c>
      <c r="K4177" t="inlineStr">
        <is>
          <t>RHV96 PETERBILT 4,000 GALLON WATER TRUCK PETERBILT 4,000 GALLON WATER TRUCK</t>
        </is>
      </c>
      <c r="L4177" t="n">
        <v>0</v>
      </c>
      <c r="M4177" t="n">
        <v>0</v>
      </c>
      <c r="O4177" t="inlineStr">
        <is>
          <t>RHV96</t>
        </is>
      </c>
      <c r="Q4177" s="114" t="n">
        <v>0</v>
      </c>
      <c r="R4177" s="114" t="n">
        <v>200</v>
      </c>
      <c r="S4177" s="114" t="n">
        <v>0</v>
      </c>
      <c r="T4177" t="n">
        <v>0</v>
      </c>
    </row>
    <row r="4178">
      <c r="A4178" t="inlineStr">
        <is>
          <t>ttJTrans</t>
        </is>
      </c>
      <c r="B4178" s="38" t="inlineStr">
        <is>
          <t>0-4121</t>
        </is>
      </c>
      <c r="C4178" t="inlineStr">
        <is>
          <t>ER</t>
        </is>
      </c>
      <c r="E4178" t="inlineStr">
        <is>
          <t>ER</t>
        </is>
      </c>
      <c r="H4178" s="127" t="n">
        <v>46142</v>
      </c>
      <c r="J4178" s="38" t="inlineStr">
        <is>
          <t>0-4121</t>
        </is>
      </c>
      <c r="K4178" t="inlineStr">
        <is>
          <t>RHV96 PETERBILT 4,000 GALLON WATER TRUCK PETERBILT 4,000 GALLON WATER TRUCK</t>
        </is>
      </c>
      <c r="L4178" t="n">
        <v>0</v>
      </c>
      <c r="M4178" t="n">
        <v>0</v>
      </c>
      <c r="O4178" t="inlineStr">
        <is>
          <t>RHV96</t>
        </is>
      </c>
      <c r="Q4178" s="114" t="n">
        <v>0</v>
      </c>
      <c r="R4178" s="114" t="n">
        <v>200</v>
      </c>
      <c r="S4178" s="114" t="n">
        <v>0</v>
      </c>
      <c r="T4178" t="n">
        <v>0</v>
      </c>
    </row>
    <row r="4179">
      <c r="A4179" t="inlineStr">
        <is>
          <t>ttJTrans</t>
        </is>
      </c>
      <c r="B4179" s="38" t="inlineStr">
        <is>
          <t>0-4121</t>
        </is>
      </c>
      <c r="C4179" t="inlineStr">
        <is>
          <t>ER</t>
        </is>
      </c>
      <c r="E4179" t="inlineStr">
        <is>
          <t>ER</t>
        </is>
      </c>
      <c r="H4179" s="127" t="n">
        <v>46142</v>
      </c>
      <c r="J4179" s="38" t="inlineStr">
        <is>
          <t>0-4121</t>
        </is>
      </c>
      <c r="K4179" t="inlineStr">
        <is>
          <t>RHV96 PETERBILT 4,000 GALLON WATER TRUCK PETERBILT 4,000 GALLON WATER TRUCK</t>
        </is>
      </c>
      <c r="L4179" t="n">
        <v>0</v>
      </c>
      <c r="M4179" t="n">
        <v>0</v>
      </c>
      <c r="O4179" t="inlineStr">
        <is>
          <t>RHV96</t>
        </is>
      </c>
      <c r="Q4179" s="114" t="n">
        <v>0</v>
      </c>
      <c r="R4179" s="114" t="n">
        <v>200</v>
      </c>
      <c r="S4179" s="114" t="n">
        <v>0</v>
      </c>
      <c r="T4179" t="n">
        <v>0</v>
      </c>
    </row>
    <row r="4180">
      <c r="A4180" t="inlineStr">
        <is>
          <t>ttJTrans</t>
        </is>
      </c>
      <c r="B4180" s="38" t="inlineStr">
        <is>
          <t>0-4121</t>
        </is>
      </c>
      <c r="C4180" t="inlineStr">
        <is>
          <t>ER</t>
        </is>
      </c>
      <c r="E4180" t="inlineStr">
        <is>
          <t>ER</t>
        </is>
      </c>
      <c r="H4180" s="127" t="n">
        <v>46142</v>
      </c>
      <c r="J4180" s="38" t="inlineStr">
        <is>
          <t>0-4121</t>
        </is>
      </c>
      <c r="K4180" t="inlineStr">
        <is>
          <t>RHV96 PETERBILT 4,000 GALLON WATER TRUCK PETERBILT 4,000 GALLON WATER TRUCK</t>
        </is>
      </c>
      <c r="L4180" t="n">
        <v>0</v>
      </c>
      <c r="M4180" t="n">
        <v>0</v>
      </c>
      <c r="O4180" t="inlineStr">
        <is>
          <t>RHV96</t>
        </is>
      </c>
      <c r="Q4180" s="114" t="n">
        <v>0</v>
      </c>
      <c r="R4180" s="114" t="n">
        <v>200</v>
      </c>
      <c r="S4180" s="114" t="n">
        <v>0</v>
      </c>
      <c r="T4180" t="n">
        <v>0</v>
      </c>
    </row>
    <row r="4181">
      <c r="A4181" t="inlineStr">
        <is>
          <t>ttJTrans</t>
        </is>
      </c>
      <c r="B4181" s="38" t="inlineStr">
        <is>
          <t>0-4121</t>
        </is>
      </c>
      <c r="C4181" t="inlineStr">
        <is>
          <t>ER</t>
        </is>
      </c>
      <c r="E4181" t="inlineStr">
        <is>
          <t>ER</t>
        </is>
      </c>
      <c r="H4181" s="127" t="n">
        <v>46142</v>
      </c>
      <c r="J4181" s="38" t="inlineStr">
        <is>
          <t>0-4121</t>
        </is>
      </c>
      <c r="K4181" t="inlineStr">
        <is>
          <t>RDZ318 CAT D5 LGPVPR DOZER 170 HP CAT D5 LGPVPR DOZER 170 HP</t>
        </is>
      </c>
      <c r="L4181" t="n">
        <v>0</v>
      </c>
      <c r="M4181" t="n">
        <v>0</v>
      </c>
      <c r="O4181" t="inlineStr">
        <is>
          <t>RDZ318</t>
        </is>
      </c>
      <c r="Q4181" s="114" t="n">
        <v>0</v>
      </c>
      <c r="R4181" s="114" t="n">
        <v>778.74</v>
      </c>
      <c r="S4181" s="114" t="n">
        <v>0</v>
      </c>
      <c r="T4181" t="n">
        <v>0</v>
      </c>
    </row>
    <row r="4182">
      <c r="A4182" t="inlineStr">
        <is>
          <t>ttJTrans</t>
        </is>
      </c>
      <c r="B4182" s="38" t="inlineStr">
        <is>
          <t>0-4121</t>
        </is>
      </c>
      <c r="C4182" t="inlineStr">
        <is>
          <t>ER</t>
        </is>
      </c>
      <c r="E4182" t="inlineStr">
        <is>
          <t>ER</t>
        </is>
      </c>
      <c r="H4182" s="127" t="n">
        <v>46142</v>
      </c>
      <c r="J4182" s="38" t="inlineStr">
        <is>
          <t>0-4121</t>
        </is>
      </c>
      <c r="K4182" t="inlineStr">
        <is>
          <t>RDZ318 CAT D5 LGPVPR DOZER 170 HP CAT D5 LGPVPR DOZER 170 HP</t>
        </is>
      </c>
      <c r="L4182" t="n">
        <v>0</v>
      </c>
      <c r="M4182" t="n">
        <v>0</v>
      </c>
      <c r="O4182" t="inlineStr">
        <is>
          <t>RDZ318</t>
        </is>
      </c>
      <c r="Q4182" s="114" t="n">
        <v>0</v>
      </c>
      <c r="R4182" s="114" t="n">
        <v>778.74</v>
      </c>
      <c r="S4182" s="114" t="n">
        <v>0</v>
      </c>
      <c r="T4182" t="n">
        <v>0</v>
      </c>
    </row>
    <row r="4183">
      <c r="A4183" t="inlineStr">
        <is>
          <t>ttJTrans</t>
        </is>
      </c>
      <c r="B4183" s="38" t="inlineStr">
        <is>
          <t>0-4121</t>
        </is>
      </c>
      <c r="C4183" t="inlineStr">
        <is>
          <t>ER</t>
        </is>
      </c>
      <c r="E4183" t="inlineStr">
        <is>
          <t>ER</t>
        </is>
      </c>
      <c r="H4183" s="127" t="n">
        <v>46142</v>
      </c>
      <c r="J4183" s="38" t="inlineStr">
        <is>
          <t>0-4121</t>
        </is>
      </c>
      <c r="K4183" t="inlineStr">
        <is>
          <t>RDZ318 CAT D5 LGPVPR DOZER 170 HP CAT D5 LGPVPR DOZER 170 HP</t>
        </is>
      </c>
      <c r="L4183" t="n">
        <v>0</v>
      </c>
      <c r="M4183" t="n">
        <v>0</v>
      </c>
      <c r="O4183" t="inlineStr">
        <is>
          <t>RDZ318</t>
        </is>
      </c>
      <c r="Q4183" s="114" t="n">
        <v>0</v>
      </c>
      <c r="R4183" s="114" t="n">
        <v>778.74</v>
      </c>
      <c r="S4183" s="114" t="n">
        <v>0</v>
      </c>
      <c r="T4183" t="n">
        <v>0</v>
      </c>
    </row>
    <row r="4184">
      <c r="A4184" t="inlineStr">
        <is>
          <t>ttJTrans</t>
        </is>
      </c>
      <c r="B4184" s="38" t="inlineStr">
        <is>
          <t>0-4121</t>
        </is>
      </c>
      <c r="C4184" t="inlineStr">
        <is>
          <t>ER</t>
        </is>
      </c>
      <c r="E4184" t="inlineStr">
        <is>
          <t>ER</t>
        </is>
      </c>
      <c r="H4184" s="127" t="n">
        <v>46142</v>
      </c>
      <c r="J4184" s="38" t="inlineStr">
        <is>
          <t>0-4121</t>
        </is>
      </c>
      <c r="K4184" t="inlineStr">
        <is>
          <t>RDZ318 CAT D5 LGPVPR DOZER 170 HP CAT D5 LGPVPR DOZER 170 HP</t>
        </is>
      </c>
      <c r="L4184" t="n">
        <v>0</v>
      </c>
      <c r="M4184" t="n">
        <v>0</v>
      </c>
      <c r="O4184" t="inlineStr">
        <is>
          <t>RDZ318</t>
        </is>
      </c>
      <c r="Q4184" s="114" t="n">
        <v>0</v>
      </c>
      <c r="R4184" s="114" t="n">
        <v>778.74</v>
      </c>
      <c r="S4184" s="114" t="n">
        <v>0</v>
      </c>
      <c r="T4184" t="n">
        <v>0</v>
      </c>
    </row>
    <row r="4185">
      <c r="A4185" t="inlineStr">
        <is>
          <t>ttJTrans</t>
        </is>
      </c>
      <c r="B4185" s="38" t="inlineStr">
        <is>
          <t>0-4121</t>
        </is>
      </c>
      <c r="C4185" t="inlineStr">
        <is>
          <t>ER</t>
        </is>
      </c>
      <c r="E4185" t="inlineStr">
        <is>
          <t>ER</t>
        </is>
      </c>
      <c r="H4185" s="127" t="n">
        <v>46142</v>
      </c>
      <c r="J4185" s="38" t="inlineStr">
        <is>
          <t>0-4121</t>
        </is>
      </c>
      <c r="K4185" t="inlineStr">
        <is>
          <t>RMS2317 TRIMBLE TD540 TOTAL STATING TRIMBLE TD540 TOTAL STATING</t>
        </is>
      </c>
      <c r="L4185" t="n">
        <v>0</v>
      </c>
      <c r="M4185" t="n">
        <v>0</v>
      </c>
      <c r="O4185" t="inlineStr">
        <is>
          <t>RMS2317</t>
        </is>
      </c>
      <c r="Q4185" s="114" t="n">
        <v>0</v>
      </c>
      <c r="R4185" s="114" t="n">
        <v>287.36</v>
      </c>
      <c r="S4185" s="114" t="n">
        <v>0</v>
      </c>
      <c r="T4185" t="n">
        <v>0</v>
      </c>
    </row>
    <row r="4186">
      <c r="A4186" t="inlineStr">
        <is>
          <t>ttJTrans</t>
        </is>
      </c>
      <c r="B4186" s="38" t="inlineStr">
        <is>
          <t>0-4121</t>
        </is>
      </c>
      <c r="C4186" t="inlineStr">
        <is>
          <t>LA</t>
        </is>
      </c>
      <c r="E4186" t="inlineStr">
        <is>
          <t>LA</t>
        </is>
      </c>
      <c r="H4186" s="127" t="n">
        <v>46135</v>
      </c>
      <c r="J4186" s="38" t="inlineStr">
        <is>
          <t>0-4121</t>
        </is>
      </c>
      <c r="K4186" t="inlineStr">
        <is>
          <t>PR P0COST 000527 (PR) Summary</t>
        </is>
      </c>
      <c r="L4186" t="n">
        <v>0</v>
      </c>
      <c r="M4186" t="n">
        <v>0</v>
      </c>
      <c r="Q4186" s="114" t="n">
        <v>0</v>
      </c>
      <c r="R4186" s="114" t="n">
        <v>1159.5</v>
      </c>
      <c r="S4186" s="114" t="n">
        <v>0</v>
      </c>
      <c r="T4186" t="n">
        <v>20</v>
      </c>
    </row>
    <row r="4187">
      <c r="A4187" t="inlineStr">
        <is>
          <t>ttJTrans</t>
        </is>
      </c>
      <c r="B4187" s="38" t="inlineStr">
        <is>
          <t>0-4121</t>
        </is>
      </c>
      <c r="C4187" t="inlineStr">
        <is>
          <t>LA</t>
        </is>
      </c>
      <c r="E4187" t="inlineStr">
        <is>
          <t>LA</t>
        </is>
      </c>
      <c r="H4187" s="127" t="n">
        <v>46135</v>
      </c>
      <c r="J4187" s="38" t="inlineStr">
        <is>
          <t>0-4121</t>
        </is>
      </c>
      <c r="K4187" t="inlineStr">
        <is>
          <t>PR P0COST 000527 (PR) Summary</t>
        </is>
      </c>
      <c r="L4187" t="n">
        <v>0</v>
      </c>
      <c r="M4187" t="n">
        <v>0</v>
      </c>
      <c r="Q4187" s="114" t="n">
        <v>0</v>
      </c>
      <c r="R4187" s="114" t="n">
        <v>1159.51</v>
      </c>
      <c r="S4187" s="114" t="n">
        <v>0</v>
      </c>
      <c r="T4187" t="n">
        <v>20</v>
      </c>
    </row>
    <row r="4188">
      <c r="A4188" t="inlineStr">
        <is>
          <t>ttJTrans</t>
        </is>
      </c>
      <c r="B4188" s="38" t="inlineStr">
        <is>
          <t>0-4121</t>
        </is>
      </c>
      <c r="C4188" t="inlineStr">
        <is>
          <t>LA</t>
        </is>
      </c>
      <c r="E4188" t="inlineStr">
        <is>
          <t>LA</t>
        </is>
      </c>
      <c r="H4188" s="127" t="n">
        <v>46142</v>
      </c>
      <c r="J4188" s="38" t="inlineStr">
        <is>
          <t>0-4121</t>
        </is>
      </c>
      <c r="K4188" t="inlineStr">
        <is>
          <t>PR P0COST 000528 (PR) Summary</t>
        </is>
      </c>
      <c r="L4188" t="n">
        <v>0</v>
      </c>
      <c r="M4188" t="n">
        <v>0</v>
      </c>
      <c r="Q4188" s="114" t="n">
        <v>0</v>
      </c>
      <c r="R4188" s="114" t="n">
        <v>993.54</v>
      </c>
      <c r="S4188" s="114" t="n">
        <v>0</v>
      </c>
      <c r="T4188" t="n">
        <v>20</v>
      </c>
    </row>
    <row r="4189">
      <c r="A4189" t="inlineStr">
        <is>
          <t>ttJTrans</t>
        </is>
      </c>
      <c r="B4189" s="38" t="inlineStr">
        <is>
          <t>0-4121</t>
        </is>
      </c>
      <c r="C4189" t="inlineStr">
        <is>
          <t>LA</t>
        </is>
      </c>
      <c r="E4189" t="inlineStr">
        <is>
          <t>LA</t>
        </is>
      </c>
      <c r="H4189" s="127" t="n">
        <v>46142</v>
      </c>
      <c r="J4189" s="38" t="inlineStr">
        <is>
          <t>0-4121</t>
        </is>
      </c>
      <c r="K4189" t="inlineStr">
        <is>
          <t>PR P0COST 000528 (PR) Summary</t>
        </is>
      </c>
      <c r="L4189" t="n">
        <v>0</v>
      </c>
      <c r="M4189" t="n">
        <v>0</v>
      </c>
      <c r="Q4189" s="114" t="n">
        <v>0</v>
      </c>
      <c r="R4189" s="114" t="n">
        <v>1414.61</v>
      </c>
      <c r="S4189" s="114" t="n">
        <v>0</v>
      </c>
      <c r="T4189" t="n">
        <v>30</v>
      </c>
    </row>
    <row r="4190">
      <c r="A4190" t="inlineStr">
        <is>
          <t>ttJTrans</t>
        </is>
      </c>
      <c r="B4190" s="38" t="inlineStr">
        <is>
          <t>0-4121</t>
        </is>
      </c>
      <c r="C4190" t="inlineStr">
        <is>
          <t>LA</t>
        </is>
      </c>
      <c r="E4190" t="inlineStr">
        <is>
          <t>LA</t>
        </is>
      </c>
      <c r="H4190" s="127" t="n">
        <v>46142</v>
      </c>
      <c r="J4190" s="38" t="inlineStr">
        <is>
          <t>0-4121</t>
        </is>
      </c>
      <c r="K4190" t="inlineStr">
        <is>
          <t>PR P0COST 000528 (PR) Summary</t>
        </is>
      </c>
      <c r="L4190" t="n">
        <v>0</v>
      </c>
      <c r="M4190" t="n">
        <v>0</v>
      </c>
      <c r="Q4190" s="114" t="n">
        <v>0</v>
      </c>
      <c r="R4190" s="114" t="n">
        <v>1414.61</v>
      </c>
      <c r="S4190" s="114" t="n">
        <v>0</v>
      </c>
      <c r="T4190" t="n">
        <v>30</v>
      </c>
    </row>
    <row r="4191">
      <c r="A4191" t="inlineStr">
        <is>
          <t>ttJTrans</t>
        </is>
      </c>
      <c r="B4191" s="38" t="inlineStr">
        <is>
          <t>0-4121</t>
        </is>
      </c>
      <c r="C4191" t="inlineStr">
        <is>
          <t>LA</t>
        </is>
      </c>
      <c r="E4191" t="inlineStr">
        <is>
          <t>LA</t>
        </is>
      </c>
      <c r="H4191" s="127" t="n">
        <v>46142</v>
      </c>
      <c r="J4191" s="38" t="inlineStr">
        <is>
          <t>0-4121</t>
        </is>
      </c>
      <c r="K4191" t="inlineStr">
        <is>
          <t>PR P0COST 000528 (PR) Summary</t>
        </is>
      </c>
      <c r="L4191" t="n">
        <v>0</v>
      </c>
      <c r="M4191" t="n">
        <v>0</v>
      </c>
      <c r="Q4191" s="114" t="n">
        <v>0</v>
      </c>
      <c r="R4191" s="114" t="n">
        <v>993.54</v>
      </c>
      <c r="S4191" s="114" t="n">
        <v>0</v>
      </c>
      <c r="T4191" t="n">
        <v>20</v>
      </c>
    </row>
    <row r="4192">
      <c r="A4192" t="inlineStr">
        <is>
          <t>ttJTrans</t>
        </is>
      </c>
      <c r="B4192" s="38" t="inlineStr">
        <is>
          <t>0-4121</t>
        </is>
      </c>
      <c r="C4192" t="inlineStr">
        <is>
          <t>MA</t>
        </is>
      </c>
      <c r="D4192" t="inlineStr">
        <is>
          <t>MA1011245</t>
        </is>
      </c>
      <c r="E4192" t="inlineStr">
        <is>
          <t>MA</t>
        </is>
      </c>
      <c r="F4192" t="inlineStr">
        <is>
          <t>MA1011245</t>
        </is>
      </c>
      <c r="G4192" t="n">
        <v>46141</v>
      </c>
      <c r="H4192" s="127" t="n">
        <v>46162</v>
      </c>
      <c r="I4192" t="inlineStr">
        <is>
          <t>1</t>
        </is>
      </c>
      <c r="J4192" s="38" t="inlineStr">
        <is>
          <t>0-4121</t>
        </is>
      </c>
      <c r="K4192" t="inlineStr">
        <is>
          <t>AGGREGATE - LAYDOWN YARD AREAS - TXDOT BASE</t>
        </is>
      </c>
      <c r="L4192" t="n">
        <v>16000</v>
      </c>
      <c r="M4192" t="n">
        <v>759240</v>
      </c>
      <c r="N4192" t="inlineStr">
        <is>
          <t>INVOICE</t>
        </is>
      </c>
      <c r="O4192" t="inlineStr">
        <is>
          <t>21358</t>
        </is>
      </c>
      <c r="P4192" t="inlineStr">
        <is>
          <t>TEXAS GULF COAST AGGREGATES, LLC</t>
        </is>
      </c>
      <c r="Q4192" s="114" t="n">
        <v>0</v>
      </c>
      <c r="R4192" s="114" t="n">
        <v>0</v>
      </c>
      <c r="S4192" s="114" t="n">
        <v>0</v>
      </c>
      <c r="T4192" t="n">
        <v>0</v>
      </c>
    </row>
    <row r="4193">
      <c r="A4193" t="inlineStr">
        <is>
          <t>ttJTrans</t>
        </is>
      </c>
      <c r="B4193" s="38" t="inlineStr">
        <is>
          <t>0-4121</t>
        </is>
      </c>
      <c r="C4193" t="inlineStr">
        <is>
          <t>MA</t>
        </is>
      </c>
      <c r="D4193" t="inlineStr">
        <is>
          <t>MA1011245</t>
        </is>
      </c>
      <c r="E4193" t="inlineStr">
        <is>
          <t>MA</t>
        </is>
      </c>
      <c r="F4193" t="inlineStr">
        <is>
          <t>MA1011245</t>
        </is>
      </c>
      <c r="G4193" t="n">
        <v>46141</v>
      </c>
      <c r="H4193" s="127" t="n">
        <v>46149</v>
      </c>
      <c r="I4193" t="inlineStr">
        <is>
          <t>1</t>
        </is>
      </c>
      <c r="J4193" s="38" t="inlineStr">
        <is>
          <t>0-4121</t>
        </is>
      </c>
      <c r="K4193" t="inlineStr">
        <is>
          <t>AGGREGATE - LAYDOWN YARD AREAS - TXDOT BASE</t>
        </is>
      </c>
      <c r="L4193" t="n">
        <v>16000</v>
      </c>
      <c r="M4193" t="n">
        <v>759240</v>
      </c>
      <c r="N4193" t="inlineStr">
        <is>
          <t>PO:COMMIT</t>
        </is>
      </c>
      <c r="O4193" t="inlineStr">
        <is>
          <t>21358</t>
        </is>
      </c>
      <c r="P4193" t="inlineStr">
        <is>
          <t>TEXAS GULF COAST AGGREGATES, LLC</t>
        </is>
      </c>
      <c r="Q4193" s="114" t="n">
        <v>0</v>
      </c>
      <c r="R4193" s="114" t="n">
        <v>0</v>
      </c>
      <c r="S4193" s="114" t="n">
        <v>759240</v>
      </c>
      <c r="T4193" t="n">
        <v>0</v>
      </c>
    </row>
    <row r="4194">
      <c r="A4194" t="inlineStr">
        <is>
          <t>ttJTrans</t>
        </is>
      </c>
      <c r="B4194" s="38" t="inlineStr">
        <is>
          <t>0-4121</t>
        </is>
      </c>
      <c r="C4194" t="inlineStr">
        <is>
          <t>MA</t>
        </is>
      </c>
      <c r="D4194" t="inlineStr">
        <is>
          <t>MA1011245</t>
        </is>
      </c>
      <c r="E4194" t="inlineStr">
        <is>
          <t>MA</t>
        </is>
      </c>
      <c r="F4194" t="inlineStr">
        <is>
          <t>MA1011245</t>
        </is>
      </c>
      <c r="G4194" t="n">
        <v>46141</v>
      </c>
      <c r="H4194" s="127" t="n">
        <v>46149</v>
      </c>
      <c r="I4194" t="inlineStr">
        <is>
          <t>1</t>
        </is>
      </c>
      <c r="J4194" s="38" t="inlineStr">
        <is>
          <t>0-4121</t>
        </is>
      </c>
      <c r="K4194" t="inlineStr">
        <is>
          <t>AGGREGATE - LAYDOWN YARD AREAS - TXDOT BASE</t>
        </is>
      </c>
      <c r="L4194" t="n">
        <v>16000</v>
      </c>
      <c r="M4194" t="n">
        <v>759240</v>
      </c>
      <c r="N4194" t="inlineStr">
        <is>
          <t>INVOICE:ADJ-COMMIT</t>
        </is>
      </c>
      <c r="O4194" t="inlineStr">
        <is>
          <t>21358</t>
        </is>
      </c>
      <c r="P4194" t="inlineStr">
        <is>
          <t>TEXAS GULF COAST AGGREGATES, LLC</t>
        </is>
      </c>
      <c r="Q4194" s="114" t="n">
        <v>0</v>
      </c>
      <c r="R4194" s="114" t="n">
        <v>0</v>
      </c>
      <c r="S4194" s="114" t="n">
        <v>-162364.43</v>
      </c>
      <c r="T4194" t="n">
        <v>0</v>
      </c>
    </row>
    <row r="4195">
      <c r="A4195" t="inlineStr">
        <is>
          <t>ttJTrans</t>
        </is>
      </c>
      <c r="B4195" s="38" t="inlineStr">
        <is>
          <t>0-4121</t>
        </is>
      </c>
      <c r="C4195" t="inlineStr">
        <is>
          <t>MA</t>
        </is>
      </c>
      <c r="D4195" t="inlineStr">
        <is>
          <t>MA1011507</t>
        </is>
      </c>
      <c r="E4195" t="inlineStr">
        <is>
          <t>MA</t>
        </is>
      </c>
      <c r="F4195" t="inlineStr">
        <is>
          <t>MA1011507</t>
        </is>
      </c>
      <c r="G4195" t="n">
        <v>46139</v>
      </c>
      <c r="H4195" s="127" t="n">
        <v>46139</v>
      </c>
      <c r="I4195" t="inlineStr">
        <is>
          <t>1</t>
        </is>
      </c>
      <c r="J4195" s="38" t="inlineStr">
        <is>
          <t>0-4121</t>
        </is>
      </c>
      <c r="K4195" t="inlineStr">
        <is>
          <t>1X30'X24",16GA,GALVANIZED CMP, SOLID x30'</t>
        </is>
      </c>
      <c r="L4195" t="n">
        <v>30</v>
      </c>
      <c r="M4195" t="n">
        <v>1057.94</v>
      </c>
      <c r="N4195" t="inlineStr">
        <is>
          <t>PO:COMMIT</t>
        </is>
      </c>
      <c r="O4195" t="inlineStr">
        <is>
          <t>15812</t>
        </is>
      </c>
      <c r="P4195" t="inlineStr">
        <is>
          <t>CONSOLIDATED PIPE &amp; SUPPLY CO. INC.</t>
        </is>
      </c>
      <c r="Q4195" s="114" t="n">
        <v>1057.94</v>
      </c>
      <c r="R4195" s="114" t="n">
        <v>0</v>
      </c>
      <c r="S4195" s="114" t="n">
        <v>0</v>
      </c>
      <c r="T4195" t="n">
        <v>0</v>
      </c>
    </row>
    <row r="4196">
      <c r="A4196" t="inlineStr">
        <is>
          <t>ttJTrans</t>
        </is>
      </c>
      <c r="B4196" s="38" t="inlineStr">
        <is>
          <t>0-4121</t>
        </is>
      </c>
      <c r="C4196" t="inlineStr">
        <is>
          <t>MA</t>
        </is>
      </c>
      <c r="E4196" t="inlineStr">
        <is>
          <t>MA</t>
        </is>
      </c>
      <c r="H4196" s="127" t="n">
        <v>46162</v>
      </c>
      <c r="J4196" s="38" t="inlineStr">
        <is>
          <t>0-4121</t>
        </is>
      </c>
      <c r="K4196" t="inlineStr">
        <is>
          <t>LIMESTONE</t>
        </is>
      </c>
      <c r="L4196" t="n">
        <v>0</v>
      </c>
      <c r="M4196" t="n">
        <v>0</v>
      </c>
      <c r="O4196" t="inlineStr">
        <is>
          <t>21358</t>
        </is>
      </c>
      <c r="P4196" t="inlineStr">
        <is>
          <t>TEXAS GULF COAST AGGREGATES, LLC</t>
        </is>
      </c>
      <c r="Q4196" s="114" t="n">
        <v>0</v>
      </c>
      <c r="R4196" s="114" t="n">
        <v>156147.77</v>
      </c>
      <c r="S4196" s="114" t="n">
        <v>0</v>
      </c>
      <c r="T4196" t="n">
        <v>0</v>
      </c>
    </row>
    <row r="4197">
      <c r="A4197" t="inlineStr">
        <is>
          <t>ttJTrans</t>
        </is>
      </c>
      <c r="B4197" s="38" t="inlineStr">
        <is>
          <t>0-4121</t>
        </is>
      </c>
      <c r="C4197" t="inlineStr">
        <is>
          <t>OC</t>
        </is>
      </c>
      <c r="D4197" t="inlineStr">
        <is>
          <t>MA1011507</t>
        </is>
      </c>
      <c r="E4197" t="inlineStr">
        <is>
          <t>OC</t>
        </is>
      </c>
      <c r="F4197" t="inlineStr">
        <is>
          <t>MA1011507</t>
        </is>
      </c>
      <c r="G4197" t="n">
        <v>46139</v>
      </c>
      <c r="H4197" s="127" t="n">
        <v>46139</v>
      </c>
      <c r="I4197" t="inlineStr">
        <is>
          <t>2</t>
        </is>
      </c>
      <c r="J4197" s="38" t="inlineStr">
        <is>
          <t>0-4121</t>
        </is>
      </c>
      <c r="K4197" t="inlineStr">
        <is>
          <t>FREIGHT</t>
        </is>
      </c>
      <c r="L4197" t="n">
        <v>1</v>
      </c>
      <c r="M4197" t="n">
        <v>832.5</v>
      </c>
      <c r="N4197" t="inlineStr">
        <is>
          <t>PO:COMMIT</t>
        </is>
      </c>
      <c r="O4197" t="inlineStr">
        <is>
          <t>15812</t>
        </is>
      </c>
      <c r="P4197" t="inlineStr">
        <is>
          <t>CONSOLIDATED PIPE &amp; SUPPLY CO. INC.</t>
        </is>
      </c>
      <c r="Q4197" s="114" t="n">
        <v>832.5</v>
      </c>
      <c r="R4197" s="114" t="n">
        <v>0</v>
      </c>
      <c r="S4197" s="114" t="n">
        <v>0</v>
      </c>
      <c r="T4197" t="n">
        <v>0</v>
      </c>
    </row>
    <row r="4198">
      <c r="A4198" t="inlineStr">
        <is>
          <t>ttJTrans</t>
        </is>
      </c>
      <c r="B4198" s="38" t="inlineStr">
        <is>
          <t>0-4122</t>
        </is>
      </c>
      <c r="C4198" t="inlineStr">
        <is>
          <t>EQ</t>
        </is>
      </c>
      <c r="E4198" t="inlineStr">
        <is>
          <t>EQ</t>
        </is>
      </c>
      <c r="H4198" s="127" t="n">
        <v>46103</v>
      </c>
      <c r="J4198" s="38" t="inlineStr">
        <is>
          <t>0-4122</t>
        </is>
      </c>
      <c r="K4198" t="inlineStr">
        <is>
          <t>RT1423 2024 FORD F250 XL  CREW CAB GAS 2024 FORD F250 XL  CREW CAB GAS</t>
        </is>
      </c>
      <c r="L4198" t="n">
        <v>0</v>
      </c>
      <c r="M4198" t="n">
        <v>0</v>
      </c>
      <c r="O4198" t="inlineStr">
        <is>
          <t>RT1423</t>
        </is>
      </c>
      <c r="Q4198" s="114" t="n">
        <v>0</v>
      </c>
      <c r="R4198" s="114" t="n">
        <v>79.14</v>
      </c>
      <c r="S4198" s="114" t="n">
        <v>0</v>
      </c>
      <c r="T4198" t="n">
        <v>0</v>
      </c>
    </row>
    <row r="4199">
      <c r="A4199" t="inlineStr">
        <is>
          <t>ttJTrans</t>
        </is>
      </c>
      <c r="B4199" s="38" t="inlineStr">
        <is>
          <t>0-4122</t>
        </is>
      </c>
      <c r="C4199" t="inlineStr">
        <is>
          <t>EQ</t>
        </is>
      </c>
      <c r="E4199" t="inlineStr">
        <is>
          <t>EQ</t>
        </is>
      </c>
      <c r="H4199" s="127" t="n">
        <v>46110</v>
      </c>
      <c r="J4199" s="38" t="inlineStr">
        <is>
          <t>0-4122</t>
        </is>
      </c>
      <c r="K4199" t="inlineStr">
        <is>
          <t>RT1423 2024 FORD F250 XL  CREW CAB GAS 2024 FORD F250 XL  CREW CAB GAS</t>
        </is>
      </c>
      <c r="L4199" t="n">
        <v>0</v>
      </c>
      <c r="M4199" t="n">
        <v>0</v>
      </c>
      <c r="O4199" t="inlineStr">
        <is>
          <t>RT1423</t>
        </is>
      </c>
      <c r="Q4199" s="114" t="n">
        <v>0</v>
      </c>
      <c r="R4199" s="114" t="n">
        <v>79.14</v>
      </c>
      <c r="S4199" s="114" t="n">
        <v>0</v>
      </c>
      <c r="T4199" t="n">
        <v>0</v>
      </c>
    </row>
    <row r="4200">
      <c r="A4200" t="inlineStr">
        <is>
          <t>ttJTrans</t>
        </is>
      </c>
      <c r="B4200" s="38" t="inlineStr">
        <is>
          <t>0-4122</t>
        </is>
      </c>
      <c r="C4200" t="inlineStr">
        <is>
          <t>EQ</t>
        </is>
      </c>
      <c r="E4200" t="inlineStr">
        <is>
          <t>EQ</t>
        </is>
      </c>
      <c r="H4200" s="127" t="n">
        <v>46110</v>
      </c>
      <c r="J4200" s="38" t="inlineStr">
        <is>
          <t>0-4122</t>
        </is>
      </c>
      <c r="K4200" t="inlineStr">
        <is>
          <t>RT1423 2024 FORD F250 XL  CREW CAB GAS 2024 FORD F250 XL  CREW CAB GAS</t>
        </is>
      </c>
      <c r="L4200" t="n">
        <v>0</v>
      </c>
      <c r="M4200" t="n">
        <v>0</v>
      </c>
      <c r="O4200" t="inlineStr">
        <is>
          <t>RT1423</t>
        </is>
      </c>
      <c r="Q4200" s="114" t="n">
        <v>0</v>
      </c>
      <c r="R4200" s="114" t="n">
        <v>79.14</v>
      </c>
      <c r="S4200" s="114" t="n">
        <v>0</v>
      </c>
      <c r="T4200" t="n">
        <v>0</v>
      </c>
    </row>
    <row r="4201">
      <c r="A4201" t="inlineStr">
        <is>
          <t>ttJTrans</t>
        </is>
      </c>
      <c r="B4201" s="38" t="inlineStr">
        <is>
          <t>0-4122</t>
        </is>
      </c>
      <c r="C4201" t="inlineStr">
        <is>
          <t>EQ</t>
        </is>
      </c>
      <c r="E4201" t="inlineStr">
        <is>
          <t>EQ</t>
        </is>
      </c>
      <c r="H4201" s="127" t="n">
        <v>46110</v>
      </c>
      <c r="J4201" s="38" t="inlineStr">
        <is>
          <t>0-4122</t>
        </is>
      </c>
      <c r="K4201" t="inlineStr">
        <is>
          <t>RT1423 2024 FORD F250 XL  CREW CAB GAS 2024 FORD F250 XL  CREW CAB GAS</t>
        </is>
      </c>
      <c r="L4201" t="n">
        <v>0</v>
      </c>
      <c r="M4201" t="n">
        <v>0</v>
      </c>
      <c r="O4201" t="inlineStr">
        <is>
          <t>RT1423</t>
        </is>
      </c>
      <c r="Q4201" s="114" t="n">
        <v>0</v>
      </c>
      <c r="R4201" s="114" t="n">
        <v>79.14</v>
      </c>
      <c r="S4201" s="114" t="n">
        <v>0</v>
      </c>
      <c r="T4201" t="n">
        <v>0</v>
      </c>
    </row>
    <row r="4202">
      <c r="A4202" t="inlineStr">
        <is>
          <t>ttJTrans</t>
        </is>
      </c>
      <c r="B4202" s="38" t="inlineStr">
        <is>
          <t>0-4122</t>
        </is>
      </c>
      <c r="C4202" t="inlineStr">
        <is>
          <t>EQ</t>
        </is>
      </c>
      <c r="E4202" t="inlineStr">
        <is>
          <t>EQ</t>
        </is>
      </c>
      <c r="H4202" s="127" t="n">
        <v>46110</v>
      </c>
      <c r="J4202" s="38" t="inlineStr">
        <is>
          <t>0-4122</t>
        </is>
      </c>
      <c r="K4202" t="inlineStr">
        <is>
          <t>RT1423 2024 FORD F250 XL  CREW CAB GAS 2024 FORD F250 XL  CREW CAB GAS</t>
        </is>
      </c>
      <c r="L4202" t="n">
        <v>0</v>
      </c>
      <c r="M4202" t="n">
        <v>0</v>
      </c>
      <c r="O4202" t="inlineStr">
        <is>
          <t>RT1423</t>
        </is>
      </c>
      <c r="Q4202" s="114" t="n">
        <v>0</v>
      </c>
      <c r="R4202" s="114" t="n">
        <v>79.14</v>
      </c>
      <c r="S4202" s="114" t="n">
        <v>0</v>
      </c>
      <c r="T4202" t="n">
        <v>0</v>
      </c>
    </row>
    <row r="4203">
      <c r="A4203" t="inlineStr">
        <is>
          <t>ttJTrans</t>
        </is>
      </c>
      <c r="B4203" s="38" t="inlineStr">
        <is>
          <t>0-4122</t>
        </is>
      </c>
      <c r="C4203" t="inlineStr">
        <is>
          <t>EQ</t>
        </is>
      </c>
      <c r="E4203" t="inlineStr">
        <is>
          <t>EQ</t>
        </is>
      </c>
      <c r="H4203" s="127" t="n">
        <v>46110</v>
      </c>
      <c r="J4203" s="38" t="inlineStr">
        <is>
          <t>0-4122</t>
        </is>
      </c>
      <c r="K4203" t="inlineStr">
        <is>
          <t>RT1423 2024 FORD F250 XL  CREW CAB GAS 2024 FORD F250 XL  CREW CAB GAS</t>
        </is>
      </c>
      <c r="L4203" t="n">
        <v>0</v>
      </c>
      <c r="M4203" t="n">
        <v>0</v>
      </c>
      <c r="O4203" t="inlineStr">
        <is>
          <t>RT1423</t>
        </is>
      </c>
      <c r="Q4203" s="114" t="n">
        <v>0</v>
      </c>
      <c r="R4203" s="114" t="n">
        <v>79.14</v>
      </c>
      <c r="S4203" s="114" t="n">
        <v>0</v>
      </c>
      <c r="T4203" t="n">
        <v>0</v>
      </c>
    </row>
    <row r="4204">
      <c r="A4204" t="inlineStr">
        <is>
          <t>ttJTrans</t>
        </is>
      </c>
      <c r="B4204" s="38" t="inlineStr">
        <is>
          <t>0-4122</t>
        </is>
      </c>
      <c r="C4204" t="inlineStr">
        <is>
          <t>EQ</t>
        </is>
      </c>
      <c r="E4204" t="inlineStr">
        <is>
          <t>EQ</t>
        </is>
      </c>
      <c r="H4204" s="127" t="n">
        <v>46112</v>
      </c>
      <c r="J4204" s="38" t="inlineStr">
        <is>
          <t>0-4122</t>
        </is>
      </c>
      <c r="K4204" t="inlineStr">
        <is>
          <t>RT1423 2024 FORD F250 XL  CREW CAB GAS 2024 FORD F250 XL  CREW CAB GAS</t>
        </is>
      </c>
      <c r="L4204" t="n">
        <v>0</v>
      </c>
      <c r="M4204" t="n">
        <v>0</v>
      </c>
      <c r="O4204" t="inlineStr">
        <is>
          <t>RT1423</t>
        </is>
      </c>
      <c r="Q4204" s="114" t="n">
        <v>0</v>
      </c>
      <c r="R4204" s="114" t="n">
        <v>79.14</v>
      </c>
      <c r="S4204" s="114" t="n">
        <v>0</v>
      </c>
      <c r="T4204" t="n">
        <v>0</v>
      </c>
    </row>
    <row r="4205">
      <c r="A4205" t="inlineStr">
        <is>
          <t>ttJTrans</t>
        </is>
      </c>
      <c r="B4205" s="38" t="inlineStr">
        <is>
          <t>0-4122</t>
        </is>
      </c>
      <c r="C4205" t="inlineStr">
        <is>
          <t>EQ</t>
        </is>
      </c>
      <c r="E4205" t="inlineStr">
        <is>
          <t>EQ</t>
        </is>
      </c>
      <c r="H4205" s="127" t="n">
        <v>46103</v>
      </c>
      <c r="J4205" s="38" t="inlineStr">
        <is>
          <t>0-4122</t>
        </is>
      </c>
      <c r="K4205" t="inlineStr">
        <is>
          <t>RT1423 2024 FORD F250 XL  CREW CAB GAS 2024 FORD F250 XL  CREW CAB GAS</t>
        </is>
      </c>
      <c r="L4205" t="n">
        <v>0</v>
      </c>
      <c r="M4205" t="n">
        <v>0</v>
      </c>
      <c r="O4205" t="inlineStr">
        <is>
          <t>RT1423</t>
        </is>
      </c>
      <c r="Q4205" s="114" t="n">
        <v>0</v>
      </c>
      <c r="R4205" s="114" t="n">
        <v>79.14</v>
      </c>
      <c r="S4205" s="114" t="n">
        <v>0</v>
      </c>
      <c r="T4205" t="n">
        <v>0</v>
      </c>
    </row>
    <row r="4206">
      <c r="A4206" t="inlineStr">
        <is>
          <t>ttJTrans</t>
        </is>
      </c>
      <c r="B4206" s="38" t="inlineStr">
        <is>
          <t>0-4122</t>
        </is>
      </c>
      <c r="C4206" t="inlineStr">
        <is>
          <t>EQ</t>
        </is>
      </c>
      <c r="E4206" t="inlineStr">
        <is>
          <t>EQ</t>
        </is>
      </c>
      <c r="H4206" s="127" t="n">
        <v>46103</v>
      </c>
      <c r="J4206" s="38" t="inlineStr">
        <is>
          <t>0-4122</t>
        </is>
      </c>
      <c r="K4206" t="inlineStr">
        <is>
          <t>RT1423 2024 FORD F250 XL  CREW CAB GAS 2024 FORD F250 XL  CREW CAB GAS</t>
        </is>
      </c>
      <c r="L4206" t="n">
        <v>0</v>
      </c>
      <c r="M4206" t="n">
        <v>0</v>
      </c>
      <c r="O4206" t="inlineStr">
        <is>
          <t>RT1423</t>
        </is>
      </c>
      <c r="Q4206" s="114" t="n">
        <v>0</v>
      </c>
      <c r="R4206" s="114" t="n">
        <v>79.14</v>
      </c>
      <c r="S4206" s="114" t="n">
        <v>0</v>
      </c>
      <c r="T4206" t="n">
        <v>0</v>
      </c>
    </row>
    <row r="4207">
      <c r="A4207" t="inlineStr">
        <is>
          <t>ttJTrans</t>
        </is>
      </c>
      <c r="B4207" s="38" t="inlineStr">
        <is>
          <t>0-4122</t>
        </is>
      </c>
      <c r="C4207" t="inlineStr">
        <is>
          <t>EQ</t>
        </is>
      </c>
      <c r="E4207" t="inlineStr">
        <is>
          <t>EQ</t>
        </is>
      </c>
      <c r="H4207" s="127" t="n">
        <v>46103</v>
      </c>
      <c r="J4207" s="38" t="inlineStr">
        <is>
          <t>0-4122</t>
        </is>
      </c>
      <c r="K4207" t="inlineStr">
        <is>
          <t>RT1423 2024 FORD F250 XL  CREW CAB GAS 2024 FORD F250 XL  CREW CAB GAS</t>
        </is>
      </c>
      <c r="L4207" t="n">
        <v>0</v>
      </c>
      <c r="M4207" t="n">
        <v>0</v>
      </c>
      <c r="O4207" t="inlineStr">
        <is>
          <t>RT1423</t>
        </is>
      </c>
      <c r="Q4207" s="114" t="n">
        <v>0</v>
      </c>
      <c r="R4207" s="114" t="n">
        <v>79.14</v>
      </c>
      <c r="S4207" s="114" t="n">
        <v>0</v>
      </c>
      <c r="T4207" t="n">
        <v>0</v>
      </c>
    </row>
    <row r="4208">
      <c r="A4208" t="inlineStr">
        <is>
          <t>ttJTrans</t>
        </is>
      </c>
      <c r="B4208" s="38" t="inlineStr">
        <is>
          <t>0-4122</t>
        </is>
      </c>
      <c r="C4208" t="inlineStr">
        <is>
          <t>EQ</t>
        </is>
      </c>
      <c r="E4208" t="inlineStr">
        <is>
          <t>EQ</t>
        </is>
      </c>
      <c r="H4208" s="127" t="n">
        <v>46103</v>
      </c>
      <c r="J4208" s="38" t="inlineStr">
        <is>
          <t>0-4122</t>
        </is>
      </c>
      <c r="K4208" t="inlineStr">
        <is>
          <t>RT1423 2024 FORD F250 XL  CREW CAB GAS 2024 FORD F250 XL  CREW CAB GAS</t>
        </is>
      </c>
      <c r="L4208" t="n">
        <v>0</v>
      </c>
      <c r="M4208" t="n">
        <v>0</v>
      </c>
      <c r="O4208" t="inlineStr">
        <is>
          <t>RT1423</t>
        </is>
      </c>
      <c r="Q4208" s="114" t="n">
        <v>0</v>
      </c>
      <c r="R4208" s="114" t="n">
        <v>79.14</v>
      </c>
      <c r="S4208" s="114" t="n">
        <v>0</v>
      </c>
      <c r="T4208" t="n">
        <v>0</v>
      </c>
    </row>
    <row r="4209">
      <c r="A4209" t="inlineStr">
        <is>
          <t>ttJTrans</t>
        </is>
      </c>
      <c r="B4209" s="38" t="inlineStr">
        <is>
          <t>0-4122</t>
        </is>
      </c>
      <c r="C4209" t="inlineStr">
        <is>
          <t>EQ</t>
        </is>
      </c>
      <c r="E4209" t="inlineStr">
        <is>
          <t>EQ</t>
        </is>
      </c>
      <c r="H4209" s="127" t="n">
        <v>46103</v>
      </c>
      <c r="J4209" s="38" t="inlineStr">
        <is>
          <t>0-4122</t>
        </is>
      </c>
      <c r="K4209" t="inlineStr">
        <is>
          <t>RT1423 2024 FORD F250 XL  CREW CAB GAS 2024 FORD F250 XL  CREW CAB GAS</t>
        </is>
      </c>
      <c r="L4209" t="n">
        <v>0</v>
      </c>
      <c r="M4209" t="n">
        <v>0</v>
      </c>
      <c r="O4209" t="inlineStr">
        <is>
          <t>RT1423</t>
        </is>
      </c>
      <c r="Q4209" s="114" t="n">
        <v>0</v>
      </c>
      <c r="R4209" s="114" t="n">
        <v>79.14</v>
      </c>
      <c r="S4209" s="114" t="n">
        <v>0</v>
      </c>
      <c r="T4209" t="n">
        <v>0</v>
      </c>
    </row>
    <row r="4210">
      <c r="A4210" t="inlineStr">
        <is>
          <t>ttJTrans</t>
        </is>
      </c>
      <c r="B4210" s="38" t="inlineStr">
        <is>
          <t>0-4122</t>
        </is>
      </c>
      <c r="C4210" t="inlineStr">
        <is>
          <t>EQ</t>
        </is>
      </c>
      <c r="E4210" t="inlineStr">
        <is>
          <t>EQ</t>
        </is>
      </c>
      <c r="H4210" s="127" t="n">
        <v>46110</v>
      </c>
      <c r="J4210" s="38" t="inlineStr">
        <is>
          <t>0-4122</t>
        </is>
      </c>
      <c r="K4210" t="inlineStr">
        <is>
          <t>RT1423 2024 FORD F250 XL  CREW CAB GAS 2024 FORD F250 XL  CREW CAB GAS</t>
        </is>
      </c>
      <c r="L4210" t="n">
        <v>0</v>
      </c>
      <c r="M4210" t="n">
        <v>0</v>
      </c>
      <c r="O4210" t="inlineStr">
        <is>
          <t>RT1423</t>
        </is>
      </c>
      <c r="Q4210" s="114" t="n">
        <v>0</v>
      </c>
      <c r="R4210" s="114" t="n">
        <v>79.14</v>
      </c>
      <c r="S4210" s="114" t="n">
        <v>0</v>
      </c>
      <c r="T4210" t="n">
        <v>0</v>
      </c>
    </row>
    <row r="4211">
      <c r="A4211" t="inlineStr">
        <is>
          <t>ttJTrans</t>
        </is>
      </c>
      <c r="B4211" s="38" t="inlineStr">
        <is>
          <t>0-4122</t>
        </is>
      </c>
      <c r="C4211" t="inlineStr">
        <is>
          <t>EQ</t>
        </is>
      </c>
      <c r="E4211" t="inlineStr">
        <is>
          <t>EQ</t>
        </is>
      </c>
      <c r="H4211" s="127" t="n">
        <v>46096</v>
      </c>
      <c r="J4211" s="38" t="inlineStr">
        <is>
          <t>0-4122</t>
        </is>
      </c>
      <c r="K4211" t="inlineStr">
        <is>
          <t>RT1423 2024 FORD F250 XL  CREW CAB GAS 2024 FORD F250 XL  CREW CAB GAS</t>
        </is>
      </c>
      <c r="L4211" t="n">
        <v>0</v>
      </c>
      <c r="M4211" t="n">
        <v>0</v>
      </c>
      <c r="O4211" t="inlineStr">
        <is>
          <t>RT1423</t>
        </is>
      </c>
      <c r="Q4211" s="114" t="n">
        <v>0</v>
      </c>
      <c r="R4211" s="114" t="n">
        <v>79.14</v>
      </c>
      <c r="S4211" s="114" t="n">
        <v>0</v>
      </c>
      <c r="T4211" t="n">
        <v>0</v>
      </c>
    </row>
    <row r="4212">
      <c r="A4212" t="inlineStr">
        <is>
          <t>ttJTrans</t>
        </is>
      </c>
      <c r="B4212" s="38" t="inlineStr">
        <is>
          <t>0-4122</t>
        </is>
      </c>
      <c r="C4212" t="inlineStr">
        <is>
          <t>EQ</t>
        </is>
      </c>
      <c r="E4212" t="inlineStr">
        <is>
          <t>EQ</t>
        </is>
      </c>
      <c r="H4212" s="127" t="n">
        <v>46096</v>
      </c>
      <c r="J4212" s="38" t="inlineStr">
        <is>
          <t>0-4122</t>
        </is>
      </c>
      <c r="K4212" t="inlineStr">
        <is>
          <t>RT1423 2024 FORD F250 XL  CREW CAB GAS 2024 FORD F250 XL  CREW CAB GAS</t>
        </is>
      </c>
      <c r="L4212" t="n">
        <v>0</v>
      </c>
      <c r="M4212" t="n">
        <v>0</v>
      </c>
      <c r="O4212" t="inlineStr">
        <is>
          <t>RT1423</t>
        </is>
      </c>
      <c r="Q4212" s="114" t="n">
        <v>0</v>
      </c>
      <c r="R4212" s="114" t="n">
        <v>79.14</v>
      </c>
      <c r="S4212" s="114" t="n">
        <v>0</v>
      </c>
      <c r="T4212" t="n">
        <v>0</v>
      </c>
    </row>
    <row r="4213">
      <c r="A4213" t="inlineStr">
        <is>
          <t>ttJTrans</t>
        </is>
      </c>
      <c r="B4213" s="38" t="inlineStr">
        <is>
          <t>0-4122</t>
        </is>
      </c>
      <c r="C4213" t="inlineStr">
        <is>
          <t>EQ</t>
        </is>
      </c>
      <c r="E4213" t="inlineStr">
        <is>
          <t>EQ</t>
        </is>
      </c>
      <c r="H4213" s="127" t="n">
        <v>46096</v>
      </c>
      <c r="J4213" s="38" t="inlineStr">
        <is>
          <t>0-4122</t>
        </is>
      </c>
      <c r="K4213" t="inlineStr">
        <is>
          <t>RT1423 2024 FORD F250 XL  CREW CAB GAS 2024 FORD F250 XL  CREW CAB GAS</t>
        </is>
      </c>
      <c r="L4213" t="n">
        <v>0</v>
      </c>
      <c r="M4213" t="n">
        <v>0</v>
      </c>
      <c r="O4213" t="inlineStr">
        <is>
          <t>RT1423</t>
        </is>
      </c>
      <c r="Q4213" s="114" t="n">
        <v>0</v>
      </c>
      <c r="R4213" s="114" t="n">
        <v>79.14</v>
      </c>
      <c r="S4213" s="114" t="n">
        <v>0</v>
      </c>
      <c r="T4213" t="n">
        <v>0</v>
      </c>
    </row>
    <row r="4214">
      <c r="A4214" t="inlineStr">
        <is>
          <t>ttJTrans</t>
        </is>
      </c>
      <c r="B4214" s="38" t="inlineStr">
        <is>
          <t>0-4122</t>
        </is>
      </c>
      <c r="C4214" t="inlineStr">
        <is>
          <t>EQ</t>
        </is>
      </c>
      <c r="E4214" t="inlineStr">
        <is>
          <t>EQ</t>
        </is>
      </c>
      <c r="H4214" s="127" t="n">
        <v>46096</v>
      </c>
      <c r="J4214" s="38" t="inlineStr">
        <is>
          <t>0-4122</t>
        </is>
      </c>
      <c r="K4214" t="inlineStr">
        <is>
          <t>RT1423 2024 FORD F250 XL  CREW CAB GAS 2024 FORD F250 XL  CREW CAB GAS</t>
        </is>
      </c>
      <c r="L4214" t="n">
        <v>0</v>
      </c>
      <c r="M4214" t="n">
        <v>0</v>
      </c>
      <c r="O4214" t="inlineStr">
        <is>
          <t>RT1423</t>
        </is>
      </c>
      <c r="Q4214" s="114" t="n">
        <v>0</v>
      </c>
      <c r="R4214" s="114" t="n">
        <v>79.14</v>
      </c>
      <c r="S4214" s="114" t="n">
        <v>0</v>
      </c>
      <c r="T4214" t="n">
        <v>0</v>
      </c>
    </row>
    <row r="4215">
      <c r="A4215" t="inlineStr">
        <is>
          <t>ttJTrans</t>
        </is>
      </c>
      <c r="B4215" s="38" t="inlineStr">
        <is>
          <t>0-4122</t>
        </is>
      </c>
      <c r="C4215" t="inlineStr">
        <is>
          <t>EQ</t>
        </is>
      </c>
      <c r="E4215" t="inlineStr">
        <is>
          <t>EQ</t>
        </is>
      </c>
      <c r="H4215" s="127" t="n">
        <v>46096</v>
      </c>
      <c r="J4215" s="38" t="inlineStr">
        <is>
          <t>0-4122</t>
        </is>
      </c>
      <c r="K4215" t="inlineStr">
        <is>
          <t>RT1423 2024 FORD F250 XL  CREW CAB GAS 2024 FORD F250 XL  CREW CAB GAS</t>
        </is>
      </c>
      <c r="L4215" t="n">
        <v>0</v>
      </c>
      <c r="M4215" t="n">
        <v>0</v>
      </c>
      <c r="O4215" t="inlineStr">
        <is>
          <t>RT1423</t>
        </is>
      </c>
      <c r="Q4215" s="114" t="n">
        <v>0</v>
      </c>
      <c r="R4215" s="114" t="n">
        <v>79.14</v>
      </c>
      <c r="S4215" s="114" t="n">
        <v>0</v>
      </c>
      <c r="T4215" t="n">
        <v>0</v>
      </c>
    </row>
    <row r="4216">
      <c r="A4216" t="inlineStr">
        <is>
          <t>ttJTrans</t>
        </is>
      </c>
      <c r="B4216" s="38" t="inlineStr">
        <is>
          <t>0-4122</t>
        </is>
      </c>
      <c r="C4216" t="inlineStr">
        <is>
          <t>ER</t>
        </is>
      </c>
      <c r="E4216" t="inlineStr">
        <is>
          <t>ER</t>
        </is>
      </c>
      <c r="H4216" s="127" t="n">
        <v>46096</v>
      </c>
      <c r="J4216" s="38" t="inlineStr">
        <is>
          <t>0-4122</t>
        </is>
      </c>
      <c r="K4216" t="inlineStr">
        <is>
          <t>RMV34 2000 GAL WATER TRUCK 2000 GAL WATER TRUCK</t>
        </is>
      </c>
      <c r="L4216" t="n">
        <v>0</v>
      </c>
      <c r="M4216" t="n">
        <v>0</v>
      </c>
      <c r="O4216" t="inlineStr">
        <is>
          <t>RMV34</t>
        </is>
      </c>
      <c r="Q4216" s="114" t="n">
        <v>0</v>
      </c>
      <c r="R4216" s="114" t="n">
        <v>198.28</v>
      </c>
      <c r="S4216" s="114" t="n">
        <v>0</v>
      </c>
      <c r="T4216" t="n">
        <v>0</v>
      </c>
    </row>
    <row r="4217">
      <c r="A4217" t="inlineStr">
        <is>
          <t>ttJTrans</t>
        </is>
      </c>
      <c r="B4217" s="38" t="inlineStr">
        <is>
          <t>0-4122</t>
        </is>
      </c>
      <c r="C4217" t="inlineStr">
        <is>
          <t>ER</t>
        </is>
      </c>
      <c r="E4217" t="inlineStr">
        <is>
          <t>ER</t>
        </is>
      </c>
      <c r="H4217" s="127" t="n">
        <v>46096</v>
      </c>
      <c r="J4217" s="38" t="inlineStr">
        <is>
          <t>0-4122</t>
        </is>
      </c>
      <c r="K4217" t="inlineStr">
        <is>
          <t>RMV34 2000 GAL WATER TRUCK 2000 GAL WATER TRUCK</t>
        </is>
      </c>
      <c r="L4217" t="n">
        <v>0</v>
      </c>
      <c r="M4217" t="n">
        <v>0</v>
      </c>
      <c r="O4217" t="inlineStr">
        <is>
          <t>RMV34</t>
        </is>
      </c>
      <c r="Q4217" s="114" t="n">
        <v>0</v>
      </c>
      <c r="R4217" s="114" t="n">
        <v>198.28</v>
      </c>
      <c r="S4217" s="114" t="n">
        <v>0</v>
      </c>
      <c r="T4217" t="n">
        <v>0</v>
      </c>
    </row>
    <row r="4218">
      <c r="A4218" t="inlineStr">
        <is>
          <t>ttJTrans</t>
        </is>
      </c>
      <c r="B4218" s="38" t="inlineStr">
        <is>
          <t>0-4122</t>
        </is>
      </c>
      <c r="C4218" t="inlineStr">
        <is>
          <t>ER</t>
        </is>
      </c>
      <c r="E4218" t="inlineStr">
        <is>
          <t>ER</t>
        </is>
      </c>
      <c r="H4218" s="127" t="n">
        <v>46096</v>
      </c>
      <c r="J4218" s="38" t="inlineStr">
        <is>
          <t>0-4122</t>
        </is>
      </c>
      <c r="K4218" t="inlineStr">
        <is>
          <t>RMV34 2000 GAL WATER TRUCK 2000 GAL WATER TRUCK</t>
        </is>
      </c>
      <c r="L4218" t="n">
        <v>0</v>
      </c>
      <c r="M4218" t="n">
        <v>0</v>
      </c>
      <c r="O4218" t="inlineStr">
        <is>
          <t>RMV34</t>
        </is>
      </c>
      <c r="Q4218" s="114" t="n">
        <v>0</v>
      </c>
      <c r="R4218" s="114" t="n">
        <v>198.28</v>
      </c>
      <c r="S4218" s="114" t="n">
        <v>0</v>
      </c>
      <c r="T4218" t="n">
        <v>0</v>
      </c>
    </row>
    <row r="4219">
      <c r="A4219" t="inlineStr">
        <is>
          <t>ttJTrans</t>
        </is>
      </c>
      <c r="B4219" s="38" t="inlineStr">
        <is>
          <t>0-4122</t>
        </is>
      </c>
      <c r="C4219" t="inlineStr">
        <is>
          <t>ER</t>
        </is>
      </c>
      <c r="E4219" t="inlineStr">
        <is>
          <t>ER</t>
        </is>
      </c>
      <c r="H4219" s="127" t="n">
        <v>46096</v>
      </c>
      <c r="J4219" s="38" t="inlineStr">
        <is>
          <t>0-4122</t>
        </is>
      </c>
      <c r="K4219" t="inlineStr">
        <is>
          <t>RMS2259 CORRECTION GROUP - IC-75 IHI MOROOKA CRAWLER CARRIER W/ VACUUM UNIT IC-75 IHI MOROOKA CRAWLER CARRIER W/ VACUUM UNIT</t>
        </is>
      </c>
      <c r="L4219" t="n">
        <v>0</v>
      </c>
      <c r="M4219" t="n">
        <v>0</v>
      </c>
      <c r="O4219" t="inlineStr">
        <is>
          <t>RMS2259</t>
        </is>
      </c>
      <c r="Q4219" s="114" t="n">
        <v>0</v>
      </c>
      <c r="R4219" s="114" t="n">
        <v>459.77</v>
      </c>
      <c r="S4219" s="114" t="n">
        <v>0</v>
      </c>
      <c r="T4219" t="n">
        <v>0</v>
      </c>
    </row>
    <row r="4220">
      <c r="A4220" t="inlineStr">
        <is>
          <t>ttJTrans</t>
        </is>
      </c>
      <c r="B4220" s="38" t="inlineStr">
        <is>
          <t>0-4122</t>
        </is>
      </c>
      <c r="C4220" t="inlineStr">
        <is>
          <t>ER</t>
        </is>
      </c>
      <c r="E4220" t="inlineStr">
        <is>
          <t>ER</t>
        </is>
      </c>
      <c r="H4220" s="127" t="n">
        <v>46096</v>
      </c>
      <c r="J4220" s="38" t="inlineStr">
        <is>
          <t>0-4122</t>
        </is>
      </c>
      <c r="K4220" t="inlineStr">
        <is>
          <t>RMS2259 CORRECTION GROUP - IC-75 IHI MOROOKA CRAWLER CARRIER W/ VACUUM UNIT IC-75 IHI MOROOKA CRAWLER CARRIER W/ VACUUM UNIT</t>
        </is>
      </c>
      <c r="L4220" t="n">
        <v>0</v>
      </c>
      <c r="M4220" t="n">
        <v>0</v>
      </c>
      <c r="O4220" t="inlineStr">
        <is>
          <t>RMS2259</t>
        </is>
      </c>
      <c r="Q4220" s="114" t="n">
        <v>0</v>
      </c>
      <c r="R4220" s="114" t="n">
        <v>459.77</v>
      </c>
      <c r="S4220" s="114" t="n">
        <v>0</v>
      </c>
      <c r="T4220" t="n">
        <v>0</v>
      </c>
    </row>
    <row r="4221">
      <c r="A4221" t="inlineStr">
        <is>
          <t>ttJTrans</t>
        </is>
      </c>
      <c r="B4221" s="38" t="inlineStr">
        <is>
          <t>0-4122</t>
        </is>
      </c>
      <c r="C4221" t="inlineStr">
        <is>
          <t>ER</t>
        </is>
      </c>
      <c r="E4221" t="inlineStr">
        <is>
          <t>ER</t>
        </is>
      </c>
      <c r="H4221" s="127" t="n">
        <v>46096</v>
      </c>
      <c r="J4221" s="38" t="inlineStr">
        <is>
          <t>0-4122</t>
        </is>
      </c>
      <c r="K4221" t="inlineStr">
        <is>
          <t>RMS2259 CORRECTION GROUP - IC-75 IHI MOROOKA CRAWLER CARRIER W/ VACUUM UNIT IC-75 IHI MOROOKA CRAWLER CARRIER W/ VACUUM UNIT</t>
        </is>
      </c>
      <c r="L4221" t="n">
        <v>0</v>
      </c>
      <c r="M4221" t="n">
        <v>0</v>
      </c>
      <c r="O4221" t="inlineStr">
        <is>
          <t>RMS2259</t>
        </is>
      </c>
      <c r="Q4221" s="114" t="n">
        <v>0</v>
      </c>
      <c r="R4221" s="114" t="n">
        <v>459.77</v>
      </c>
      <c r="S4221" s="114" t="n">
        <v>0</v>
      </c>
      <c r="T4221" t="n">
        <v>0</v>
      </c>
    </row>
    <row r="4222">
      <c r="A4222" t="inlineStr">
        <is>
          <t>ttJTrans</t>
        </is>
      </c>
      <c r="B4222" s="38" t="inlineStr">
        <is>
          <t>0-4122</t>
        </is>
      </c>
      <c r="C4222" t="inlineStr">
        <is>
          <t>ER</t>
        </is>
      </c>
      <c r="E4222" t="inlineStr">
        <is>
          <t>ER</t>
        </is>
      </c>
      <c r="H4222" s="127" t="n">
        <v>46096</v>
      </c>
      <c r="J4222" s="38" t="inlineStr">
        <is>
          <t>0-4122</t>
        </is>
      </c>
      <c r="K4222" t="inlineStr">
        <is>
          <t>RMS2259 CORRECTION GROUP - IC-75 IHI MOROOKA CRAWLER CARRIER W/ VACUUM UNIT IC-75 IHI MOROOKA CRAWLER CARRIER W/ VACUUM UNIT</t>
        </is>
      </c>
      <c r="L4222" t="n">
        <v>0</v>
      </c>
      <c r="M4222" t="n">
        <v>0</v>
      </c>
      <c r="O4222" t="inlineStr">
        <is>
          <t>RMS2259</t>
        </is>
      </c>
      <c r="Q4222" s="114" t="n">
        <v>0</v>
      </c>
      <c r="R4222" s="114" t="n">
        <v>459.77</v>
      </c>
      <c r="S4222" s="114" t="n">
        <v>0</v>
      </c>
      <c r="T4222" t="n">
        <v>0</v>
      </c>
    </row>
    <row r="4223">
      <c r="A4223" t="inlineStr">
        <is>
          <t>ttJTrans</t>
        </is>
      </c>
      <c r="B4223" s="38" t="inlineStr">
        <is>
          <t>0-4122</t>
        </is>
      </c>
      <c r="C4223" t="inlineStr">
        <is>
          <t>ER</t>
        </is>
      </c>
      <c r="E4223" t="inlineStr">
        <is>
          <t>ER</t>
        </is>
      </c>
      <c r="H4223" s="127" t="n">
        <v>46096</v>
      </c>
      <c r="J4223" s="38" t="inlineStr">
        <is>
          <t>0-4122</t>
        </is>
      </c>
      <c r="K4223" t="inlineStr">
        <is>
          <t>RMS2259 CORRECTION GROUP - IC-75 IHI MOROOKA CRAWLER CARRIER W/ VACUUM UNIT IC-75 IHI MOROOKA CRAWLER CARRIER W/ VACUUM UNIT</t>
        </is>
      </c>
      <c r="L4223" t="n">
        <v>0</v>
      </c>
      <c r="M4223" t="n">
        <v>0</v>
      </c>
      <c r="O4223" t="inlineStr">
        <is>
          <t>RMS2259</t>
        </is>
      </c>
      <c r="Q4223" s="114" t="n">
        <v>0</v>
      </c>
      <c r="R4223" s="114" t="n">
        <v>459.77</v>
      </c>
      <c r="S4223" s="114" t="n">
        <v>0</v>
      </c>
      <c r="T4223" t="n">
        <v>0</v>
      </c>
    </row>
    <row r="4224">
      <c r="A4224" t="inlineStr">
        <is>
          <t>ttJTrans</t>
        </is>
      </c>
      <c r="B4224" s="38" t="inlineStr">
        <is>
          <t>0-4122</t>
        </is>
      </c>
      <c r="C4224" t="inlineStr">
        <is>
          <t>ER</t>
        </is>
      </c>
      <c r="E4224" t="inlineStr">
        <is>
          <t>ER</t>
        </is>
      </c>
      <c r="H4224" s="127" t="n">
        <v>46103</v>
      </c>
      <c r="J4224" s="38" t="inlineStr">
        <is>
          <t>0-4122</t>
        </is>
      </c>
      <c r="K4224" t="inlineStr">
        <is>
          <t>REX659 CATERPILLAR 315 TC EXCAVATOR CATERPILLAR 315 TC EXCAVATOR</t>
        </is>
      </c>
      <c r="L4224" t="n">
        <v>0</v>
      </c>
      <c r="M4224" t="n">
        <v>0</v>
      </c>
      <c r="O4224" t="inlineStr">
        <is>
          <t>REX659</t>
        </is>
      </c>
      <c r="Q4224" s="114" t="n">
        <v>0</v>
      </c>
      <c r="R4224" s="114" t="n">
        <v>250</v>
      </c>
      <c r="S4224" s="114" t="n">
        <v>0</v>
      </c>
      <c r="T4224" t="n">
        <v>0</v>
      </c>
    </row>
    <row r="4225">
      <c r="A4225" t="inlineStr">
        <is>
          <t>ttJTrans</t>
        </is>
      </c>
      <c r="B4225" s="38" t="inlineStr">
        <is>
          <t>0-4122</t>
        </is>
      </c>
      <c r="C4225" t="inlineStr">
        <is>
          <t>ER</t>
        </is>
      </c>
      <c r="E4225" t="inlineStr">
        <is>
          <t>ER</t>
        </is>
      </c>
      <c r="H4225" s="127" t="n">
        <v>46103</v>
      </c>
      <c r="J4225" s="38" t="inlineStr">
        <is>
          <t>0-4122</t>
        </is>
      </c>
      <c r="K4225" t="inlineStr">
        <is>
          <t>REX659 CATERPILLAR 315 TC EXCAVATOR CATERPILLAR 315 TC EXCAVATOR</t>
        </is>
      </c>
      <c r="L4225" t="n">
        <v>0</v>
      </c>
      <c r="M4225" t="n">
        <v>0</v>
      </c>
      <c r="O4225" t="inlineStr">
        <is>
          <t>REX659</t>
        </is>
      </c>
      <c r="Q4225" s="114" t="n">
        <v>0</v>
      </c>
      <c r="R4225" s="114" t="n">
        <v>250</v>
      </c>
      <c r="S4225" s="114" t="n">
        <v>0</v>
      </c>
      <c r="T4225" t="n">
        <v>0</v>
      </c>
    </row>
    <row r="4226">
      <c r="A4226" t="inlineStr">
        <is>
          <t>ttJTrans</t>
        </is>
      </c>
      <c r="B4226" s="38" t="inlineStr">
        <is>
          <t>0-4122</t>
        </is>
      </c>
      <c r="C4226" t="inlineStr">
        <is>
          <t>ER</t>
        </is>
      </c>
      <c r="E4226" t="inlineStr">
        <is>
          <t>ER</t>
        </is>
      </c>
      <c r="H4226" s="127" t="n">
        <v>46103</v>
      </c>
      <c r="J4226" s="38" t="inlineStr">
        <is>
          <t>0-4122</t>
        </is>
      </c>
      <c r="K4226" t="inlineStr">
        <is>
          <t>REX659 CATERPILLAR 315 TC EXCAVATOR CATERPILLAR 315 TC EXCAVATOR</t>
        </is>
      </c>
      <c r="L4226" t="n">
        <v>0</v>
      </c>
      <c r="M4226" t="n">
        <v>0</v>
      </c>
      <c r="O4226" t="inlineStr">
        <is>
          <t>REX659</t>
        </is>
      </c>
      <c r="Q4226" s="114" t="n">
        <v>0</v>
      </c>
      <c r="R4226" s="114" t="n">
        <v>250</v>
      </c>
      <c r="S4226" s="114" t="n">
        <v>0</v>
      </c>
      <c r="T4226" t="n">
        <v>0</v>
      </c>
    </row>
    <row r="4227">
      <c r="A4227" t="inlineStr">
        <is>
          <t>ttJTrans</t>
        </is>
      </c>
      <c r="B4227" s="38" t="inlineStr">
        <is>
          <t>0-4122</t>
        </is>
      </c>
      <c r="C4227" t="inlineStr">
        <is>
          <t>ER</t>
        </is>
      </c>
      <c r="E4227" t="inlineStr">
        <is>
          <t>ER</t>
        </is>
      </c>
      <c r="H4227" s="127" t="n">
        <v>46103</v>
      </c>
      <c r="J4227" s="38" t="inlineStr">
        <is>
          <t>0-4122</t>
        </is>
      </c>
      <c r="K4227" t="inlineStr">
        <is>
          <t>REX659 CATERPILLAR 315 TC EXCAVATOR CATERPILLAR 315 TC EXCAVATOR</t>
        </is>
      </c>
      <c r="L4227" t="n">
        <v>0</v>
      </c>
      <c r="M4227" t="n">
        <v>0</v>
      </c>
      <c r="O4227" t="inlineStr">
        <is>
          <t>REX659</t>
        </is>
      </c>
      <c r="Q4227" s="114" t="n">
        <v>0</v>
      </c>
      <c r="R4227" s="114" t="n">
        <v>250</v>
      </c>
      <c r="S4227" s="114" t="n">
        <v>0</v>
      </c>
      <c r="T4227" t="n">
        <v>0</v>
      </c>
    </row>
    <row r="4228">
      <c r="A4228" t="inlineStr">
        <is>
          <t>ttJTrans</t>
        </is>
      </c>
      <c r="B4228" s="38" t="inlineStr">
        <is>
          <t>0-4122</t>
        </is>
      </c>
      <c r="C4228" t="inlineStr">
        <is>
          <t>ER</t>
        </is>
      </c>
      <c r="E4228" t="inlineStr">
        <is>
          <t>ER</t>
        </is>
      </c>
      <c r="H4228" s="127" t="n">
        <v>46103</v>
      </c>
      <c r="J4228" s="38" t="inlineStr">
        <is>
          <t>0-4122</t>
        </is>
      </c>
      <c r="K4228" t="inlineStr">
        <is>
          <t>REX659 CATERPILLAR 315 TC EXCAVATOR CATERPILLAR 315 TC EXCAVATOR</t>
        </is>
      </c>
      <c r="L4228" t="n">
        <v>0</v>
      </c>
      <c r="M4228" t="n">
        <v>0</v>
      </c>
      <c r="O4228" t="inlineStr">
        <is>
          <t>REX659</t>
        </is>
      </c>
      <c r="Q4228" s="114" t="n">
        <v>0</v>
      </c>
      <c r="R4228" s="114" t="n">
        <v>250</v>
      </c>
      <c r="S4228" s="114" t="n">
        <v>0</v>
      </c>
      <c r="T4228" t="n">
        <v>0</v>
      </c>
    </row>
    <row r="4229">
      <c r="A4229" t="inlineStr">
        <is>
          <t>ttJTrans</t>
        </is>
      </c>
      <c r="B4229" s="38" t="inlineStr">
        <is>
          <t>0-4122</t>
        </is>
      </c>
      <c r="C4229" t="inlineStr">
        <is>
          <t>ER</t>
        </is>
      </c>
      <c r="E4229" t="inlineStr">
        <is>
          <t>ER</t>
        </is>
      </c>
      <c r="H4229" s="127" t="n">
        <v>46103</v>
      </c>
      <c r="J4229" s="38" t="inlineStr">
        <is>
          <t>0-4122</t>
        </is>
      </c>
      <c r="K4229" t="inlineStr">
        <is>
          <t>REX659 CATERPILLAR 315 TC EXCAVATOR CATERPILLAR 315 TC EXCAVATOR</t>
        </is>
      </c>
      <c r="L4229" t="n">
        <v>0</v>
      </c>
      <c r="M4229" t="n">
        <v>0</v>
      </c>
      <c r="O4229" t="inlineStr">
        <is>
          <t>REX659</t>
        </is>
      </c>
      <c r="Q4229" s="114" t="n">
        <v>0</v>
      </c>
      <c r="R4229" s="114" t="n">
        <v>250</v>
      </c>
      <c r="S4229" s="114" t="n">
        <v>0</v>
      </c>
      <c r="T4229" t="n">
        <v>0</v>
      </c>
    </row>
    <row r="4230">
      <c r="A4230" t="inlineStr">
        <is>
          <t>ttJTrans</t>
        </is>
      </c>
      <c r="B4230" s="38" t="inlineStr">
        <is>
          <t>0-4122</t>
        </is>
      </c>
      <c r="C4230" t="inlineStr">
        <is>
          <t>ER</t>
        </is>
      </c>
      <c r="E4230" t="inlineStr">
        <is>
          <t>ER</t>
        </is>
      </c>
      <c r="H4230" s="127" t="n">
        <v>46103</v>
      </c>
      <c r="J4230" s="38" t="inlineStr">
        <is>
          <t>0-4122</t>
        </is>
      </c>
      <c r="K4230" t="inlineStr">
        <is>
          <t>RMS2257 SKYJACK SJ1256TH FORKLIFT SKYJACK SJ1256TH FORKLIFT</t>
        </is>
      </c>
      <c r="L4230" t="n">
        <v>0</v>
      </c>
      <c r="M4230" t="n">
        <v>0</v>
      </c>
      <c r="O4230" t="inlineStr">
        <is>
          <t>RMS2257</t>
        </is>
      </c>
      <c r="Q4230" s="114" t="n">
        <v>0</v>
      </c>
      <c r="R4230" s="114" t="n">
        <v>270.83</v>
      </c>
      <c r="S4230" s="114" t="n">
        <v>0</v>
      </c>
      <c r="T4230" t="n">
        <v>0</v>
      </c>
    </row>
    <row r="4231">
      <c r="A4231" t="inlineStr">
        <is>
          <t>ttJTrans</t>
        </is>
      </c>
      <c r="B4231" s="38" t="inlineStr">
        <is>
          <t>0-4122</t>
        </is>
      </c>
      <c r="C4231" t="inlineStr">
        <is>
          <t>ER</t>
        </is>
      </c>
      <c r="E4231" t="inlineStr">
        <is>
          <t>ER</t>
        </is>
      </c>
      <c r="H4231" s="127" t="n">
        <v>46103</v>
      </c>
      <c r="J4231" s="38" t="inlineStr">
        <is>
          <t>0-4122</t>
        </is>
      </c>
      <c r="K4231" t="inlineStr">
        <is>
          <t>RMS2257 SKYJACK SJ1256TH FORKLIFT SKYJACK SJ1256TH FORKLIFT</t>
        </is>
      </c>
      <c r="L4231" t="n">
        <v>0</v>
      </c>
      <c r="M4231" t="n">
        <v>0</v>
      </c>
      <c r="O4231" t="inlineStr">
        <is>
          <t>RMS2257</t>
        </is>
      </c>
      <c r="Q4231" s="114" t="n">
        <v>0</v>
      </c>
      <c r="R4231" s="114" t="n">
        <v>270.83</v>
      </c>
      <c r="S4231" s="114" t="n">
        <v>0</v>
      </c>
      <c r="T4231" t="n">
        <v>0</v>
      </c>
    </row>
    <row r="4232">
      <c r="A4232" t="inlineStr">
        <is>
          <t>ttJTrans</t>
        </is>
      </c>
      <c r="B4232" s="38" t="inlineStr">
        <is>
          <t>0-4122</t>
        </is>
      </c>
      <c r="C4232" t="inlineStr">
        <is>
          <t>ER</t>
        </is>
      </c>
      <c r="E4232" t="inlineStr">
        <is>
          <t>ER</t>
        </is>
      </c>
      <c r="H4232" s="127" t="n">
        <v>46103</v>
      </c>
      <c r="J4232" s="38" t="inlineStr">
        <is>
          <t>0-4122</t>
        </is>
      </c>
      <c r="K4232" t="inlineStr">
        <is>
          <t>RMS2257 SKYJACK SJ1256TH FORKLIFT SKYJACK SJ1256TH FORKLIFT</t>
        </is>
      </c>
      <c r="L4232" t="n">
        <v>0</v>
      </c>
      <c r="M4232" t="n">
        <v>0</v>
      </c>
      <c r="O4232" t="inlineStr">
        <is>
          <t>RMS2257</t>
        </is>
      </c>
      <c r="Q4232" s="114" t="n">
        <v>0</v>
      </c>
      <c r="R4232" s="114" t="n">
        <v>270.83</v>
      </c>
      <c r="S4232" s="114" t="n">
        <v>0</v>
      </c>
      <c r="T4232" t="n">
        <v>0</v>
      </c>
    </row>
    <row r="4233">
      <c r="A4233" t="inlineStr">
        <is>
          <t>ttJTrans</t>
        </is>
      </c>
      <c r="B4233" s="38" t="inlineStr">
        <is>
          <t>0-4122</t>
        </is>
      </c>
      <c r="C4233" t="inlineStr">
        <is>
          <t>ER</t>
        </is>
      </c>
      <c r="E4233" t="inlineStr">
        <is>
          <t>ER</t>
        </is>
      </c>
      <c r="H4233" s="127" t="n">
        <v>46103</v>
      </c>
      <c r="J4233" s="38" t="inlineStr">
        <is>
          <t>0-4122</t>
        </is>
      </c>
      <c r="K4233" t="inlineStr">
        <is>
          <t>RMS2257 SKYJACK SJ1256TH FORKLIFT SKYJACK SJ1256TH FORKLIFT</t>
        </is>
      </c>
      <c r="L4233" t="n">
        <v>0</v>
      </c>
      <c r="M4233" t="n">
        <v>0</v>
      </c>
      <c r="O4233" t="inlineStr">
        <is>
          <t>RMS2257</t>
        </is>
      </c>
      <c r="Q4233" s="114" t="n">
        <v>0</v>
      </c>
      <c r="R4233" s="114" t="n">
        <v>270.83</v>
      </c>
      <c r="S4233" s="114" t="n">
        <v>0</v>
      </c>
      <c r="T4233" t="n">
        <v>0</v>
      </c>
    </row>
    <row r="4234">
      <c r="A4234" t="inlineStr">
        <is>
          <t>ttJTrans</t>
        </is>
      </c>
      <c r="B4234" s="38" t="inlineStr">
        <is>
          <t>0-4122</t>
        </is>
      </c>
      <c r="C4234" t="inlineStr">
        <is>
          <t>ER</t>
        </is>
      </c>
      <c r="E4234" t="inlineStr">
        <is>
          <t>ER</t>
        </is>
      </c>
      <c r="H4234" s="127" t="n">
        <v>46103</v>
      </c>
      <c r="J4234" s="38" t="inlineStr">
        <is>
          <t>0-4122</t>
        </is>
      </c>
      <c r="K4234" t="inlineStr">
        <is>
          <t>RMS2257 SKYJACK SJ1256TH FORKLIFT SKYJACK SJ1256TH FORKLIFT</t>
        </is>
      </c>
      <c r="L4234" t="n">
        <v>0</v>
      </c>
      <c r="M4234" t="n">
        <v>0</v>
      </c>
      <c r="O4234" t="inlineStr">
        <is>
          <t>RMS2257</t>
        </is>
      </c>
      <c r="Q4234" s="114" t="n">
        <v>0</v>
      </c>
      <c r="R4234" s="114" t="n">
        <v>270.83</v>
      </c>
      <c r="S4234" s="114" t="n">
        <v>0</v>
      </c>
      <c r="T4234" t="n">
        <v>0</v>
      </c>
    </row>
    <row r="4235">
      <c r="A4235" t="inlineStr">
        <is>
          <t>ttJTrans</t>
        </is>
      </c>
      <c r="B4235" s="38" t="inlineStr">
        <is>
          <t>0-4122</t>
        </is>
      </c>
      <c r="C4235" t="inlineStr">
        <is>
          <t>ER</t>
        </is>
      </c>
      <c r="E4235" t="inlineStr">
        <is>
          <t>ER</t>
        </is>
      </c>
      <c r="H4235" s="127" t="n">
        <v>46103</v>
      </c>
      <c r="J4235" s="38" t="inlineStr">
        <is>
          <t>0-4122</t>
        </is>
      </c>
      <c r="K4235" t="inlineStr">
        <is>
          <t>RMS2257 SKYJACK SJ1256TH FORKLIFT SKYJACK SJ1256TH FORKLIFT</t>
        </is>
      </c>
      <c r="L4235" t="n">
        <v>0</v>
      </c>
      <c r="M4235" t="n">
        <v>0</v>
      </c>
      <c r="O4235" t="inlineStr">
        <is>
          <t>RMS2257</t>
        </is>
      </c>
      <c r="Q4235" s="114" t="n">
        <v>0</v>
      </c>
      <c r="R4235" s="114" t="n">
        <v>270.83</v>
      </c>
      <c r="S4235" s="114" t="n">
        <v>0</v>
      </c>
      <c r="T4235" t="n">
        <v>0</v>
      </c>
    </row>
    <row r="4236">
      <c r="A4236" t="inlineStr">
        <is>
          <t>ttJTrans</t>
        </is>
      </c>
      <c r="B4236" s="38" t="inlineStr">
        <is>
          <t>0-4122</t>
        </is>
      </c>
      <c r="C4236" t="inlineStr">
        <is>
          <t>ER</t>
        </is>
      </c>
      <c r="E4236" t="inlineStr">
        <is>
          <t>ER</t>
        </is>
      </c>
      <c r="H4236" s="127" t="n">
        <v>46110</v>
      </c>
      <c r="J4236" s="38" t="inlineStr">
        <is>
          <t>0-4122</t>
        </is>
      </c>
      <c r="K4236" t="inlineStr">
        <is>
          <t>REX659 CATERPILLAR 315 TC EXCAVATOR CATERPILLAR 315 TC EXCAVATOR</t>
        </is>
      </c>
      <c r="L4236" t="n">
        <v>0</v>
      </c>
      <c r="M4236" t="n">
        <v>0</v>
      </c>
      <c r="O4236" t="inlineStr">
        <is>
          <t>REX659</t>
        </is>
      </c>
      <c r="Q4236" s="114" t="n">
        <v>0</v>
      </c>
      <c r="R4236" s="114" t="n">
        <v>250</v>
      </c>
      <c r="S4236" s="114" t="n">
        <v>0</v>
      </c>
      <c r="T4236" t="n">
        <v>0</v>
      </c>
    </row>
    <row r="4237">
      <c r="A4237" t="inlineStr">
        <is>
          <t>ttJTrans</t>
        </is>
      </c>
      <c r="B4237" s="38" t="inlineStr">
        <is>
          <t>0-4122</t>
        </is>
      </c>
      <c r="C4237" t="inlineStr">
        <is>
          <t>ER</t>
        </is>
      </c>
      <c r="E4237" t="inlineStr">
        <is>
          <t>ER</t>
        </is>
      </c>
      <c r="H4237" s="127" t="n">
        <v>46096</v>
      </c>
      <c r="J4237" s="38" t="inlineStr">
        <is>
          <t>0-4122</t>
        </is>
      </c>
      <c r="K4237" t="inlineStr">
        <is>
          <t>RMV34 2000 GAL WATER TRUCK 2000 GAL WATER TRUCK</t>
        </is>
      </c>
      <c r="L4237" t="n">
        <v>0</v>
      </c>
      <c r="M4237" t="n">
        <v>0</v>
      </c>
      <c r="O4237" t="inlineStr">
        <is>
          <t>RMV34</t>
        </is>
      </c>
      <c r="Q4237" s="114" t="n">
        <v>0</v>
      </c>
      <c r="R4237" s="114" t="n">
        <v>198.28</v>
      </c>
      <c r="S4237" s="114" t="n">
        <v>0</v>
      </c>
      <c r="T4237" t="n">
        <v>0</v>
      </c>
    </row>
    <row r="4238">
      <c r="A4238" t="inlineStr">
        <is>
          <t>ttJTrans</t>
        </is>
      </c>
      <c r="B4238" s="38" t="inlineStr">
        <is>
          <t>0-4122</t>
        </is>
      </c>
      <c r="C4238" t="inlineStr">
        <is>
          <t>ER</t>
        </is>
      </c>
      <c r="E4238" t="inlineStr">
        <is>
          <t>ER</t>
        </is>
      </c>
      <c r="H4238" s="127" t="n">
        <v>46096</v>
      </c>
      <c r="J4238" s="38" t="inlineStr">
        <is>
          <t>0-4122</t>
        </is>
      </c>
      <c r="K4238" t="inlineStr">
        <is>
          <t>RMS2257 SKYJACK SJ1256TH FORKLIFT SKYJACK SJ1256TH FORKLIFT</t>
        </is>
      </c>
      <c r="L4238" t="n">
        <v>0</v>
      </c>
      <c r="M4238" t="n">
        <v>0</v>
      </c>
      <c r="O4238" t="inlineStr">
        <is>
          <t>RMS2257</t>
        </is>
      </c>
      <c r="Q4238" s="114" t="n">
        <v>0</v>
      </c>
      <c r="R4238" s="114" t="n">
        <v>270.83</v>
      </c>
      <c r="S4238" s="114" t="n">
        <v>0</v>
      </c>
      <c r="T4238" t="n">
        <v>0</v>
      </c>
    </row>
    <row r="4239">
      <c r="A4239" t="inlineStr">
        <is>
          <t>ttJTrans</t>
        </is>
      </c>
      <c r="B4239" s="38" t="inlineStr">
        <is>
          <t>0-4122</t>
        </is>
      </c>
      <c r="C4239" t="inlineStr">
        <is>
          <t>ER</t>
        </is>
      </c>
      <c r="E4239" t="inlineStr">
        <is>
          <t>ER</t>
        </is>
      </c>
      <c r="H4239" s="127" t="n">
        <v>46096</v>
      </c>
      <c r="J4239" s="38" t="inlineStr">
        <is>
          <t>0-4122</t>
        </is>
      </c>
      <c r="K4239" t="inlineStr">
        <is>
          <t>REX659 CATERPILLAR 315 TC EXCAVATOR CATERPILLAR 315 TC EXCAVATOR</t>
        </is>
      </c>
      <c r="L4239" t="n">
        <v>0</v>
      </c>
      <c r="M4239" t="n">
        <v>0</v>
      </c>
      <c r="O4239" t="inlineStr">
        <is>
          <t>REX659</t>
        </is>
      </c>
      <c r="Q4239" s="114" t="n">
        <v>0</v>
      </c>
      <c r="R4239" s="114" t="n">
        <v>250</v>
      </c>
      <c r="S4239" s="114" t="n">
        <v>0</v>
      </c>
      <c r="T4239" t="n">
        <v>0</v>
      </c>
    </row>
    <row r="4240">
      <c r="A4240" t="inlineStr">
        <is>
          <t>ttJTrans</t>
        </is>
      </c>
      <c r="B4240" s="38" t="inlineStr">
        <is>
          <t>0-4122</t>
        </is>
      </c>
      <c r="C4240" t="inlineStr">
        <is>
          <t>ER</t>
        </is>
      </c>
      <c r="E4240" t="inlineStr">
        <is>
          <t>ER</t>
        </is>
      </c>
      <c r="H4240" s="127" t="n">
        <v>46096</v>
      </c>
      <c r="J4240" s="38" t="inlineStr">
        <is>
          <t>0-4122</t>
        </is>
      </c>
      <c r="K4240" t="inlineStr">
        <is>
          <t>RMS2257 SKYJACK SJ1256TH FORKLIFT SKYJACK SJ1256TH FORKLIFT</t>
        </is>
      </c>
      <c r="L4240" t="n">
        <v>0</v>
      </c>
      <c r="M4240" t="n">
        <v>0</v>
      </c>
      <c r="O4240" t="inlineStr">
        <is>
          <t>RMS2257</t>
        </is>
      </c>
      <c r="Q4240" s="114" t="n">
        <v>0</v>
      </c>
      <c r="R4240" s="114" t="n">
        <v>270.83</v>
      </c>
      <c r="S4240" s="114" t="n">
        <v>0</v>
      </c>
      <c r="T4240" t="n">
        <v>0</v>
      </c>
    </row>
    <row r="4241">
      <c r="A4241" t="inlineStr">
        <is>
          <t>ttJTrans</t>
        </is>
      </c>
      <c r="B4241" s="38" t="inlineStr">
        <is>
          <t>0-4122</t>
        </is>
      </c>
      <c r="C4241" t="inlineStr">
        <is>
          <t>ER</t>
        </is>
      </c>
      <c r="E4241" t="inlineStr">
        <is>
          <t>ER</t>
        </is>
      </c>
      <c r="H4241" s="127" t="n">
        <v>46096</v>
      </c>
      <c r="J4241" s="38" t="inlineStr">
        <is>
          <t>0-4122</t>
        </is>
      </c>
      <c r="K4241" t="inlineStr">
        <is>
          <t>RMS2257 SKYJACK SJ1256TH FORKLIFT SKYJACK SJ1256TH FORKLIFT</t>
        </is>
      </c>
      <c r="L4241" t="n">
        <v>0</v>
      </c>
      <c r="M4241" t="n">
        <v>0</v>
      </c>
      <c r="O4241" t="inlineStr">
        <is>
          <t>RMS2257</t>
        </is>
      </c>
      <c r="Q4241" s="114" t="n">
        <v>0</v>
      </c>
      <c r="R4241" s="114" t="n">
        <v>270.83</v>
      </c>
      <c r="S4241" s="114" t="n">
        <v>0</v>
      </c>
      <c r="T4241" t="n">
        <v>0</v>
      </c>
    </row>
    <row r="4242">
      <c r="A4242" t="inlineStr">
        <is>
          <t>ttJTrans</t>
        </is>
      </c>
      <c r="B4242" s="38" t="inlineStr">
        <is>
          <t>0-4122</t>
        </is>
      </c>
      <c r="C4242" t="inlineStr">
        <is>
          <t>ER</t>
        </is>
      </c>
      <c r="E4242" t="inlineStr">
        <is>
          <t>ER</t>
        </is>
      </c>
      <c r="H4242" s="127" t="n">
        <v>46096</v>
      </c>
      <c r="J4242" s="38" t="inlineStr">
        <is>
          <t>0-4122</t>
        </is>
      </c>
      <c r="K4242" t="inlineStr">
        <is>
          <t>RMS2257 SKYJACK SJ1256TH FORKLIFT SKYJACK SJ1256TH FORKLIFT</t>
        </is>
      </c>
      <c r="L4242" t="n">
        <v>0</v>
      </c>
      <c r="M4242" t="n">
        <v>0</v>
      </c>
      <c r="O4242" t="inlineStr">
        <is>
          <t>RMS2257</t>
        </is>
      </c>
      <c r="Q4242" s="114" t="n">
        <v>0</v>
      </c>
      <c r="R4242" s="114" t="n">
        <v>270.83</v>
      </c>
      <c r="S4242" s="114" t="n">
        <v>0</v>
      </c>
      <c r="T4242" t="n">
        <v>0</v>
      </c>
    </row>
    <row r="4243">
      <c r="A4243" t="inlineStr">
        <is>
          <t>ttJTrans</t>
        </is>
      </c>
      <c r="B4243" s="38" t="inlineStr">
        <is>
          <t>0-4122</t>
        </is>
      </c>
      <c r="C4243" t="inlineStr">
        <is>
          <t>ER</t>
        </is>
      </c>
      <c r="E4243" t="inlineStr">
        <is>
          <t>ER</t>
        </is>
      </c>
      <c r="H4243" s="127" t="n">
        <v>46096</v>
      </c>
      <c r="J4243" s="38" t="inlineStr">
        <is>
          <t>0-4122</t>
        </is>
      </c>
      <c r="K4243" t="inlineStr">
        <is>
          <t>REX659 CATERPILLAR 315 TC EXCAVATOR CATERPILLAR 315 TC EXCAVATOR</t>
        </is>
      </c>
      <c r="L4243" t="n">
        <v>0</v>
      </c>
      <c r="M4243" t="n">
        <v>0</v>
      </c>
      <c r="O4243" t="inlineStr">
        <is>
          <t>REX659</t>
        </is>
      </c>
      <c r="Q4243" s="114" t="n">
        <v>0</v>
      </c>
      <c r="R4243" s="114" t="n">
        <v>250</v>
      </c>
      <c r="S4243" s="114" t="n">
        <v>0</v>
      </c>
      <c r="T4243" t="n">
        <v>0</v>
      </c>
    </row>
    <row r="4244">
      <c r="A4244" t="inlineStr">
        <is>
          <t>ttJTrans</t>
        </is>
      </c>
      <c r="B4244" s="38" t="inlineStr">
        <is>
          <t>0-4122</t>
        </is>
      </c>
      <c r="C4244" t="inlineStr">
        <is>
          <t>ER</t>
        </is>
      </c>
      <c r="E4244" t="inlineStr">
        <is>
          <t>ER</t>
        </is>
      </c>
      <c r="H4244" s="127" t="n">
        <v>46096</v>
      </c>
      <c r="J4244" s="38" t="inlineStr">
        <is>
          <t>0-4122</t>
        </is>
      </c>
      <c r="K4244" t="inlineStr">
        <is>
          <t>REX659 CATERPILLAR 315 TC EXCAVATOR CATERPILLAR 315 TC EXCAVATOR</t>
        </is>
      </c>
      <c r="L4244" t="n">
        <v>0</v>
      </c>
      <c r="M4244" t="n">
        <v>0</v>
      </c>
      <c r="O4244" t="inlineStr">
        <is>
          <t>REX659</t>
        </is>
      </c>
      <c r="Q4244" s="114" t="n">
        <v>0</v>
      </c>
      <c r="R4244" s="114" t="n">
        <v>250</v>
      </c>
      <c r="S4244" s="114" t="n">
        <v>0</v>
      </c>
      <c r="T4244" t="n">
        <v>0</v>
      </c>
    </row>
    <row r="4245">
      <c r="A4245" t="inlineStr">
        <is>
          <t>ttJTrans</t>
        </is>
      </c>
      <c r="B4245" s="38" t="inlineStr">
        <is>
          <t>0-4122</t>
        </is>
      </c>
      <c r="C4245" t="inlineStr">
        <is>
          <t>ER</t>
        </is>
      </c>
      <c r="E4245" t="inlineStr">
        <is>
          <t>ER</t>
        </is>
      </c>
      <c r="H4245" s="127" t="n">
        <v>46096</v>
      </c>
      <c r="J4245" s="38" t="inlineStr">
        <is>
          <t>0-4122</t>
        </is>
      </c>
      <c r="K4245" t="inlineStr">
        <is>
          <t>REX659 CATERPILLAR 315 TC EXCAVATOR CATERPILLAR 315 TC EXCAVATOR</t>
        </is>
      </c>
      <c r="L4245" t="n">
        <v>0</v>
      </c>
      <c r="M4245" t="n">
        <v>0</v>
      </c>
      <c r="O4245" t="inlineStr">
        <is>
          <t>REX659</t>
        </is>
      </c>
      <c r="Q4245" s="114" t="n">
        <v>0</v>
      </c>
      <c r="R4245" s="114" t="n">
        <v>250</v>
      </c>
      <c r="S4245" s="114" t="n">
        <v>0</v>
      </c>
      <c r="T4245" t="n">
        <v>0</v>
      </c>
    </row>
    <row r="4246">
      <c r="A4246" t="inlineStr">
        <is>
          <t>ttJTrans</t>
        </is>
      </c>
      <c r="B4246" s="38" t="inlineStr">
        <is>
          <t>0-4122</t>
        </is>
      </c>
      <c r="C4246" t="inlineStr">
        <is>
          <t>ER</t>
        </is>
      </c>
      <c r="E4246" t="inlineStr">
        <is>
          <t>ER</t>
        </is>
      </c>
      <c r="H4246" s="127" t="n">
        <v>46096</v>
      </c>
      <c r="J4246" s="38" t="inlineStr">
        <is>
          <t>0-4122</t>
        </is>
      </c>
      <c r="K4246" t="inlineStr">
        <is>
          <t>REX659 CATERPILLAR 315 TC EXCAVATOR CATERPILLAR 315 TC EXCAVATOR</t>
        </is>
      </c>
      <c r="L4246" t="n">
        <v>0</v>
      </c>
      <c r="M4246" t="n">
        <v>0</v>
      </c>
      <c r="O4246" t="inlineStr">
        <is>
          <t>REX659</t>
        </is>
      </c>
      <c r="Q4246" s="114" t="n">
        <v>0</v>
      </c>
      <c r="R4246" s="114" t="n">
        <v>250</v>
      </c>
      <c r="S4246" s="114" t="n">
        <v>0</v>
      </c>
      <c r="T4246" t="n">
        <v>0</v>
      </c>
    </row>
    <row r="4247">
      <c r="A4247" t="inlineStr">
        <is>
          <t>ttJTrans</t>
        </is>
      </c>
      <c r="B4247" s="38" t="inlineStr">
        <is>
          <t>0-4122</t>
        </is>
      </c>
      <c r="C4247" t="inlineStr">
        <is>
          <t>ER</t>
        </is>
      </c>
      <c r="E4247" t="inlineStr">
        <is>
          <t>ER</t>
        </is>
      </c>
      <c r="H4247" s="127" t="n">
        <v>46096</v>
      </c>
      <c r="J4247" s="38" t="inlineStr">
        <is>
          <t>0-4122</t>
        </is>
      </c>
      <c r="K4247" t="inlineStr">
        <is>
          <t>REX659 CATERPILLAR 315 TC EXCAVATOR CATERPILLAR 315 TC EXCAVATOR</t>
        </is>
      </c>
      <c r="L4247" t="n">
        <v>0</v>
      </c>
      <c r="M4247" t="n">
        <v>0</v>
      </c>
      <c r="O4247" t="inlineStr">
        <is>
          <t>REX659</t>
        </is>
      </c>
      <c r="Q4247" s="114" t="n">
        <v>0</v>
      </c>
      <c r="R4247" s="114" t="n">
        <v>250</v>
      </c>
      <c r="S4247" s="114" t="n">
        <v>0</v>
      </c>
      <c r="T4247" t="n">
        <v>0</v>
      </c>
    </row>
    <row r="4248">
      <c r="A4248" t="inlineStr">
        <is>
          <t>ttJTrans</t>
        </is>
      </c>
      <c r="B4248" s="38" t="inlineStr">
        <is>
          <t>0-4123</t>
        </is>
      </c>
      <c r="C4248" t="inlineStr">
        <is>
          <t>ER</t>
        </is>
      </c>
      <c r="E4248" t="inlineStr">
        <is>
          <t>ER</t>
        </is>
      </c>
      <c r="H4248" s="127" t="n">
        <v>46159</v>
      </c>
      <c r="J4248" s="38" t="inlineStr">
        <is>
          <t>0-4123</t>
        </is>
      </c>
      <c r="K4248" t="inlineStr">
        <is>
          <t>RHV96 PETERBILT 4,000 GALLON WATER TRUCK PETERBILT 4,000 GALLON WATER TRUCK</t>
        </is>
      </c>
      <c r="L4248" t="n">
        <v>0</v>
      </c>
      <c r="M4248" t="n">
        <v>0</v>
      </c>
      <c r="O4248" t="inlineStr">
        <is>
          <t>RHV96</t>
        </is>
      </c>
      <c r="Q4248" s="114" t="n">
        <v>0</v>
      </c>
      <c r="R4248" s="114" t="n">
        <v>200</v>
      </c>
      <c r="S4248" s="114" t="n">
        <v>0</v>
      </c>
      <c r="T4248" t="n">
        <v>0</v>
      </c>
    </row>
    <row r="4249">
      <c r="A4249" t="inlineStr">
        <is>
          <t>ttJTrans</t>
        </is>
      </c>
      <c r="B4249" s="38" t="inlineStr">
        <is>
          <t>0-4123</t>
        </is>
      </c>
      <c r="C4249" t="inlineStr">
        <is>
          <t>ER</t>
        </is>
      </c>
      <c r="E4249" t="inlineStr">
        <is>
          <t>ER</t>
        </is>
      </c>
      <c r="H4249" s="127" t="n">
        <v>46152</v>
      </c>
      <c r="J4249" s="38" t="inlineStr">
        <is>
          <t>0-4123</t>
        </is>
      </c>
      <c r="K4249" t="inlineStr">
        <is>
          <t>RHV96 PETERBILT 4,000 GALLON WATER TRUCK PETERBILT 4,000 GALLON WATER TRUCK</t>
        </is>
      </c>
      <c r="L4249" t="n">
        <v>0</v>
      </c>
      <c r="M4249" t="n">
        <v>0</v>
      </c>
      <c r="O4249" t="inlineStr">
        <is>
          <t>RHV96</t>
        </is>
      </c>
      <c r="Q4249" s="114" t="n">
        <v>0</v>
      </c>
      <c r="R4249" s="114" t="n">
        <v>200</v>
      </c>
      <c r="S4249" s="114" t="n">
        <v>0</v>
      </c>
      <c r="T4249" t="n">
        <v>0</v>
      </c>
    </row>
    <row r="4250">
      <c r="A4250" t="inlineStr">
        <is>
          <t>ttJTrans</t>
        </is>
      </c>
      <c r="B4250" s="38" t="inlineStr">
        <is>
          <t>0-4123</t>
        </is>
      </c>
      <c r="C4250" t="inlineStr">
        <is>
          <t>ER</t>
        </is>
      </c>
      <c r="E4250" t="inlineStr">
        <is>
          <t>ER</t>
        </is>
      </c>
      <c r="H4250" s="127" t="n">
        <v>46152</v>
      </c>
      <c r="J4250" s="38" t="inlineStr">
        <is>
          <t>0-4123</t>
        </is>
      </c>
      <c r="K4250" t="inlineStr">
        <is>
          <t>RMS2388 BUSH-HACKER 15' BRUSH CUTTER BUSH-HACKER 15' BRUSH CUTTER</t>
        </is>
      </c>
      <c r="L4250" t="n">
        <v>0</v>
      </c>
      <c r="M4250" t="n">
        <v>0</v>
      </c>
      <c r="O4250" t="inlineStr">
        <is>
          <t>RMS2388</t>
        </is>
      </c>
      <c r="Q4250" s="114" t="n">
        <v>0</v>
      </c>
      <c r="R4250" s="114" t="n">
        <v>125</v>
      </c>
      <c r="S4250" s="114" t="n">
        <v>0</v>
      </c>
      <c r="T4250" t="n">
        <v>0</v>
      </c>
    </row>
    <row r="4251">
      <c r="A4251" t="inlineStr">
        <is>
          <t>ttJTrans</t>
        </is>
      </c>
      <c r="B4251" s="38" t="inlineStr">
        <is>
          <t>0-4123</t>
        </is>
      </c>
      <c r="C4251" t="inlineStr">
        <is>
          <t>ER</t>
        </is>
      </c>
      <c r="E4251" t="inlineStr">
        <is>
          <t>ER</t>
        </is>
      </c>
      <c r="H4251" s="127" t="n">
        <v>46166</v>
      </c>
      <c r="J4251" s="38" t="inlineStr">
        <is>
          <t>0-4123</t>
        </is>
      </c>
      <c r="K4251" t="inlineStr">
        <is>
          <t>RMS2388 BUSH-HACKER 15' BRUSH CUTTER BUSH-HACKER 15' BRUSH CUTTER</t>
        </is>
      </c>
      <c r="L4251" t="n">
        <v>0</v>
      </c>
      <c r="M4251" t="n">
        <v>0</v>
      </c>
      <c r="O4251" t="inlineStr">
        <is>
          <t>RMS2388</t>
        </is>
      </c>
      <c r="Q4251" s="114" t="n">
        <v>0</v>
      </c>
      <c r="R4251" s="114" t="n">
        <v>125</v>
      </c>
      <c r="S4251" s="114" t="n">
        <v>0</v>
      </c>
      <c r="T4251" t="n">
        <v>0</v>
      </c>
    </row>
    <row r="4252">
      <c r="A4252" t="inlineStr">
        <is>
          <t>ttJTrans</t>
        </is>
      </c>
      <c r="B4252" s="38" t="inlineStr">
        <is>
          <t>0-4123</t>
        </is>
      </c>
      <c r="C4252" t="inlineStr">
        <is>
          <t>ER</t>
        </is>
      </c>
      <c r="E4252" t="inlineStr">
        <is>
          <t>ER</t>
        </is>
      </c>
      <c r="H4252" s="127" t="n">
        <v>46159</v>
      </c>
      <c r="J4252" s="38" t="inlineStr">
        <is>
          <t>0-4123</t>
        </is>
      </c>
      <c r="K4252" t="inlineStr">
        <is>
          <t>RHV96 PETERBILT 4,000 GALLON WATER TRUCK PETERBILT 4,000 GALLON WATER TRUCK</t>
        </is>
      </c>
      <c r="L4252" t="n">
        <v>0</v>
      </c>
      <c r="M4252" t="n">
        <v>0</v>
      </c>
      <c r="O4252" t="inlineStr">
        <is>
          <t>RHV96</t>
        </is>
      </c>
      <c r="Q4252" s="114" t="n">
        <v>0</v>
      </c>
      <c r="R4252" s="114" t="n">
        <v>200</v>
      </c>
      <c r="S4252" s="114" t="n">
        <v>0</v>
      </c>
      <c r="T4252" t="n">
        <v>0</v>
      </c>
    </row>
    <row r="4253">
      <c r="A4253" t="inlineStr">
        <is>
          <t>ttJTrans</t>
        </is>
      </c>
      <c r="B4253" s="38" t="inlineStr">
        <is>
          <t>0-4123</t>
        </is>
      </c>
      <c r="C4253" t="inlineStr">
        <is>
          <t>ER</t>
        </is>
      </c>
      <c r="E4253" t="inlineStr">
        <is>
          <t>ER</t>
        </is>
      </c>
      <c r="H4253" s="127" t="n">
        <v>46159</v>
      </c>
      <c r="J4253" s="38" t="inlineStr">
        <is>
          <t>0-4123</t>
        </is>
      </c>
      <c r="K4253" t="inlineStr">
        <is>
          <t>RHV96 PETERBILT 4,000 GALLON WATER TRUCK PETERBILT 4,000 GALLON WATER TRUCK</t>
        </is>
      </c>
      <c r="L4253" t="n">
        <v>0</v>
      </c>
      <c r="M4253" t="n">
        <v>0</v>
      </c>
      <c r="O4253" t="inlineStr">
        <is>
          <t>RHV96</t>
        </is>
      </c>
      <c r="Q4253" s="114" t="n">
        <v>0</v>
      </c>
      <c r="R4253" s="114" t="n">
        <v>200</v>
      </c>
      <c r="S4253" s="114" t="n">
        <v>0</v>
      </c>
      <c r="T4253" t="n">
        <v>0</v>
      </c>
    </row>
    <row r="4254">
      <c r="A4254" t="inlineStr">
        <is>
          <t>ttJTrans</t>
        </is>
      </c>
      <c r="B4254" s="38" t="inlineStr">
        <is>
          <t>0-4123</t>
        </is>
      </c>
      <c r="C4254" t="inlineStr">
        <is>
          <t>ER</t>
        </is>
      </c>
      <c r="E4254" t="inlineStr">
        <is>
          <t>ER</t>
        </is>
      </c>
      <c r="H4254" s="127" t="n">
        <v>46159</v>
      </c>
      <c r="J4254" s="38" t="inlineStr">
        <is>
          <t>0-4123</t>
        </is>
      </c>
      <c r="K4254" t="inlineStr">
        <is>
          <t>RMS2388 BUSH-HACKER 15' BRUSH CUTTER BUSH-HACKER 15' BRUSH CUTTER</t>
        </is>
      </c>
      <c r="L4254" t="n">
        <v>0</v>
      </c>
      <c r="M4254" t="n">
        <v>0</v>
      </c>
      <c r="O4254" t="inlineStr">
        <is>
          <t>RMS2388</t>
        </is>
      </c>
      <c r="Q4254" s="114" t="n">
        <v>0</v>
      </c>
      <c r="R4254" s="114" t="n">
        <v>125</v>
      </c>
      <c r="S4254" s="114" t="n">
        <v>0</v>
      </c>
      <c r="T4254" t="n">
        <v>0</v>
      </c>
    </row>
    <row r="4255">
      <c r="A4255" t="inlineStr">
        <is>
          <t>ttJTrans</t>
        </is>
      </c>
      <c r="B4255" s="38" t="inlineStr">
        <is>
          <t>0-4123</t>
        </is>
      </c>
      <c r="C4255" t="inlineStr">
        <is>
          <t>ER</t>
        </is>
      </c>
      <c r="E4255" t="inlineStr">
        <is>
          <t>ER</t>
        </is>
      </c>
      <c r="H4255" s="127" t="n">
        <v>46166</v>
      </c>
      <c r="J4255" s="38" t="inlineStr">
        <is>
          <t>0-4123</t>
        </is>
      </c>
      <c r="K4255" t="inlineStr">
        <is>
          <t>RHV96 PETERBILT 4,000 GALLON WATER TRUCK PETERBILT 4,000 GALLON WATER TRUCK</t>
        </is>
      </c>
      <c r="L4255" t="n">
        <v>0</v>
      </c>
      <c r="M4255" t="n">
        <v>0</v>
      </c>
      <c r="O4255" t="inlineStr">
        <is>
          <t>RHV96</t>
        </is>
      </c>
      <c r="Q4255" s="114" t="n">
        <v>0</v>
      </c>
      <c r="R4255" s="114" t="n">
        <v>200</v>
      </c>
      <c r="S4255" s="114" t="n">
        <v>0</v>
      </c>
      <c r="T4255" t="n">
        <v>0</v>
      </c>
    </row>
    <row r="4256">
      <c r="A4256" t="inlineStr">
        <is>
          <t>ttJTrans</t>
        </is>
      </c>
      <c r="B4256" s="38" t="inlineStr">
        <is>
          <t>0-4123</t>
        </is>
      </c>
      <c r="C4256" t="inlineStr">
        <is>
          <t>ER</t>
        </is>
      </c>
      <c r="E4256" t="inlineStr">
        <is>
          <t>ER</t>
        </is>
      </c>
      <c r="H4256" s="127" t="n">
        <v>46166</v>
      </c>
      <c r="J4256" s="38" t="inlineStr">
        <is>
          <t>0-4123</t>
        </is>
      </c>
      <c r="K4256" t="inlineStr">
        <is>
          <t>RHV96 PETERBILT 4,000 GALLON WATER TRUCK PETERBILT 4,000 GALLON WATER TRUCK</t>
        </is>
      </c>
      <c r="L4256" t="n">
        <v>0</v>
      </c>
      <c r="M4256" t="n">
        <v>0</v>
      </c>
      <c r="O4256" t="inlineStr">
        <is>
          <t>RHV96</t>
        </is>
      </c>
      <c r="Q4256" s="114" t="n">
        <v>0</v>
      </c>
      <c r="R4256" s="114" t="n">
        <v>200</v>
      </c>
      <c r="S4256" s="114" t="n">
        <v>0</v>
      </c>
      <c r="T4256" t="n">
        <v>0</v>
      </c>
    </row>
    <row r="4257">
      <c r="A4257" t="inlineStr">
        <is>
          <t>ttJTrans</t>
        </is>
      </c>
      <c r="B4257" s="38" t="inlineStr">
        <is>
          <t>0-4123</t>
        </is>
      </c>
      <c r="C4257" t="inlineStr">
        <is>
          <t>LA</t>
        </is>
      </c>
      <c r="E4257" t="inlineStr">
        <is>
          <t>LA</t>
        </is>
      </c>
      <c r="H4257" s="127" t="n">
        <v>46156</v>
      </c>
      <c r="J4257" s="38" t="inlineStr">
        <is>
          <t>0-4123</t>
        </is>
      </c>
      <c r="K4257" t="inlineStr">
        <is>
          <t>PR P0COST 000530 (PR) Summary</t>
        </is>
      </c>
      <c r="L4257" t="n">
        <v>0</v>
      </c>
      <c r="M4257" t="n">
        <v>0</v>
      </c>
      <c r="Q4257" s="114" t="n">
        <v>0</v>
      </c>
      <c r="R4257" s="114" t="n">
        <v>424.72</v>
      </c>
      <c r="S4257" s="114" t="n">
        <v>0</v>
      </c>
      <c r="T4257" t="n">
        <v>10</v>
      </c>
    </row>
    <row r="4258">
      <c r="A4258" t="inlineStr">
        <is>
          <t>ttJTrans</t>
        </is>
      </c>
      <c r="B4258" s="38" t="inlineStr">
        <is>
          <t>0-4123</t>
        </is>
      </c>
      <c r="C4258" t="inlineStr">
        <is>
          <t>LA</t>
        </is>
      </c>
      <c r="E4258" t="inlineStr">
        <is>
          <t>LA</t>
        </is>
      </c>
      <c r="H4258" s="127" t="n">
        <v>46149</v>
      </c>
      <c r="J4258" s="38" t="inlineStr">
        <is>
          <t>0-4123</t>
        </is>
      </c>
      <c r="K4258" t="inlineStr">
        <is>
          <t>PR P0COST 000529 (PR) Summary</t>
        </is>
      </c>
      <c r="L4258" t="n">
        <v>0</v>
      </c>
      <c r="M4258" t="n">
        <v>0</v>
      </c>
      <c r="Q4258" s="114" t="n">
        <v>0</v>
      </c>
      <c r="R4258" s="114" t="n">
        <v>424.72</v>
      </c>
      <c r="S4258" s="114" t="n">
        <v>0</v>
      </c>
      <c r="T4258" t="n">
        <v>10</v>
      </c>
    </row>
    <row r="4259">
      <c r="A4259" t="inlineStr">
        <is>
          <t>ttJTrans</t>
        </is>
      </c>
      <c r="B4259" s="38" t="inlineStr">
        <is>
          <t>0-4123</t>
        </is>
      </c>
      <c r="C4259" t="inlineStr">
        <is>
          <t>LA</t>
        </is>
      </c>
      <c r="E4259" t="inlineStr">
        <is>
          <t>LA</t>
        </is>
      </c>
      <c r="H4259" s="127" t="n">
        <v>46149</v>
      </c>
      <c r="J4259" s="38" t="inlineStr">
        <is>
          <t>0-4123</t>
        </is>
      </c>
      <c r="K4259" t="inlineStr">
        <is>
          <t>PR P0COST 000529 (PR) Summary</t>
        </is>
      </c>
      <c r="L4259" t="n">
        <v>0</v>
      </c>
      <c r="M4259" t="n">
        <v>0</v>
      </c>
      <c r="Q4259" s="114" t="n">
        <v>0</v>
      </c>
      <c r="R4259" s="114" t="n">
        <v>424.72</v>
      </c>
      <c r="S4259" s="114" t="n">
        <v>0</v>
      </c>
      <c r="T4259" t="n">
        <v>10</v>
      </c>
    </row>
    <row r="4260">
      <c r="A4260" t="inlineStr">
        <is>
          <t>ttJTrans</t>
        </is>
      </c>
      <c r="B4260" s="38" t="inlineStr">
        <is>
          <t>0-4123</t>
        </is>
      </c>
      <c r="C4260" t="inlineStr">
        <is>
          <t>LA</t>
        </is>
      </c>
      <c r="E4260" t="inlineStr">
        <is>
          <t>LA</t>
        </is>
      </c>
      <c r="H4260" s="127" t="n">
        <v>46156</v>
      </c>
      <c r="J4260" s="38" t="inlineStr">
        <is>
          <t>0-4123</t>
        </is>
      </c>
      <c r="K4260" t="inlineStr">
        <is>
          <t>PR P0COST 000530 (PR) Summary</t>
        </is>
      </c>
      <c r="L4260" t="n">
        <v>0</v>
      </c>
      <c r="M4260" t="n">
        <v>0</v>
      </c>
      <c r="Q4260" s="114" t="n">
        <v>0</v>
      </c>
      <c r="R4260" s="114" t="n">
        <v>630.8099999999999</v>
      </c>
      <c r="S4260" s="114" t="n">
        <v>0</v>
      </c>
      <c r="T4260" t="n">
        <v>10</v>
      </c>
    </row>
    <row r="4261">
      <c r="A4261" t="inlineStr">
        <is>
          <t>ttJTrans</t>
        </is>
      </c>
      <c r="B4261" s="38" t="inlineStr">
        <is>
          <t>0-4123</t>
        </is>
      </c>
      <c r="C4261" t="inlineStr">
        <is>
          <t>LA</t>
        </is>
      </c>
      <c r="E4261" t="inlineStr">
        <is>
          <t>LA</t>
        </is>
      </c>
      <c r="H4261" s="127" t="n">
        <v>46156</v>
      </c>
      <c r="J4261" s="38" t="inlineStr">
        <is>
          <t>0-4123</t>
        </is>
      </c>
      <c r="K4261" t="inlineStr">
        <is>
          <t>PR P0COST 000530 (PR) Summary</t>
        </is>
      </c>
      <c r="L4261" t="n">
        <v>0</v>
      </c>
      <c r="M4261" t="n">
        <v>0</v>
      </c>
      <c r="Q4261" s="114" t="n">
        <v>0</v>
      </c>
      <c r="R4261" s="114" t="n">
        <v>630.79</v>
      </c>
      <c r="S4261" s="114" t="n">
        <v>0</v>
      </c>
      <c r="T4261" t="n">
        <v>10</v>
      </c>
    </row>
    <row r="4262">
      <c r="A4262" t="inlineStr">
        <is>
          <t>ttJTrans</t>
        </is>
      </c>
      <c r="B4262" s="38" t="inlineStr">
        <is>
          <t>0-4123</t>
        </is>
      </c>
      <c r="C4262" t="inlineStr">
        <is>
          <t>LA</t>
        </is>
      </c>
      <c r="E4262" t="inlineStr">
        <is>
          <t>LA</t>
        </is>
      </c>
      <c r="H4262" s="127" t="n">
        <v>46156</v>
      </c>
      <c r="J4262" s="38" t="inlineStr">
        <is>
          <t>0-4123</t>
        </is>
      </c>
      <c r="K4262" t="inlineStr">
        <is>
          <t>PR P0COST 000530 (PR) Summary</t>
        </is>
      </c>
      <c r="L4262" t="n">
        <v>0</v>
      </c>
      <c r="M4262" t="n">
        <v>0</v>
      </c>
      <c r="Q4262" s="114" t="n">
        <v>0</v>
      </c>
      <c r="R4262" s="114" t="n">
        <v>424.72</v>
      </c>
      <c r="S4262" s="114" t="n">
        <v>0</v>
      </c>
      <c r="T4262" t="n">
        <v>10</v>
      </c>
    </row>
    <row r="4263">
      <c r="A4263" t="inlineStr">
        <is>
          <t>ttJTrans</t>
        </is>
      </c>
      <c r="B4263" s="38" t="inlineStr">
        <is>
          <t>0-4123</t>
        </is>
      </c>
      <c r="C4263" t="inlineStr">
        <is>
          <t>LA</t>
        </is>
      </c>
      <c r="E4263" t="inlineStr">
        <is>
          <t>LA</t>
        </is>
      </c>
      <c r="H4263" s="127" t="n">
        <v>46163</v>
      </c>
      <c r="J4263" s="38" t="inlineStr">
        <is>
          <t>0-4123</t>
        </is>
      </c>
      <c r="K4263" t="inlineStr">
        <is>
          <t>PR P0COST 000531 (PR) Summary</t>
        </is>
      </c>
      <c r="L4263" t="n">
        <v>0</v>
      </c>
      <c r="M4263" t="n">
        <v>0</v>
      </c>
      <c r="Q4263" s="114" t="n">
        <v>0</v>
      </c>
      <c r="R4263" s="114" t="n">
        <v>593.95</v>
      </c>
      <c r="S4263" s="114" t="n">
        <v>0</v>
      </c>
      <c r="T4263" t="n">
        <v>10</v>
      </c>
    </row>
    <row r="4264">
      <c r="A4264" t="inlineStr">
        <is>
          <t>ttJTrans</t>
        </is>
      </c>
      <c r="B4264" s="38" t="inlineStr">
        <is>
          <t>0-4125</t>
        </is>
      </c>
      <c r="C4264" t="inlineStr">
        <is>
          <t>ER</t>
        </is>
      </c>
      <c r="E4264" t="inlineStr">
        <is>
          <t>ER</t>
        </is>
      </c>
      <c r="H4264" s="127" t="n">
        <v>46142</v>
      </c>
      <c r="J4264" s="38" t="inlineStr">
        <is>
          <t>0-4125</t>
        </is>
      </c>
      <c r="K4264" t="inlineStr">
        <is>
          <t>RAT439 CAN AM HD11XT CREW CAB UTV CAN AM HD11XT CREW CAB UTV</t>
        </is>
      </c>
      <c r="L4264" t="n">
        <v>0</v>
      </c>
      <c r="M4264" t="n">
        <v>0</v>
      </c>
      <c r="O4264" t="inlineStr">
        <is>
          <t>RAT439</t>
        </is>
      </c>
      <c r="Q4264" s="114" t="n">
        <v>0</v>
      </c>
      <c r="R4264" s="114" t="n">
        <v>62.5</v>
      </c>
      <c r="S4264" s="114" t="n">
        <v>0</v>
      </c>
      <c r="T4264" t="n">
        <v>0</v>
      </c>
    </row>
    <row r="4265">
      <c r="A4265" t="inlineStr">
        <is>
          <t>ttJTrans</t>
        </is>
      </c>
      <c r="B4265" s="38" t="inlineStr">
        <is>
          <t>0-4125</t>
        </is>
      </c>
      <c r="C4265" t="inlineStr">
        <is>
          <t>ER</t>
        </is>
      </c>
      <c r="E4265" t="inlineStr">
        <is>
          <t>ER</t>
        </is>
      </c>
      <c r="H4265" s="127" t="n">
        <v>46142</v>
      </c>
      <c r="J4265" s="38" t="inlineStr">
        <is>
          <t>0-4125</t>
        </is>
      </c>
      <c r="K4265" t="inlineStr">
        <is>
          <t>RAT439 CAN AM HD11XT CREW CAB UTV CAN AM HD11XT CREW CAB UTV</t>
        </is>
      </c>
      <c r="L4265" t="n">
        <v>0</v>
      </c>
      <c r="M4265" t="n">
        <v>0</v>
      </c>
      <c r="O4265" t="inlineStr">
        <is>
          <t>RAT439</t>
        </is>
      </c>
      <c r="Q4265" s="114" t="n">
        <v>0</v>
      </c>
      <c r="R4265" s="114" t="n">
        <v>62.5</v>
      </c>
      <c r="S4265" s="114" t="n">
        <v>0</v>
      </c>
      <c r="T4265" t="n">
        <v>0</v>
      </c>
    </row>
    <row r="4266">
      <c r="A4266" t="inlineStr">
        <is>
          <t>ttJTrans</t>
        </is>
      </c>
      <c r="B4266" s="38" t="inlineStr">
        <is>
          <t>0-4125</t>
        </is>
      </c>
      <c r="C4266" t="inlineStr">
        <is>
          <t>ER</t>
        </is>
      </c>
      <c r="E4266" t="inlineStr">
        <is>
          <t>ER</t>
        </is>
      </c>
      <c r="H4266" s="127" t="n">
        <v>46152</v>
      </c>
      <c r="J4266" s="38" t="inlineStr">
        <is>
          <t>0-4125</t>
        </is>
      </c>
      <c r="K4266" t="inlineStr">
        <is>
          <t>RAT439 CAN AM HD11XT CREW CAB UTV CAN AM HD11XT CREW CAB UTV</t>
        </is>
      </c>
      <c r="L4266" t="n">
        <v>0</v>
      </c>
      <c r="M4266" t="n">
        <v>0</v>
      </c>
      <c r="O4266" t="inlineStr">
        <is>
          <t>RAT439</t>
        </is>
      </c>
      <c r="Q4266" s="114" t="n">
        <v>0</v>
      </c>
      <c r="R4266" s="114" t="n">
        <v>62.5</v>
      </c>
      <c r="S4266" s="114" t="n">
        <v>0</v>
      </c>
      <c r="T4266" t="n">
        <v>0</v>
      </c>
    </row>
    <row r="4267">
      <c r="A4267" t="inlineStr">
        <is>
          <t>ttJTrans</t>
        </is>
      </c>
      <c r="B4267" s="38" t="inlineStr">
        <is>
          <t>0-4125</t>
        </is>
      </c>
      <c r="C4267" t="inlineStr">
        <is>
          <t>ER</t>
        </is>
      </c>
      <c r="E4267" t="inlineStr">
        <is>
          <t>ER</t>
        </is>
      </c>
      <c r="H4267" s="127" t="n">
        <v>46166</v>
      </c>
      <c r="J4267" s="38" t="inlineStr">
        <is>
          <t>0-4125</t>
        </is>
      </c>
      <c r="K4267" t="inlineStr">
        <is>
          <t>RMS2317 TRIMBLE TD540 TOTAL STATING TRIMBLE TD540 TOTAL STATING</t>
        </is>
      </c>
      <c r="L4267" t="n">
        <v>0</v>
      </c>
      <c r="M4267" t="n">
        <v>0</v>
      </c>
      <c r="O4267" t="inlineStr">
        <is>
          <t>RMS2317</t>
        </is>
      </c>
      <c r="Q4267" s="114" t="n">
        <v>0</v>
      </c>
      <c r="R4267" s="114" t="n">
        <v>287.36</v>
      </c>
      <c r="S4267" s="114" t="n">
        <v>0</v>
      </c>
      <c r="T4267" t="n">
        <v>0</v>
      </c>
    </row>
    <row r="4268">
      <c r="A4268" t="inlineStr">
        <is>
          <t>ttJTrans</t>
        </is>
      </c>
      <c r="B4268" s="38" t="inlineStr">
        <is>
          <t>0-4125</t>
        </is>
      </c>
      <c r="C4268" t="inlineStr">
        <is>
          <t>LA</t>
        </is>
      </c>
      <c r="E4268" t="inlineStr">
        <is>
          <t>LA</t>
        </is>
      </c>
      <c r="H4268" s="127" t="n">
        <v>46156</v>
      </c>
      <c r="J4268" s="38" t="inlineStr">
        <is>
          <t>0-4125</t>
        </is>
      </c>
      <c r="K4268" t="inlineStr">
        <is>
          <t>PR P0COST 000530 (PR) Summary</t>
        </is>
      </c>
      <c r="L4268" t="n">
        <v>0</v>
      </c>
      <c r="M4268" t="n">
        <v>0</v>
      </c>
      <c r="Q4268" s="114" t="n">
        <v>0</v>
      </c>
      <c r="R4268" s="114" t="n">
        <v>982.71</v>
      </c>
      <c r="S4268" s="114" t="n">
        <v>0</v>
      </c>
      <c r="T4268" t="n">
        <v>20</v>
      </c>
    </row>
    <row r="4269">
      <c r="A4269" t="inlineStr">
        <is>
          <t>ttJTrans</t>
        </is>
      </c>
      <c r="B4269" s="38" t="inlineStr">
        <is>
          <t>0-4125</t>
        </is>
      </c>
      <c r="C4269" t="inlineStr">
        <is>
          <t>LA</t>
        </is>
      </c>
      <c r="E4269" t="inlineStr">
        <is>
          <t>LA</t>
        </is>
      </c>
      <c r="H4269" s="127" t="n">
        <v>46142</v>
      </c>
      <c r="J4269" s="38" t="inlineStr">
        <is>
          <t>0-4125</t>
        </is>
      </c>
      <c r="K4269" t="inlineStr">
        <is>
          <t>PR P0COST 000528 (PR) Summary</t>
        </is>
      </c>
      <c r="L4269" t="n">
        <v>0</v>
      </c>
      <c r="M4269" t="n">
        <v>0</v>
      </c>
      <c r="Q4269" s="114" t="n">
        <v>0</v>
      </c>
      <c r="R4269" s="114" t="n">
        <v>1032.06</v>
      </c>
      <c r="S4269" s="114" t="n">
        <v>0</v>
      </c>
      <c r="T4269" t="n">
        <v>20</v>
      </c>
    </row>
    <row r="4270">
      <c r="A4270" t="inlineStr">
        <is>
          <t>ttJTrans</t>
        </is>
      </c>
      <c r="B4270" s="38" t="inlineStr">
        <is>
          <t>0-4125</t>
        </is>
      </c>
      <c r="C4270" t="inlineStr">
        <is>
          <t>LA</t>
        </is>
      </c>
      <c r="E4270" t="inlineStr">
        <is>
          <t>LA</t>
        </is>
      </c>
      <c r="H4270" s="127" t="n">
        <v>46142</v>
      </c>
      <c r="J4270" s="38" t="inlineStr">
        <is>
          <t>0-4125</t>
        </is>
      </c>
      <c r="K4270" t="inlineStr">
        <is>
          <t>PR P0COST 000528 (PR) Summary</t>
        </is>
      </c>
      <c r="L4270" t="n">
        <v>0</v>
      </c>
      <c r="M4270" t="n">
        <v>0</v>
      </c>
      <c r="Q4270" s="114" t="n">
        <v>0</v>
      </c>
      <c r="R4270" s="114" t="n">
        <v>421.07</v>
      </c>
      <c r="S4270" s="114" t="n">
        <v>0</v>
      </c>
      <c r="T4270" t="n">
        <v>10</v>
      </c>
    </row>
    <row r="4271">
      <c r="A4271" t="inlineStr">
        <is>
          <t>ttJTrans</t>
        </is>
      </c>
      <c r="B4271" s="38" t="inlineStr">
        <is>
          <t>0-4125</t>
        </is>
      </c>
      <c r="C4271" t="inlineStr">
        <is>
          <t>LA</t>
        </is>
      </c>
      <c r="E4271" t="inlineStr">
        <is>
          <t>LA</t>
        </is>
      </c>
      <c r="H4271" s="127" t="n">
        <v>46149</v>
      </c>
      <c r="J4271" s="38" t="inlineStr">
        <is>
          <t>0-4125</t>
        </is>
      </c>
      <c r="K4271" t="inlineStr">
        <is>
          <t>PR P0COST 000529 (PR) Summary</t>
        </is>
      </c>
      <c r="L4271" t="n">
        <v>0</v>
      </c>
      <c r="M4271" t="n">
        <v>0</v>
      </c>
      <c r="Q4271" s="114" t="n">
        <v>0</v>
      </c>
      <c r="R4271" s="114" t="n">
        <v>916.63</v>
      </c>
      <c r="S4271" s="114" t="n">
        <v>0</v>
      </c>
      <c r="T4271" t="n">
        <v>20</v>
      </c>
    </row>
    <row r="4272">
      <c r="A4272" t="inlineStr">
        <is>
          <t>ttJTrans</t>
        </is>
      </c>
      <c r="B4272" s="38" t="inlineStr">
        <is>
          <t>0-4400</t>
        </is>
      </c>
      <c r="C4272" t="inlineStr">
        <is>
          <t>EQ</t>
        </is>
      </c>
      <c r="E4272" t="inlineStr">
        <is>
          <t>EQ</t>
        </is>
      </c>
      <c r="H4272" s="127" t="n">
        <v>46166</v>
      </c>
      <c r="J4272" s="38" t="inlineStr">
        <is>
          <t>0-4400</t>
        </is>
      </c>
      <c r="K4272" t="inlineStr">
        <is>
          <t>RT1242 2022 RAM 2500 TRADESMAN 4X4 CREW 8FT BED GAS 2022 RAM 2500 TRADESMAN 4X4 CREW 8FT BED GAS</t>
        </is>
      </c>
      <c r="L4272" t="n">
        <v>0</v>
      </c>
      <c r="M4272" t="n">
        <v>0</v>
      </c>
      <c r="O4272" t="inlineStr">
        <is>
          <t>RT1242</t>
        </is>
      </c>
      <c r="Q4272" s="114" t="n">
        <v>0</v>
      </c>
      <c r="R4272" s="114" t="n">
        <v>79.14</v>
      </c>
      <c r="S4272" s="114" t="n">
        <v>0</v>
      </c>
      <c r="T4272" t="n">
        <v>0</v>
      </c>
    </row>
    <row r="4273">
      <c r="A4273" t="inlineStr">
        <is>
          <t>ttJTrans</t>
        </is>
      </c>
      <c r="B4273" s="38" t="inlineStr">
        <is>
          <t>0-4400</t>
        </is>
      </c>
      <c r="C4273" t="inlineStr">
        <is>
          <t>EQ</t>
        </is>
      </c>
      <c r="E4273" t="inlineStr">
        <is>
          <t>EQ</t>
        </is>
      </c>
      <c r="H4273" s="127" t="n">
        <v>46159</v>
      </c>
      <c r="J4273" s="38" t="inlineStr">
        <is>
          <t>0-4400</t>
        </is>
      </c>
      <c r="K4273" t="inlineStr">
        <is>
          <t>RT1344 2023 FORD F250 XL STX 4X4 DIESEL 2023 FORD F250 XL STX 4X4 DIESEL</t>
        </is>
      </c>
      <c r="L4273" t="n">
        <v>0</v>
      </c>
      <c r="M4273" t="n">
        <v>0</v>
      </c>
      <c r="O4273" t="inlineStr">
        <is>
          <t>RT1344</t>
        </is>
      </c>
      <c r="Q4273" s="114" t="n">
        <v>0</v>
      </c>
      <c r="R4273" s="114" t="n">
        <v>79.14</v>
      </c>
      <c r="S4273" s="114" t="n">
        <v>0</v>
      </c>
      <c r="T4273" t="n">
        <v>0</v>
      </c>
    </row>
    <row r="4274">
      <c r="A4274" t="inlineStr">
        <is>
          <t>ttJTrans</t>
        </is>
      </c>
      <c r="B4274" s="38" t="inlineStr">
        <is>
          <t>0-4400</t>
        </is>
      </c>
      <c r="C4274" t="inlineStr">
        <is>
          <t>EQ</t>
        </is>
      </c>
      <c r="E4274" t="inlineStr">
        <is>
          <t>EQ</t>
        </is>
      </c>
      <c r="H4274" s="127" t="n">
        <v>46159</v>
      </c>
      <c r="J4274" s="38" t="inlineStr">
        <is>
          <t>0-4400</t>
        </is>
      </c>
      <c r="K4274" t="inlineStr">
        <is>
          <t>RT1242 2022 RAM 2500 TRADESMAN 4X4 CREW 8FT BED GAS 2022 RAM 2500 TRADESMAN 4X4 CREW 8FT BED GAS</t>
        </is>
      </c>
      <c r="L4274" t="n">
        <v>0</v>
      </c>
      <c r="M4274" t="n">
        <v>0</v>
      </c>
      <c r="O4274" t="inlineStr">
        <is>
          <t>RT1242</t>
        </is>
      </c>
      <c r="Q4274" s="114" t="n">
        <v>0</v>
      </c>
      <c r="R4274" s="114" t="n">
        <v>79.14</v>
      </c>
      <c r="S4274" s="114" t="n">
        <v>0</v>
      </c>
      <c r="T4274" t="n">
        <v>0</v>
      </c>
    </row>
    <row r="4275">
      <c r="A4275" t="inlineStr">
        <is>
          <t>ttJTrans</t>
        </is>
      </c>
      <c r="B4275" s="38" t="inlineStr">
        <is>
          <t>0-4400</t>
        </is>
      </c>
      <c r="C4275" t="inlineStr">
        <is>
          <t>EQ</t>
        </is>
      </c>
      <c r="E4275" t="inlineStr">
        <is>
          <t>EQ</t>
        </is>
      </c>
      <c r="H4275" s="127" t="n">
        <v>46166</v>
      </c>
      <c r="J4275" s="38" t="inlineStr">
        <is>
          <t>0-4400</t>
        </is>
      </c>
      <c r="K4275" t="inlineStr">
        <is>
          <t>RT1344 2023 FORD F250 XL STX 4X4 DIESEL 2023 FORD F250 XL STX 4X4 DIESEL</t>
        </is>
      </c>
      <c r="L4275" t="n">
        <v>0</v>
      </c>
      <c r="M4275" t="n">
        <v>0</v>
      </c>
      <c r="O4275" t="inlineStr">
        <is>
          <t>RT1344</t>
        </is>
      </c>
      <c r="Q4275" s="114" t="n">
        <v>0</v>
      </c>
      <c r="R4275" s="114" t="n">
        <v>79.14</v>
      </c>
      <c r="S4275" s="114" t="n">
        <v>0</v>
      </c>
      <c r="T4275" t="n">
        <v>0</v>
      </c>
    </row>
    <row r="4276">
      <c r="A4276" t="inlineStr">
        <is>
          <t>ttJTrans</t>
        </is>
      </c>
      <c r="B4276" s="38" t="inlineStr">
        <is>
          <t>0-4400</t>
        </is>
      </c>
      <c r="C4276" t="inlineStr">
        <is>
          <t>ER</t>
        </is>
      </c>
      <c r="E4276" t="inlineStr">
        <is>
          <t>ER</t>
        </is>
      </c>
      <c r="H4276" s="127" t="n">
        <v>46166</v>
      </c>
      <c r="J4276" s="38" t="inlineStr">
        <is>
          <t>0-4400</t>
        </is>
      </c>
      <c r="K4276" t="inlineStr">
        <is>
          <t>RLD0303 CATERPILLAR 950 WHEEL LOADER CATERPILLAR 950 WHEEL LOADER</t>
        </is>
      </c>
      <c r="L4276" t="n">
        <v>0</v>
      </c>
      <c r="M4276" t="n">
        <v>0</v>
      </c>
      <c r="O4276" t="inlineStr">
        <is>
          <t>RLD0303</t>
        </is>
      </c>
      <c r="Q4276" s="114" t="n">
        <v>0</v>
      </c>
      <c r="R4276" s="114" t="n">
        <v>437.5</v>
      </c>
      <c r="S4276" s="114" t="n">
        <v>0</v>
      </c>
      <c r="T4276" t="n">
        <v>0</v>
      </c>
    </row>
    <row r="4277">
      <c r="A4277" t="inlineStr">
        <is>
          <t>ttJTrans</t>
        </is>
      </c>
      <c r="B4277" s="38" t="inlineStr">
        <is>
          <t>0-4400</t>
        </is>
      </c>
      <c r="C4277" t="inlineStr">
        <is>
          <t>ER</t>
        </is>
      </c>
      <c r="E4277" t="inlineStr">
        <is>
          <t>ER</t>
        </is>
      </c>
      <c r="H4277" s="127" t="n">
        <v>46166</v>
      </c>
      <c r="J4277" s="38" t="inlineStr">
        <is>
          <t>0-4400</t>
        </is>
      </c>
      <c r="K4277" t="inlineStr">
        <is>
          <t>RLD0303 CATERPILLAR 950 WHEEL LOADER CATERPILLAR 950 WHEEL LOADER</t>
        </is>
      </c>
      <c r="L4277" t="n">
        <v>0</v>
      </c>
      <c r="M4277" t="n">
        <v>0</v>
      </c>
      <c r="O4277" t="inlineStr">
        <is>
          <t>RLD0303</t>
        </is>
      </c>
      <c r="Q4277" s="114" t="n">
        <v>0</v>
      </c>
      <c r="R4277" s="114" t="n">
        <v>437.5</v>
      </c>
      <c r="S4277" s="114" t="n">
        <v>0</v>
      </c>
      <c r="T4277" t="n">
        <v>0</v>
      </c>
    </row>
    <row r="4278">
      <c r="A4278" t="inlineStr">
        <is>
          <t>ttJTrans</t>
        </is>
      </c>
      <c r="B4278" s="38" t="inlineStr">
        <is>
          <t>0-4400</t>
        </is>
      </c>
      <c r="C4278" t="inlineStr">
        <is>
          <t>ER</t>
        </is>
      </c>
      <c r="E4278" t="inlineStr">
        <is>
          <t>ER</t>
        </is>
      </c>
      <c r="H4278" s="127" t="n">
        <v>46166</v>
      </c>
      <c r="J4278" s="38" t="inlineStr">
        <is>
          <t>0-4400</t>
        </is>
      </c>
      <c r="K4278" t="inlineStr">
        <is>
          <t>RLD0303 CATERPILLAR 950 WHEEL LOADER CATERPILLAR 950 WHEEL LOADER</t>
        </is>
      </c>
      <c r="L4278" t="n">
        <v>0</v>
      </c>
      <c r="M4278" t="n">
        <v>0</v>
      </c>
      <c r="O4278" t="inlineStr">
        <is>
          <t>RLD0303</t>
        </is>
      </c>
      <c r="Q4278" s="114" t="n">
        <v>0</v>
      </c>
      <c r="R4278" s="114" t="n">
        <v>437.5</v>
      </c>
      <c r="S4278" s="114" t="n">
        <v>0</v>
      </c>
      <c r="T4278" t="n">
        <v>0</v>
      </c>
    </row>
    <row r="4279">
      <c r="A4279" t="inlineStr">
        <is>
          <t>ttJTrans</t>
        </is>
      </c>
      <c r="B4279" s="38" t="inlineStr">
        <is>
          <t>0-4400</t>
        </is>
      </c>
      <c r="C4279" t="inlineStr">
        <is>
          <t>ER</t>
        </is>
      </c>
      <c r="E4279" t="inlineStr">
        <is>
          <t>ER</t>
        </is>
      </c>
      <c r="H4279" s="127" t="n">
        <v>46159</v>
      </c>
      <c r="J4279" s="38" t="inlineStr">
        <is>
          <t>0-4400</t>
        </is>
      </c>
      <c r="K4279" t="inlineStr">
        <is>
          <t>RLD0303 CATERPILLAR 950 WHEEL LOADER CATERPILLAR 950 WHEEL LOADER</t>
        </is>
      </c>
      <c r="L4279" t="n">
        <v>0</v>
      </c>
      <c r="M4279" t="n">
        <v>0</v>
      </c>
      <c r="O4279" t="inlineStr">
        <is>
          <t>RLD0303</t>
        </is>
      </c>
      <c r="Q4279" s="114" t="n">
        <v>0</v>
      </c>
      <c r="R4279" s="114" t="n">
        <v>437.5</v>
      </c>
      <c r="S4279" s="114" t="n">
        <v>0</v>
      </c>
      <c r="T4279" t="n">
        <v>0</v>
      </c>
    </row>
    <row r="4280">
      <c r="A4280" t="inlineStr">
        <is>
          <t>ttJTrans</t>
        </is>
      </c>
      <c r="B4280" s="38" t="inlineStr">
        <is>
          <t>0-4400</t>
        </is>
      </c>
      <c r="C4280" t="inlineStr">
        <is>
          <t>ER</t>
        </is>
      </c>
      <c r="E4280" t="inlineStr">
        <is>
          <t>ER</t>
        </is>
      </c>
      <c r="H4280" s="127" t="n">
        <v>46159</v>
      </c>
      <c r="J4280" s="38" t="inlineStr">
        <is>
          <t>0-4400</t>
        </is>
      </c>
      <c r="K4280" t="inlineStr">
        <is>
          <t>RLD0303 CATERPILLAR 950 WHEEL LOADER CATERPILLAR 950 WHEEL LOADER</t>
        </is>
      </c>
      <c r="L4280" t="n">
        <v>0</v>
      </c>
      <c r="M4280" t="n">
        <v>0</v>
      </c>
      <c r="O4280" t="inlineStr">
        <is>
          <t>RLD0303</t>
        </is>
      </c>
      <c r="Q4280" s="114" t="n">
        <v>0</v>
      </c>
      <c r="R4280" s="114" t="n">
        <v>437.5</v>
      </c>
      <c r="S4280" s="114" t="n">
        <v>0</v>
      </c>
      <c r="T4280" t="n">
        <v>0</v>
      </c>
    </row>
    <row r="4281">
      <c r="A4281" t="inlineStr">
        <is>
          <t>ttJTrans</t>
        </is>
      </c>
      <c r="B4281" s="38" t="inlineStr">
        <is>
          <t>0-4400</t>
        </is>
      </c>
      <c r="C4281" t="inlineStr">
        <is>
          <t>ER</t>
        </is>
      </c>
      <c r="E4281" t="inlineStr">
        <is>
          <t>ER</t>
        </is>
      </c>
      <c r="H4281" s="127" t="n">
        <v>46159</v>
      </c>
      <c r="J4281" s="38" t="inlineStr">
        <is>
          <t>0-4400</t>
        </is>
      </c>
      <c r="K4281" t="inlineStr">
        <is>
          <t>RLD0303 CATERPILLAR 950 WHEEL LOADER CATERPILLAR 950 WHEEL LOADER</t>
        </is>
      </c>
      <c r="L4281" t="n">
        <v>0</v>
      </c>
      <c r="M4281" t="n">
        <v>0</v>
      </c>
      <c r="O4281" t="inlineStr">
        <is>
          <t>RLD0303</t>
        </is>
      </c>
      <c r="Q4281" s="114" t="n">
        <v>0</v>
      </c>
      <c r="R4281" s="114" t="n">
        <v>437.5</v>
      </c>
      <c r="S4281" s="114" t="n">
        <v>0</v>
      </c>
      <c r="T4281" t="n">
        <v>0</v>
      </c>
    </row>
    <row r="4282">
      <c r="A4282" t="inlineStr">
        <is>
          <t>ttJTrans</t>
        </is>
      </c>
      <c r="B4282" s="38" t="inlineStr">
        <is>
          <t>0-4400</t>
        </is>
      </c>
      <c r="C4282" t="inlineStr">
        <is>
          <t>LA</t>
        </is>
      </c>
      <c r="E4282" t="inlineStr">
        <is>
          <t>LA</t>
        </is>
      </c>
      <c r="H4282" s="127" t="n">
        <v>46163</v>
      </c>
      <c r="J4282" s="38" t="inlineStr">
        <is>
          <t>0-4400</t>
        </is>
      </c>
      <c r="K4282" t="inlineStr">
        <is>
          <t>PR P0COST 000531 (PR) Summary</t>
        </is>
      </c>
      <c r="L4282" t="n">
        <v>0</v>
      </c>
      <c r="M4282" t="n">
        <v>0</v>
      </c>
      <c r="Q4282" s="114" t="n">
        <v>0</v>
      </c>
      <c r="R4282" s="114" t="n">
        <v>907.66</v>
      </c>
      <c r="S4282" s="114" t="n">
        <v>0</v>
      </c>
      <c r="T4282" t="n">
        <v>20</v>
      </c>
    </row>
    <row r="4283">
      <c r="A4283" t="inlineStr">
        <is>
          <t>ttJTrans</t>
        </is>
      </c>
      <c r="B4283" s="38" t="inlineStr">
        <is>
          <t>0-4400</t>
        </is>
      </c>
      <c r="C4283" t="inlineStr">
        <is>
          <t>LA</t>
        </is>
      </c>
      <c r="E4283" t="inlineStr">
        <is>
          <t>LA</t>
        </is>
      </c>
      <c r="H4283" s="127" t="n">
        <v>46149</v>
      </c>
      <c r="J4283" s="38" t="inlineStr">
        <is>
          <t>0-4400</t>
        </is>
      </c>
      <c r="K4283" t="inlineStr">
        <is>
          <t>PR P0COST 000529 (PR) Summary</t>
        </is>
      </c>
      <c r="L4283" t="n">
        <v>0</v>
      </c>
      <c r="M4283" t="n">
        <v>0</v>
      </c>
      <c r="Q4283" s="114" t="n">
        <v>0</v>
      </c>
      <c r="R4283" s="114" t="n">
        <v>485.74</v>
      </c>
      <c r="S4283" s="114" t="n">
        <v>0</v>
      </c>
      <c r="T4283" t="n">
        <v>8</v>
      </c>
    </row>
    <row r="4284">
      <c r="A4284" t="inlineStr">
        <is>
          <t>ttJTrans</t>
        </is>
      </c>
      <c r="B4284" s="38" t="inlineStr">
        <is>
          <t>0-4400</t>
        </is>
      </c>
      <c r="C4284" t="inlineStr">
        <is>
          <t>LA</t>
        </is>
      </c>
      <c r="E4284" t="inlineStr">
        <is>
          <t>LA</t>
        </is>
      </c>
      <c r="H4284" s="127" t="n">
        <v>46156</v>
      </c>
      <c r="J4284" s="38" t="inlineStr">
        <is>
          <t>0-4400</t>
        </is>
      </c>
      <c r="K4284" t="inlineStr">
        <is>
          <t>PR P0COST 000530 (PR) Summary</t>
        </is>
      </c>
      <c r="L4284" t="n">
        <v>0</v>
      </c>
      <c r="M4284" t="n">
        <v>0</v>
      </c>
      <c r="Q4284" s="114" t="n">
        <v>0</v>
      </c>
      <c r="R4284" s="114" t="n">
        <v>1594.17</v>
      </c>
      <c r="S4284" s="114" t="n">
        <v>0</v>
      </c>
      <c r="T4284" t="n">
        <v>20</v>
      </c>
    </row>
    <row r="4285">
      <c r="A4285" t="inlineStr">
        <is>
          <t>ttJTrans</t>
        </is>
      </c>
      <c r="B4285" s="38" t="inlineStr">
        <is>
          <t>0-4400</t>
        </is>
      </c>
      <c r="C4285" t="inlineStr">
        <is>
          <t>LA</t>
        </is>
      </c>
      <c r="E4285" t="inlineStr">
        <is>
          <t>LA</t>
        </is>
      </c>
      <c r="H4285" s="127" t="n">
        <v>46156</v>
      </c>
      <c r="J4285" s="38" t="inlineStr">
        <is>
          <t>0-4400</t>
        </is>
      </c>
      <c r="K4285" t="inlineStr">
        <is>
          <t>PR P0COST 000530 (PR) Summary</t>
        </is>
      </c>
      <c r="L4285" t="n">
        <v>0</v>
      </c>
      <c r="M4285" t="n">
        <v>0</v>
      </c>
      <c r="Q4285" s="114" t="n">
        <v>0</v>
      </c>
      <c r="R4285" s="114" t="n">
        <v>893.84</v>
      </c>
      <c r="S4285" s="114" t="n">
        <v>0</v>
      </c>
      <c r="T4285" t="n">
        <v>16</v>
      </c>
    </row>
    <row r="4286">
      <c r="A4286" t="inlineStr">
        <is>
          <t>ttJTrans</t>
        </is>
      </c>
      <c r="B4286" s="38" t="inlineStr">
        <is>
          <t>0-4400</t>
        </is>
      </c>
      <c r="C4286" t="inlineStr">
        <is>
          <t>LA</t>
        </is>
      </c>
      <c r="E4286" t="inlineStr">
        <is>
          <t>LA</t>
        </is>
      </c>
      <c r="H4286" s="127" t="n">
        <v>46156</v>
      </c>
      <c r="J4286" s="38" t="inlineStr">
        <is>
          <t>0-4400</t>
        </is>
      </c>
      <c r="K4286" t="inlineStr">
        <is>
          <t>PR P0COST 000530 (PR) Summary</t>
        </is>
      </c>
      <c r="L4286" t="n">
        <v>0</v>
      </c>
      <c r="M4286" t="n">
        <v>0</v>
      </c>
      <c r="Q4286" s="114" t="n">
        <v>0</v>
      </c>
      <c r="R4286" s="114" t="n">
        <v>2013.2</v>
      </c>
      <c r="S4286" s="114" t="n">
        <v>0</v>
      </c>
      <c r="T4286" t="n">
        <v>46</v>
      </c>
    </row>
    <row r="4287">
      <c r="A4287" t="inlineStr">
        <is>
          <t>ttJTrans</t>
        </is>
      </c>
      <c r="B4287" s="38" t="inlineStr">
        <is>
          <t>0-4400</t>
        </is>
      </c>
      <c r="C4287" t="inlineStr">
        <is>
          <t>LA</t>
        </is>
      </c>
      <c r="E4287" t="inlineStr">
        <is>
          <t>LA</t>
        </is>
      </c>
      <c r="H4287" s="127" t="n">
        <v>46156</v>
      </c>
      <c r="J4287" s="38" t="inlineStr">
        <is>
          <t>0-4400</t>
        </is>
      </c>
      <c r="K4287" t="inlineStr">
        <is>
          <t>PR P0COST 000530 (PR) Summary</t>
        </is>
      </c>
      <c r="L4287" t="n">
        <v>0</v>
      </c>
      <c r="M4287" t="n">
        <v>0</v>
      </c>
      <c r="Q4287" s="114" t="n">
        <v>0</v>
      </c>
      <c r="R4287" s="114" t="n">
        <v>1238.87</v>
      </c>
      <c r="S4287" s="114" t="n">
        <v>0</v>
      </c>
      <c r="T4287" t="n">
        <v>26</v>
      </c>
    </row>
    <row r="4288">
      <c r="A4288" t="inlineStr">
        <is>
          <t>ttJTrans</t>
        </is>
      </c>
      <c r="B4288" s="38" t="inlineStr">
        <is>
          <t>0-4400</t>
        </is>
      </c>
      <c r="C4288" t="inlineStr">
        <is>
          <t>LA</t>
        </is>
      </c>
      <c r="E4288" t="inlineStr">
        <is>
          <t>LA</t>
        </is>
      </c>
      <c r="H4288" s="127" t="n">
        <v>46156</v>
      </c>
      <c r="J4288" s="38" t="inlineStr">
        <is>
          <t>0-4400</t>
        </is>
      </c>
      <c r="K4288" t="inlineStr">
        <is>
          <t>PR P0COST 000530 (PR) Summary</t>
        </is>
      </c>
      <c r="L4288" t="n">
        <v>0</v>
      </c>
      <c r="M4288" t="n">
        <v>0</v>
      </c>
      <c r="Q4288" s="114" t="n">
        <v>0</v>
      </c>
      <c r="R4288" s="114" t="n">
        <v>1683.38</v>
      </c>
      <c r="S4288" s="114" t="n">
        <v>0</v>
      </c>
      <c r="T4288" t="n">
        <v>30</v>
      </c>
    </row>
    <row r="4289">
      <c r="A4289" t="inlineStr">
        <is>
          <t>ttJTrans</t>
        </is>
      </c>
      <c r="B4289" s="38" t="inlineStr">
        <is>
          <t>0-4400</t>
        </is>
      </c>
      <c r="C4289" t="inlineStr">
        <is>
          <t>LA</t>
        </is>
      </c>
      <c r="E4289" t="inlineStr">
        <is>
          <t>LA</t>
        </is>
      </c>
      <c r="H4289" s="127" t="n">
        <v>46156</v>
      </c>
      <c r="J4289" s="38" t="inlineStr">
        <is>
          <t>0-4400</t>
        </is>
      </c>
      <c r="K4289" t="inlineStr">
        <is>
          <t>PR P0COST 000530 (PR) Summary</t>
        </is>
      </c>
      <c r="L4289" t="n">
        <v>0</v>
      </c>
      <c r="M4289" t="n">
        <v>0</v>
      </c>
      <c r="Q4289" s="114" t="n">
        <v>0</v>
      </c>
      <c r="R4289" s="114" t="n">
        <v>1489.49</v>
      </c>
      <c r="S4289" s="114" t="n">
        <v>0</v>
      </c>
      <c r="T4289" t="n">
        <v>40</v>
      </c>
    </row>
    <row r="4290">
      <c r="A4290" t="inlineStr">
        <is>
          <t>ttJTrans</t>
        </is>
      </c>
      <c r="B4290" s="38" t="inlineStr">
        <is>
          <t>0-4400</t>
        </is>
      </c>
      <c r="C4290" t="inlineStr">
        <is>
          <t>LA</t>
        </is>
      </c>
      <c r="E4290" t="inlineStr">
        <is>
          <t>LA</t>
        </is>
      </c>
      <c r="H4290" s="127" t="n">
        <v>46156</v>
      </c>
      <c r="J4290" s="38" t="inlineStr">
        <is>
          <t>0-4400</t>
        </is>
      </c>
      <c r="K4290" t="inlineStr">
        <is>
          <t>PR P0COST 000530 (PR) Summary</t>
        </is>
      </c>
      <c r="L4290" t="n">
        <v>0</v>
      </c>
      <c r="M4290" t="n">
        <v>0</v>
      </c>
      <c r="Q4290" s="114" t="n">
        <v>0</v>
      </c>
      <c r="R4290" s="114" t="n">
        <v>1131.91</v>
      </c>
      <c r="S4290" s="114" t="n">
        <v>0</v>
      </c>
      <c r="T4290" t="n">
        <v>30</v>
      </c>
    </row>
    <row r="4291">
      <c r="A4291" t="inlineStr">
        <is>
          <t>ttJTrans</t>
        </is>
      </c>
      <c r="B4291" s="38" t="inlineStr">
        <is>
          <t>0-4400</t>
        </is>
      </c>
      <c r="C4291" t="inlineStr">
        <is>
          <t>LA</t>
        </is>
      </c>
      <c r="E4291" t="inlineStr">
        <is>
          <t>LA</t>
        </is>
      </c>
      <c r="H4291" s="127" t="n">
        <v>46163</v>
      </c>
      <c r="J4291" s="38" t="inlineStr">
        <is>
          <t>0-4400</t>
        </is>
      </c>
      <c r="K4291" t="inlineStr">
        <is>
          <t>PR P0COST 000531 (PR) Summary</t>
        </is>
      </c>
      <c r="L4291" t="n">
        <v>0</v>
      </c>
      <c r="M4291" t="n">
        <v>0</v>
      </c>
      <c r="Q4291" s="114" t="n">
        <v>0</v>
      </c>
      <c r="R4291" s="114" t="n">
        <v>1254.2</v>
      </c>
      <c r="S4291" s="114" t="n">
        <v>0</v>
      </c>
      <c r="T4291" t="n">
        <v>20</v>
      </c>
    </row>
    <row r="4292">
      <c r="A4292" t="inlineStr">
        <is>
          <t>ttJTrans</t>
        </is>
      </c>
      <c r="B4292" s="38" t="inlineStr">
        <is>
          <t>0-4400</t>
        </is>
      </c>
      <c r="C4292" t="inlineStr">
        <is>
          <t>LA</t>
        </is>
      </c>
      <c r="E4292" t="inlineStr">
        <is>
          <t>LA</t>
        </is>
      </c>
      <c r="H4292" s="127" t="n">
        <v>46163</v>
      </c>
      <c r="J4292" s="38" t="inlineStr">
        <is>
          <t>0-4400</t>
        </is>
      </c>
      <c r="K4292" t="inlineStr">
        <is>
          <t>PR P0COST 000531 (PR) Summary</t>
        </is>
      </c>
      <c r="L4292" t="n">
        <v>0</v>
      </c>
      <c r="M4292" t="n">
        <v>0</v>
      </c>
      <c r="Q4292" s="114" t="n">
        <v>0</v>
      </c>
      <c r="R4292" s="114" t="n">
        <v>907.66</v>
      </c>
      <c r="S4292" s="114" t="n">
        <v>0</v>
      </c>
      <c r="T4292" t="n">
        <v>20</v>
      </c>
    </row>
    <row r="4293">
      <c r="A4293" t="inlineStr">
        <is>
          <t>ttJTrans</t>
        </is>
      </c>
      <c r="B4293" s="38" t="inlineStr">
        <is>
          <t>0-4400</t>
        </is>
      </c>
      <c r="C4293" t="inlineStr">
        <is>
          <t>LA</t>
        </is>
      </c>
      <c r="E4293" t="inlineStr">
        <is>
          <t>LA</t>
        </is>
      </c>
      <c r="H4293" s="127" t="n">
        <v>46163</v>
      </c>
      <c r="J4293" s="38" t="inlineStr">
        <is>
          <t>0-4400</t>
        </is>
      </c>
      <c r="K4293" t="inlineStr">
        <is>
          <t>PR P0COST 000531 (PR) Summary</t>
        </is>
      </c>
      <c r="L4293" t="n">
        <v>0</v>
      </c>
      <c r="M4293" t="n">
        <v>0</v>
      </c>
      <c r="Q4293" s="114" t="n">
        <v>0</v>
      </c>
      <c r="R4293" s="114" t="n">
        <v>1684.65</v>
      </c>
      <c r="S4293" s="114" t="n">
        <v>0</v>
      </c>
      <c r="T4293" t="n">
        <v>40</v>
      </c>
    </row>
    <row r="4294">
      <c r="A4294" t="inlineStr">
        <is>
          <t>ttJTrans</t>
        </is>
      </c>
      <c r="B4294" s="38" t="inlineStr">
        <is>
          <t>0-4414</t>
        </is>
      </c>
      <c r="C4294" t="inlineStr">
        <is>
          <t>LA</t>
        </is>
      </c>
      <c r="E4294" t="inlineStr">
        <is>
          <t>LA</t>
        </is>
      </c>
      <c r="H4294" s="127" t="n">
        <v>46128</v>
      </c>
      <c r="J4294" s="38" t="inlineStr">
        <is>
          <t>0-4414</t>
        </is>
      </c>
      <c r="K4294" t="inlineStr">
        <is>
          <t>PR P0COST 000526 (PR) Summary</t>
        </is>
      </c>
      <c r="L4294" t="n">
        <v>0</v>
      </c>
      <c r="M4294" t="n">
        <v>0</v>
      </c>
      <c r="Q4294" s="114" t="n">
        <v>0</v>
      </c>
      <c r="R4294" s="114" t="n">
        <v>423.59</v>
      </c>
      <c r="S4294" s="114" t="n">
        <v>0</v>
      </c>
      <c r="T4294" t="n">
        <v>10</v>
      </c>
    </row>
    <row r="4295">
      <c r="A4295" t="inlineStr">
        <is>
          <t>ttJTrans</t>
        </is>
      </c>
      <c r="B4295" s="38" t="inlineStr">
        <is>
          <t>0-4414</t>
        </is>
      </c>
      <c r="C4295" t="inlineStr">
        <is>
          <t>LA</t>
        </is>
      </c>
      <c r="E4295" t="inlineStr">
        <is>
          <t>LA</t>
        </is>
      </c>
      <c r="H4295" s="127" t="n">
        <v>46135</v>
      </c>
      <c r="J4295" s="38" t="inlineStr">
        <is>
          <t>0-4414</t>
        </is>
      </c>
      <c r="K4295" t="inlineStr">
        <is>
          <t>PR P0COST 000527 (PR) Summary</t>
        </is>
      </c>
      <c r="L4295" t="n">
        <v>0</v>
      </c>
      <c r="M4295" t="n">
        <v>0</v>
      </c>
      <c r="Q4295" s="114" t="n">
        <v>0</v>
      </c>
      <c r="R4295" s="114" t="n">
        <v>720.11</v>
      </c>
      <c r="S4295" s="114" t="n">
        <v>0</v>
      </c>
      <c r="T4295" t="n">
        <v>20</v>
      </c>
    </row>
    <row r="4296">
      <c r="A4296" t="inlineStr">
        <is>
          <t>ttJTrans</t>
        </is>
      </c>
      <c r="B4296" s="38" t="inlineStr">
        <is>
          <t>0-4414</t>
        </is>
      </c>
      <c r="C4296" t="inlineStr">
        <is>
          <t>LA</t>
        </is>
      </c>
      <c r="E4296" t="inlineStr">
        <is>
          <t>LA</t>
        </is>
      </c>
      <c r="H4296" s="127" t="n">
        <v>46142</v>
      </c>
      <c r="J4296" s="38" t="inlineStr">
        <is>
          <t>0-4414</t>
        </is>
      </c>
      <c r="K4296" t="inlineStr">
        <is>
          <t>PR P0COST 000528 (PR) Summary</t>
        </is>
      </c>
      <c r="L4296" t="n">
        <v>0</v>
      </c>
      <c r="M4296" t="n">
        <v>0</v>
      </c>
      <c r="Q4296" s="114" t="n">
        <v>0</v>
      </c>
      <c r="R4296" s="114" t="n">
        <v>1493.7</v>
      </c>
      <c r="S4296" s="114" t="n">
        <v>0</v>
      </c>
      <c r="T4296" t="n">
        <v>30</v>
      </c>
    </row>
    <row r="4297">
      <c r="A4297" t="inlineStr">
        <is>
          <t>ttJTrans</t>
        </is>
      </c>
      <c r="B4297" s="38" t="inlineStr">
        <is>
          <t>0-4414</t>
        </is>
      </c>
      <c r="C4297" t="inlineStr">
        <is>
          <t>LA</t>
        </is>
      </c>
      <c r="E4297" t="inlineStr">
        <is>
          <t>LA</t>
        </is>
      </c>
      <c r="H4297" s="127" t="n">
        <v>46142</v>
      </c>
      <c r="J4297" s="38" t="inlineStr">
        <is>
          <t>0-4414</t>
        </is>
      </c>
      <c r="K4297" t="inlineStr">
        <is>
          <t>PR P0COST 000528 (PR) Summary</t>
        </is>
      </c>
      <c r="L4297" t="n">
        <v>0</v>
      </c>
      <c r="M4297" t="n">
        <v>0</v>
      </c>
      <c r="Q4297" s="114" t="n">
        <v>0</v>
      </c>
      <c r="R4297" s="114" t="n">
        <v>296.52</v>
      </c>
      <c r="S4297" s="114" t="n">
        <v>0</v>
      </c>
      <c r="T4297" t="n">
        <v>10</v>
      </c>
    </row>
    <row r="4298">
      <c r="A4298" t="inlineStr">
        <is>
          <t>ttJTrans</t>
        </is>
      </c>
      <c r="B4298" s="38" t="inlineStr">
        <is>
          <t>0-4414</t>
        </is>
      </c>
      <c r="C4298" t="inlineStr">
        <is>
          <t>LA</t>
        </is>
      </c>
      <c r="E4298" t="inlineStr">
        <is>
          <t>LA</t>
        </is>
      </c>
      <c r="H4298" s="127" t="n">
        <v>46150</v>
      </c>
      <c r="J4298" s="38" t="inlineStr">
        <is>
          <t>0-4414</t>
        </is>
      </c>
      <c r="K4298" t="inlineStr">
        <is>
          <t>COST CODE TRANSFER 25-4005</t>
        </is>
      </c>
      <c r="L4298" t="n">
        <v>0</v>
      </c>
      <c r="M4298" t="n">
        <v>0</v>
      </c>
      <c r="Q4298" s="114" t="n">
        <v>0</v>
      </c>
      <c r="R4298" s="114" t="n">
        <v>-2287.4</v>
      </c>
      <c r="S4298" s="114" t="n">
        <v>0</v>
      </c>
      <c r="T4298" t="n">
        <v>-40</v>
      </c>
    </row>
    <row r="4299">
      <c r="A4299" t="inlineStr">
        <is>
          <t>ttJTrans</t>
        </is>
      </c>
      <c r="B4299" s="38" t="inlineStr">
        <is>
          <t>0-4414</t>
        </is>
      </c>
      <c r="C4299" t="inlineStr">
        <is>
          <t>LA</t>
        </is>
      </c>
      <c r="E4299" t="inlineStr">
        <is>
          <t>LA</t>
        </is>
      </c>
      <c r="H4299" s="127" t="n">
        <v>46149</v>
      </c>
      <c r="J4299" s="38" t="inlineStr">
        <is>
          <t>0-4414</t>
        </is>
      </c>
      <c r="K4299" t="inlineStr">
        <is>
          <t>PR P0COST 000529 (PR) Summary</t>
        </is>
      </c>
      <c r="L4299" t="n">
        <v>0</v>
      </c>
      <c r="M4299" t="n">
        <v>0</v>
      </c>
      <c r="Q4299" s="114" t="n">
        <v>0</v>
      </c>
      <c r="R4299" s="114" t="n">
        <v>898.34</v>
      </c>
      <c r="S4299" s="114" t="n">
        <v>0</v>
      </c>
      <c r="T4299" t="n">
        <v>20</v>
      </c>
    </row>
    <row r="4300">
      <c r="A4300" t="inlineStr">
        <is>
          <t>ttJTrans</t>
        </is>
      </c>
      <c r="B4300" s="38" t="inlineStr">
        <is>
          <t>0-4414</t>
        </is>
      </c>
      <c r="C4300" t="inlineStr">
        <is>
          <t>LA</t>
        </is>
      </c>
      <c r="E4300" t="inlineStr">
        <is>
          <t>LA</t>
        </is>
      </c>
      <c r="H4300" s="127" t="n">
        <v>46149</v>
      </c>
      <c r="J4300" s="38" t="inlineStr">
        <is>
          <t>0-4414</t>
        </is>
      </c>
      <c r="K4300" t="inlineStr">
        <is>
          <t>PR P0COST 000529 (PR) Summary</t>
        </is>
      </c>
      <c r="L4300" t="n">
        <v>0</v>
      </c>
      <c r="M4300" t="n">
        <v>0</v>
      </c>
      <c r="Q4300" s="114" t="n">
        <v>0</v>
      </c>
      <c r="R4300" s="114" t="n">
        <v>898.34</v>
      </c>
      <c r="S4300" s="114" t="n">
        <v>0</v>
      </c>
      <c r="T4300" t="n">
        <v>20</v>
      </c>
    </row>
    <row r="4301">
      <c r="A4301" t="inlineStr">
        <is>
          <t>ttJTrans</t>
        </is>
      </c>
      <c r="B4301" s="38" t="inlineStr">
        <is>
          <t>0-4414</t>
        </is>
      </c>
      <c r="C4301" t="inlineStr">
        <is>
          <t>LA</t>
        </is>
      </c>
      <c r="E4301" t="inlineStr">
        <is>
          <t>LA</t>
        </is>
      </c>
      <c r="H4301" s="127" t="n">
        <v>46156</v>
      </c>
      <c r="J4301" s="38" t="inlineStr">
        <is>
          <t>0-4414</t>
        </is>
      </c>
      <c r="K4301" t="inlineStr">
        <is>
          <t>PR P0COST 000530 (PR) Summary</t>
        </is>
      </c>
      <c r="L4301" t="n">
        <v>0</v>
      </c>
      <c r="M4301" t="n">
        <v>0</v>
      </c>
      <c r="Q4301" s="114" t="n">
        <v>0</v>
      </c>
      <c r="R4301" s="114" t="n">
        <v>723.34</v>
      </c>
      <c r="S4301" s="114" t="n">
        <v>0</v>
      </c>
      <c r="T4301" t="n">
        <v>20</v>
      </c>
    </row>
    <row r="4302">
      <c r="A4302" t="inlineStr">
        <is>
          <t>ttJTrans</t>
        </is>
      </c>
      <c r="B4302" s="38" t="inlineStr">
        <is>
          <t>0-4414</t>
        </is>
      </c>
      <c r="C4302" t="inlineStr">
        <is>
          <t>LA</t>
        </is>
      </c>
      <c r="E4302" t="inlineStr">
        <is>
          <t>LA</t>
        </is>
      </c>
      <c r="H4302" s="127" t="n">
        <v>46156</v>
      </c>
      <c r="J4302" s="38" t="inlineStr">
        <is>
          <t>0-4414</t>
        </is>
      </c>
      <c r="K4302" t="inlineStr">
        <is>
          <t>PR P0COST 000530 (PR) Summary</t>
        </is>
      </c>
      <c r="L4302" t="n">
        <v>0</v>
      </c>
      <c r="M4302" t="n">
        <v>0</v>
      </c>
      <c r="Q4302" s="114" t="n">
        <v>0</v>
      </c>
      <c r="R4302" s="114" t="n">
        <v>723.34</v>
      </c>
      <c r="S4302" s="114" t="n">
        <v>0</v>
      </c>
      <c r="T4302" t="n">
        <v>20</v>
      </c>
    </row>
    <row r="4303">
      <c r="A4303" t="inlineStr">
        <is>
          <t>ttJTrans</t>
        </is>
      </c>
      <c r="B4303" s="38" t="inlineStr">
        <is>
          <t>0-4414</t>
        </is>
      </c>
      <c r="C4303" t="inlineStr">
        <is>
          <t>LA</t>
        </is>
      </c>
      <c r="E4303" t="inlineStr">
        <is>
          <t>LA</t>
        </is>
      </c>
      <c r="H4303" s="127" t="n">
        <v>46135</v>
      </c>
      <c r="J4303" s="38" t="inlineStr">
        <is>
          <t>0-4414</t>
        </is>
      </c>
      <c r="K4303" t="inlineStr">
        <is>
          <t>PR P0COST 000527 (PR) Summary</t>
        </is>
      </c>
      <c r="L4303" t="n">
        <v>0</v>
      </c>
      <c r="M4303" t="n">
        <v>0</v>
      </c>
      <c r="Q4303" s="114" t="n">
        <v>0</v>
      </c>
      <c r="R4303" s="114" t="n">
        <v>720.11</v>
      </c>
      <c r="S4303" s="114" t="n">
        <v>0</v>
      </c>
      <c r="T4303" t="n">
        <v>20</v>
      </c>
    </row>
    <row r="4304">
      <c r="A4304" t="inlineStr">
        <is>
          <t>ttJTrans</t>
        </is>
      </c>
      <c r="B4304" s="38" t="inlineStr">
        <is>
          <t>0-4414</t>
        </is>
      </c>
      <c r="C4304" t="inlineStr">
        <is>
          <t>LA</t>
        </is>
      </c>
      <c r="E4304" t="inlineStr">
        <is>
          <t>LA</t>
        </is>
      </c>
      <c r="H4304" s="127" t="n">
        <v>46128</v>
      </c>
      <c r="J4304" s="38" t="inlineStr">
        <is>
          <t>0-4414</t>
        </is>
      </c>
      <c r="K4304" t="inlineStr">
        <is>
          <t>PR P0COST 000526 (PR) Summary</t>
        </is>
      </c>
      <c r="L4304" t="n">
        <v>0</v>
      </c>
      <c r="M4304" t="n">
        <v>0</v>
      </c>
      <c r="Q4304" s="114" t="n">
        <v>0</v>
      </c>
      <c r="R4304" s="114" t="n">
        <v>423.59</v>
      </c>
      <c r="S4304" s="114" t="n">
        <v>0</v>
      </c>
      <c r="T4304" t="n">
        <v>10</v>
      </c>
    </row>
    <row r="4305">
      <c r="A4305" t="inlineStr">
        <is>
          <t>ttJTrans</t>
        </is>
      </c>
      <c r="B4305" s="38" t="inlineStr">
        <is>
          <t>0-4418</t>
        </is>
      </c>
      <c r="C4305" t="inlineStr">
        <is>
          <t>LA</t>
        </is>
      </c>
      <c r="E4305" t="inlineStr">
        <is>
          <t>LA</t>
        </is>
      </c>
      <c r="H4305" s="127" t="n">
        <v>46114</v>
      </c>
      <c r="J4305" s="38" t="inlineStr">
        <is>
          <t>0-4418</t>
        </is>
      </c>
      <c r="K4305" t="inlineStr">
        <is>
          <t>PR P0COST 000524 (PR) Summary</t>
        </is>
      </c>
      <c r="L4305" t="n">
        <v>0</v>
      </c>
      <c r="M4305" t="n">
        <v>0</v>
      </c>
      <c r="Q4305" s="114" t="n">
        <v>0</v>
      </c>
      <c r="R4305" s="114" t="n">
        <v>1023.95</v>
      </c>
      <c r="S4305" s="114" t="n">
        <v>0</v>
      </c>
      <c r="T4305" t="n">
        <v>20</v>
      </c>
    </row>
    <row r="4306">
      <c r="A4306" t="inlineStr">
        <is>
          <t>ttJTrans</t>
        </is>
      </c>
      <c r="B4306" s="38" t="inlineStr">
        <is>
          <t>0-4418</t>
        </is>
      </c>
      <c r="C4306" t="inlineStr">
        <is>
          <t>LA</t>
        </is>
      </c>
      <c r="E4306" t="inlineStr">
        <is>
          <t>LA</t>
        </is>
      </c>
      <c r="H4306" s="127" t="n">
        <v>46121</v>
      </c>
      <c r="J4306" s="38" t="inlineStr">
        <is>
          <t>0-4418</t>
        </is>
      </c>
      <c r="K4306" t="inlineStr">
        <is>
          <t>PR P0COST 000525 (PR) Summary</t>
        </is>
      </c>
      <c r="L4306" t="n">
        <v>0</v>
      </c>
      <c r="M4306" t="n">
        <v>0</v>
      </c>
      <c r="Q4306" s="114" t="n">
        <v>0</v>
      </c>
      <c r="R4306" s="114" t="n">
        <v>795.14</v>
      </c>
      <c r="S4306" s="114" t="n">
        <v>0</v>
      </c>
      <c r="T4306" t="n">
        <v>10</v>
      </c>
    </row>
    <row r="4307">
      <c r="A4307" t="inlineStr">
        <is>
          <t>ttJTrans</t>
        </is>
      </c>
      <c r="B4307" s="38" t="inlineStr">
        <is>
          <t>0-4418</t>
        </is>
      </c>
      <c r="C4307" t="inlineStr">
        <is>
          <t>LA</t>
        </is>
      </c>
      <c r="E4307" t="inlineStr">
        <is>
          <t>LA</t>
        </is>
      </c>
      <c r="H4307" s="127" t="n">
        <v>46121</v>
      </c>
      <c r="J4307" s="38" t="inlineStr">
        <is>
          <t>0-4418</t>
        </is>
      </c>
      <c r="K4307" t="inlineStr">
        <is>
          <t>PR P0COST 000525 (PR) Summary</t>
        </is>
      </c>
      <c r="L4307" t="n">
        <v>0</v>
      </c>
      <c r="M4307" t="n">
        <v>0</v>
      </c>
      <c r="Q4307" s="114" t="n">
        <v>0</v>
      </c>
      <c r="R4307" s="114" t="n">
        <v>534.59</v>
      </c>
      <c r="S4307" s="114" t="n">
        <v>0</v>
      </c>
      <c r="T4307" t="n">
        <v>10</v>
      </c>
    </row>
    <row r="4308">
      <c r="A4308" t="inlineStr">
        <is>
          <t>ttJTrans</t>
        </is>
      </c>
      <c r="B4308" s="38" t="inlineStr">
        <is>
          <t>0-4418</t>
        </is>
      </c>
      <c r="C4308" t="inlineStr">
        <is>
          <t>LA</t>
        </is>
      </c>
      <c r="E4308" t="inlineStr">
        <is>
          <t>LA</t>
        </is>
      </c>
      <c r="H4308" s="127" t="n">
        <v>46121</v>
      </c>
      <c r="J4308" s="38" t="inlineStr">
        <is>
          <t>0-4418</t>
        </is>
      </c>
      <c r="K4308" t="inlineStr">
        <is>
          <t>PR P0COST 000525 (PR) Summary</t>
        </is>
      </c>
      <c r="L4308" t="n">
        <v>0</v>
      </c>
      <c r="M4308" t="n">
        <v>0</v>
      </c>
      <c r="Q4308" s="114" t="n">
        <v>0</v>
      </c>
      <c r="R4308" s="114" t="n">
        <v>1338.57</v>
      </c>
      <c r="S4308" s="114" t="n">
        <v>0</v>
      </c>
      <c r="T4308" t="n">
        <v>20</v>
      </c>
    </row>
    <row r="4309">
      <c r="A4309" t="inlineStr">
        <is>
          <t>ttJTrans</t>
        </is>
      </c>
      <c r="B4309" s="38" t="inlineStr">
        <is>
          <t>0-4418</t>
        </is>
      </c>
      <c r="C4309" t="inlineStr">
        <is>
          <t>LA</t>
        </is>
      </c>
      <c r="E4309" t="inlineStr">
        <is>
          <t>LA</t>
        </is>
      </c>
      <c r="H4309" s="127" t="n">
        <v>46121</v>
      </c>
      <c r="J4309" s="38" t="inlineStr">
        <is>
          <t>0-4418</t>
        </is>
      </c>
      <c r="K4309" t="inlineStr">
        <is>
          <t>PR P0COST 000525 (PR) Summary</t>
        </is>
      </c>
      <c r="L4309" t="n">
        <v>0</v>
      </c>
      <c r="M4309" t="n">
        <v>0</v>
      </c>
      <c r="Q4309" s="114" t="n">
        <v>0</v>
      </c>
      <c r="R4309" s="114" t="n">
        <v>1338.57</v>
      </c>
      <c r="S4309" s="114" t="n">
        <v>0</v>
      </c>
      <c r="T4309" t="n">
        <v>20</v>
      </c>
    </row>
    <row r="4310">
      <c r="A4310" t="inlineStr">
        <is>
          <t>ttJTrans</t>
        </is>
      </c>
      <c r="B4310" s="38" t="inlineStr">
        <is>
          <t>0-4418</t>
        </is>
      </c>
      <c r="C4310" t="inlineStr">
        <is>
          <t>LA</t>
        </is>
      </c>
      <c r="E4310" t="inlineStr">
        <is>
          <t>LA</t>
        </is>
      </c>
      <c r="H4310" s="127" t="n">
        <v>46121</v>
      </c>
      <c r="J4310" s="38" t="inlineStr">
        <is>
          <t>0-4418</t>
        </is>
      </c>
      <c r="K4310" t="inlineStr">
        <is>
          <t>PR P0COST 000525 (PR) Summary</t>
        </is>
      </c>
      <c r="L4310" t="n">
        <v>0</v>
      </c>
      <c r="M4310" t="n">
        <v>0</v>
      </c>
      <c r="Q4310" s="114" t="n">
        <v>0</v>
      </c>
      <c r="R4310" s="114" t="n">
        <v>1338.58</v>
      </c>
      <c r="S4310" s="114" t="n">
        <v>0</v>
      </c>
      <c r="T4310" t="n">
        <v>20</v>
      </c>
    </row>
    <row r="4311">
      <c r="A4311" t="inlineStr">
        <is>
          <t>ttJTrans</t>
        </is>
      </c>
      <c r="B4311" s="38" t="inlineStr">
        <is>
          <t>0-4418</t>
        </is>
      </c>
      <c r="C4311" t="inlineStr">
        <is>
          <t>LA</t>
        </is>
      </c>
      <c r="E4311" t="inlineStr">
        <is>
          <t>LA</t>
        </is>
      </c>
      <c r="H4311" s="127" t="n">
        <v>46121</v>
      </c>
      <c r="J4311" s="38" t="inlineStr">
        <is>
          <t>0-4418</t>
        </is>
      </c>
      <c r="K4311" t="inlineStr">
        <is>
          <t>PR P0COST 000525 (PR) Summary</t>
        </is>
      </c>
      <c r="L4311" t="n">
        <v>0</v>
      </c>
      <c r="M4311" t="n">
        <v>0</v>
      </c>
      <c r="Q4311" s="114" t="n">
        <v>0</v>
      </c>
      <c r="R4311" s="114" t="n">
        <v>803.96</v>
      </c>
      <c r="S4311" s="114" t="n">
        <v>0</v>
      </c>
      <c r="T4311" t="n">
        <v>10</v>
      </c>
    </row>
    <row r="4312">
      <c r="A4312" t="inlineStr">
        <is>
          <t>ttJTrans</t>
        </is>
      </c>
      <c r="B4312" s="38" t="inlineStr">
        <is>
          <t>0-4418</t>
        </is>
      </c>
      <c r="C4312" t="inlineStr">
        <is>
          <t>LA</t>
        </is>
      </c>
      <c r="E4312" t="inlineStr">
        <is>
          <t>LA</t>
        </is>
      </c>
      <c r="H4312" s="127" t="n">
        <v>46128</v>
      </c>
      <c r="J4312" s="38" t="inlineStr">
        <is>
          <t>0-4418</t>
        </is>
      </c>
      <c r="K4312" t="inlineStr">
        <is>
          <t>PR P0COST 000526 (PR) Summary</t>
        </is>
      </c>
      <c r="L4312" t="n">
        <v>0</v>
      </c>
      <c r="M4312" t="n">
        <v>0</v>
      </c>
      <c r="Q4312" s="114" t="n">
        <v>0</v>
      </c>
      <c r="R4312" s="114" t="n">
        <v>795.14</v>
      </c>
      <c r="S4312" s="114" t="n">
        <v>0</v>
      </c>
      <c r="T4312" t="n">
        <v>10</v>
      </c>
    </row>
    <row r="4313">
      <c r="A4313" t="inlineStr">
        <is>
          <t>ttJTrans</t>
        </is>
      </c>
      <c r="B4313" s="38" t="inlineStr">
        <is>
          <t>0-4418</t>
        </is>
      </c>
      <c r="C4313" t="inlineStr">
        <is>
          <t>LA</t>
        </is>
      </c>
      <c r="E4313" t="inlineStr">
        <is>
          <t>LA</t>
        </is>
      </c>
      <c r="H4313" s="127" t="n">
        <v>46128</v>
      </c>
      <c r="J4313" s="38" t="inlineStr">
        <is>
          <t>0-4418</t>
        </is>
      </c>
      <c r="K4313" t="inlineStr">
        <is>
          <t>PR P0COST 000526 (PR) Summary</t>
        </is>
      </c>
      <c r="L4313" t="n">
        <v>0</v>
      </c>
      <c r="M4313" t="n">
        <v>0</v>
      </c>
      <c r="Q4313" s="114" t="n">
        <v>0</v>
      </c>
      <c r="R4313" s="114" t="n">
        <v>534.59</v>
      </c>
      <c r="S4313" s="114" t="n">
        <v>0</v>
      </c>
      <c r="T4313" t="n">
        <v>10</v>
      </c>
    </row>
    <row r="4314">
      <c r="A4314" t="inlineStr">
        <is>
          <t>ttJTrans</t>
        </is>
      </c>
      <c r="B4314" s="38" t="inlineStr">
        <is>
          <t>0-4418</t>
        </is>
      </c>
      <c r="C4314" t="inlineStr">
        <is>
          <t>LA</t>
        </is>
      </c>
      <c r="E4314" t="inlineStr">
        <is>
          <t>LA</t>
        </is>
      </c>
      <c r="H4314" s="127" t="n">
        <v>46128</v>
      </c>
      <c r="J4314" s="38" t="inlineStr">
        <is>
          <t>0-4418</t>
        </is>
      </c>
      <c r="K4314" t="inlineStr">
        <is>
          <t>PR P0COST 000526 (PR) Summary</t>
        </is>
      </c>
      <c r="L4314" t="n">
        <v>0</v>
      </c>
      <c r="M4314" t="n">
        <v>0</v>
      </c>
      <c r="Q4314" s="114" t="n">
        <v>0</v>
      </c>
      <c r="R4314" s="114" t="n">
        <v>534.59</v>
      </c>
      <c r="S4314" s="114" t="n">
        <v>0</v>
      </c>
      <c r="T4314" t="n">
        <v>10</v>
      </c>
    </row>
    <row r="4315">
      <c r="A4315" t="inlineStr">
        <is>
          <t>ttJTrans</t>
        </is>
      </c>
      <c r="B4315" s="38" t="inlineStr">
        <is>
          <t>0-4418</t>
        </is>
      </c>
      <c r="C4315" t="inlineStr">
        <is>
          <t>LA</t>
        </is>
      </c>
      <c r="E4315" t="inlineStr">
        <is>
          <t>LA</t>
        </is>
      </c>
      <c r="H4315" s="127" t="n">
        <v>46128</v>
      </c>
      <c r="J4315" s="38" t="inlineStr">
        <is>
          <t>0-4418</t>
        </is>
      </c>
      <c r="K4315" t="inlineStr">
        <is>
          <t>PR P0COST 000526 (PR) Summary</t>
        </is>
      </c>
      <c r="L4315" t="n">
        <v>0</v>
      </c>
      <c r="M4315" t="n">
        <v>0</v>
      </c>
      <c r="Q4315" s="114" t="n">
        <v>0</v>
      </c>
      <c r="R4315" s="114" t="n">
        <v>1177.78</v>
      </c>
      <c r="S4315" s="114" t="n">
        <v>0</v>
      </c>
      <c r="T4315" t="n">
        <v>20</v>
      </c>
    </row>
    <row r="4316">
      <c r="A4316" t="inlineStr">
        <is>
          <t>ttJTrans</t>
        </is>
      </c>
      <c r="B4316" s="38" t="inlineStr">
        <is>
          <t>0-4418</t>
        </is>
      </c>
      <c r="C4316" t="inlineStr">
        <is>
          <t>LA</t>
        </is>
      </c>
      <c r="E4316" t="inlineStr">
        <is>
          <t>LA</t>
        </is>
      </c>
      <c r="H4316" s="127" t="n">
        <v>46128</v>
      </c>
      <c r="J4316" s="38" t="inlineStr">
        <is>
          <t>0-4418</t>
        </is>
      </c>
      <c r="K4316" t="inlineStr">
        <is>
          <t>PR P0COST 000526 (PR) Summary</t>
        </is>
      </c>
      <c r="L4316" t="n">
        <v>0</v>
      </c>
      <c r="M4316" t="n">
        <v>0</v>
      </c>
      <c r="Q4316" s="114" t="n">
        <v>0</v>
      </c>
      <c r="R4316" s="114" t="n">
        <v>534.59</v>
      </c>
      <c r="S4316" s="114" t="n">
        <v>0</v>
      </c>
      <c r="T4316" t="n">
        <v>10</v>
      </c>
    </row>
    <row r="4317">
      <c r="A4317" t="inlineStr">
        <is>
          <t>ttJTrans</t>
        </is>
      </c>
      <c r="B4317" s="38" t="inlineStr">
        <is>
          <t>0-4418</t>
        </is>
      </c>
      <c r="C4317" t="inlineStr">
        <is>
          <t>LA</t>
        </is>
      </c>
      <c r="E4317" t="inlineStr">
        <is>
          <t>LA</t>
        </is>
      </c>
      <c r="H4317" s="127" t="n">
        <v>46135</v>
      </c>
      <c r="J4317" s="38" t="inlineStr">
        <is>
          <t>0-4418</t>
        </is>
      </c>
      <c r="K4317" t="inlineStr">
        <is>
          <t>PR P0COST 000527 (PR) Summary</t>
        </is>
      </c>
      <c r="L4317" t="n">
        <v>0</v>
      </c>
      <c r="M4317" t="n">
        <v>0</v>
      </c>
      <c r="Q4317" s="114" t="n">
        <v>0</v>
      </c>
      <c r="R4317" s="114" t="n">
        <v>588.74</v>
      </c>
      <c r="S4317" s="114" t="n">
        <v>0</v>
      </c>
      <c r="T4317" t="n">
        <v>10</v>
      </c>
    </row>
    <row r="4318">
      <c r="A4318" t="inlineStr">
        <is>
          <t>ttJTrans</t>
        </is>
      </c>
      <c r="B4318" s="38" t="inlineStr">
        <is>
          <t>0-4418</t>
        </is>
      </c>
      <c r="C4318" t="inlineStr">
        <is>
          <t>LA</t>
        </is>
      </c>
      <c r="E4318" t="inlineStr">
        <is>
          <t>LA</t>
        </is>
      </c>
      <c r="H4318" s="127" t="n">
        <v>46135</v>
      </c>
      <c r="J4318" s="38" t="inlineStr">
        <is>
          <t>0-4418</t>
        </is>
      </c>
      <c r="K4318" t="inlineStr">
        <is>
          <t>PR P0COST 000527 (PR) Summary</t>
        </is>
      </c>
      <c r="L4318" t="n">
        <v>0</v>
      </c>
      <c r="M4318" t="n">
        <v>0</v>
      </c>
      <c r="Q4318" s="114" t="n">
        <v>0</v>
      </c>
      <c r="R4318" s="114" t="n">
        <v>588.74</v>
      </c>
      <c r="S4318" s="114" t="n">
        <v>0</v>
      </c>
      <c r="T4318" t="n">
        <v>10</v>
      </c>
    </row>
    <row r="4319">
      <c r="A4319" t="inlineStr">
        <is>
          <t>ttJTrans</t>
        </is>
      </c>
      <c r="B4319" s="38" t="inlineStr">
        <is>
          <t>0-4418</t>
        </is>
      </c>
      <c r="C4319" t="inlineStr">
        <is>
          <t>LA</t>
        </is>
      </c>
      <c r="E4319" t="inlineStr">
        <is>
          <t>LA</t>
        </is>
      </c>
      <c r="H4319" s="127" t="n">
        <v>46135</v>
      </c>
      <c r="J4319" s="38" t="inlineStr">
        <is>
          <t>0-4418</t>
        </is>
      </c>
      <c r="K4319" t="inlineStr">
        <is>
          <t>PR P0COST 000527 (PR) Summary</t>
        </is>
      </c>
      <c r="L4319" t="n">
        <v>0</v>
      </c>
      <c r="M4319" t="n">
        <v>0</v>
      </c>
      <c r="Q4319" s="114" t="n">
        <v>0</v>
      </c>
      <c r="R4319" s="114" t="n">
        <v>588.74</v>
      </c>
      <c r="S4319" s="114" t="n">
        <v>0</v>
      </c>
      <c r="T4319" t="n">
        <v>10</v>
      </c>
    </row>
    <row r="4320">
      <c r="A4320" t="inlineStr">
        <is>
          <t>ttJTrans</t>
        </is>
      </c>
      <c r="B4320" s="38" t="inlineStr">
        <is>
          <t>0-4418</t>
        </is>
      </c>
      <c r="C4320" t="inlineStr">
        <is>
          <t>LA</t>
        </is>
      </c>
      <c r="E4320" t="inlineStr">
        <is>
          <t>LA</t>
        </is>
      </c>
      <c r="H4320" s="127" t="n">
        <v>46135</v>
      </c>
      <c r="J4320" s="38" t="inlineStr">
        <is>
          <t>0-4418</t>
        </is>
      </c>
      <c r="K4320" t="inlineStr">
        <is>
          <t>PR P0COST 000527 (PR) Summary</t>
        </is>
      </c>
      <c r="L4320" t="n">
        <v>0</v>
      </c>
      <c r="M4320" t="n">
        <v>0</v>
      </c>
      <c r="Q4320" s="114" t="n">
        <v>0</v>
      </c>
      <c r="R4320" s="114" t="n">
        <v>588.74</v>
      </c>
      <c r="S4320" s="114" t="n">
        <v>0</v>
      </c>
      <c r="T4320" t="n">
        <v>10</v>
      </c>
    </row>
    <row r="4321">
      <c r="A4321" t="inlineStr">
        <is>
          <t>ttJTrans</t>
        </is>
      </c>
      <c r="B4321" s="38" t="inlineStr">
        <is>
          <t>0-4418</t>
        </is>
      </c>
      <c r="C4321" t="inlineStr">
        <is>
          <t>LA</t>
        </is>
      </c>
      <c r="E4321" t="inlineStr">
        <is>
          <t>LA</t>
        </is>
      </c>
      <c r="H4321" s="127" t="n">
        <v>46100</v>
      </c>
      <c r="J4321" s="38" t="inlineStr">
        <is>
          <t>0-4418</t>
        </is>
      </c>
      <c r="K4321" t="inlineStr">
        <is>
          <t>PR P0COST 000522 (PR) Summary</t>
        </is>
      </c>
      <c r="L4321" t="n">
        <v>0</v>
      </c>
      <c r="M4321" t="n">
        <v>0</v>
      </c>
      <c r="Q4321" s="114" t="n">
        <v>0</v>
      </c>
      <c r="R4321" s="114" t="n">
        <v>390.14</v>
      </c>
      <c r="S4321" s="114" t="n">
        <v>0</v>
      </c>
      <c r="T4321" t="n">
        <v>10</v>
      </c>
    </row>
    <row r="4322">
      <c r="A4322" t="inlineStr">
        <is>
          <t>ttJTrans</t>
        </is>
      </c>
      <c r="B4322" s="38" t="inlineStr">
        <is>
          <t>0-4418</t>
        </is>
      </c>
      <c r="C4322" t="inlineStr">
        <is>
          <t>LA</t>
        </is>
      </c>
      <c r="E4322" t="inlineStr">
        <is>
          <t>LA</t>
        </is>
      </c>
      <c r="H4322" s="127" t="n">
        <v>46114</v>
      </c>
      <c r="J4322" s="38" t="inlineStr">
        <is>
          <t>0-4418</t>
        </is>
      </c>
      <c r="K4322" t="inlineStr">
        <is>
          <t>PR P0COST 000524 (PR) Summary</t>
        </is>
      </c>
      <c r="L4322" t="n">
        <v>0</v>
      </c>
      <c r="M4322" t="n">
        <v>0</v>
      </c>
      <c r="Q4322" s="114" t="n">
        <v>0</v>
      </c>
      <c r="R4322" s="114" t="n">
        <v>1023.98</v>
      </c>
      <c r="S4322" s="114" t="n">
        <v>0</v>
      </c>
      <c r="T4322" t="n">
        <v>20</v>
      </c>
    </row>
    <row r="4323">
      <c r="A4323" t="inlineStr">
        <is>
          <t>ttJTrans</t>
        </is>
      </c>
      <c r="B4323" s="38" t="inlineStr">
        <is>
          <t>0-4420</t>
        </is>
      </c>
      <c r="C4323" t="inlineStr">
        <is>
          <t>LA</t>
        </is>
      </c>
      <c r="E4323" t="inlineStr">
        <is>
          <t>LA</t>
        </is>
      </c>
      <c r="H4323" s="127" t="n">
        <v>46150</v>
      </c>
      <c r="J4323" s="38" t="inlineStr">
        <is>
          <t>0-4420</t>
        </is>
      </c>
      <c r="K4323" t="inlineStr">
        <is>
          <t>COST CODE TRANSFER 25-4005</t>
        </is>
      </c>
      <c r="L4323" t="n">
        <v>0</v>
      </c>
      <c r="M4323" t="n">
        <v>0</v>
      </c>
      <c r="Q4323" s="114" t="n">
        <v>0</v>
      </c>
      <c r="R4323" s="114" t="n">
        <v>-780.3099999999999</v>
      </c>
      <c r="S4323" s="114" t="n">
        <v>0</v>
      </c>
      <c r="T4323" t="n">
        <v>-20</v>
      </c>
    </row>
    <row r="4324">
      <c r="A4324" t="inlineStr">
        <is>
          <t>ttJTrans</t>
        </is>
      </c>
      <c r="B4324" s="38" t="inlineStr">
        <is>
          <t>0-4420</t>
        </is>
      </c>
      <c r="C4324" t="inlineStr">
        <is>
          <t>LA</t>
        </is>
      </c>
      <c r="E4324" t="inlineStr">
        <is>
          <t>LA</t>
        </is>
      </c>
      <c r="H4324" s="127" t="n">
        <v>46121</v>
      </c>
      <c r="J4324" s="38" t="inlineStr">
        <is>
          <t>0-4420</t>
        </is>
      </c>
      <c r="K4324" t="inlineStr">
        <is>
          <t>PR P0COST 000525 (PR) Summary</t>
        </is>
      </c>
      <c r="L4324" t="n">
        <v>0</v>
      </c>
      <c r="M4324" t="n">
        <v>0</v>
      </c>
      <c r="Q4324" s="114" t="n">
        <v>0</v>
      </c>
      <c r="R4324" s="114" t="n">
        <v>390.16</v>
      </c>
      <c r="S4324" s="114" t="n">
        <v>0</v>
      </c>
      <c r="T4324" t="n">
        <v>10</v>
      </c>
    </row>
    <row r="4325">
      <c r="A4325" t="inlineStr">
        <is>
          <t>ttJTrans</t>
        </is>
      </c>
      <c r="B4325" s="38" t="inlineStr">
        <is>
          <t>0-4420</t>
        </is>
      </c>
      <c r="C4325" t="inlineStr">
        <is>
          <t>LA</t>
        </is>
      </c>
      <c r="E4325" t="inlineStr">
        <is>
          <t>LA</t>
        </is>
      </c>
      <c r="G4325" s="128" t="inlineStr"/>
      <c r="H4325" s="127" t="n">
        <v>46121</v>
      </c>
      <c r="J4325" s="38" t="inlineStr">
        <is>
          <t>0-4420</t>
        </is>
      </c>
      <c r="K4325" t="inlineStr">
        <is>
          <t>PR P0COST 000525 (PR) Summary</t>
        </is>
      </c>
      <c r="L4325" t="n">
        <v>0</v>
      </c>
      <c r="M4325" t="n">
        <v>0</v>
      </c>
      <c r="Q4325" s="114" t="n">
        <v>0</v>
      </c>
      <c r="R4325" s="114" t="n">
        <v>390.15</v>
      </c>
      <c r="S4325" s="114" t="n">
        <v>0</v>
      </c>
      <c r="T4325" t="n">
        <v>10</v>
      </c>
    </row>
    <row r="4326">
      <c r="A4326" t="inlineStr">
        <is>
          <t>ttJTrans</t>
        </is>
      </c>
      <c r="B4326" s="38" t="inlineStr">
        <is>
          <t>0-4500</t>
        </is>
      </c>
      <c r="C4326" t="inlineStr">
        <is>
          <t>ER</t>
        </is>
      </c>
      <c r="E4326" t="inlineStr">
        <is>
          <t>ER</t>
        </is>
      </c>
      <c r="G4326" s="128" t="inlineStr"/>
      <c r="H4326" s="127" t="n">
        <v>46152</v>
      </c>
      <c r="J4326" s="38" t="inlineStr">
        <is>
          <t>0-4500</t>
        </is>
      </c>
      <c r="K4326" t="inlineStr">
        <is>
          <t>RTL1084 2022 VELOCIWRAP CABLE WRAPPER 2022 VELOCIWRAP CABLE WRAPPER</t>
        </is>
      </c>
      <c r="L4326" t="n">
        <v>0</v>
      </c>
      <c r="M4326" t="n">
        <v>0</v>
      </c>
      <c r="O4326" t="inlineStr">
        <is>
          <t>RTL1084</t>
        </is>
      </c>
      <c r="Q4326" s="114" t="n">
        <v>0</v>
      </c>
      <c r="R4326" s="114" t="n">
        <v>330.46</v>
      </c>
      <c r="S4326" s="114" t="n">
        <v>0</v>
      </c>
      <c r="T4326" t="n">
        <v>0</v>
      </c>
    </row>
    <row r="4327">
      <c r="A4327" t="inlineStr">
        <is>
          <t>ttJTrans</t>
        </is>
      </c>
      <c r="B4327" s="38" t="inlineStr">
        <is>
          <t>0-4500</t>
        </is>
      </c>
      <c r="C4327" t="inlineStr">
        <is>
          <t>ER</t>
        </is>
      </c>
      <c r="E4327" t="inlineStr">
        <is>
          <t>ER</t>
        </is>
      </c>
      <c r="G4327" s="128" t="inlineStr"/>
      <c r="H4327" s="127" t="n">
        <v>46152</v>
      </c>
      <c r="J4327" s="38" t="inlineStr">
        <is>
          <t>0-4500</t>
        </is>
      </c>
      <c r="K4327" t="inlineStr">
        <is>
          <t>RTL1085 2022 VELOCIWRAP CABLE WRAPPER 2022 VELOCIWRAP CABLE WRAPPER</t>
        </is>
      </c>
      <c r="L4327" t="n">
        <v>0</v>
      </c>
      <c r="M4327" t="n">
        <v>0</v>
      </c>
      <c r="O4327" t="inlineStr">
        <is>
          <t>RTL1085</t>
        </is>
      </c>
      <c r="Q4327" s="114" t="n">
        <v>0</v>
      </c>
      <c r="R4327" s="114" t="n">
        <v>330.46</v>
      </c>
      <c r="S4327" s="114" t="n">
        <v>0</v>
      </c>
      <c r="T4327" t="n">
        <v>0</v>
      </c>
    </row>
    <row r="4328">
      <c r="A4328" t="inlineStr">
        <is>
          <t>ttJTrans</t>
        </is>
      </c>
      <c r="B4328" s="38" t="inlineStr">
        <is>
          <t>0-4500</t>
        </is>
      </c>
      <c r="C4328" t="inlineStr">
        <is>
          <t>ER</t>
        </is>
      </c>
      <c r="E4328" t="inlineStr">
        <is>
          <t>ER</t>
        </is>
      </c>
      <c r="G4328" s="128" t="inlineStr"/>
      <c r="H4328" s="127" t="n">
        <v>46159</v>
      </c>
      <c r="J4328" s="38" t="inlineStr">
        <is>
          <t>0-4500</t>
        </is>
      </c>
      <c r="K4328" t="inlineStr">
        <is>
          <t>RTL1082 2023 PREMIER TRIPLEXING TRAILER 2023 PREMIER TRIPLEXING TRAILER</t>
        </is>
      </c>
      <c r="L4328" t="n">
        <v>0</v>
      </c>
      <c r="M4328" t="n">
        <v>0</v>
      </c>
      <c r="O4328" t="inlineStr">
        <is>
          <t>RTL1082</t>
        </is>
      </c>
      <c r="Q4328" s="114" t="n">
        <v>0</v>
      </c>
      <c r="R4328" s="114" t="n">
        <v>65</v>
      </c>
      <c r="S4328" s="114" t="n">
        <v>0</v>
      </c>
      <c r="T4328" t="n">
        <v>0</v>
      </c>
    </row>
    <row r="4329">
      <c r="A4329" t="inlineStr">
        <is>
          <t>ttJTrans</t>
        </is>
      </c>
      <c r="B4329" s="38" t="inlineStr">
        <is>
          <t>0-4500</t>
        </is>
      </c>
      <c r="C4329" t="inlineStr">
        <is>
          <t>ER</t>
        </is>
      </c>
      <c r="E4329" t="inlineStr">
        <is>
          <t>ER</t>
        </is>
      </c>
      <c r="G4329" s="128" t="inlineStr"/>
      <c r="H4329" s="127" t="n">
        <v>46159</v>
      </c>
      <c r="J4329" s="38" t="inlineStr">
        <is>
          <t>0-4500</t>
        </is>
      </c>
      <c r="K4329" t="inlineStr">
        <is>
          <t>RTL1083 2022 VELOCIWRAP TRIPLEXING TRAILER 2022 VELOCIWRAP TRIPLEXING TRAILER</t>
        </is>
      </c>
      <c r="L4329" t="n">
        <v>0</v>
      </c>
      <c r="M4329" t="n">
        <v>0</v>
      </c>
      <c r="O4329" t="inlineStr">
        <is>
          <t>RTL1083</t>
        </is>
      </c>
      <c r="Q4329" s="114" t="n">
        <v>0</v>
      </c>
      <c r="R4329" s="114" t="n">
        <v>65</v>
      </c>
      <c r="S4329" s="114" t="n">
        <v>0</v>
      </c>
      <c r="T4329" t="n">
        <v>0</v>
      </c>
    </row>
    <row r="4330">
      <c r="A4330" t="inlineStr">
        <is>
          <t>ttJTrans</t>
        </is>
      </c>
      <c r="B4330" s="38" t="inlineStr">
        <is>
          <t>0-4500</t>
        </is>
      </c>
      <c r="C4330" t="inlineStr">
        <is>
          <t>ER</t>
        </is>
      </c>
      <c r="E4330" t="inlineStr">
        <is>
          <t>ER</t>
        </is>
      </c>
      <c r="G4330" s="128" t="inlineStr"/>
      <c r="H4330" s="127" t="n">
        <v>46159</v>
      </c>
      <c r="J4330" s="38" t="inlineStr">
        <is>
          <t>0-4500</t>
        </is>
      </c>
      <c r="K4330" t="inlineStr">
        <is>
          <t>RTL1084 2022 VELOCIWRAP CABLE WRAPPER 2022 VELOCIWRAP CABLE WRAPPER</t>
        </is>
      </c>
      <c r="L4330" t="n">
        <v>0</v>
      </c>
      <c r="M4330" t="n">
        <v>0</v>
      </c>
      <c r="O4330" t="inlineStr">
        <is>
          <t>RTL1084</t>
        </is>
      </c>
      <c r="Q4330" s="114" t="n">
        <v>0</v>
      </c>
      <c r="R4330" s="114" t="n">
        <v>330.46</v>
      </c>
      <c r="S4330" s="114" t="n">
        <v>0</v>
      </c>
      <c r="T4330" t="n">
        <v>0</v>
      </c>
    </row>
    <row r="4331">
      <c r="A4331" t="inlineStr">
        <is>
          <t>ttJTrans</t>
        </is>
      </c>
      <c r="B4331" s="38" t="inlineStr">
        <is>
          <t>0-4500</t>
        </is>
      </c>
      <c r="C4331" t="inlineStr">
        <is>
          <t>ER</t>
        </is>
      </c>
      <c r="E4331" t="inlineStr">
        <is>
          <t>ER</t>
        </is>
      </c>
      <c r="G4331" s="128" t="inlineStr"/>
      <c r="H4331" s="127" t="n">
        <v>46159</v>
      </c>
      <c r="J4331" s="38" t="inlineStr">
        <is>
          <t>0-4500</t>
        </is>
      </c>
      <c r="K4331" t="inlineStr">
        <is>
          <t>RTL1085 2022 VELOCIWRAP CABLE WRAPPER 2022 VELOCIWRAP CABLE WRAPPER</t>
        </is>
      </c>
      <c r="L4331" t="n">
        <v>0</v>
      </c>
      <c r="M4331" t="n">
        <v>0</v>
      </c>
      <c r="O4331" t="inlineStr">
        <is>
          <t>RTL1085</t>
        </is>
      </c>
      <c r="Q4331" s="114" t="n">
        <v>0</v>
      </c>
      <c r="R4331" s="114" t="n">
        <v>330.46</v>
      </c>
      <c r="S4331" s="114" t="n">
        <v>0</v>
      </c>
      <c r="T4331" t="n">
        <v>0</v>
      </c>
    </row>
    <row r="4332">
      <c r="A4332" t="inlineStr">
        <is>
          <t>ttJTrans</t>
        </is>
      </c>
      <c r="B4332" s="38" t="inlineStr">
        <is>
          <t>0-4500</t>
        </is>
      </c>
      <c r="C4332" t="inlineStr">
        <is>
          <t>ER</t>
        </is>
      </c>
      <c r="E4332" t="inlineStr">
        <is>
          <t>ER</t>
        </is>
      </c>
      <c r="G4332" s="128" t="inlineStr"/>
      <c r="H4332" s="127" t="n">
        <v>46166</v>
      </c>
      <c r="J4332" s="38" t="inlineStr">
        <is>
          <t>0-4500</t>
        </is>
      </c>
      <c r="K4332" t="inlineStr">
        <is>
          <t>RTL1082 2023 PREMIER TRIPLEXING TRAILER 2023 PREMIER TRIPLEXING TRAILER</t>
        </is>
      </c>
      <c r="L4332" t="n">
        <v>0</v>
      </c>
      <c r="M4332" t="n">
        <v>0</v>
      </c>
      <c r="O4332" t="inlineStr">
        <is>
          <t>RTL1082</t>
        </is>
      </c>
      <c r="Q4332" s="114" t="n">
        <v>0</v>
      </c>
      <c r="R4332" s="114" t="n">
        <v>65</v>
      </c>
      <c r="S4332" s="114" t="n">
        <v>0</v>
      </c>
      <c r="T4332" t="n">
        <v>0</v>
      </c>
    </row>
    <row r="4333">
      <c r="A4333" t="inlineStr">
        <is>
          <t>ttJTrans</t>
        </is>
      </c>
      <c r="B4333" s="38" t="inlineStr">
        <is>
          <t>0-4500</t>
        </is>
      </c>
      <c r="C4333" t="inlineStr">
        <is>
          <t>ER</t>
        </is>
      </c>
      <c r="E4333" t="inlineStr">
        <is>
          <t>ER</t>
        </is>
      </c>
      <c r="G4333" s="128" t="inlineStr"/>
      <c r="H4333" s="127" t="n">
        <v>46166</v>
      </c>
      <c r="J4333" s="38" t="inlineStr">
        <is>
          <t>0-4500</t>
        </is>
      </c>
      <c r="K4333" t="inlineStr">
        <is>
          <t>RTL1083 2022 VELOCIWRAP TRIPLEXING TRAILER 2022 VELOCIWRAP TRIPLEXING TRAILER</t>
        </is>
      </c>
      <c r="L4333" t="n">
        <v>0</v>
      </c>
      <c r="M4333" t="n">
        <v>0</v>
      </c>
      <c r="O4333" t="inlineStr">
        <is>
          <t>RTL1083</t>
        </is>
      </c>
      <c r="Q4333" s="114" t="n">
        <v>0</v>
      </c>
      <c r="R4333" s="114" t="n">
        <v>65</v>
      </c>
      <c r="S4333" s="114" t="n">
        <v>0</v>
      </c>
      <c r="T4333" t="n">
        <v>0</v>
      </c>
    </row>
    <row r="4334">
      <c r="A4334" t="inlineStr">
        <is>
          <t>ttJTrans</t>
        </is>
      </c>
      <c r="B4334" s="38" t="inlineStr">
        <is>
          <t>0-4500</t>
        </is>
      </c>
      <c r="C4334" t="inlineStr">
        <is>
          <t>ER</t>
        </is>
      </c>
      <c r="E4334" t="inlineStr">
        <is>
          <t>ER</t>
        </is>
      </c>
      <c r="G4334" s="128" t="inlineStr"/>
      <c r="H4334" s="127" t="n">
        <v>46166</v>
      </c>
      <c r="J4334" s="38" t="inlineStr">
        <is>
          <t>0-4500</t>
        </is>
      </c>
      <c r="K4334" t="inlineStr">
        <is>
          <t>RTL1084 2022 VELOCIWRAP CABLE WRAPPER 2022 VELOCIWRAP CABLE WRAPPER</t>
        </is>
      </c>
      <c r="L4334" t="n">
        <v>0</v>
      </c>
      <c r="M4334" t="n">
        <v>0</v>
      </c>
      <c r="O4334" t="inlineStr">
        <is>
          <t>RTL1084</t>
        </is>
      </c>
      <c r="Q4334" s="114" t="n">
        <v>0</v>
      </c>
      <c r="R4334" s="114" t="n">
        <v>330.46</v>
      </c>
      <c r="S4334" s="114" t="n">
        <v>0</v>
      </c>
      <c r="T4334" t="n">
        <v>0</v>
      </c>
    </row>
    <row r="4335">
      <c r="A4335" t="inlineStr">
        <is>
          <t>ttJTrans</t>
        </is>
      </c>
      <c r="B4335" s="38" t="inlineStr">
        <is>
          <t>0-4500</t>
        </is>
      </c>
      <c r="C4335" t="inlineStr">
        <is>
          <t>ER</t>
        </is>
      </c>
      <c r="E4335" t="inlineStr">
        <is>
          <t>ER</t>
        </is>
      </c>
      <c r="G4335" s="128" t="inlineStr"/>
      <c r="H4335" s="127" t="n">
        <v>46166</v>
      </c>
      <c r="J4335" s="38" t="inlineStr">
        <is>
          <t>0-4500</t>
        </is>
      </c>
      <c r="K4335" t="inlineStr">
        <is>
          <t>RTL1085 2022 VELOCIWRAP CABLE WRAPPER 2022 VELOCIWRAP CABLE WRAPPER</t>
        </is>
      </c>
      <c r="L4335" t="n">
        <v>0</v>
      </c>
      <c r="M4335" t="n">
        <v>0</v>
      </c>
      <c r="O4335" t="inlineStr">
        <is>
          <t>RTL1085</t>
        </is>
      </c>
      <c r="Q4335" s="114" t="n">
        <v>0</v>
      </c>
      <c r="R4335" s="114" t="n">
        <v>330.46</v>
      </c>
      <c r="S4335" s="114" t="n">
        <v>0</v>
      </c>
      <c r="T4335" t="n">
        <v>0</v>
      </c>
    </row>
    <row r="4336">
      <c r="A4336" t="inlineStr">
        <is>
          <t>ttJTrans</t>
        </is>
      </c>
      <c r="B4336" s="38" t="inlineStr">
        <is>
          <t>0-4500</t>
        </is>
      </c>
      <c r="C4336" t="inlineStr">
        <is>
          <t>ER</t>
        </is>
      </c>
      <c r="E4336" t="inlineStr">
        <is>
          <t>ER</t>
        </is>
      </c>
      <c r="G4336" s="128" t="inlineStr"/>
      <c r="H4336" s="127" t="n">
        <v>46152</v>
      </c>
      <c r="J4336" s="38" t="inlineStr">
        <is>
          <t>0-4500</t>
        </is>
      </c>
      <c r="K4336" t="inlineStr">
        <is>
          <t>RTL1082 2023 PREMIER TRIPLEXING TRAILER 2023 PREMIER TRIPLEXING TRAILER</t>
        </is>
      </c>
      <c r="L4336" t="n">
        <v>0</v>
      </c>
      <c r="M4336" t="n">
        <v>0</v>
      </c>
      <c r="O4336" t="inlineStr">
        <is>
          <t>RTL1082</t>
        </is>
      </c>
      <c r="Q4336" s="114" t="n">
        <v>0</v>
      </c>
      <c r="R4336" s="114" t="n">
        <v>65</v>
      </c>
      <c r="S4336" s="114" t="n">
        <v>0</v>
      </c>
      <c r="T4336" t="n">
        <v>0</v>
      </c>
    </row>
    <row r="4337">
      <c r="A4337" t="inlineStr">
        <is>
          <t>ttJTrans</t>
        </is>
      </c>
      <c r="B4337" s="38" t="inlineStr">
        <is>
          <t>0-4500</t>
        </is>
      </c>
      <c r="C4337" t="inlineStr">
        <is>
          <t>ER</t>
        </is>
      </c>
      <c r="E4337" t="inlineStr">
        <is>
          <t>ER</t>
        </is>
      </c>
      <c r="G4337" s="128" t="inlineStr"/>
      <c r="H4337" s="127" t="n">
        <v>46152</v>
      </c>
      <c r="J4337" s="38" t="inlineStr">
        <is>
          <t>0-4500</t>
        </is>
      </c>
      <c r="K4337" t="inlineStr">
        <is>
          <t>RTL1083 2022 VELOCIWRAP TRIPLEXING TRAILER 2022 VELOCIWRAP TRIPLEXING TRAILER</t>
        </is>
      </c>
      <c r="L4337" t="n">
        <v>0</v>
      </c>
      <c r="M4337" t="n">
        <v>0</v>
      </c>
      <c r="O4337" t="inlineStr">
        <is>
          <t>RTL1083</t>
        </is>
      </c>
      <c r="Q4337" s="114" t="n">
        <v>0</v>
      </c>
      <c r="R4337" s="114" t="n">
        <v>65</v>
      </c>
      <c r="S4337" s="114" t="n">
        <v>0</v>
      </c>
      <c r="T4337" t="n">
        <v>0</v>
      </c>
    </row>
    <row r="4338">
      <c r="A4338" t="inlineStr">
        <is>
          <t>ttJTrans</t>
        </is>
      </c>
      <c r="B4338" s="38" t="inlineStr">
        <is>
          <t>0-4500</t>
        </is>
      </c>
      <c r="C4338" t="inlineStr">
        <is>
          <t>LA</t>
        </is>
      </c>
      <c r="E4338" t="inlineStr">
        <is>
          <t>LA</t>
        </is>
      </c>
      <c r="G4338" s="128" t="inlineStr"/>
      <c r="H4338" s="127" t="n">
        <v>46093</v>
      </c>
      <c r="J4338" s="38" t="inlineStr">
        <is>
          <t>0-4500</t>
        </is>
      </c>
      <c r="K4338" t="inlineStr">
        <is>
          <t>PR P0COST 000521 (PR) Summary</t>
        </is>
      </c>
      <c r="L4338" t="n">
        <v>0</v>
      </c>
      <c r="M4338" t="n">
        <v>0</v>
      </c>
      <c r="Q4338" s="114" t="n">
        <v>0</v>
      </c>
      <c r="R4338" s="114" t="n">
        <v>889.77</v>
      </c>
      <c r="S4338" s="114" t="n">
        <v>0</v>
      </c>
      <c r="T4338" t="n">
        <v>10</v>
      </c>
    </row>
    <row r="4339">
      <c r="A4339" t="inlineStr">
        <is>
          <t>ttJTrans</t>
        </is>
      </c>
      <c r="B4339" s="38" t="inlineStr">
        <is>
          <t>0-4500</t>
        </is>
      </c>
      <c r="C4339" t="inlineStr">
        <is>
          <t>LA</t>
        </is>
      </c>
      <c r="E4339" t="inlineStr">
        <is>
          <t>LA</t>
        </is>
      </c>
      <c r="G4339" s="128" t="inlineStr"/>
      <c r="H4339" s="127" t="n">
        <v>46093</v>
      </c>
      <c r="J4339" s="38" t="inlineStr">
        <is>
          <t>0-4500</t>
        </is>
      </c>
      <c r="K4339" t="inlineStr">
        <is>
          <t>PR P0COST 000521 (PR) Summary</t>
        </is>
      </c>
      <c r="L4339" t="n">
        <v>0</v>
      </c>
      <c r="M4339" t="n">
        <v>0</v>
      </c>
      <c r="Q4339" s="114" t="n">
        <v>0</v>
      </c>
      <c r="R4339" s="114" t="n">
        <v>2401.44</v>
      </c>
      <c r="S4339" s="114" t="n">
        <v>0</v>
      </c>
      <c r="T4339" t="n">
        <v>40</v>
      </c>
    </row>
    <row r="4340">
      <c r="A4340" t="inlineStr">
        <is>
          <t>ttJTrans</t>
        </is>
      </c>
      <c r="B4340" s="38" t="inlineStr">
        <is>
          <t>0-4500</t>
        </is>
      </c>
      <c r="C4340" t="inlineStr">
        <is>
          <t>LA</t>
        </is>
      </c>
      <c r="E4340" t="inlineStr">
        <is>
          <t>LA</t>
        </is>
      </c>
      <c r="G4340" s="128" t="inlineStr"/>
      <c r="H4340" s="127" t="n">
        <v>46150</v>
      </c>
      <c r="J4340" s="38" t="inlineStr">
        <is>
          <t>0-4500</t>
        </is>
      </c>
      <c r="K4340" t="inlineStr">
        <is>
          <t>COST CODE TRANSFER 25-4005</t>
        </is>
      </c>
      <c r="L4340" t="n">
        <v>0</v>
      </c>
      <c r="M4340" t="n">
        <v>0</v>
      </c>
      <c r="Q4340" s="114" t="n">
        <v>0</v>
      </c>
      <c r="R4340" s="114" t="n">
        <v>-3291.21</v>
      </c>
      <c r="S4340" s="114" t="n">
        <v>0</v>
      </c>
      <c r="T4340" t="n">
        <v>-50</v>
      </c>
    </row>
    <row r="4341">
      <c r="A4341" t="inlineStr">
        <is>
          <t>ttJTrans</t>
        </is>
      </c>
      <c r="B4341" s="38" t="inlineStr">
        <is>
          <t>0-4503</t>
        </is>
      </c>
      <c r="C4341" t="inlineStr">
        <is>
          <t>ER</t>
        </is>
      </c>
      <c r="E4341" t="inlineStr">
        <is>
          <t>ER</t>
        </is>
      </c>
      <c r="G4341" s="128" t="inlineStr"/>
      <c r="H4341" s="127" t="n">
        <v>46152</v>
      </c>
      <c r="J4341" s="38" t="inlineStr">
        <is>
          <t>0-4503</t>
        </is>
      </c>
      <c r="K4341" t="inlineStr">
        <is>
          <t>RTL1085 2022 VELOCIWRAP CABLE WRAPPER 2022 VELOCIWRAP CABLE WRAPPER</t>
        </is>
      </c>
      <c r="L4341" t="n">
        <v>0</v>
      </c>
      <c r="M4341" t="n">
        <v>0</v>
      </c>
      <c r="O4341" t="inlineStr">
        <is>
          <t>RTL1085</t>
        </is>
      </c>
      <c r="Q4341" s="114" t="n">
        <v>0</v>
      </c>
      <c r="R4341" s="114" t="n">
        <v>330.46</v>
      </c>
      <c r="S4341" s="114" t="n">
        <v>0</v>
      </c>
      <c r="T4341" t="n">
        <v>0</v>
      </c>
    </row>
    <row r="4342">
      <c r="A4342" t="inlineStr">
        <is>
          <t>ttJTrans</t>
        </is>
      </c>
      <c r="B4342" s="38" t="inlineStr">
        <is>
          <t>0-4503</t>
        </is>
      </c>
      <c r="C4342" t="inlineStr">
        <is>
          <t>ER</t>
        </is>
      </c>
      <c r="E4342" t="inlineStr">
        <is>
          <t>ER</t>
        </is>
      </c>
      <c r="G4342" s="128" t="inlineStr"/>
      <c r="H4342" s="127" t="n">
        <v>46152</v>
      </c>
      <c r="J4342" s="38" t="inlineStr">
        <is>
          <t>0-4503</t>
        </is>
      </c>
      <c r="K4342" t="inlineStr">
        <is>
          <t>RTL1082 2023 PREMIER TRIPLEXING TRAILER 2023 PREMIER TRIPLEXING TRAILER</t>
        </is>
      </c>
      <c r="L4342" t="n">
        <v>0</v>
      </c>
      <c r="M4342" t="n">
        <v>0</v>
      </c>
      <c r="O4342" t="inlineStr">
        <is>
          <t>RTL1082</t>
        </is>
      </c>
      <c r="Q4342" s="114" t="n">
        <v>0</v>
      </c>
      <c r="R4342" s="114" t="n">
        <v>65</v>
      </c>
      <c r="S4342" s="114" t="n">
        <v>0</v>
      </c>
      <c r="T4342" t="n">
        <v>0</v>
      </c>
    </row>
    <row r="4343">
      <c r="A4343" t="inlineStr">
        <is>
          <t>ttJTrans</t>
        </is>
      </c>
      <c r="B4343" s="38" t="inlineStr">
        <is>
          <t>0-4503</t>
        </is>
      </c>
      <c r="C4343" t="inlineStr">
        <is>
          <t>ER</t>
        </is>
      </c>
      <c r="E4343" t="inlineStr">
        <is>
          <t>ER</t>
        </is>
      </c>
      <c r="G4343" s="128" t="inlineStr"/>
      <c r="H4343" s="127" t="n">
        <v>46152</v>
      </c>
      <c r="J4343" s="38" t="inlineStr">
        <is>
          <t>0-4503</t>
        </is>
      </c>
      <c r="K4343" t="inlineStr">
        <is>
          <t>RTL1083 2022 VELOCIWRAP TRIPLEXING TRAILER 2022 VELOCIWRAP TRIPLEXING TRAILER</t>
        </is>
      </c>
      <c r="L4343" t="n">
        <v>0</v>
      </c>
      <c r="M4343" t="n">
        <v>0</v>
      </c>
      <c r="O4343" t="inlineStr">
        <is>
          <t>RTL1083</t>
        </is>
      </c>
      <c r="Q4343" s="114" t="n">
        <v>0</v>
      </c>
      <c r="R4343" s="114" t="n">
        <v>65</v>
      </c>
      <c r="S4343" s="114" t="n">
        <v>0</v>
      </c>
      <c r="T4343" t="n">
        <v>0</v>
      </c>
    </row>
    <row r="4344">
      <c r="A4344" t="inlineStr">
        <is>
          <t>ttJTrans</t>
        </is>
      </c>
      <c r="B4344" s="38" t="inlineStr">
        <is>
          <t>0-4503</t>
        </is>
      </c>
      <c r="C4344" t="inlineStr">
        <is>
          <t>ER</t>
        </is>
      </c>
      <c r="E4344" t="inlineStr">
        <is>
          <t>ER</t>
        </is>
      </c>
      <c r="G4344" s="128" t="inlineStr"/>
      <c r="H4344" s="127" t="n">
        <v>46152</v>
      </c>
      <c r="J4344" s="38" t="inlineStr">
        <is>
          <t>0-4503</t>
        </is>
      </c>
      <c r="K4344" t="inlineStr">
        <is>
          <t>RTL1084 2022 VELOCIWRAP CABLE WRAPPER 2022 VELOCIWRAP CABLE WRAPPER</t>
        </is>
      </c>
      <c r="L4344" t="n">
        <v>0</v>
      </c>
      <c r="M4344" t="n">
        <v>0</v>
      </c>
      <c r="O4344" t="inlineStr">
        <is>
          <t>RTL1084</t>
        </is>
      </c>
      <c r="Q4344" s="114" t="n">
        <v>0</v>
      </c>
      <c r="R4344" s="114" t="n">
        <v>330.46</v>
      </c>
      <c r="S4344" s="114" t="n">
        <v>0</v>
      </c>
      <c r="T4344" t="n">
        <v>0</v>
      </c>
    </row>
    <row r="4345">
      <c r="A4345" t="inlineStr">
        <is>
          <t>ttJTrans</t>
        </is>
      </c>
      <c r="B4345" s="38" t="inlineStr">
        <is>
          <t>0-4510</t>
        </is>
      </c>
      <c r="C4345" t="inlineStr">
        <is>
          <t>MA</t>
        </is>
      </c>
      <c r="D4345" t="inlineStr">
        <is>
          <t>MA1011605</t>
        </is>
      </c>
      <c r="E4345" t="inlineStr">
        <is>
          <t>MA</t>
        </is>
      </c>
      <c r="F4345" t="inlineStr">
        <is>
          <t>MA1011605</t>
        </is>
      </c>
      <c r="G4345" s="128" t="n">
        <v>46154</v>
      </c>
      <c r="H4345" s="127" t="n">
        <v>46156</v>
      </c>
      <c r="I4345" t="inlineStr">
        <is>
          <t>10</t>
        </is>
      </c>
      <c r="J4345" s="38" t="inlineStr">
        <is>
          <t>0-4510</t>
        </is>
      </c>
      <c r="K4345" t="inlineStr">
        <is>
          <t>AMERICAN POLY AFT-16P4 - AFT AEROSOL FOAM</t>
        </is>
      </c>
      <c r="L4345" t="n">
        <v>52</v>
      </c>
      <c r="M4345" t="n">
        <v>5367.96</v>
      </c>
      <c r="N4345" t="inlineStr">
        <is>
          <t>PO:COMMIT</t>
        </is>
      </c>
      <c r="O4345" t="inlineStr">
        <is>
          <t>18811</t>
        </is>
      </c>
      <c r="P4345" t="inlineStr">
        <is>
          <t>CITY ELECTRIC SUPPLY CO.</t>
        </is>
      </c>
      <c r="Q4345" s="114" t="n">
        <v>0</v>
      </c>
      <c r="R4345" s="114" t="n">
        <v>0</v>
      </c>
      <c r="S4345" s="114" t="n">
        <v>5367.96</v>
      </c>
      <c r="T4345" t="n">
        <v>0</v>
      </c>
    </row>
    <row r="4346">
      <c r="A4346" t="inlineStr">
        <is>
          <t>ttJTrans</t>
        </is>
      </c>
      <c r="B4346" s="38" t="inlineStr">
        <is>
          <t>0-4510</t>
        </is>
      </c>
      <c r="C4346" t="inlineStr">
        <is>
          <t>MA</t>
        </is>
      </c>
      <c r="D4346" t="inlineStr">
        <is>
          <t>MA1011605</t>
        </is>
      </c>
      <c r="E4346" t="inlineStr">
        <is>
          <t>MA</t>
        </is>
      </c>
      <c r="F4346" t="inlineStr">
        <is>
          <t>MA1011605</t>
        </is>
      </c>
      <c r="G4346" s="128" t="n">
        <v>46154</v>
      </c>
      <c r="H4346" s="127" t="n">
        <v>46156</v>
      </c>
      <c r="I4346" t="inlineStr">
        <is>
          <t>6</t>
        </is>
      </c>
      <c r="J4346" s="38" t="inlineStr">
        <is>
          <t>0-4510</t>
        </is>
      </c>
      <c r="K4346" t="inlineStr">
        <is>
          <t>BURNDY YGHC26C2 - 1-2/0 TO 6-2 CU GRD C TAP</t>
        </is>
      </c>
      <c r="L4346" t="n">
        <v>100</v>
      </c>
      <c r="M4346" t="n">
        <v>924.63</v>
      </c>
      <c r="N4346" t="inlineStr">
        <is>
          <t>PO:COMMIT</t>
        </is>
      </c>
      <c r="O4346" t="inlineStr">
        <is>
          <t>18811</t>
        </is>
      </c>
      <c r="P4346" t="inlineStr">
        <is>
          <t>CITY ELECTRIC SUPPLY CO.</t>
        </is>
      </c>
      <c r="Q4346" s="114" t="n">
        <v>0</v>
      </c>
      <c r="R4346" s="114" t="n">
        <v>0</v>
      </c>
      <c r="S4346" s="114" t="n">
        <v>924.63</v>
      </c>
      <c r="T4346" t="n">
        <v>0</v>
      </c>
    </row>
    <row r="4347">
      <c r="A4347" t="inlineStr">
        <is>
          <t>ttJTrans</t>
        </is>
      </c>
      <c r="B4347" s="38" t="inlineStr">
        <is>
          <t>0-4510</t>
        </is>
      </c>
      <c r="C4347" t="inlineStr">
        <is>
          <t>MA</t>
        </is>
      </c>
      <c r="D4347" t="inlineStr">
        <is>
          <t>MA1011605</t>
        </is>
      </c>
      <c r="E4347" t="inlineStr">
        <is>
          <t>MA</t>
        </is>
      </c>
      <c r="F4347" t="inlineStr">
        <is>
          <t>MA1011605</t>
        </is>
      </c>
      <c r="G4347" s="128" t="n">
        <v>46154</v>
      </c>
      <c r="H4347" s="127" t="n">
        <v>46156</v>
      </c>
      <c r="I4347" t="inlineStr">
        <is>
          <t>7</t>
        </is>
      </c>
      <c r="J4347" s="38" t="inlineStr">
        <is>
          <t>0-4510</t>
        </is>
      </c>
      <c r="K4347" t="inlineStr">
        <is>
          <t>BURNDY YGLR29C34 - 2-250 GRD GRID TO 3/4 RO</t>
        </is>
      </c>
      <c r="L4347" t="n">
        <v>100</v>
      </c>
      <c r="M4347" t="n">
        <v>6805.41</v>
      </c>
      <c r="N4347" t="inlineStr">
        <is>
          <t>PO:COMMIT</t>
        </is>
      </c>
      <c r="O4347" t="inlineStr">
        <is>
          <t>18811</t>
        </is>
      </c>
      <c r="P4347" t="inlineStr">
        <is>
          <t>CITY ELECTRIC SUPPLY CO.</t>
        </is>
      </c>
      <c r="Q4347" s="114" t="n">
        <v>0</v>
      </c>
      <c r="R4347" s="114" t="n">
        <v>0</v>
      </c>
      <c r="S4347" s="114" t="n">
        <v>6805.41</v>
      </c>
      <c r="T4347" t="n">
        <v>0</v>
      </c>
    </row>
    <row r="4348">
      <c r="A4348" t="inlineStr">
        <is>
          <t>ttJTrans</t>
        </is>
      </c>
      <c r="B4348" s="38" t="inlineStr">
        <is>
          <t>0-4510</t>
        </is>
      </c>
      <c r="C4348" t="inlineStr">
        <is>
          <t>MA</t>
        </is>
      </c>
      <c r="D4348" t="inlineStr">
        <is>
          <t>MA1011605</t>
        </is>
      </c>
      <c r="E4348" t="inlineStr">
        <is>
          <t>MA</t>
        </is>
      </c>
      <c r="F4348" t="inlineStr">
        <is>
          <t>MA1011605</t>
        </is>
      </c>
      <c r="G4348" s="128" t="n">
        <v>46154</v>
      </c>
      <c r="H4348" s="127" t="n">
        <v>46156</v>
      </c>
      <c r="I4348" t="inlineStr">
        <is>
          <t>5</t>
        </is>
      </c>
      <c r="J4348" s="38" t="inlineStr">
        <is>
          <t>0-4510</t>
        </is>
      </c>
      <c r="K4348" t="inlineStr">
        <is>
          <t>BURNDY YGHC29C26 - 3/0-250 TO 6-2/0 CU COMP</t>
        </is>
      </c>
      <c r="L4348" t="n">
        <v>100</v>
      </c>
      <c r="M4348" t="n">
        <v>1195.47</v>
      </c>
      <c r="N4348" t="inlineStr">
        <is>
          <t>PO:COMMIT</t>
        </is>
      </c>
      <c r="O4348" t="inlineStr">
        <is>
          <t>18811</t>
        </is>
      </c>
      <c r="P4348" t="inlineStr">
        <is>
          <t>CITY ELECTRIC SUPPLY CO.</t>
        </is>
      </c>
      <c r="Q4348" s="114" t="n">
        <v>0</v>
      </c>
      <c r="R4348" s="114" t="n">
        <v>0</v>
      </c>
      <c r="S4348" s="114" t="n">
        <v>1195.47</v>
      </c>
      <c r="T4348" t="n">
        <v>0</v>
      </c>
    </row>
    <row r="4349">
      <c r="A4349" t="inlineStr">
        <is>
          <t>ttJTrans</t>
        </is>
      </c>
      <c r="B4349" s="38" t="inlineStr">
        <is>
          <t>0-4510</t>
        </is>
      </c>
      <c r="C4349" t="inlineStr">
        <is>
          <t>MA</t>
        </is>
      </c>
      <c r="D4349" t="inlineStr">
        <is>
          <t>MA1011605</t>
        </is>
      </c>
      <c r="E4349" t="inlineStr">
        <is>
          <t>MA</t>
        </is>
      </c>
      <c r="F4349" t="inlineStr">
        <is>
          <t>MA1011605</t>
        </is>
      </c>
      <c r="G4349" s="128" t="n">
        <v>46154</v>
      </c>
      <c r="H4349" s="127" t="n">
        <v>46156</v>
      </c>
      <c r="I4349" t="inlineStr">
        <is>
          <t>3</t>
        </is>
      </c>
      <c r="J4349" s="38" t="inlineStr">
        <is>
          <t>0-4510</t>
        </is>
      </c>
      <c r="K4349" t="inlineStr">
        <is>
          <t>UGTAPE3 - 3" NON- DETECT RED ELECT CAUSTION</t>
        </is>
      </c>
      <c r="L4349" t="n">
        <v>70</v>
      </c>
      <c r="M4349" t="n">
        <v>1933.18</v>
      </c>
      <c r="N4349" t="inlineStr">
        <is>
          <t>PO:COMMIT</t>
        </is>
      </c>
      <c r="O4349" t="inlineStr">
        <is>
          <t>18811</t>
        </is>
      </c>
      <c r="P4349" t="inlineStr">
        <is>
          <t>CITY ELECTRIC SUPPLY CO.</t>
        </is>
      </c>
      <c r="Q4349" s="114" t="n">
        <v>0</v>
      </c>
      <c r="R4349" s="114" t="n">
        <v>0</v>
      </c>
      <c r="S4349" s="114" t="n">
        <v>1933.18</v>
      </c>
      <c r="T4349" t="n">
        <v>0</v>
      </c>
    </row>
    <row r="4350">
      <c r="A4350" t="inlineStr">
        <is>
          <t>ttJTrans</t>
        </is>
      </c>
      <c r="B4350" s="38" t="inlineStr">
        <is>
          <t>0-4510</t>
        </is>
      </c>
      <c r="C4350" t="inlineStr">
        <is>
          <t>MA</t>
        </is>
      </c>
      <c r="D4350" t="inlineStr">
        <is>
          <t>MA1011605</t>
        </is>
      </c>
      <c r="E4350" t="inlineStr">
        <is>
          <t>MA</t>
        </is>
      </c>
      <c r="F4350" t="inlineStr">
        <is>
          <t>MA1011605</t>
        </is>
      </c>
      <c r="G4350" s="128" t="n">
        <v>46154</v>
      </c>
      <c r="H4350" s="127" t="n">
        <v>46156</v>
      </c>
      <c r="I4350" t="inlineStr">
        <is>
          <t>4</t>
        </is>
      </c>
      <c r="J4350" s="38" t="inlineStr">
        <is>
          <t>0-4510</t>
        </is>
      </c>
      <c r="K4350" t="inlineStr">
        <is>
          <t>BURNDY YGHC29C29 - GROUNDING CRIMP</t>
        </is>
      </c>
      <c r="L4350" t="n">
        <v>100</v>
      </c>
      <c r="M4350" t="n">
        <v>1283.16</v>
      </c>
      <c r="N4350" t="inlineStr">
        <is>
          <t>PO:COMMIT</t>
        </is>
      </c>
      <c r="O4350" t="inlineStr">
        <is>
          <t>18811</t>
        </is>
      </c>
      <c r="P4350" t="inlineStr">
        <is>
          <t>CITY ELECTRIC SUPPLY CO.</t>
        </is>
      </c>
      <c r="Q4350" s="114" t="n">
        <v>0</v>
      </c>
      <c r="R4350" s="114" t="n">
        <v>0</v>
      </c>
      <c r="S4350" s="114" t="n">
        <v>1283.16</v>
      </c>
      <c r="T4350" t="n">
        <v>0</v>
      </c>
    </row>
    <row r="4351">
      <c r="A4351" t="inlineStr">
        <is>
          <t>ttJTrans</t>
        </is>
      </c>
      <c r="B4351" s="38" t="inlineStr">
        <is>
          <t>0-4510</t>
        </is>
      </c>
      <c r="C4351" t="inlineStr">
        <is>
          <t>MA</t>
        </is>
      </c>
      <c r="D4351" t="inlineStr">
        <is>
          <t>MA1011605</t>
        </is>
      </c>
      <c r="E4351" t="inlineStr">
        <is>
          <t>MA</t>
        </is>
      </c>
      <c r="F4351" t="inlineStr">
        <is>
          <t>MA1011605</t>
        </is>
      </c>
      <c r="G4351" s="128" t="n">
        <v>46154</v>
      </c>
      <c r="H4351" s="127" t="n">
        <v>46156</v>
      </c>
      <c r="I4351" t="inlineStr">
        <is>
          <t>2</t>
        </is>
      </c>
      <c r="J4351" s="38" t="inlineStr">
        <is>
          <t>0-4510</t>
        </is>
      </c>
      <c r="K4351" t="inlineStr">
        <is>
          <t>3M EC-3 - COLD SHRINK END CAPS ** SHIP</t>
        </is>
      </c>
      <c r="L4351" t="n">
        <v>60</v>
      </c>
      <c r="M4351" t="n">
        <v>1068.26</v>
      </c>
      <c r="N4351" t="inlineStr">
        <is>
          <t>PO:COMMIT</t>
        </is>
      </c>
      <c r="O4351" t="inlineStr">
        <is>
          <t>18811</t>
        </is>
      </c>
      <c r="P4351" t="inlineStr">
        <is>
          <t>CITY ELECTRIC SUPPLY CO.</t>
        </is>
      </c>
      <c r="Q4351" s="114" t="n">
        <v>0</v>
      </c>
      <c r="R4351" s="114" t="n">
        <v>0</v>
      </c>
      <c r="S4351" s="114" t="n">
        <v>1068.26</v>
      </c>
      <c r="T4351" t="n">
        <v>0</v>
      </c>
    </row>
    <row r="4352">
      <c r="A4352" t="inlineStr">
        <is>
          <t>ttJTrans</t>
        </is>
      </c>
      <c r="B4352" s="38" t="inlineStr">
        <is>
          <t>0-4510</t>
        </is>
      </c>
      <c r="C4352" t="inlineStr">
        <is>
          <t>MA</t>
        </is>
      </c>
      <c r="D4352" t="inlineStr">
        <is>
          <t>MA1011605</t>
        </is>
      </c>
      <c r="E4352" t="inlineStr">
        <is>
          <t>MA</t>
        </is>
      </c>
      <c r="F4352" t="inlineStr">
        <is>
          <t>MA1011605</t>
        </is>
      </c>
      <c r="G4352" s="128" t="n">
        <v>46154</v>
      </c>
      <c r="H4352" s="127" t="n">
        <v>46156</v>
      </c>
      <c r="I4352" t="inlineStr">
        <is>
          <t>9</t>
        </is>
      </c>
      <c r="J4352" s="38" t="inlineStr">
        <is>
          <t>0-4510</t>
        </is>
      </c>
      <c r="K4352" t="inlineStr">
        <is>
          <t>DBTAPE6 - 6" DETECT RED ELECT CAUTION TAPE</t>
        </is>
      </c>
      <c r="L4352" t="n">
        <v>7</v>
      </c>
      <c r="M4352" t="n">
        <v>723.15</v>
      </c>
      <c r="N4352" t="inlineStr">
        <is>
          <t>PO:COMMIT</t>
        </is>
      </c>
      <c r="O4352" t="inlineStr">
        <is>
          <t>18811</t>
        </is>
      </c>
      <c r="P4352" t="inlineStr">
        <is>
          <t>CITY ELECTRIC SUPPLY CO.</t>
        </is>
      </c>
      <c r="Q4352" s="114" t="n">
        <v>0</v>
      </c>
      <c r="R4352" s="114" t="n">
        <v>0</v>
      </c>
      <c r="S4352" s="114" t="n">
        <v>723.15</v>
      </c>
      <c r="T4352" t="n">
        <v>0</v>
      </c>
    </row>
    <row r="4353">
      <c r="A4353" t="inlineStr">
        <is>
          <t>ttJTrans</t>
        </is>
      </c>
      <c r="B4353" s="38" t="inlineStr">
        <is>
          <t>0-4510</t>
        </is>
      </c>
      <c r="C4353" t="inlineStr">
        <is>
          <t>MA</t>
        </is>
      </c>
      <c r="D4353" t="inlineStr">
        <is>
          <t>MA1011605</t>
        </is>
      </c>
      <c r="E4353" t="inlineStr">
        <is>
          <t>MA</t>
        </is>
      </c>
      <c r="F4353" t="inlineStr">
        <is>
          <t>MA1011605</t>
        </is>
      </c>
      <c r="G4353" s="128" t="n">
        <v>46154</v>
      </c>
      <c r="H4353" s="127" t="n">
        <v>46156</v>
      </c>
      <c r="I4353" t="inlineStr">
        <is>
          <t>11</t>
        </is>
      </c>
      <c r="J4353" s="38" t="inlineStr">
        <is>
          <t>0-4510</t>
        </is>
      </c>
      <c r="K4353" t="inlineStr">
        <is>
          <t>CSJ-SR-3513M5 4/0 SPLICES W/SEARBOLTS</t>
        </is>
      </c>
      <c r="L4353" t="n">
        <v>5</v>
      </c>
      <c r="M4353" t="n">
        <v>4414.75</v>
      </c>
      <c r="N4353" t="inlineStr">
        <is>
          <t>PO:COMMIT</t>
        </is>
      </c>
      <c r="O4353" t="inlineStr">
        <is>
          <t>18811</t>
        </is>
      </c>
      <c r="P4353" t="inlineStr">
        <is>
          <t>CITY ELECTRIC SUPPLY CO.</t>
        </is>
      </c>
      <c r="Q4353" s="114" t="n">
        <v>0</v>
      </c>
      <c r="R4353" s="114" t="n">
        <v>0</v>
      </c>
      <c r="S4353" s="114" t="n">
        <v>4414.75</v>
      </c>
      <c r="T4353" t="n">
        <v>0</v>
      </c>
    </row>
    <row r="4354">
      <c r="A4354" t="inlineStr">
        <is>
          <t>ttJTrans</t>
        </is>
      </c>
      <c r="B4354" s="38" t="inlineStr">
        <is>
          <t>0-4510</t>
        </is>
      </c>
      <c r="C4354" t="inlineStr">
        <is>
          <t>MA</t>
        </is>
      </c>
      <c r="D4354" t="inlineStr">
        <is>
          <t>MA1011605</t>
        </is>
      </c>
      <c r="E4354" t="inlineStr">
        <is>
          <t>MA</t>
        </is>
      </c>
      <c r="F4354" t="inlineStr">
        <is>
          <t>MA1011605</t>
        </is>
      </c>
      <c r="G4354" s="128" t="n">
        <v>46154</v>
      </c>
      <c r="H4354" s="127" t="n">
        <v>46156</v>
      </c>
      <c r="I4354" t="inlineStr">
        <is>
          <t>8</t>
        </is>
      </c>
      <c r="J4354" s="38" t="inlineStr">
        <is>
          <t>0-4510</t>
        </is>
      </c>
      <c r="K4354" t="inlineStr">
        <is>
          <t>CSJ-SR-3515M10 1250 SPLICES W/SEARBOLT</t>
        </is>
      </c>
      <c r="L4354" t="n">
        <v>34</v>
      </c>
      <c r="M4354" t="n">
        <v>46917.61</v>
      </c>
      <c r="N4354" t="inlineStr">
        <is>
          <t>PO:COMMIT</t>
        </is>
      </c>
      <c r="O4354" t="inlineStr">
        <is>
          <t>18811</t>
        </is>
      </c>
      <c r="P4354" t="inlineStr">
        <is>
          <t>CITY ELECTRIC SUPPLY CO.</t>
        </is>
      </c>
      <c r="Q4354" s="114" t="n">
        <v>0</v>
      </c>
      <c r="R4354" s="114" t="n">
        <v>0</v>
      </c>
      <c r="S4354" s="114" t="n">
        <v>96595.09</v>
      </c>
      <c r="T4354" t="n">
        <v>0</v>
      </c>
    </row>
    <row r="4355">
      <c r="A4355" t="inlineStr">
        <is>
          <t>ttJTrans</t>
        </is>
      </c>
      <c r="B4355" s="38" t="inlineStr">
        <is>
          <t>0-4510</t>
        </is>
      </c>
      <c r="C4355" t="inlineStr">
        <is>
          <t>MA</t>
        </is>
      </c>
      <c r="D4355" t="inlineStr">
        <is>
          <t>MA1011605</t>
        </is>
      </c>
      <c r="E4355" t="inlineStr">
        <is>
          <t>MA</t>
        </is>
      </c>
      <c r="F4355" t="inlineStr">
        <is>
          <t>MA1011605</t>
        </is>
      </c>
      <c r="G4355" s="128" t="n">
        <v>46154</v>
      </c>
      <c r="H4355" s="127" t="n">
        <v>46156</v>
      </c>
      <c r="I4355" t="inlineStr">
        <is>
          <t>8</t>
        </is>
      </c>
      <c r="J4355" s="38" t="inlineStr">
        <is>
          <t>0-4510</t>
        </is>
      </c>
      <c r="K4355" t="inlineStr">
        <is>
          <t>CSJ-SR-3515M10 1250 SPLICES W/SEARBOLT</t>
        </is>
      </c>
      <c r="L4355" t="n">
        <v>34</v>
      </c>
      <c r="M4355" t="n">
        <v>46917.61</v>
      </c>
      <c r="N4355" t="inlineStr">
        <is>
          <t>PO:COMMIT</t>
        </is>
      </c>
      <c r="O4355" t="inlineStr">
        <is>
          <t>18811</t>
        </is>
      </c>
      <c r="P4355" t="inlineStr">
        <is>
          <t>CITY ELECTRIC SUPPLY CO.</t>
        </is>
      </c>
      <c r="Q4355" s="114" t="n">
        <v>0</v>
      </c>
      <c r="R4355" s="114" t="n">
        <v>0</v>
      </c>
      <c r="S4355" s="114" t="n">
        <v>-49677.48</v>
      </c>
      <c r="T4355" t="n">
        <v>0</v>
      </c>
    </row>
    <row r="4356">
      <c r="A4356" t="inlineStr">
        <is>
          <t>ttJTrans</t>
        </is>
      </c>
      <c r="B4356" s="38" t="inlineStr">
        <is>
          <t>0-4510</t>
        </is>
      </c>
      <c r="C4356" t="inlineStr">
        <is>
          <t>MA</t>
        </is>
      </c>
      <c r="D4356" t="inlineStr">
        <is>
          <t>MA1011605</t>
        </is>
      </c>
      <c r="E4356" t="inlineStr">
        <is>
          <t>MA</t>
        </is>
      </c>
      <c r="F4356" t="inlineStr">
        <is>
          <t>MA1011605</t>
        </is>
      </c>
      <c r="G4356" s="128" t="n">
        <v>46154</v>
      </c>
      <c r="H4356" s="127" t="n">
        <v>46156</v>
      </c>
      <c r="I4356" t="inlineStr">
        <is>
          <t>12</t>
        </is>
      </c>
      <c r="J4356" s="38" t="inlineStr">
        <is>
          <t>0-4510</t>
        </is>
      </c>
      <c r="K4356" t="inlineStr">
        <is>
          <t>GR3/4X10CU - GROUND ROD</t>
        </is>
      </c>
      <c r="L4356" t="n">
        <v>60</v>
      </c>
      <c r="M4356" t="n">
        <v>1945.39</v>
      </c>
      <c r="N4356" t="inlineStr">
        <is>
          <t>PO:COMMIT</t>
        </is>
      </c>
      <c r="O4356" t="inlineStr">
        <is>
          <t>18811</t>
        </is>
      </c>
      <c r="P4356" t="inlineStr">
        <is>
          <t>CITY ELECTRIC SUPPLY CO.</t>
        </is>
      </c>
      <c r="Q4356" s="114" t="n">
        <v>0</v>
      </c>
      <c r="R4356" s="114" t="n">
        <v>0</v>
      </c>
      <c r="S4356" s="114" t="n">
        <v>1945.39</v>
      </c>
      <c r="T4356" t="n">
        <v>0</v>
      </c>
    </row>
    <row r="4357">
      <c r="A4357" t="inlineStr">
        <is>
          <t>ttJTrans</t>
        </is>
      </c>
      <c r="B4357" s="38" t="inlineStr">
        <is>
          <t>0-4510</t>
        </is>
      </c>
      <c r="C4357" t="inlineStr">
        <is>
          <t>MA</t>
        </is>
      </c>
      <c r="D4357" t="inlineStr">
        <is>
          <t>MA1011605</t>
        </is>
      </c>
      <c r="E4357" t="inlineStr">
        <is>
          <t>MA</t>
        </is>
      </c>
      <c r="F4357" t="inlineStr">
        <is>
          <t>MA1011605</t>
        </is>
      </c>
      <c r="G4357" s="128" t="n">
        <v>46154</v>
      </c>
      <c r="H4357" s="127" t="n">
        <v>46156</v>
      </c>
      <c r="I4357" t="inlineStr">
        <is>
          <t>1</t>
        </is>
      </c>
      <c r="J4357" s="38" t="inlineStr">
        <is>
          <t>0-4510</t>
        </is>
      </c>
      <c r="K4357" t="inlineStr">
        <is>
          <t>3M EC-4 - COLD SHRINK END CAPS ** SHIP 6/5/26</t>
        </is>
      </c>
      <c r="L4357" t="n">
        <v>2000</v>
      </c>
      <c r="M4357" t="n">
        <v>46908.6</v>
      </c>
      <c r="N4357" t="inlineStr">
        <is>
          <t>PO:COMMIT</t>
        </is>
      </c>
      <c r="O4357" t="inlineStr">
        <is>
          <t>18811</t>
        </is>
      </c>
      <c r="P4357" t="inlineStr">
        <is>
          <t>CITY ELECTRIC SUPPLY CO.</t>
        </is>
      </c>
      <c r="Q4357" s="114" t="n">
        <v>0</v>
      </c>
      <c r="R4357" s="114" t="n">
        <v>0</v>
      </c>
      <c r="S4357" s="114" t="n">
        <v>46908.6</v>
      </c>
      <c r="T4357" t="n">
        <v>0</v>
      </c>
    </row>
    <row r="4358">
      <c r="A4358" t="inlineStr">
        <is>
          <t>ttJTrans</t>
        </is>
      </c>
      <c r="B4358" s="38" t="inlineStr">
        <is>
          <t>0-4510</t>
        </is>
      </c>
      <c r="C4358" t="inlineStr">
        <is>
          <t>MA</t>
        </is>
      </c>
      <c r="D4358" t="inlineStr">
        <is>
          <t>MA1011868</t>
        </is>
      </c>
      <c r="E4358" t="inlineStr">
        <is>
          <t>MA</t>
        </is>
      </c>
      <c r="F4358" t="inlineStr">
        <is>
          <t>MA1011868</t>
        </is>
      </c>
      <c r="G4358" t="n">
        <v>46164</v>
      </c>
      <c r="H4358" s="127" t="n">
        <v>46167</v>
      </c>
      <c r="I4358" t="inlineStr">
        <is>
          <t>1</t>
        </is>
      </c>
      <c r="J4358" s="38" t="inlineStr">
        <is>
          <t>0-4510</t>
        </is>
      </c>
      <c r="K4358" t="inlineStr">
        <is>
          <t>3M 5468A(L)-20SB-Al-WF - 1250 KCMIL Splice</t>
        </is>
      </c>
      <c r="L4358" t="n">
        <v>36</v>
      </c>
      <c r="M4358" t="n">
        <v>54063.48</v>
      </c>
      <c r="N4358" t="inlineStr">
        <is>
          <t>PO:COMMIT</t>
        </is>
      </c>
      <c r="O4358" t="inlineStr">
        <is>
          <t>19193</t>
        </is>
      </c>
      <c r="P4358" t="inlineStr">
        <is>
          <t>CRAWFORD ELECTRIC SUPPLY CO., INC.</t>
        </is>
      </c>
      <c r="Q4358" s="114" t="n">
        <v>54063.48</v>
      </c>
      <c r="R4358" s="114" t="n">
        <v>0</v>
      </c>
      <c r="S4358" s="114" t="n">
        <v>0</v>
      </c>
      <c r="T4358" t="n">
        <v>0</v>
      </c>
    </row>
    <row r="4359">
      <c r="A4359" t="inlineStr">
        <is>
          <t>ttJTrans</t>
        </is>
      </c>
      <c r="B4359" s="38" t="inlineStr">
        <is>
          <t>0-4510</t>
        </is>
      </c>
      <c r="C4359" t="inlineStr">
        <is>
          <t>OC</t>
        </is>
      </c>
      <c r="D4359" t="inlineStr">
        <is>
          <t>MA1010991</t>
        </is>
      </c>
      <c r="E4359" t="inlineStr">
        <is>
          <t>OC</t>
        </is>
      </c>
      <c r="F4359" t="inlineStr">
        <is>
          <t>MA1010991</t>
        </is>
      </c>
      <c r="G4359" t="n">
        <v>46118</v>
      </c>
      <c r="H4359" s="127" t="n">
        <v>46118</v>
      </c>
      <c r="I4359" t="inlineStr">
        <is>
          <t>1</t>
        </is>
      </c>
      <c r="J4359" s="38" t="inlineStr">
        <is>
          <t>0-4510</t>
        </is>
      </c>
      <c r="K4359" t="inlineStr">
        <is>
          <t>MEGGER</t>
        </is>
      </c>
      <c r="L4359" t="n">
        <v>1</v>
      </c>
      <c r="M4359" t="n">
        <v>304.7</v>
      </c>
      <c r="N4359" t="inlineStr">
        <is>
          <t>INVOICE:ADJ-ACCRUAL</t>
        </is>
      </c>
      <c r="O4359" t="inlineStr">
        <is>
          <t>19386</t>
        </is>
      </c>
      <c r="P4359" t="inlineStr">
        <is>
          <t>TECHNICAL DIAGNOSTIC SERVICES, LLC</t>
        </is>
      </c>
      <c r="Q4359" s="114" t="n">
        <v>-304.7</v>
      </c>
      <c r="R4359" s="114" t="n">
        <v>0</v>
      </c>
      <c r="S4359" s="114" t="n">
        <v>0</v>
      </c>
      <c r="T4359" t="n">
        <v>0</v>
      </c>
    </row>
    <row r="4360">
      <c r="A4360" t="inlineStr">
        <is>
          <t>ttJTrans</t>
        </is>
      </c>
      <c r="B4360" s="38" t="inlineStr">
        <is>
          <t>0-4510</t>
        </is>
      </c>
      <c r="C4360" t="inlineStr">
        <is>
          <t>OC</t>
        </is>
      </c>
      <c r="D4360" t="inlineStr">
        <is>
          <t>MA1010991</t>
        </is>
      </c>
      <c r="E4360" t="inlineStr">
        <is>
          <t>OC</t>
        </is>
      </c>
      <c r="F4360" t="inlineStr">
        <is>
          <t>MA1010991</t>
        </is>
      </c>
      <c r="G4360" t="n">
        <v>46118</v>
      </c>
      <c r="H4360" s="127" t="n">
        <v>46118</v>
      </c>
      <c r="I4360" t="inlineStr">
        <is>
          <t>1</t>
        </is>
      </c>
      <c r="J4360" s="38" t="inlineStr">
        <is>
          <t>0-4510</t>
        </is>
      </c>
      <c r="K4360" t="inlineStr">
        <is>
          <t>MEGGER</t>
        </is>
      </c>
      <c r="L4360" t="n">
        <v>1</v>
      </c>
      <c r="M4360" t="n">
        <v>304.7</v>
      </c>
      <c r="N4360" t="inlineStr">
        <is>
          <t>PO:COMMIT</t>
        </is>
      </c>
      <c r="O4360" t="inlineStr">
        <is>
          <t>19386</t>
        </is>
      </c>
      <c r="P4360" t="inlineStr">
        <is>
          <t>TECHNICAL DIAGNOSTIC SERVICES, LLC</t>
        </is>
      </c>
      <c r="Q4360" s="114" t="n">
        <v>0</v>
      </c>
      <c r="R4360" s="114" t="n">
        <v>0</v>
      </c>
      <c r="S4360" s="114" t="n">
        <v>304.7</v>
      </c>
      <c r="T4360" t="n">
        <v>0</v>
      </c>
    </row>
    <row r="4361">
      <c r="A4361" t="inlineStr">
        <is>
          <t>ttJTrans</t>
        </is>
      </c>
      <c r="B4361" s="38" t="inlineStr">
        <is>
          <t>0-4510</t>
        </is>
      </c>
      <c r="C4361" t="inlineStr">
        <is>
          <t>OC</t>
        </is>
      </c>
      <c r="D4361" t="inlineStr">
        <is>
          <t>MA1010991</t>
        </is>
      </c>
      <c r="E4361" t="inlineStr">
        <is>
          <t>OC</t>
        </is>
      </c>
      <c r="F4361" t="inlineStr">
        <is>
          <t>MA1010991</t>
        </is>
      </c>
      <c r="G4361" t="n">
        <v>46118</v>
      </c>
      <c r="H4361" s="127" t="n">
        <v>46153</v>
      </c>
      <c r="I4361" t="inlineStr">
        <is>
          <t>1</t>
        </is>
      </c>
      <c r="J4361" s="38" t="inlineStr">
        <is>
          <t>0-4510</t>
        </is>
      </c>
      <c r="K4361" t="inlineStr">
        <is>
          <t>MEGGER</t>
        </is>
      </c>
      <c r="L4361" t="n">
        <v>1</v>
      </c>
      <c r="M4361" t="n">
        <v>304.7</v>
      </c>
      <c r="N4361" t="inlineStr">
        <is>
          <t>INVOICE</t>
        </is>
      </c>
      <c r="O4361" t="inlineStr">
        <is>
          <t>19386</t>
        </is>
      </c>
      <c r="P4361" t="inlineStr">
        <is>
          <t>TECHNICAL DIAGNOSTIC SERVICES, LLC</t>
        </is>
      </c>
      <c r="Q4361" s="114" t="n">
        <v>0</v>
      </c>
      <c r="R4361" s="114" t="n">
        <v>0</v>
      </c>
      <c r="S4361" s="114" t="n">
        <v>0</v>
      </c>
      <c r="T4361" t="n">
        <v>0</v>
      </c>
    </row>
    <row r="4362">
      <c r="A4362" t="inlineStr">
        <is>
          <t>ttJTrans</t>
        </is>
      </c>
      <c r="B4362" s="38" t="inlineStr">
        <is>
          <t>0-4510</t>
        </is>
      </c>
      <c r="C4362" t="inlineStr">
        <is>
          <t>OC</t>
        </is>
      </c>
      <c r="D4362" t="inlineStr">
        <is>
          <t>MA1011868</t>
        </is>
      </c>
      <c r="E4362" t="inlineStr">
        <is>
          <t>OC</t>
        </is>
      </c>
      <c r="F4362" t="inlineStr">
        <is>
          <t>MA1011868</t>
        </is>
      </c>
      <c r="G4362" t="n">
        <v>46164</v>
      </c>
      <c r="H4362" s="127" t="n">
        <v>46167</v>
      </c>
      <c r="I4362" t="inlineStr">
        <is>
          <t>2</t>
        </is>
      </c>
      <c r="J4362" s="38" t="inlineStr">
        <is>
          <t>0-4510</t>
        </is>
      </c>
      <c r="K4362" t="inlineStr">
        <is>
          <t>Freight invoice 211710</t>
        </is>
      </c>
      <c r="L4362" t="n">
        <v>1</v>
      </c>
      <c r="M4362" t="n">
        <v>305.01</v>
      </c>
      <c r="N4362" t="inlineStr">
        <is>
          <t>PO:COMMIT</t>
        </is>
      </c>
      <c r="O4362" t="inlineStr">
        <is>
          <t>19193</t>
        </is>
      </c>
      <c r="P4362" t="inlineStr">
        <is>
          <t>CRAWFORD ELECTRIC SUPPLY CO., INC.</t>
        </is>
      </c>
      <c r="Q4362" s="114" t="n">
        <v>0</v>
      </c>
      <c r="R4362" s="114" t="n">
        <v>0</v>
      </c>
      <c r="S4362" s="114" t="n">
        <v>305.01</v>
      </c>
      <c r="T4362" t="n">
        <v>0</v>
      </c>
    </row>
    <row r="4363">
      <c r="A4363" t="inlineStr">
        <is>
          <t>ttJTrans</t>
        </is>
      </c>
      <c r="B4363" s="38" t="inlineStr">
        <is>
          <t>0-4510</t>
        </is>
      </c>
      <c r="C4363" t="inlineStr">
        <is>
          <t>OC</t>
        </is>
      </c>
      <c r="E4363" t="inlineStr">
        <is>
          <t>OC</t>
        </is>
      </c>
      <c r="H4363" s="127" t="n">
        <v>46153</v>
      </c>
      <c r="J4363" s="38" t="inlineStr">
        <is>
          <t>0-4510</t>
        </is>
      </c>
      <c r="K4363" t="inlineStr">
        <is>
          <t>CALIBRATION OF MEGGER MIT1525</t>
        </is>
      </c>
      <c r="L4363" t="n">
        <v>0</v>
      </c>
      <c r="M4363" t="n">
        <v>0</v>
      </c>
      <c r="O4363" t="inlineStr">
        <is>
          <t>19386</t>
        </is>
      </c>
      <c r="P4363" t="inlineStr">
        <is>
          <t>TDS RENTALS &amp; LEASING, LLC</t>
        </is>
      </c>
      <c r="Q4363" s="114" t="n">
        <v>0</v>
      </c>
      <c r="R4363" s="114" t="n">
        <v>274.5</v>
      </c>
      <c r="S4363" s="114" t="n">
        <v>0</v>
      </c>
      <c r="T4363" t="n">
        <v>0</v>
      </c>
    </row>
    <row r="4364">
      <c r="A4364" t="inlineStr">
        <is>
          <t>ttJTrans</t>
        </is>
      </c>
      <c r="B4364" s="38" t="inlineStr">
        <is>
          <t>0-4520</t>
        </is>
      </c>
      <c r="C4364" t="inlineStr">
        <is>
          <t>ER</t>
        </is>
      </c>
      <c r="E4364" t="inlineStr">
        <is>
          <t>ER</t>
        </is>
      </c>
      <c r="H4364" s="127" t="n">
        <v>46166</v>
      </c>
      <c r="J4364" s="38" t="inlineStr">
        <is>
          <t>0-4520</t>
        </is>
      </c>
      <c r="K4364" t="inlineStr">
        <is>
          <t>RTL1085 2022 VELOCIWRAP CABLE WRAPPER 2022 VELOCIWRAP CABLE WRAPPER</t>
        </is>
      </c>
      <c r="L4364" t="n">
        <v>0</v>
      </c>
      <c r="M4364" t="n">
        <v>0</v>
      </c>
      <c r="O4364" t="inlineStr">
        <is>
          <t>RTL1085</t>
        </is>
      </c>
      <c r="Q4364" s="114" t="n">
        <v>0</v>
      </c>
      <c r="R4364" s="114" t="n">
        <v>330.46</v>
      </c>
      <c r="S4364" s="114" t="n">
        <v>0</v>
      </c>
      <c r="T4364" t="n">
        <v>0</v>
      </c>
    </row>
    <row r="4365">
      <c r="A4365" t="inlineStr">
        <is>
          <t>ttJTrans</t>
        </is>
      </c>
      <c r="B4365" s="38" t="inlineStr">
        <is>
          <t>0-4520</t>
        </is>
      </c>
      <c r="C4365" t="inlineStr">
        <is>
          <t>ER</t>
        </is>
      </c>
      <c r="E4365" t="inlineStr">
        <is>
          <t>ER</t>
        </is>
      </c>
      <c r="H4365" s="127" t="n">
        <v>46152</v>
      </c>
      <c r="J4365" s="38" t="inlineStr">
        <is>
          <t>0-4520</t>
        </is>
      </c>
      <c r="K4365" t="inlineStr">
        <is>
          <t>RTL1082 2023 PREMIER TRIPLEXING TRAILER 2023 PREMIER TRIPLEXING TRAILER</t>
        </is>
      </c>
      <c r="L4365" t="n">
        <v>0</v>
      </c>
      <c r="M4365" t="n">
        <v>0</v>
      </c>
      <c r="O4365" t="inlineStr">
        <is>
          <t>RTL1082</t>
        </is>
      </c>
      <c r="Q4365" s="114" t="n">
        <v>0</v>
      </c>
      <c r="R4365" s="114" t="n">
        <v>65</v>
      </c>
      <c r="S4365" s="114" t="n">
        <v>0</v>
      </c>
      <c r="T4365" t="n">
        <v>0</v>
      </c>
    </row>
    <row r="4366">
      <c r="A4366" t="inlineStr">
        <is>
          <t>ttJTrans</t>
        </is>
      </c>
      <c r="B4366" s="38" t="inlineStr">
        <is>
          <t>0-4520</t>
        </is>
      </c>
      <c r="C4366" t="inlineStr">
        <is>
          <t>ER</t>
        </is>
      </c>
      <c r="E4366" t="inlineStr">
        <is>
          <t>ER</t>
        </is>
      </c>
      <c r="H4366" s="127" t="n">
        <v>46152</v>
      </c>
      <c r="J4366" s="38" t="inlineStr">
        <is>
          <t>0-4520</t>
        </is>
      </c>
      <c r="K4366" t="inlineStr">
        <is>
          <t>RTL1082 2023 PREMIER TRIPLEXING TRAILER 2023 PREMIER TRIPLEXING TRAILER</t>
        </is>
      </c>
      <c r="L4366" t="n">
        <v>0</v>
      </c>
      <c r="M4366" t="n">
        <v>0</v>
      </c>
      <c r="O4366" t="inlineStr">
        <is>
          <t>RTL1082</t>
        </is>
      </c>
      <c r="Q4366" s="114" t="n">
        <v>0</v>
      </c>
      <c r="R4366" s="114" t="n">
        <v>65</v>
      </c>
      <c r="S4366" s="114" t="n">
        <v>0</v>
      </c>
      <c r="T4366" t="n">
        <v>0</v>
      </c>
    </row>
    <row r="4367">
      <c r="A4367" t="inlineStr">
        <is>
          <t>ttJTrans</t>
        </is>
      </c>
      <c r="B4367" s="38" t="inlineStr">
        <is>
          <t>0-4520</t>
        </is>
      </c>
      <c r="C4367" t="inlineStr">
        <is>
          <t>ER</t>
        </is>
      </c>
      <c r="E4367" t="inlineStr">
        <is>
          <t>ER</t>
        </is>
      </c>
      <c r="H4367" s="127" t="n">
        <v>46152</v>
      </c>
      <c r="J4367" s="38" t="inlineStr">
        <is>
          <t>0-4520</t>
        </is>
      </c>
      <c r="K4367" t="inlineStr">
        <is>
          <t>RTL1082 2023 PREMIER TRIPLEXING TRAILER 2023 PREMIER TRIPLEXING TRAILER</t>
        </is>
      </c>
      <c r="L4367" t="n">
        <v>0</v>
      </c>
      <c r="M4367" t="n">
        <v>0</v>
      </c>
      <c r="O4367" t="inlineStr">
        <is>
          <t>RTL1082</t>
        </is>
      </c>
      <c r="Q4367" s="114" t="n">
        <v>0</v>
      </c>
      <c r="R4367" s="114" t="n">
        <v>65</v>
      </c>
      <c r="S4367" s="114" t="n">
        <v>0</v>
      </c>
      <c r="T4367" t="n">
        <v>0</v>
      </c>
    </row>
    <row r="4368">
      <c r="A4368" t="inlineStr">
        <is>
          <t>ttJTrans</t>
        </is>
      </c>
      <c r="B4368" s="38" t="inlineStr">
        <is>
          <t>0-4520</t>
        </is>
      </c>
      <c r="C4368" t="inlineStr">
        <is>
          <t>ER</t>
        </is>
      </c>
      <c r="E4368" t="inlineStr">
        <is>
          <t>ER</t>
        </is>
      </c>
      <c r="H4368" s="127" t="n">
        <v>46152</v>
      </c>
      <c r="J4368" s="38" t="inlineStr">
        <is>
          <t>0-4520</t>
        </is>
      </c>
      <c r="K4368" t="inlineStr">
        <is>
          <t>RTL1082 2023 PREMIER TRIPLEXING TRAILER 2023 PREMIER TRIPLEXING TRAILER</t>
        </is>
      </c>
      <c r="L4368" t="n">
        <v>0</v>
      </c>
      <c r="M4368" t="n">
        <v>0</v>
      </c>
      <c r="O4368" t="inlineStr">
        <is>
          <t>RTL1082</t>
        </is>
      </c>
      <c r="Q4368" s="114" t="n">
        <v>0</v>
      </c>
      <c r="R4368" s="114" t="n">
        <v>65</v>
      </c>
      <c r="S4368" s="114" t="n">
        <v>0</v>
      </c>
      <c r="T4368" t="n">
        <v>0</v>
      </c>
    </row>
    <row r="4369">
      <c r="A4369" t="inlineStr">
        <is>
          <t>ttJTrans</t>
        </is>
      </c>
      <c r="B4369" s="38" t="inlineStr">
        <is>
          <t>0-4520</t>
        </is>
      </c>
      <c r="C4369" t="inlineStr">
        <is>
          <t>ER</t>
        </is>
      </c>
      <c r="E4369" t="inlineStr">
        <is>
          <t>ER</t>
        </is>
      </c>
      <c r="H4369" s="127" t="n">
        <v>46152</v>
      </c>
      <c r="J4369" s="38" t="inlineStr">
        <is>
          <t>0-4520</t>
        </is>
      </c>
      <c r="K4369" t="inlineStr">
        <is>
          <t>RTL1083 2022 VELOCIWRAP TRIPLEXING TRAILER 2022 VELOCIWRAP TRIPLEXING TRAILER</t>
        </is>
      </c>
      <c r="L4369" t="n">
        <v>0</v>
      </c>
      <c r="M4369" t="n">
        <v>0</v>
      </c>
      <c r="O4369" t="inlineStr">
        <is>
          <t>RTL1083</t>
        </is>
      </c>
      <c r="Q4369" s="114" t="n">
        <v>0</v>
      </c>
      <c r="R4369" s="114" t="n">
        <v>65</v>
      </c>
      <c r="S4369" s="114" t="n">
        <v>0</v>
      </c>
      <c r="T4369" t="n">
        <v>0</v>
      </c>
    </row>
    <row r="4370">
      <c r="A4370" t="inlineStr">
        <is>
          <t>ttJTrans</t>
        </is>
      </c>
      <c r="B4370" s="38" t="inlineStr">
        <is>
          <t>0-4520</t>
        </is>
      </c>
      <c r="C4370" t="inlineStr">
        <is>
          <t>ER</t>
        </is>
      </c>
      <c r="E4370" t="inlineStr">
        <is>
          <t>ER</t>
        </is>
      </c>
      <c r="H4370" s="127" t="n">
        <v>46152</v>
      </c>
      <c r="J4370" s="38" t="inlineStr">
        <is>
          <t>0-4520</t>
        </is>
      </c>
      <c r="K4370" t="inlineStr">
        <is>
          <t>RTL1083 2022 VELOCIWRAP TRIPLEXING TRAILER 2022 VELOCIWRAP TRIPLEXING TRAILER</t>
        </is>
      </c>
      <c r="L4370" t="n">
        <v>0</v>
      </c>
      <c r="M4370" t="n">
        <v>0</v>
      </c>
      <c r="O4370" t="inlineStr">
        <is>
          <t>RTL1083</t>
        </is>
      </c>
      <c r="Q4370" s="114" t="n">
        <v>0</v>
      </c>
      <c r="R4370" s="114" t="n">
        <v>65</v>
      </c>
      <c r="S4370" s="114" t="n">
        <v>0</v>
      </c>
      <c r="T4370" t="n">
        <v>0</v>
      </c>
    </row>
    <row r="4371">
      <c r="A4371" t="inlineStr">
        <is>
          <t>ttJTrans</t>
        </is>
      </c>
      <c r="B4371" s="38" t="inlineStr">
        <is>
          <t>0-4520</t>
        </is>
      </c>
      <c r="C4371" t="inlineStr">
        <is>
          <t>ER</t>
        </is>
      </c>
      <c r="E4371" t="inlineStr">
        <is>
          <t>ER</t>
        </is>
      </c>
      <c r="H4371" s="127" t="n">
        <v>46152</v>
      </c>
      <c r="J4371" s="38" t="inlineStr">
        <is>
          <t>0-4520</t>
        </is>
      </c>
      <c r="K4371" t="inlineStr">
        <is>
          <t>RTL1083 2022 VELOCIWRAP TRIPLEXING TRAILER 2022 VELOCIWRAP TRIPLEXING TRAILER</t>
        </is>
      </c>
      <c r="L4371" t="n">
        <v>0</v>
      </c>
      <c r="M4371" t="n">
        <v>0</v>
      </c>
      <c r="O4371" t="inlineStr">
        <is>
          <t>RTL1083</t>
        </is>
      </c>
      <c r="Q4371" s="114" t="n">
        <v>0</v>
      </c>
      <c r="R4371" s="114" t="n">
        <v>65</v>
      </c>
      <c r="S4371" s="114" t="n">
        <v>0</v>
      </c>
      <c r="T4371" t="n">
        <v>0</v>
      </c>
    </row>
    <row r="4372">
      <c r="A4372" t="inlineStr">
        <is>
          <t>ttJTrans</t>
        </is>
      </c>
      <c r="B4372" s="38" t="inlineStr">
        <is>
          <t>0-4520</t>
        </is>
      </c>
      <c r="C4372" t="inlineStr">
        <is>
          <t>ER</t>
        </is>
      </c>
      <c r="E4372" t="inlineStr">
        <is>
          <t>ER</t>
        </is>
      </c>
      <c r="H4372" s="127" t="n">
        <v>46152</v>
      </c>
      <c r="J4372" s="38" t="inlineStr">
        <is>
          <t>0-4520</t>
        </is>
      </c>
      <c r="K4372" t="inlineStr">
        <is>
          <t>RTL1083 2022 VELOCIWRAP TRIPLEXING TRAILER 2022 VELOCIWRAP TRIPLEXING TRAILER</t>
        </is>
      </c>
      <c r="L4372" t="n">
        <v>0</v>
      </c>
      <c r="M4372" t="n">
        <v>0</v>
      </c>
      <c r="O4372" t="inlineStr">
        <is>
          <t>RTL1083</t>
        </is>
      </c>
      <c r="Q4372" s="114" t="n">
        <v>0</v>
      </c>
      <c r="R4372" s="114" t="n">
        <v>65</v>
      </c>
      <c r="S4372" s="114" t="n">
        <v>0</v>
      </c>
      <c r="T4372" t="n">
        <v>0</v>
      </c>
    </row>
    <row r="4373">
      <c r="A4373" t="inlineStr">
        <is>
          <t>ttJTrans</t>
        </is>
      </c>
      <c r="B4373" s="38" t="inlineStr">
        <is>
          <t>0-4520</t>
        </is>
      </c>
      <c r="C4373" t="inlineStr">
        <is>
          <t>ER</t>
        </is>
      </c>
      <c r="E4373" t="inlineStr">
        <is>
          <t>ER</t>
        </is>
      </c>
      <c r="H4373" s="127" t="n">
        <v>46152</v>
      </c>
      <c r="J4373" s="38" t="inlineStr">
        <is>
          <t>0-4520</t>
        </is>
      </c>
      <c r="K4373" t="inlineStr">
        <is>
          <t>RTL1084 2022 VELOCIWRAP CABLE WRAPPER 2022 VELOCIWRAP CABLE WRAPPER</t>
        </is>
      </c>
      <c r="L4373" t="n">
        <v>0</v>
      </c>
      <c r="M4373" t="n">
        <v>0</v>
      </c>
      <c r="O4373" t="inlineStr">
        <is>
          <t>RTL1084</t>
        </is>
      </c>
      <c r="Q4373" s="114" t="n">
        <v>0</v>
      </c>
      <c r="R4373" s="114" t="n">
        <v>330.46</v>
      </c>
      <c r="S4373" s="114" t="n">
        <v>0</v>
      </c>
      <c r="T4373" t="n">
        <v>0</v>
      </c>
    </row>
    <row r="4374">
      <c r="A4374" t="inlineStr">
        <is>
          <t>ttJTrans</t>
        </is>
      </c>
      <c r="B4374" s="38" t="inlineStr">
        <is>
          <t>0-4520</t>
        </is>
      </c>
      <c r="C4374" t="inlineStr">
        <is>
          <t>ER</t>
        </is>
      </c>
      <c r="E4374" t="inlineStr">
        <is>
          <t>ER</t>
        </is>
      </c>
      <c r="H4374" s="127" t="n">
        <v>46152</v>
      </c>
      <c r="J4374" s="38" t="inlineStr">
        <is>
          <t>0-4520</t>
        </is>
      </c>
      <c r="K4374" t="inlineStr">
        <is>
          <t>RTL1084 2022 VELOCIWRAP CABLE WRAPPER 2022 VELOCIWRAP CABLE WRAPPER</t>
        </is>
      </c>
      <c r="L4374" t="n">
        <v>0</v>
      </c>
      <c r="M4374" t="n">
        <v>0</v>
      </c>
      <c r="O4374" t="inlineStr">
        <is>
          <t>RTL1084</t>
        </is>
      </c>
      <c r="Q4374" s="114" t="n">
        <v>0</v>
      </c>
      <c r="R4374" s="114" t="n">
        <v>330.46</v>
      </c>
      <c r="S4374" s="114" t="n">
        <v>0</v>
      </c>
      <c r="T4374" t="n">
        <v>0</v>
      </c>
    </row>
    <row r="4375">
      <c r="A4375" t="inlineStr">
        <is>
          <t>ttJTrans</t>
        </is>
      </c>
      <c r="B4375" s="38" t="inlineStr">
        <is>
          <t>0-4520</t>
        </is>
      </c>
      <c r="C4375" t="inlineStr">
        <is>
          <t>ER</t>
        </is>
      </c>
      <c r="E4375" t="inlineStr">
        <is>
          <t>ER</t>
        </is>
      </c>
      <c r="H4375" s="127" t="n">
        <v>46152</v>
      </c>
      <c r="J4375" s="38" t="inlineStr">
        <is>
          <t>0-4520</t>
        </is>
      </c>
      <c r="K4375" t="inlineStr">
        <is>
          <t>RTL1084 2022 VELOCIWRAP CABLE WRAPPER 2022 VELOCIWRAP CABLE WRAPPER</t>
        </is>
      </c>
      <c r="L4375" t="n">
        <v>0</v>
      </c>
      <c r="M4375" t="n">
        <v>0</v>
      </c>
      <c r="O4375" t="inlineStr">
        <is>
          <t>RTL1084</t>
        </is>
      </c>
      <c r="Q4375" s="114" t="n">
        <v>0</v>
      </c>
      <c r="R4375" s="114" t="n">
        <v>330.46</v>
      </c>
      <c r="S4375" s="114" t="n">
        <v>0</v>
      </c>
      <c r="T4375" t="n">
        <v>0</v>
      </c>
    </row>
    <row r="4376">
      <c r="A4376" t="inlineStr">
        <is>
          <t>ttJTrans</t>
        </is>
      </c>
      <c r="B4376" s="38" t="inlineStr">
        <is>
          <t>0-4520</t>
        </is>
      </c>
      <c r="C4376" t="inlineStr">
        <is>
          <t>ER</t>
        </is>
      </c>
      <c r="E4376" t="inlineStr">
        <is>
          <t>ER</t>
        </is>
      </c>
      <c r="H4376" s="127" t="n">
        <v>46152</v>
      </c>
      <c r="J4376" s="38" t="inlineStr">
        <is>
          <t>0-4520</t>
        </is>
      </c>
      <c r="K4376" t="inlineStr">
        <is>
          <t>RTL1084 2022 VELOCIWRAP CABLE WRAPPER 2022 VELOCIWRAP CABLE WRAPPER</t>
        </is>
      </c>
      <c r="L4376" t="n">
        <v>0</v>
      </c>
      <c r="M4376" t="n">
        <v>0</v>
      </c>
      <c r="O4376" t="inlineStr">
        <is>
          <t>RTL1084</t>
        </is>
      </c>
      <c r="Q4376" s="114" t="n">
        <v>0</v>
      </c>
      <c r="R4376" s="114" t="n">
        <v>330.46</v>
      </c>
      <c r="S4376" s="114" t="n">
        <v>0</v>
      </c>
      <c r="T4376" t="n">
        <v>0</v>
      </c>
    </row>
    <row r="4377">
      <c r="A4377" t="inlineStr">
        <is>
          <t>ttJTrans</t>
        </is>
      </c>
      <c r="B4377" s="38" t="inlineStr">
        <is>
          <t>0-4520</t>
        </is>
      </c>
      <c r="C4377" t="inlineStr">
        <is>
          <t>ER</t>
        </is>
      </c>
      <c r="E4377" t="inlineStr">
        <is>
          <t>ER</t>
        </is>
      </c>
      <c r="H4377" s="127" t="n">
        <v>46152</v>
      </c>
      <c r="J4377" s="38" t="inlineStr">
        <is>
          <t>0-4520</t>
        </is>
      </c>
      <c r="K4377" t="inlineStr">
        <is>
          <t>RTL1085 2022 VELOCIWRAP CABLE WRAPPER 2022 VELOCIWRAP CABLE WRAPPER</t>
        </is>
      </c>
      <c r="L4377" t="n">
        <v>0</v>
      </c>
      <c r="M4377" t="n">
        <v>0</v>
      </c>
      <c r="O4377" t="inlineStr">
        <is>
          <t>RTL1085</t>
        </is>
      </c>
      <c r="Q4377" s="114" t="n">
        <v>0</v>
      </c>
      <c r="R4377" s="114" t="n">
        <v>330.46</v>
      </c>
      <c r="S4377" s="114" t="n">
        <v>0</v>
      </c>
      <c r="T4377" t="n">
        <v>0</v>
      </c>
    </row>
    <row r="4378">
      <c r="A4378" t="inlineStr">
        <is>
          <t>ttJTrans</t>
        </is>
      </c>
      <c r="B4378" s="38" t="inlineStr">
        <is>
          <t>0-4520</t>
        </is>
      </c>
      <c r="C4378" t="inlineStr">
        <is>
          <t>ER</t>
        </is>
      </c>
      <c r="E4378" t="inlineStr">
        <is>
          <t>ER</t>
        </is>
      </c>
      <c r="H4378" s="127" t="n">
        <v>46152</v>
      </c>
      <c r="J4378" s="38" t="inlineStr">
        <is>
          <t>0-4520</t>
        </is>
      </c>
      <c r="K4378" t="inlineStr">
        <is>
          <t>RTL1085 2022 VELOCIWRAP CABLE WRAPPER 2022 VELOCIWRAP CABLE WRAPPER</t>
        </is>
      </c>
      <c r="L4378" t="n">
        <v>0</v>
      </c>
      <c r="M4378" t="n">
        <v>0</v>
      </c>
      <c r="O4378" t="inlineStr">
        <is>
          <t>RTL1085</t>
        </is>
      </c>
      <c r="Q4378" s="114" t="n">
        <v>0</v>
      </c>
      <c r="R4378" s="114" t="n">
        <v>330.46</v>
      </c>
      <c r="S4378" s="114" t="n">
        <v>0</v>
      </c>
      <c r="T4378" t="n">
        <v>0</v>
      </c>
    </row>
    <row r="4379">
      <c r="A4379" t="inlineStr">
        <is>
          <t>ttJTrans</t>
        </is>
      </c>
      <c r="B4379" s="38" t="inlineStr">
        <is>
          <t>0-4520</t>
        </is>
      </c>
      <c r="C4379" t="inlineStr">
        <is>
          <t>ER</t>
        </is>
      </c>
      <c r="E4379" t="inlineStr">
        <is>
          <t>ER</t>
        </is>
      </c>
      <c r="H4379" s="127" t="n">
        <v>46152</v>
      </c>
      <c r="J4379" s="38" t="inlineStr">
        <is>
          <t>0-4520</t>
        </is>
      </c>
      <c r="K4379" t="inlineStr">
        <is>
          <t>RTL1085 2022 VELOCIWRAP CABLE WRAPPER 2022 VELOCIWRAP CABLE WRAPPER</t>
        </is>
      </c>
      <c r="L4379" t="n">
        <v>0</v>
      </c>
      <c r="M4379" t="n">
        <v>0</v>
      </c>
      <c r="O4379" t="inlineStr">
        <is>
          <t>RTL1085</t>
        </is>
      </c>
      <c r="Q4379" s="114" t="n">
        <v>0</v>
      </c>
      <c r="R4379" s="114" t="n">
        <v>330.46</v>
      </c>
      <c r="S4379" s="114" t="n">
        <v>0</v>
      </c>
      <c r="T4379" t="n">
        <v>0</v>
      </c>
    </row>
    <row r="4380">
      <c r="A4380" t="inlineStr">
        <is>
          <t>ttJTrans</t>
        </is>
      </c>
      <c r="B4380" s="38" t="inlineStr">
        <is>
          <t>0-4520</t>
        </is>
      </c>
      <c r="C4380" t="inlineStr">
        <is>
          <t>ER</t>
        </is>
      </c>
      <c r="E4380" t="inlineStr">
        <is>
          <t>ER</t>
        </is>
      </c>
      <c r="H4380" s="127" t="n">
        <v>46152</v>
      </c>
      <c r="J4380" s="38" t="inlineStr">
        <is>
          <t>0-4520</t>
        </is>
      </c>
      <c r="K4380" t="inlineStr">
        <is>
          <t>RTL1085 2022 VELOCIWRAP CABLE WRAPPER 2022 VELOCIWRAP CABLE WRAPPER</t>
        </is>
      </c>
      <c r="L4380" t="n">
        <v>0</v>
      </c>
      <c r="M4380" t="n">
        <v>0</v>
      </c>
      <c r="O4380" t="inlineStr">
        <is>
          <t>RTL1085</t>
        </is>
      </c>
      <c r="Q4380" s="114" t="n">
        <v>0</v>
      </c>
      <c r="R4380" s="114" t="n">
        <v>330.46</v>
      </c>
      <c r="S4380" s="114" t="n">
        <v>0</v>
      </c>
      <c r="T4380" t="n">
        <v>0</v>
      </c>
    </row>
    <row r="4381">
      <c r="A4381" t="inlineStr">
        <is>
          <t>ttJTrans</t>
        </is>
      </c>
      <c r="B4381" s="38" t="inlineStr">
        <is>
          <t>0-4520</t>
        </is>
      </c>
      <c r="C4381" t="inlineStr">
        <is>
          <t>ER</t>
        </is>
      </c>
      <c r="E4381" t="inlineStr">
        <is>
          <t>ER</t>
        </is>
      </c>
      <c r="H4381" s="127" t="n">
        <v>46159</v>
      </c>
      <c r="J4381" s="38" t="inlineStr">
        <is>
          <t>0-4520</t>
        </is>
      </c>
      <c r="K4381" t="inlineStr">
        <is>
          <t>RTL1082 2023 PREMIER TRIPLEXING TRAILER 2023 PREMIER TRIPLEXING TRAILER</t>
        </is>
      </c>
      <c r="L4381" t="n">
        <v>0</v>
      </c>
      <c r="M4381" t="n">
        <v>0</v>
      </c>
      <c r="O4381" t="inlineStr">
        <is>
          <t>RTL1082</t>
        </is>
      </c>
      <c r="Q4381" s="114" t="n">
        <v>0</v>
      </c>
      <c r="R4381" s="114" t="n">
        <v>65</v>
      </c>
      <c r="S4381" s="114" t="n">
        <v>0</v>
      </c>
      <c r="T4381" t="n">
        <v>0</v>
      </c>
    </row>
    <row r="4382">
      <c r="A4382" t="inlineStr">
        <is>
          <t>ttJTrans</t>
        </is>
      </c>
      <c r="B4382" s="38" t="inlineStr">
        <is>
          <t>0-4520</t>
        </is>
      </c>
      <c r="C4382" t="inlineStr">
        <is>
          <t>ER</t>
        </is>
      </c>
      <c r="E4382" t="inlineStr">
        <is>
          <t>ER</t>
        </is>
      </c>
      <c r="H4382" s="127" t="n">
        <v>46159</v>
      </c>
      <c r="J4382" s="38" t="inlineStr">
        <is>
          <t>0-4520</t>
        </is>
      </c>
      <c r="K4382" t="inlineStr">
        <is>
          <t>RTL1082 2023 PREMIER TRIPLEXING TRAILER 2023 PREMIER TRIPLEXING TRAILER</t>
        </is>
      </c>
      <c r="L4382" t="n">
        <v>0</v>
      </c>
      <c r="M4382" t="n">
        <v>0</v>
      </c>
      <c r="O4382" t="inlineStr">
        <is>
          <t>RTL1082</t>
        </is>
      </c>
      <c r="Q4382" s="114" t="n">
        <v>0</v>
      </c>
      <c r="R4382" s="114" t="n">
        <v>65</v>
      </c>
      <c r="S4382" s="114" t="n">
        <v>0</v>
      </c>
      <c r="T4382" t="n">
        <v>0</v>
      </c>
    </row>
    <row r="4383">
      <c r="A4383" t="inlineStr">
        <is>
          <t>ttJTrans</t>
        </is>
      </c>
      <c r="B4383" s="38" t="inlineStr">
        <is>
          <t>0-4520</t>
        </is>
      </c>
      <c r="C4383" t="inlineStr">
        <is>
          <t>ER</t>
        </is>
      </c>
      <c r="E4383" t="inlineStr">
        <is>
          <t>ER</t>
        </is>
      </c>
      <c r="H4383" s="127" t="n">
        <v>46159</v>
      </c>
      <c r="J4383" s="38" t="inlineStr">
        <is>
          <t>0-4520</t>
        </is>
      </c>
      <c r="K4383" t="inlineStr">
        <is>
          <t>RTL1082 2023 PREMIER TRIPLEXING TRAILER 2023 PREMIER TRIPLEXING TRAILER</t>
        </is>
      </c>
      <c r="L4383" t="n">
        <v>0</v>
      </c>
      <c r="M4383" t="n">
        <v>0</v>
      </c>
      <c r="O4383" t="inlineStr">
        <is>
          <t>RTL1082</t>
        </is>
      </c>
      <c r="Q4383" s="114" t="n">
        <v>0</v>
      </c>
      <c r="R4383" s="114" t="n">
        <v>65</v>
      </c>
      <c r="S4383" s="114" t="n">
        <v>0</v>
      </c>
      <c r="T4383" t="n">
        <v>0</v>
      </c>
    </row>
    <row r="4384">
      <c r="A4384" t="inlineStr">
        <is>
          <t>ttJTrans</t>
        </is>
      </c>
      <c r="B4384" s="38" t="inlineStr">
        <is>
          <t>0-4520</t>
        </is>
      </c>
      <c r="C4384" t="inlineStr">
        <is>
          <t>ER</t>
        </is>
      </c>
      <c r="E4384" t="inlineStr">
        <is>
          <t>ER</t>
        </is>
      </c>
      <c r="H4384" s="127" t="n">
        <v>46159</v>
      </c>
      <c r="J4384" s="38" t="inlineStr">
        <is>
          <t>0-4520</t>
        </is>
      </c>
      <c r="K4384" t="inlineStr">
        <is>
          <t>RTL1082 2023 PREMIER TRIPLEXING TRAILER 2023 PREMIER TRIPLEXING TRAILER</t>
        </is>
      </c>
      <c r="L4384" t="n">
        <v>0</v>
      </c>
      <c r="M4384" t="n">
        <v>0</v>
      </c>
      <c r="O4384" t="inlineStr">
        <is>
          <t>RTL1082</t>
        </is>
      </c>
      <c r="Q4384" s="114" t="n">
        <v>0</v>
      </c>
      <c r="R4384" s="114" t="n">
        <v>65</v>
      </c>
      <c r="S4384" s="114" t="n">
        <v>0</v>
      </c>
      <c r="T4384" t="n">
        <v>0</v>
      </c>
    </row>
    <row r="4385">
      <c r="A4385" t="inlineStr">
        <is>
          <t>ttJTrans</t>
        </is>
      </c>
      <c r="B4385" s="38" t="inlineStr">
        <is>
          <t>0-4520</t>
        </is>
      </c>
      <c r="C4385" t="inlineStr">
        <is>
          <t>ER</t>
        </is>
      </c>
      <c r="E4385" t="inlineStr">
        <is>
          <t>ER</t>
        </is>
      </c>
      <c r="H4385" s="127" t="n">
        <v>46159</v>
      </c>
      <c r="J4385" s="38" t="inlineStr">
        <is>
          <t>0-4520</t>
        </is>
      </c>
      <c r="K4385" t="inlineStr">
        <is>
          <t>RTL1082 2023 PREMIER TRIPLEXING TRAILER 2023 PREMIER TRIPLEXING TRAILER</t>
        </is>
      </c>
      <c r="L4385" t="n">
        <v>0</v>
      </c>
      <c r="M4385" t="n">
        <v>0</v>
      </c>
      <c r="O4385" t="inlineStr">
        <is>
          <t>RTL1082</t>
        </is>
      </c>
      <c r="Q4385" s="114" t="n">
        <v>0</v>
      </c>
      <c r="R4385" s="114" t="n">
        <v>65</v>
      </c>
      <c r="S4385" s="114" t="n">
        <v>0</v>
      </c>
      <c r="T4385" t="n">
        <v>0</v>
      </c>
    </row>
    <row r="4386">
      <c r="A4386" t="inlineStr">
        <is>
          <t>ttJTrans</t>
        </is>
      </c>
      <c r="B4386" s="38" t="inlineStr">
        <is>
          <t>0-4520</t>
        </is>
      </c>
      <c r="C4386" t="inlineStr">
        <is>
          <t>ER</t>
        </is>
      </c>
      <c r="E4386" t="inlineStr">
        <is>
          <t>ER</t>
        </is>
      </c>
      <c r="H4386" s="127" t="n">
        <v>46159</v>
      </c>
      <c r="J4386" s="38" t="inlineStr">
        <is>
          <t>0-4520</t>
        </is>
      </c>
      <c r="K4386" t="inlineStr">
        <is>
          <t>RTL1083 2022 VELOCIWRAP TRIPLEXING TRAILER 2022 VELOCIWRAP TRIPLEXING TRAILER</t>
        </is>
      </c>
      <c r="L4386" t="n">
        <v>0</v>
      </c>
      <c r="M4386" t="n">
        <v>0</v>
      </c>
      <c r="O4386" t="inlineStr">
        <is>
          <t>RTL1083</t>
        </is>
      </c>
      <c r="Q4386" s="114" t="n">
        <v>0</v>
      </c>
      <c r="R4386" s="114" t="n">
        <v>65</v>
      </c>
      <c r="S4386" s="114" t="n">
        <v>0</v>
      </c>
      <c r="T4386" t="n">
        <v>0</v>
      </c>
    </row>
    <row r="4387">
      <c r="A4387" t="inlineStr">
        <is>
          <t>ttJTrans</t>
        </is>
      </c>
      <c r="B4387" s="38" t="inlineStr">
        <is>
          <t>0-4520</t>
        </is>
      </c>
      <c r="C4387" t="inlineStr">
        <is>
          <t>ER</t>
        </is>
      </c>
      <c r="E4387" t="inlineStr">
        <is>
          <t>ER</t>
        </is>
      </c>
      <c r="H4387" s="127" t="n">
        <v>46159</v>
      </c>
      <c r="J4387" s="38" t="inlineStr">
        <is>
          <t>0-4520</t>
        </is>
      </c>
      <c r="K4387" t="inlineStr">
        <is>
          <t>RTL1083 2022 VELOCIWRAP TRIPLEXING TRAILER 2022 VELOCIWRAP TRIPLEXING TRAILER</t>
        </is>
      </c>
      <c r="L4387" t="n">
        <v>0</v>
      </c>
      <c r="M4387" t="n">
        <v>0</v>
      </c>
      <c r="O4387" t="inlineStr">
        <is>
          <t>RTL1083</t>
        </is>
      </c>
      <c r="Q4387" s="114" t="n">
        <v>0</v>
      </c>
      <c r="R4387" s="114" t="n">
        <v>65</v>
      </c>
      <c r="S4387" s="114" t="n">
        <v>0</v>
      </c>
      <c r="T4387" t="n">
        <v>0</v>
      </c>
    </row>
    <row r="4388">
      <c r="A4388" t="inlineStr">
        <is>
          <t>ttJTrans</t>
        </is>
      </c>
      <c r="B4388" s="38" t="inlineStr">
        <is>
          <t>0-4520</t>
        </is>
      </c>
      <c r="C4388" t="inlineStr">
        <is>
          <t>ER</t>
        </is>
      </c>
      <c r="E4388" t="inlineStr">
        <is>
          <t>ER</t>
        </is>
      </c>
      <c r="H4388" s="127" t="n">
        <v>46159</v>
      </c>
      <c r="J4388" s="38" t="inlineStr">
        <is>
          <t>0-4520</t>
        </is>
      </c>
      <c r="K4388" t="inlineStr">
        <is>
          <t>RTL1083 2022 VELOCIWRAP TRIPLEXING TRAILER 2022 VELOCIWRAP TRIPLEXING TRAILER</t>
        </is>
      </c>
      <c r="L4388" t="n">
        <v>0</v>
      </c>
      <c r="M4388" t="n">
        <v>0</v>
      </c>
      <c r="O4388" t="inlineStr">
        <is>
          <t>RTL1083</t>
        </is>
      </c>
      <c r="Q4388" s="114" t="n">
        <v>0</v>
      </c>
      <c r="R4388" s="114" t="n">
        <v>65</v>
      </c>
      <c r="S4388" s="114" t="n">
        <v>0</v>
      </c>
      <c r="T4388" t="n">
        <v>0</v>
      </c>
    </row>
    <row r="4389">
      <c r="A4389" t="inlineStr">
        <is>
          <t>ttJTrans</t>
        </is>
      </c>
      <c r="B4389" s="38" t="inlineStr">
        <is>
          <t>0-4520</t>
        </is>
      </c>
      <c r="C4389" t="inlineStr">
        <is>
          <t>ER</t>
        </is>
      </c>
      <c r="E4389" t="inlineStr">
        <is>
          <t>ER</t>
        </is>
      </c>
      <c r="H4389" s="127" t="n">
        <v>46159</v>
      </c>
      <c r="J4389" s="38" t="inlineStr">
        <is>
          <t>0-4520</t>
        </is>
      </c>
      <c r="K4389" t="inlineStr">
        <is>
          <t>RTL1083 2022 VELOCIWRAP TRIPLEXING TRAILER 2022 VELOCIWRAP TRIPLEXING TRAILER</t>
        </is>
      </c>
      <c r="L4389" t="n">
        <v>0</v>
      </c>
      <c r="M4389" t="n">
        <v>0</v>
      </c>
      <c r="O4389" t="inlineStr">
        <is>
          <t>RTL1083</t>
        </is>
      </c>
      <c r="Q4389" s="114" t="n">
        <v>0</v>
      </c>
      <c r="R4389" s="114" t="n">
        <v>65</v>
      </c>
      <c r="S4389" s="114" t="n">
        <v>0</v>
      </c>
      <c r="T4389" t="n">
        <v>0</v>
      </c>
    </row>
    <row r="4390">
      <c r="A4390" t="inlineStr">
        <is>
          <t>ttJTrans</t>
        </is>
      </c>
      <c r="B4390" s="38" t="inlineStr">
        <is>
          <t>0-4520</t>
        </is>
      </c>
      <c r="C4390" t="inlineStr">
        <is>
          <t>ER</t>
        </is>
      </c>
      <c r="E4390" t="inlineStr">
        <is>
          <t>ER</t>
        </is>
      </c>
      <c r="H4390" s="127" t="n">
        <v>46159</v>
      </c>
      <c r="J4390" s="38" t="inlineStr">
        <is>
          <t>0-4520</t>
        </is>
      </c>
      <c r="K4390" t="inlineStr">
        <is>
          <t>RTL1083 2022 VELOCIWRAP TRIPLEXING TRAILER 2022 VELOCIWRAP TRIPLEXING TRAILER</t>
        </is>
      </c>
      <c r="L4390" t="n">
        <v>0</v>
      </c>
      <c r="M4390" t="n">
        <v>0</v>
      </c>
      <c r="O4390" t="inlineStr">
        <is>
          <t>RTL1083</t>
        </is>
      </c>
      <c r="Q4390" s="114" t="n">
        <v>0</v>
      </c>
      <c r="R4390" s="114" t="n">
        <v>65</v>
      </c>
      <c r="S4390" s="114" t="n">
        <v>0</v>
      </c>
      <c r="T4390" t="n">
        <v>0</v>
      </c>
    </row>
    <row r="4391">
      <c r="A4391" t="inlineStr">
        <is>
          <t>ttJTrans</t>
        </is>
      </c>
      <c r="B4391" s="38" t="inlineStr">
        <is>
          <t>0-4520</t>
        </is>
      </c>
      <c r="C4391" t="inlineStr">
        <is>
          <t>ER</t>
        </is>
      </c>
      <c r="E4391" t="inlineStr">
        <is>
          <t>ER</t>
        </is>
      </c>
      <c r="H4391" s="127" t="n">
        <v>46159</v>
      </c>
      <c r="J4391" s="38" t="inlineStr">
        <is>
          <t>0-4520</t>
        </is>
      </c>
      <c r="K4391" t="inlineStr">
        <is>
          <t>RTL1084 2022 VELOCIWRAP CABLE WRAPPER 2022 VELOCIWRAP CABLE WRAPPER</t>
        </is>
      </c>
      <c r="L4391" t="n">
        <v>0</v>
      </c>
      <c r="M4391" t="n">
        <v>0</v>
      </c>
      <c r="O4391" t="inlineStr">
        <is>
          <t>RTL1084</t>
        </is>
      </c>
      <c r="Q4391" s="114" t="n">
        <v>0</v>
      </c>
      <c r="R4391" s="114" t="n">
        <v>330.46</v>
      </c>
      <c r="S4391" s="114" t="n">
        <v>0</v>
      </c>
      <c r="T4391" t="n">
        <v>0</v>
      </c>
    </row>
    <row r="4392">
      <c r="A4392" t="inlineStr">
        <is>
          <t>ttJTrans</t>
        </is>
      </c>
      <c r="B4392" s="38" t="inlineStr">
        <is>
          <t>0-4520</t>
        </is>
      </c>
      <c r="C4392" t="inlineStr">
        <is>
          <t>ER</t>
        </is>
      </c>
      <c r="E4392" t="inlineStr">
        <is>
          <t>ER</t>
        </is>
      </c>
      <c r="H4392" s="127" t="n">
        <v>46159</v>
      </c>
      <c r="J4392" s="38" t="inlineStr">
        <is>
          <t>0-4520</t>
        </is>
      </c>
      <c r="K4392" t="inlineStr">
        <is>
          <t>RTL1084 2022 VELOCIWRAP CABLE WRAPPER 2022 VELOCIWRAP CABLE WRAPPER</t>
        </is>
      </c>
      <c r="L4392" t="n">
        <v>0</v>
      </c>
      <c r="M4392" t="n">
        <v>0</v>
      </c>
      <c r="O4392" t="inlineStr">
        <is>
          <t>RTL1084</t>
        </is>
      </c>
      <c r="Q4392" s="114" t="n">
        <v>0</v>
      </c>
      <c r="R4392" s="114" t="n">
        <v>330.46</v>
      </c>
      <c r="S4392" s="114" t="n">
        <v>0</v>
      </c>
      <c r="T4392" t="n">
        <v>0</v>
      </c>
    </row>
    <row r="4393">
      <c r="A4393" t="inlineStr">
        <is>
          <t>ttJTrans</t>
        </is>
      </c>
      <c r="B4393" s="38" t="inlineStr">
        <is>
          <t>0-4520</t>
        </is>
      </c>
      <c r="C4393" t="inlineStr">
        <is>
          <t>ER</t>
        </is>
      </c>
      <c r="E4393" t="inlineStr">
        <is>
          <t>ER</t>
        </is>
      </c>
      <c r="H4393" s="127" t="n">
        <v>46159</v>
      </c>
      <c r="J4393" s="38" t="inlineStr">
        <is>
          <t>0-4520</t>
        </is>
      </c>
      <c r="K4393" t="inlineStr">
        <is>
          <t>RTL1084 2022 VELOCIWRAP CABLE WRAPPER 2022 VELOCIWRAP CABLE WRAPPER</t>
        </is>
      </c>
      <c r="L4393" t="n">
        <v>0</v>
      </c>
      <c r="M4393" t="n">
        <v>0</v>
      </c>
      <c r="O4393" t="inlineStr">
        <is>
          <t>RTL1084</t>
        </is>
      </c>
      <c r="Q4393" s="114" t="n">
        <v>0</v>
      </c>
      <c r="R4393" s="114" t="n">
        <v>330.46</v>
      </c>
      <c r="S4393" s="114" t="n">
        <v>0</v>
      </c>
      <c r="T4393" t="n">
        <v>0</v>
      </c>
    </row>
    <row r="4394">
      <c r="A4394" t="inlineStr">
        <is>
          <t>ttJTrans</t>
        </is>
      </c>
      <c r="B4394" s="38" t="inlineStr">
        <is>
          <t>0-4520</t>
        </is>
      </c>
      <c r="C4394" t="inlineStr">
        <is>
          <t>ER</t>
        </is>
      </c>
      <c r="E4394" t="inlineStr">
        <is>
          <t>ER</t>
        </is>
      </c>
      <c r="H4394" s="127" t="n">
        <v>46159</v>
      </c>
      <c r="J4394" s="38" t="inlineStr">
        <is>
          <t>0-4520</t>
        </is>
      </c>
      <c r="K4394" t="inlineStr">
        <is>
          <t>RTL1084 2022 VELOCIWRAP CABLE WRAPPER 2022 VELOCIWRAP CABLE WRAPPER</t>
        </is>
      </c>
      <c r="L4394" t="n">
        <v>0</v>
      </c>
      <c r="M4394" t="n">
        <v>0</v>
      </c>
      <c r="O4394" t="inlineStr">
        <is>
          <t>RTL1084</t>
        </is>
      </c>
      <c r="Q4394" s="114" t="n">
        <v>0</v>
      </c>
      <c r="R4394" s="114" t="n">
        <v>330.46</v>
      </c>
      <c r="S4394" s="114" t="n">
        <v>0</v>
      </c>
      <c r="T4394" t="n">
        <v>0</v>
      </c>
    </row>
    <row r="4395">
      <c r="A4395" t="inlineStr">
        <is>
          <t>ttJTrans</t>
        </is>
      </c>
      <c r="B4395" s="38" t="inlineStr">
        <is>
          <t>0-4520</t>
        </is>
      </c>
      <c r="C4395" t="inlineStr">
        <is>
          <t>ER</t>
        </is>
      </c>
      <c r="E4395" t="inlineStr">
        <is>
          <t>ER</t>
        </is>
      </c>
      <c r="H4395" s="127" t="n">
        <v>46159</v>
      </c>
      <c r="J4395" s="38" t="inlineStr">
        <is>
          <t>0-4520</t>
        </is>
      </c>
      <c r="K4395" t="inlineStr">
        <is>
          <t>RTL1084 2022 VELOCIWRAP CABLE WRAPPER 2022 VELOCIWRAP CABLE WRAPPER</t>
        </is>
      </c>
      <c r="L4395" t="n">
        <v>0</v>
      </c>
      <c r="M4395" t="n">
        <v>0</v>
      </c>
      <c r="O4395" t="inlineStr">
        <is>
          <t>RTL1084</t>
        </is>
      </c>
      <c r="Q4395" s="114" t="n">
        <v>0</v>
      </c>
      <c r="R4395" s="114" t="n">
        <v>330.46</v>
      </c>
      <c r="S4395" s="114" t="n">
        <v>0</v>
      </c>
      <c r="T4395" t="n">
        <v>0</v>
      </c>
    </row>
    <row r="4396">
      <c r="A4396" t="inlineStr">
        <is>
          <t>ttJTrans</t>
        </is>
      </c>
      <c r="B4396" s="38" t="inlineStr">
        <is>
          <t>0-4520</t>
        </is>
      </c>
      <c r="C4396" t="inlineStr">
        <is>
          <t>ER</t>
        </is>
      </c>
      <c r="E4396" t="inlineStr">
        <is>
          <t>ER</t>
        </is>
      </c>
      <c r="H4396" s="127" t="n">
        <v>46159</v>
      </c>
      <c r="J4396" s="38" t="inlineStr">
        <is>
          <t>0-4520</t>
        </is>
      </c>
      <c r="K4396" t="inlineStr">
        <is>
          <t>RTL1085 2022 VELOCIWRAP CABLE WRAPPER 2022 VELOCIWRAP CABLE WRAPPER</t>
        </is>
      </c>
      <c r="L4396" t="n">
        <v>0</v>
      </c>
      <c r="M4396" t="n">
        <v>0</v>
      </c>
      <c r="O4396" t="inlineStr">
        <is>
          <t>RTL1085</t>
        </is>
      </c>
      <c r="Q4396" s="114" t="n">
        <v>0</v>
      </c>
      <c r="R4396" s="114" t="n">
        <v>330.46</v>
      </c>
      <c r="S4396" s="114" t="n">
        <v>0</v>
      </c>
      <c r="T4396" t="n">
        <v>0</v>
      </c>
    </row>
    <row r="4397">
      <c r="A4397" t="inlineStr">
        <is>
          <t>ttJTrans</t>
        </is>
      </c>
      <c r="B4397" s="38" t="inlineStr">
        <is>
          <t>0-4520</t>
        </is>
      </c>
      <c r="C4397" t="inlineStr">
        <is>
          <t>ER</t>
        </is>
      </c>
      <c r="E4397" t="inlineStr">
        <is>
          <t>ER</t>
        </is>
      </c>
      <c r="H4397" s="127" t="n">
        <v>46159</v>
      </c>
      <c r="J4397" s="38" t="inlineStr">
        <is>
          <t>0-4520</t>
        </is>
      </c>
      <c r="K4397" t="inlineStr">
        <is>
          <t>RTL1085 2022 VELOCIWRAP CABLE WRAPPER 2022 VELOCIWRAP CABLE WRAPPER</t>
        </is>
      </c>
      <c r="L4397" t="n">
        <v>0</v>
      </c>
      <c r="M4397" t="n">
        <v>0</v>
      </c>
      <c r="O4397" t="inlineStr">
        <is>
          <t>RTL1085</t>
        </is>
      </c>
      <c r="Q4397" s="114" t="n">
        <v>0</v>
      </c>
      <c r="R4397" s="114" t="n">
        <v>330.46</v>
      </c>
      <c r="S4397" s="114" t="n">
        <v>0</v>
      </c>
      <c r="T4397" t="n">
        <v>0</v>
      </c>
    </row>
    <row r="4398">
      <c r="A4398" t="inlineStr">
        <is>
          <t>ttJTrans</t>
        </is>
      </c>
      <c r="B4398" s="38" t="inlineStr">
        <is>
          <t>0-4520</t>
        </is>
      </c>
      <c r="C4398" t="inlineStr">
        <is>
          <t>ER</t>
        </is>
      </c>
      <c r="E4398" t="inlineStr">
        <is>
          <t>ER</t>
        </is>
      </c>
      <c r="H4398" s="127" t="n">
        <v>46159</v>
      </c>
      <c r="J4398" s="38" t="inlineStr">
        <is>
          <t>0-4520</t>
        </is>
      </c>
      <c r="K4398" t="inlineStr">
        <is>
          <t>RTL1085 2022 VELOCIWRAP CABLE WRAPPER 2022 VELOCIWRAP CABLE WRAPPER</t>
        </is>
      </c>
      <c r="L4398" t="n">
        <v>0</v>
      </c>
      <c r="M4398" t="n">
        <v>0</v>
      </c>
      <c r="O4398" t="inlineStr">
        <is>
          <t>RTL1085</t>
        </is>
      </c>
      <c r="Q4398" s="114" t="n">
        <v>0</v>
      </c>
      <c r="R4398" s="114" t="n">
        <v>330.46</v>
      </c>
      <c r="S4398" s="114" t="n">
        <v>0</v>
      </c>
      <c r="T4398" t="n">
        <v>0</v>
      </c>
    </row>
    <row r="4399">
      <c r="A4399" t="inlineStr">
        <is>
          <t>ttJTrans</t>
        </is>
      </c>
      <c r="B4399" s="38" t="inlineStr">
        <is>
          <t>0-4520</t>
        </is>
      </c>
      <c r="C4399" t="inlineStr">
        <is>
          <t>ER</t>
        </is>
      </c>
      <c r="E4399" t="inlineStr">
        <is>
          <t>ER</t>
        </is>
      </c>
      <c r="H4399" s="127" t="n">
        <v>46159</v>
      </c>
      <c r="J4399" s="38" t="inlineStr">
        <is>
          <t>0-4520</t>
        </is>
      </c>
      <c r="K4399" t="inlineStr">
        <is>
          <t>RTL1085 2022 VELOCIWRAP CABLE WRAPPER 2022 VELOCIWRAP CABLE WRAPPER</t>
        </is>
      </c>
      <c r="L4399" t="n">
        <v>0</v>
      </c>
      <c r="M4399" t="n">
        <v>0</v>
      </c>
      <c r="O4399" t="inlineStr">
        <is>
          <t>RTL1085</t>
        </is>
      </c>
      <c r="Q4399" s="114" t="n">
        <v>0</v>
      </c>
      <c r="R4399" s="114" t="n">
        <v>330.46</v>
      </c>
      <c r="S4399" s="114" t="n">
        <v>0</v>
      </c>
      <c r="T4399" t="n">
        <v>0</v>
      </c>
    </row>
    <row r="4400">
      <c r="A4400" t="inlineStr">
        <is>
          <t>ttJTrans</t>
        </is>
      </c>
      <c r="B4400" s="38" t="inlineStr">
        <is>
          <t>0-4520</t>
        </is>
      </c>
      <c r="C4400" t="inlineStr">
        <is>
          <t>ER</t>
        </is>
      </c>
      <c r="E4400" t="inlineStr">
        <is>
          <t>ER</t>
        </is>
      </c>
      <c r="H4400" s="127" t="n">
        <v>46159</v>
      </c>
      <c r="J4400" s="38" t="inlineStr">
        <is>
          <t>0-4520</t>
        </is>
      </c>
      <c r="K4400" t="inlineStr">
        <is>
          <t>RTL1085 2022 VELOCIWRAP CABLE WRAPPER 2022 VELOCIWRAP CABLE WRAPPER</t>
        </is>
      </c>
      <c r="L4400" t="n">
        <v>0</v>
      </c>
      <c r="M4400" t="n">
        <v>0</v>
      </c>
      <c r="O4400" t="inlineStr">
        <is>
          <t>RTL1085</t>
        </is>
      </c>
      <c r="Q4400" s="114" t="n">
        <v>0</v>
      </c>
      <c r="R4400" s="114" t="n">
        <v>330.46</v>
      </c>
      <c r="S4400" s="114" t="n">
        <v>0</v>
      </c>
      <c r="T4400" t="n">
        <v>0</v>
      </c>
    </row>
    <row r="4401">
      <c r="A4401" t="inlineStr">
        <is>
          <t>ttJTrans</t>
        </is>
      </c>
      <c r="B4401" s="38" t="inlineStr">
        <is>
          <t>0-4520</t>
        </is>
      </c>
      <c r="C4401" t="inlineStr">
        <is>
          <t>ER</t>
        </is>
      </c>
      <c r="E4401" t="inlineStr">
        <is>
          <t>ER</t>
        </is>
      </c>
      <c r="H4401" s="127" t="n">
        <v>46166</v>
      </c>
      <c r="J4401" s="38" t="inlineStr">
        <is>
          <t>0-4520</t>
        </is>
      </c>
      <c r="K4401" t="inlineStr">
        <is>
          <t>RTL1082 2023 PREMIER TRIPLEXING TRAILER 2023 PREMIER TRIPLEXING TRAILER</t>
        </is>
      </c>
      <c r="L4401" t="n">
        <v>0</v>
      </c>
      <c r="M4401" t="n">
        <v>0</v>
      </c>
      <c r="O4401" t="inlineStr">
        <is>
          <t>RTL1082</t>
        </is>
      </c>
      <c r="Q4401" s="114" t="n">
        <v>0</v>
      </c>
      <c r="R4401" s="114" t="n">
        <v>65</v>
      </c>
      <c r="S4401" s="114" t="n">
        <v>0</v>
      </c>
      <c r="T4401" t="n">
        <v>0</v>
      </c>
    </row>
    <row r="4402">
      <c r="A4402" t="inlineStr">
        <is>
          <t>ttJTrans</t>
        </is>
      </c>
      <c r="B4402" s="38" t="inlineStr">
        <is>
          <t>0-4520</t>
        </is>
      </c>
      <c r="C4402" t="inlineStr">
        <is>
          <t>ER</t>
        </is>
      </c>
      <c r="E4402" t="inlineStr">
        <is>
          <t>ER</t>
        </is>
      </c>
      <c r="H4402" s="127" t="n">
        <v>46166</v>
      </c>
      <c r="J4402" s="38" t="inlineStr">
        <is>
          <t>0-4520</t>
        </is>
      </c>
      <c r="K4402" t="inlineStr">
        <is>
          <t>RTL1082 2023 PREMIER TRIPLEXING TRAILER 2023 PREMIER TRIPLEXING TRAILER</t>
        </is>
      </c>
      <c r="L4402" t="n">
        <v>0</v>
      </c>
      <c r="M4402" t="n">
        <v>0</v>
      </c>
      <c r="O4402" t="inlineStr">
        <is>
          <t>RTL1082</t>
        </is>
      </c>
      <c r="Q4402" s="114" t="n">
        <v>0</v>
      </c>
      <c r="R4402" s="114" t="n">
        <v>65</v>
      </c>
      <c r="S4402" s="114" t="n">
        <v>0</v>
      </c>
      <c r="T4402" t="n">
        <v>0</v>
      </c>
    </row>
    <row r="4403">
      <c r="A4403" t="inlineStr">
        <is>
          <t>ttJTrans</t>
        </is>
      </c>
      <c r="B4403" s="38" t="inlineStr">
        <is>
          <t>0-4520</t>
        </is>
      </c>
      <c r="C4403" t="inlineStr">
        <is>
          <t>ER</t>
        </is>
      </c>
      <c r="E4403" t="inlineStr">
        <is>
          <t>ER</t>
        </is>
      </c>
      <c r="H4403" s="127" t="n">
        <v>46166</v>
      </c>
      <c r="J4403" s="38" t="inlineStr">
        <is>
          <t>0-4520</t>
        </is>
      </c>
      <c r="K4403" t="inlineStr">
        <is>
          <t>RTL1082 2023 PREMIER TRIPLEXING TRAILER 2023 PREMIER TRIPLEXING TRAILER</t>
        </is>
      </c>
      <c r="L4403" t="n">
        <v>0</v>
      </c>
      <c r="M4403" t="n">
        <v>0</v>
      </c>
      <c r="O4403" t="inlineStr">
        <is>
          <t>RTL1082</t>
        </is>
      </c>
      <c r="Q4403" s="114" t="n">
        <v>0</v>
      </c>
      <c r="R4403" s="114" t="n">
        <v>65</v>
      </c>
      <c r="S4403" s="114" t="n">
        <v>0</v>
      </c>
      <c r="T4403" t="n">
        <v>0</v>
      </c>
    </row>
    <row r="4404">
      <c r="A4404" t="inlineStr">
        <is>
          <t>ttJTrans</t>
        </is>
      </c>
      <c r="B4404" s="38" t="inlineStr">
        <is>
          <t>0-4520</t>
        </is>
      </c>
      <c r="C4404" t="inlineStr">
        <is>
          <t>ER</t>
        </is>
      </c>
      <c r="E4404" t="inlineStr">
        <is>
          <t>ER</t>
        </is>
      </c>
      <c r="H4404" s="127" t="n">
        <v>46166</v>
      </c>
      <c r="J4404" s="38" t="inlineStr">
        <is>
          <t>0-4520</t>
        </is>
      </c>
      <c r="K4404" t="inlineStr">
        <is>
          <t>RTL1082 2023 PREMIER TRIPLEXING TRAILER 2023 PREMIER TRIPLEXING TRAILER</t>
        </is>
      </c>
      <c r="L4404" t="n">
        <v>0</v>
      </c>
      <c r="M4404" t="n">
        <v>0</v>
      </c>
      <c r="O4404" t="inlineStr">
        <is>
          <t>RTL1082</t>
        </is>
      </c>
      <c r="Q4404" s="114" t="n">
        <v>0</v>
      </c>
      <c r="R4404" s="114" t="n">
        <v>65</v>
      </c>
      <c r="S4404" s="114" t="n">
        <v>0</v>
      </c>
      <c r="T4404" t="n">
        <v>0</v>
      </c>
    </row>
    <row r="4405">
      <c r="A4405" t="inlineStr">
        <is>
          <t>ttJTrans</t>
        </is>
      </c>
      <c r="B4405" s="38" t="inlineStr">
        <is>
          <t>0-4520</t>
        </is>
      </c>
      <c r="C4405" t="inlineStr">
        <is>
          <t>ER</t>
        </is>
      </c>
      <c r="E4405" t="inlineStr">
        <is>
          <t>ER</t>
        </is>
      </c>
      <c r="H4405" s="127" t="n">
        <v>46166</v>
      </c>
      <c r="J4405" s="38" t="inlineStr">
        <is>
          <t>0-4520</t>
        </is>
      </c>
      <c r="K4405" t="inlineStr">
        <is>
          <t>RTL1082 2023 PREMIER TRIPLEXING TRAILER 2023 PREMIER TRIPLEXING TRAILER</t>
        </is>
      </c>
      <c r="L4405" t="n">
        <v>0</v>
      </c>
      <c r="M4405" t="n">
        <v>0</v>
      </c>
      <c r="O4405" t="inlineStr">
        <is>
          <t>RTL1082</t>
        </is>
      </c>
      <c r="Q4405" s="114" t="n">
        <v>0</v>
      </c>
      <c r="R4405" s="114" t="n">
        <v>65</v>
      </c>
      <c r="S4405" s="114" t="n">
        <v>0</v>
      </c>
      <c r="T4405" t="n">
        <v>0</v>
      </c>
    </row>
    <row r="4406">
      <c r="A4406" t="inlineStr">
        <is>
          <t>ttJTrans</t>
        </is>
      </c>
      <c r="B4406" s="38" t="inlineStr">
        <is>
          <t>0-4520</t>
        </is>
      </c>
      <c r="C4406" t="inlineStr">
        <is>
          <t>ER</t>
        </is>
      </c>
      <c r="E4406" t="inlineStr">
        <is>
          <t>ER</t>
        </is>
      </c>
      <c r="H4406" s="127" t="n">
        <v>46166</v>
      </c>
      <c r="J4406" s="38" t="inlineStr">
        <is>
          <t>0-4520</t>
        </is>
      </c>
      <c r="K4406" t="inlineStr">
        <is>
          <t>RTL1083 2022 VELOCIWRAP TRIPLEXING TRAILER 2022 VELOCIWRAP TRIPLEXING TRAILER</t>
        </is>
      </c>
      <c r="L4406" t="n">
        <v>0</v>
      </c>
      <c r="M4406" t="n">
        <v>0</v>
      </c>
      <c r="O4406" t="inlineStr">
        <is>
          <t>RTL1083</t>
        </is>
      </c>
      <c r="Q4406" s="114" t="n">
        <v>0</v>
      </c>
      <c r="R4406" s="114" t="n">
        <v>65</v>
      </c>
      <c r="S4406" s="114" t="n">
        <v>0</v>
      </c>
      <c r="T4406" t="n">
        <v>0</v>
      </c>
    </row>
    <row r="4407">
      <c r="A4407" t="inlineStr">
        <is>
          <t>ttJTrans</t>
        </is>
      </c>
      <c r="B4407" s="38" t="inlineStr">
        <is>
          <t>0-4520</t>
        </is>
      </c>
      <c r="C4407" t="inlineStr">
        <is>
          <t>ER</t>
        </is>
      </c>
      <c r="E4407" t="inlineStr">
        <is>
          <t>ER</t>
        </is>
      </c>
      <c r="H4407" s="127" t="n">
        <v>46166</v>
      </c>
      <c r="J4407" s="38" t="inlineStr">
        <is>
          <t>0-4520</t>
        </is>
      </c>
      <c r="K4407" t="inlineStr">
        <is>
          <t>RTL1083 2022 VELOCIWRAP TRIPLEXING TRAILER 2022 VELOCIWRAP TRIPLEXING TRAILER</t>
        </is>
      </c>
      <c r="L4407" t="n">
        <v>0</v>
      </c>
      <c r="M4407" t="n">
        <v>0</v>
      </c>
      <c r="O4407" t="inlineStr">
        <is>
          <t>RTL1083</t>
        </is>
      </c>
      <c r="Q4407" s="114" t="n">
        <v>0</v>
      </c>
      <c r="R4407" s="114" t="n">
        <v>65</v>
      </c>
      <c r="S4407" s="114" t="n">
        <v>0</v>
      </c>
      <c r="T4407" t="n">
        <v>0</v>
      </c>
    </row>
    <row r="4408">
      <c r="A4408" t="inlineStr">
        <is>
          <t>ttJTrans</t>
        </is>
      </c>
      <c r="B4408" s="38" t="inlineStr">
        <is>
          <t>0-4520</t>
        </is>
      </c>
      <c r="C4408" t="inlineStr">
        <is>
          <t>ER</t>
        </is>
      </c>
      <c r="E4408" t="inlineStr">
        <is>
          <t>ER</t>
        </is>
      </c>
      <c r="H4408" s="127" t="n">
        <v>46166</v>
      </c>
      <c r="J4408" s="38" t="inlineStr">
        <is>
          <t>0-4520</t>
        </is>
      </c>
      <c r="K4408" t="inlineStr">
        <is>
          <t>RTL1083 2022 VELOCIWRAP TRIPLEXING TRAILER 2022 VELOCIWRAP TRIPLEXING TRAILER</t>
        </is>
      </c>
      <c r="L4408" t="n">
        <v>0</v>
      </c>
      <c r="M4408" t="n">
        <v>0</v>
      </c>
      <c r="O4408" t="inlineStr">
        <is>
          <t>RTL1083</t>
        </is>
      </c>
      <c r="Q4408" s="114" t="n">
        <v>0</v>
      </c>
      <c r="R4408" s="114" t="n">
        <v>65</v>
      </c>
      <c r="S4408" s="114" t="n">
        <v>0</v>
      </c>
      <c r="T4408" t="n">
        <v>0</v>
      </c>
    </row>
    <row r="4409">
      <c r="A4409" t="inlineStr">
        <is>
          <t>ttJTrans</t>
        </is>
      </c>
      <c r="B4409" s="38" t="inlineStr">
        <is>
          <t>0-4520</t>
        </is>
      </c>
      <c r="C4409" t="inlineStr">
        <is>
          <t>ER</t>
        </is>
      </c>
      <c r="E4409" t="inlineStr">
        <is>
          <t>ER</t>
        </is>
      </c>
      <c r="H4409" s="127" t="n">
        <v>46166</v>
      </c>
      <c r="J4409" s="38" t="inlineStr">
        <is>
          <t>0-4520</t>
        </is>
      </c>
      <c r="K4409" t="inlineStr">
        <is>
          <t>RTL1083 2022 VELOCIWRAP TRIPLEXING TRAILER 2022 VELOCIWRAP TRIPLEXING TRAILER</t>
        </is>
      </c>
      <c r="L4409" t="n">
        <v>0</v>
      </c>
      <c r="M4409" t="n">
        <v>0</v>
      </c>
      <c r="O4409" t="inlineStr">
        <is>
          <t>RTL1083</t>
        </is>
      </c>
      <c r="Q4409" s="114" t="n">
        <v>0</v>
      </c>
      <c r="R4409" s="114" t="n">
        <v>65</v>
      </c>
      <c r="S4409" s="114" t="n">
        <v>0</v>
      </c>
      <c r="T4409" t="n">
        <v>0</v>
      </c>
    </row>
    <row r="4410">
      <c r="A4410" t="inlineStr">
        <is>
          <t>ttJTrans</t>
        </is>
      </c>
      <c r="B4410" s="38" t="inlineStr">
        <is>
          <t>0-4520</t>
        </is>
      </c>
      <c r="C4410" t="inlineStr">
        <is>
          <t>ER</t>
        </is>
      </c>
      <c r="E4410" t="inlineStr">
        <is>
          <t>ER</t>
        </is>
      </c>
      <c r="H4410" s="127" t="n">
        <v>46166</v>
      </c>
      <c r="J4410" s="38" t="inlineStr">
        <is>
          <t>0-4520</t>
        </is>
      </c>
      <c r="K4410" t="inlineStr">
        <is>
          <t>RTL1083 2022 VELOCIWRAP TRIPLEXING TRAILER 2022 VELOCIWRAP TRIPLEXING TRAILER</t>
        </is>
      </c>
      <c r="L4410" t="n">
        <v>0</v>
      </c>
      <c r="M4410" t="n">
        <v>0</v>
      </c>
      <c r="O4410" t="inlineStr">
        <is>
          <t>RTL1083</t>
        </is>
      </c>
      <c r="Q4410" s="114" t="n">
        <v>0</v>
      </c>
      <c r="R4410" s="114" t="n">
        <v>65</v>
      </c>
      <c r="S4410" s="114" t="n">
        <v>0</v>
      </c>
      <c r="T4410" t="n">
        <v>0</v>
      </c>
    </row>
    <row r="4411">
      <c r="A4411" t="inlineStr">
        <is>
          <t>ttJTrans</t>
        </is>
      </c>
      <c r="B4411" s="38" t="inlineStr">
        <is>
          <t>0-4520</t>
        </is>
      </c>
      <c r="C4411" t="inlineStr">
        <is>
          <t>ER</t>
        </is>
      </c>
      <c r="E4411" t="inlineStr">
        <is>
          <t>ER</t>
        </is>
      </c>
      <c r="H4411" s="127" t="n">
        <v>46166</v>
      </c>
      <c r="J4411" s="38" t="inlineStr">
        <is>
          <t>0-4520</t>
        </is>
      </c>
      <c r="K4411" t="inlineStr">
        <is>
          <t>RTL1084 2022 VELOCIWRAP CABLE WRAPPER 2022 VELOCIWRAP CABLE WRAPPER</t>
        </is>
      </c>
      <c r="L4411" t="n">
        <v>0</v>
      </c>
      <c r="M4411" t="n">
        <v>0</v>
      </c>
      <c r="O4411" t="inlineStr">
        <is>
          <t>RTL1084</t>
        </is>
      </c>
      <c r="Q4411" s="114" t="n">
        <v>0</v>
      </c>
      <c r="R4411" s="114" t="n">
        <v>330.46</v>
      </c>
      <c r="S4411" s="114" t="n">
        <v>0</v>
      </c>
      <c r="T4411" t="n">
        <v>0</v>
      </c>
    </row>
    <row r="4412">
      <c r="A4412" t="inlineStr">
        <is>
          <t>ttJTrans</t>
        </is>
      </c>
      <c r="B4412" s="38" t="inlineStr">
        <is>
          <t>0-4520</t>
        </is>
      </c>
      <c r="C4412" t="inlineStr">
        <is>
          <t>ER</t>
        </is>
      </c>
      <c r="E4412" t="inlineStr">
        <is>
          <t>ER</t>
        </is>
      </c>
      <c r="H4412" s="127" t="n">
        <v>46166</v>
      </c>
      <c r="J4412" s="38" t="inlineStr">
        <is>
          <t>0-4520</t>
        </is>
      </c>
      <c r="K4412" t="inlineStr">
        <is>
          <t>RTL1084 2022 VELOCIWRAP CABLE WRAPPER 2022 VELOCIWRAP CABLE WRAPPER</t>
        </is>
      </c>
      <c r="L4412" t="n">
        <v>0</v>
      </c>
      <c r="M4412" t="n">
        <v>0</v>
      </c>
      <c r="O4412" t="inlineStr">
        <is>
          <t>RTL1084</t>
        </is>
      </c>
      <c r="Q4412" s="114" t="n">
        <v>0</v>
      </c>
      <c r="R4412" s="114" t="n">
        <v>330.46</v>
      </c>
      <c r="S4412" s="114" t="n">
        <v>0</v>
      </c>
      <c r="T4412" t="n">
        <v>0</v>
      </c>
    </row>
    <row r="4413">
      <c r="A4413" t="inlineStr">
        <is>
          <t>ttJTrans</t>
        </is>
      </c>
      <c r="B4413" s="38" t="inlineStr">
        <is>
          <t>0-4520</t>
        </is>
      </c>
      <c r="C4413" t="inlineStr">
        <is>
          <t>ER</t>
        </is>
      </c>
      <c r="E4413" t="inlineStr">
        <is>
          <t>ER</t>
        </is>
      </c>
      <c r="H4413" s="127" t="n">
        <v>46166</v>
      </c>
      <c r="J4413" s="38" t="inlineStr">
        <is>
          <t>0-4520</t>
        </is>
      </c>
      <c r="K4413" t="inlineStr">
        <is>
          <t>RTL1084 2022 VELOCIWRAP CABLE WRAPPER 2022 VELOCIWRAP CABLE WRAPPER</t>
        </is>
      </c>
      <c r="L4413" t="n">
        <v>0</v>
      </c>
      <c r="M4413" t="n">
        <v>0</v>
      </c>
      <c r="O4413" t="inlineStr">
        <is>
          <t>RTL1084</t>
        </is>
      </c>
      <c r="Q4413" s="114" t="n">
        <v>0</v>
      </c>
      <c r="R4413" s="114" t="n">
        <v>330.46</v>
      </c>
      <c r="S4413" s="114" t="n">
        <v>0</v>
      </c>
      <c r="T4413" t="n">
        <v>0</v>
      </c>
    </row>
    <row r="4414">
      <c r="A4414" t="inlineStr">
        <is>
          <t>ttJTrans</t>
        </is>
      </c>
      <c r="B4414" s="38" t="inlineStr">
        <is>
          <t>0-4520</t>
        </is>
      </c>
      <c r="C4414" t="inlineStr">
        <is>
          <t>ER</t>
        </is>
      </c>
      <c r="E4414" t="inlineStr">
        <is>
          <t>ER</t>
        </is>
      </c>
      <c r="H4414" s="127" t="n">
        <v>46166</v>
      </c>
      <c r="J4414" s="38" t="inlineStr">
        <is>
          <t>0-4520</t>
        </is>
      </c>
      <c r="K4414" t="inlineStr">
        <is>
          <t>RTL1084 2022 VELOCIWRAP CABLE WRAPPER 2022 VELOCIWRAP CABLE WRAPPER</t>
        </is>
      </c>
      <c r="L4414" t="n">
        <v>0</v>
      </c>
      <c r="M4414" t="n">
        <v>0</v>
      </c>
      <c r="O4414" t="inlineStr">
        <is>
          <t>RTL1084</t>
        </is>
      </c>
      <c r="Q4414" s="114" t="n">
        <v>0</v>
      </c>
      <c r="R4414" s="114" t="n">
        <v>330.46</v>
      </c>
      <c r="S4414" s="114" t="n">
        <v>0</v>
      </c>
      <c r="T4414" t="n">
        <v>0</v>
      </c>
    </row>
    <row r="4415">
      <c r="A4415" t="inlineStr">
        <is>
          <t>ttJTrans</t>
        </is>
      </c>
      <c r="B4415" s="38" t="inlineStr">
        <is>
          <t>0-4520</t>
        </is>
      </c>
      <c r="C4415" t="inlineStr">
        <is>
          <t>ER</t>
        </is>
      </c>
      <c r="E4415" t="inlineStr">
        <is>
          <t>ER</t>
        </is>
      </c>
      <c r="H4415" s="127" t="n">
        <v>46166</v>
      </c>
      <c r="J4415" s="38" t="inlineStr">
        <is>
          <t>0-4520</t>
        </is>
      </c>
      <c r="K4415" t="inlineStr">
        <is>
          <t>RTL1084 2022 VELOCIWRAP CABLE WRAPPER 2022 VELOCIWRAP CABLE WRAPPER</t>
        </is>
      </c>
      <c r="L4415" t="n">
        <v>0</v>
      </c>
      <c r="M4415" t="n">
        <v>0</v>
      </c>
      <c r="O4415" t="inlineStr">
        <is>
          <t>RTL1084</t>
        </is>
      </c>
      <c r="Q4415" s="114" t="n">
        <v>0</v>
      </c>
      <c r="R4415" s="114" t="n">
        <v>330.46</v>
      </c>
      <c r="S4415" s="114" t="n">
        <v>0</v>
      </c>
      <c r="T4415" t="n">
        <v>0</v>
      </c>
    </row>
    <row r="4416">
      <c r="A4416" t="inlineStr">
        <is>
          <t>ttJTrans</t>
        </is>
      </c>
      <c r="B4416" s="38" t="inlineStr">
        <is>
          <t>0-4520</t>
        </is>
      </c>
      <c r="C4416" t="inlineStr">
        <is>
          <t>ER</t>
        </is>
      </c>
      <c r="E4416" t="inlineStr">
        <is>
          <t>ER</t>
        </is>
      </c>
      <c r="H4416" s="127" t="n">
        <v>46166</v>
      </c>
      <c r="J4416" s="38" t="inlineStr">
        <is>
          <t>0-4520</t>
        </is>
      </c>
      <c r="K4416" t="inlineStr">
        <is>
          <t>RTL1085 2022 VELOCIWRAP CABLE WRAPPER 2022 VELOCIWRAP CABLE WRAPPER</t>
        </is>
      </c>
      <c r="L4416" t="n">
        <v>0</v>
      </c>
      <c r="M4416" t="n">
        <v>0</v>
      </c>
      <c r="O4416" t="inlineStr">
        <is>
          <t>RTL1085</t>
        </is>
      </c>
      <c r="Q4416" s="114" t="n">
        <v>0</v>
      </c>
      <c r="R4416" s="114" t="n">
        <v>330.46</v>
      </c>
      <c r="S4416" s="114" t="n">
        <v>0</v>
      </c>
      <c r="T4416" t="n">
        <v>0</v>
      </c>
    </row>
    <row r="4417">
      <c r="A4417" t="inlineStr">
        <is>
          <t>ttJTrans</t>
        </is>
      </c>
      <c r="B4417" s="38" t="inlineStr">
        <is>
          <t>0-4520</t>
        </is>
      </c>
      <c r="C4417" t="inlineStr">
        <is>
          <t>ER</t>
        </is>
      </c>
      <c r="E4417" t="inlineStr">
        <is>
          <t>ER</t>
        </is>
      </c>
      <c r="H4417" s="127" t="n">
        <v>46166</v>
      </c>
      <c r="J4417" s="38" t="inlineStr">
        <is>
          <t>0-4520</t>
        </is>
      </c>
      <c r="K4417" t="inlineStr">
        <is>
          <t>RTL1085 2022 VELOCIWRAP CABLE WRAPPER 2022 VELOCIWRAP CABLE WRAPPER</t>
        </is>
      </c>
      <c r="L4417" t="n">
        <v>0</v>
      </c>
      <c r="M4417" t="n">
        <v>0</v>
      </c>
      <c r="O4417" t="inlineStr">
        <is>
          <t>RTL1085</t>
        </is>
      </c>
      <c r="Q4417" s="114" t="n">
        <v>0</v>
      </c>
      <c r="R4417" s="114" t="n">
        <v>330.46</v>
      </c>
      <c r="S4417" s="114" t="n">
        <v>0</v>
      </c>
      <c r="T4417" t="n">
        <v>0</v>
      </c>
    </row>
    <row r="4418">
      <c r="A4418" t="inlineStr">
        <is>
          <t>ttJTrans</t>
        </is>
      </c>
      <c r="B4418" s="38" t="inlineStr">
        <is>
          <t>0-4520</t>
        </is>
      </c>
      <c r="C4418" t="inlineStr">
        <is>
          <t>ER</t>
        </is>
      </c>
      <c r="E4418" t="inlineStr">
        <is>
          <t>ER</t>
        </is>
      </c>
      <c r="H4418" s="127" t="n">
        <v>46166</v>
      </c>
      <c r="J4418" s="38" t="inlineStr">
        <is>
          <t>0-4520</t>
        </is>
      </c>
      <c r="K4418" t="inlineStr">
        <is>
          <t>RTL1085 2022 VELOCIWRAP CABLE WRAPPER 2022 VELOCIWRAP CABLE WRAPPER</t>
        </is>
      </c>
      <c r="L4418" t="n">
        <v>0</v>
      </c>
      <c r="M4418" t="n">
        <v>0</v>
      </c>
      <c r="O4418" t="inlineStr">
        <is>
          <t>RTL1085</t>
        </is>
      </c>
      <c r="Q4418" s="114" t="n">
        <v>0</v>
      </c>
      <c r="R4418" s="114" t="n">
        <v>330.46</v>
      </c>
      <c r="S4418" s="114" t="n">
        <v>0</v>
      </c>
      <c r="T4418" t="n">
        <v>0</v>
      </c>
    </row>
    <row r="4419">
      <c r="A4419" t="inlineStr">
        <is>
          <t>ttJTrans</t>
        </is>
      </c>
      <c r="B4419" s="38" t="inlineStr">
        <is>
          <t>0-4520</t>
        </is>
      </c>
      <c r="C4419" t="inlineStr">
        <is>
          <t>ER</t>
        </is>
      </c>
      <c r="E4419" t="inlineStr">
        <is>
          <t>ER</t>
        </is>
      </c>
      <c r="H4419" s="127" t="n">
        <v>46166</v>
      </c>
      <c r="J4419" s="38" t="inlineStr">
        <is>
          <t>0-4520</t>
        </is>
      </c>
      <c r="K4419" t="inlineStr">
        <is>
          <t>RTL1085 2022 VELOCIWRAP CABLE WRAPPER 2022 VELOCIWRAP CABLE WRAPPER</t>
        </is>
      </c>
      <c r="L4419" t="n">
        <v>0</v>
      </c>
      <c r="M4419" t="n">
        <v>0</v>
      </c>
      <c r="O4419" t="inlineStr">
        <is>
          <t>RTL1085</t>
        </is>
      </c>
      <c r="Q4419" s="114" t="n">
        <v>0</v>
      </c>
      <c r="R4419" s="114" t="n">
        <v>330.46</v>
      </c>
      <c r="S4419" s="114" t="n">
        <v>0</v>
      </c>
      <c r="T4419" t="n">
        <v>0</v>
      </c>
    </row>
    <row r="4420">
      <c r="A4420" t="inlineStr">
        <is>
          <t>ttJTrans</t>
        </is>
      </c>
      <c r="B4420" s="38" t="inlineStr">
        <is>
          <t>0-4701</t>
        </is>
      </c>
      <c r="C4420" t="inlineStr">
        <is>
          <t>LA</t>
        </is>
      </c>
      <c r="E4420" t="inlineStr">
        <is>
          <t>LA</t>
        </is>
      </c>
      <c r="H4420" s="127" t="n">
        <v>46135</v>
      </c>
      <c r="J4420" s="38" t="inlineStr">
        <is>
          <t>0-4701</t>
        </is>
      </c>
      <c r="K4420" t="inlineStr">
        <is>
          <t>PR P0COST 000527 (PR) Summary</t>
        </is>
      </c>
      <c r="L4420" t="n">
        <v>0</v>
      </c>
      <c r="M4420" t="n">
        <v>0</v>
      </c>
      <c r="Q4420" s="114" t="n">
        <v>0</v>
      </c>
      <c r="R4420" s="114" t="n">
        <v>433.5</v>
      </c>
      <c r="S4420" s="114" t="n">
        <v>0</v>
      </c>
      <c r="T4420" t="n">
        <v>8</v>
      </c>
    </row>
    <row r="4421">
      <c r="A4421" t="inlineStr">
        <is>
          <t>ttJTrans</t>
        </is>
      </c>
      <c r="B4421" s="38" t="inlineStr">
        <is>
          <t>0-4701</t>
        </is>
      </c>
      <c r="C4421" t="inlineStr">
        <is>
          <t>LA</t>
        </is>
      </c>
      <c r="E4421" t="inlineStr">
        <is>
          <t>LA</t>
        </is>
      </c>
      <c r="H4421" s="127" t="n">
        <v>46142</v>
      </c>
      <c r="J4421" s="38" t="inlineStr">
        <is>
          <t>0-4701</t>
        </is>
      </c>
      <c r="K4421" t="inlineStr">
        <is>
          <t>PR P0COST 000528 (PR) Summary</t>
        </is>
      </c>
      <c r="L4421" t="n">
        <v>0</v>
      </c>
      <c r="M4421" t="n">
        <v>0</v>
      </c>
      <c r="Q4421" s="114" t="n">
        <v>0</v>
      </c>
      <c r="R4421" s="114" t="n">
        <v>640.41</v>
      </c>
      <c r="S4421" s="114" t="n">
        <v>0</v>
      </c>
      <c r="T4421" t="n">
        <v>9.01</v>
      </c>
    </row>
    <row r="4422">
      <c r="A4422" t="inlineStr">
        <is>
          <t>ttJTrans</t>
        </is>
      </c>
      <c r="B4422" s="38" t="inlineStr">
        <is>
          <t>0-4999</t>
        </is>
      </c>
      <c r="C4422" t="inlineStr">
        <is>
          <t>OC</t>
        </is>
      </c>
      <c r="E4422" t="inlineStr">
        <is>
          <t>OC</t>
        </is>
      </c>
      <c r="H4422" s="127" t="n">
        <v>46064</v>
      </c>
      <c r="J4422" s="38" t="inlineStr">
        <is>
          <t>0-4999</t>
        </is>
      </c>
      <c r="K4422" t="inlineStr">
        <is>
          <t>260100618,LYLE MACHINERY,FREIGHT,11/12/25,P63489</t>
        </is>
      </c>
      <c r="L4422" t="n">
        <v>0</v>
      </c>
      <c r="M4422" t="n">
        <v>0</v>
      </c>
      <c r="Q4422" s="114" t="n">
        <v>0</v>
      </c>
      <c r="R4422" s="114" t="n">
        <v>386.06</v>
      </c>
      <c r="S4422" s="114" t="n">
        <v>0</v>
      </c>
      <c r="T4422" t="n">
        <v>0</v>
      </c>
    </row>
    <row r="4423">
      <c r="A4423" t="inlineStr">
        <is>
          <t>ttJTrans</t>
        </is>
      </c>
      <c r="B4423" s="38" t="inlineStr">
        <is>
          <t>0-4999</t>
        </is>
      </c>
      <c r="C4423" t="inlineStr">
        <is>
          <t>OC</t>
        </is>
      </c>
      <c r="E4423" t="inlineStr">
        <is>
          <t>OC</t>
        </is>
      </c>
      <c r="H4423" s="127" t="n">
        <v>46140</v>
      </c>
      <c r="J4423" s="38" t="inlineStr">
        <is>
          <t>0-4999</t>
        </is>
      </c>
      <c r="K4423" t="inlineStr">
        <is>
          <t>COMDATA 4/20/26 (SW) WHARTON TRACTOR COMPAN 4/14/26</t>
        </is>
      </c>
      <c r="L4423" t="n">
        <v>0</v>
      </c>
      <c r="M4423" t="n">
        <v>0</v>
      </c>
      <c r="O4423" t="inlineStr">
        <is>
          <t>2294</t>
        </is>
      </c>
      <c r="Q4423" s="114" t="n">
        <v>0</v>
      </c>
      <c r="R4423" s="114" t="n">
        <v>649.79</v>
      </c>
      <c r="S4423" s="114" t="n">
        <v>0</v>
      </c>
      <c r="T4423" t="n">
        <v>0</v>
      </c>
    </row>
    <row r="4424">
      <c r="A4424" t="inlineStr">
        <is>
          <t>ttJTrans</t>
        </is>
      </c>
      <c r="B4424" s="38" t="inlineStr">
        <is>
          <t>2-4004</t>
        </is>
      </c>
      <c r="C4424" t="inlineStr">
        <is>
          <t>SU</t>
        </is>
      </c>
      <c r="D4424" t="inlineStr">
        <is>
          <t>SO1000325</t>
        </is>
      </c>
      <c r="E4424" t="inlineStr">
        <is>
          <t>SU</t>
        </is>
      </c>
      <c r="F4424" t="inlineStr">
        <is>
          <t>SO1000325</t>
        </is>
      </c>
      <c r="G4424" t="n">
        <v>46119</v>
      </c>
      <c r="H4424" s="127" t="n">
        <v>46122</v>
      </c>
      <c r="I4424" t="inlineStr">
        <is>
          <t>1</t>
        </is>
      </c>
      <c r="J4424" s="38" t="inlineStr">
        <is>
          <t>2-4004</t>
        </is>
      </c>
      <c r="K4424" t="inlineStr">
        <is>
          <t>ENGINEERING</t>
        </is>
      </c>
      <c r="L4424" t="n">
        <v>1</v>
      </c>
      <c r="M4424" t="n">
        <v>228978.75</v>
      </c>
      <c r="N4424" t="inlineStr">
        <is>
          <t>PO:COMMIT</t>
        </is>
      </c>
      <c r="O4424" t="inlineStr">
        <is>
          <t>20428</t>
        </is>
      </c>
      <c r="P4424" t="inlineStr">
        <is>
          <t>KLS POWER CONSULTING, PLLC</t>
        </is>
      </c>
      <c r="Q4424" s="114" t="n">
        <v>0</v>
      </c>
      <c r="R4424" s="114" t="n">
        <v>0</v>
      </c>
      <c r="S4424" s="114" t="n">
        <v>228978.75</v>
      </c>
      <c r="T4424" t="n">
        <v>0</v>
      </c>
    </row>
    <row r="4425">
      <c r="A4425" t="inlineStr">
        <is>
          <t>ttJTrans</t>
        </is>
      </c>
      <c r="B4425" s="38" t="inlineStr">
        <is>
          <t>2-4004</t>
        </is>
      </c>
      <c r="C4425" t="inlineStr">
        <is>
          <t>SU</t>
        </is>
      </c>
      <c r="D4425" t="inlineStr">
        <is>
          <t>SO1000338</t>
        </is>
      </c>
      <c r="E4425" t="inlineStr">
        <is>
          <t>SU</t>
        </is>
      </c>
      <c r="F4425" t="inlineStr">
        <is>
          <t>SO1000338</t>
        </is>
      </c>
      <c r="G4425" t="n">
        <v>46125</v>
      </c>
      <c r="H4425" s="127" t="n">
        <v>46127</v>
      </c>
      <c r="I4425" t="inlineStr">
        <is>
          <t>1</t>
        </is>
      </c>
      <c r="J4425" s="38" t="inlineStr">
        <is>
          <t>2-4004</t>
        </is>
      </c>
      <c r="K4425" t="inlineStr">
        <is>
          <t>FENCING</t>
        </is>
      </c>
      <c r="L4425" t="n">
        <v>1</v>
      </c>
      <c r="M4425" t="n">
        <v>39764.38</v>
      </c>
      <c r="N4425" t="inlineStr">
        <is>
          <t>PO:COMMIT</t>
        </is>
      </c>
      <c r="O4425" t="inlineStr">
        <is>
          <t>20603</t>
        </is>
      </c>
      <c r="P4425" t="inlineStr">
        <is>
          <t>KAY SERVICES, INC.</t>
        </is>
      </c>
      <c r="Q4425" s="114" t="n">
        <v>0</v>
      </c>
      <c r="R4425" s="114" t="n">
        <v>0</v>
      </c>
      <c r="S4425" s="114" t="n">
        <v>39764.38</v>
      </c>
      <c r="T4425" t="n">
        <v>0</v>
      </c>
    </row>
    <row r="4426">
      <c r="A4426" t="inlineStr">
        <is>
          <t>ttJTrans</t>
        </is>
      </c>
      <c r="B4426" s="38" t="inlineStr">
        <is>
          <t>2-4205</t>
        </is>
      </c>
      <c r="C4426" t="inlineStr">
        <is>
          <t>EQ</t>
        </is>
      </c>
      <c r="E4426" t="inlineStr">
        <is>
          <t>EQ</t>
        </is>
      </c>
      <c r="H4426" s="127" t="n">
        <v>46166</v>
      </c>
      <c r="J4426" s="38" t="inlineStr">
        <is>
          <t>2-4205</t>
        </is>
      </c>
      <c r="K4426" t="inlineStr">
        <is>
          <t>RT1447 2024 FORD F250 XL STX CREW CAB DIESEL SWB 2024 FORD F250 XL STX CREW CAB DIESEL SWB</t>
        </is>
      </c>
      <c r="L4426" t="n">
        <v>0</v>
      </c>
      <c r="M4426" t="n">
        <v>0</v>
      </c>
      <c r="O4426" t="inlineStr">
        <is>
          <t>RT1447</t>
        </is>
      </c>
      <c r="Q4426" s="114" t="n">
        <v>0</v>
      </c>
      <c r="R4426" s="114" t="n">
        <v>79.14</v>
      </c>
      <c r="S4426" s="114" t="n">
        <v>0</v>
      </c>
      <c r="T4426" t="n">
        <v>0</v>
      </c>
    </row>
    <row r="4427">
      <c r="A4427" t="inlineStr">
        <is>
          <t>ttJTrans</t>
        </is>
      </c>
      <c r="B4427" s="38" t="inlineStr">
        <is>
          <t>2-4205</t>
        </is>
      </c>
      <c r="C4427" t="inlineStr">
        <is>
          <t>EQ</t>
        </is>
      </c>
      <c r="E4427" t="inlineStr">
        <is>
          <t>EQ</t>
        </is>
      </c>
      <c r="H4427" s="127" t="n">
        <v>46166</v>
      </c>
      <c r="J4427" s="38" t="inlineStr">
        <is>
          <t>2-4205</t>
        </is>
      </c>
      <c r="K4427" t="inlineStr">
        <is>
          <t>RT1447 2024 FORD F250 XL STX CREW CAB DIESEL SWB 2024 FORD F250 XL STX CREW CAB DIESEL SWB</t>
        </is>
      </c>
      <c r="L4427" t="n">
        <v>0</v>
      </c>
      <c r="M4427" t="n">
        <v>0</v>
      </c>
      <c r="O4427" t="inlineStr">
        <is>
          <t>RT1447</t>
        </is>
      </c>
      <c r="Q4427" s="114" t="n">
        <v>0</v>
      </c>
      <c r="R4427" s="114" t="n">
        <v>79.14</v>
      </c>
      <c r="S4427" s="114" t="n">
        <v>0</v>
      </c>
      <c r="T4427" t="n">
        <v>0</v>
      </c>
    </row>
    <row r="4428">
      <c r="A4428" t="inlineStr">
        <is>
          <t>ttJTrans</t>
        </is>
      </c>
      <c r="B4428" s="38" t="inlineStr">
        <is>
          <t>2-4205</t>
        </is>
      </c>
      <c r="C4428" t="inlineStr">
        <is>
          <t>ER</t>
        </is>
      </c>
      <c r="E4428" t="inlineStr">
        <is>
          <t>ER</t>
        </is>
      </c>
      <c r="H4428" s="127" t="n">
        <v>46152</v>
      </c>
      <c r="J4428" s="38" t="inlineStr">
        <is>
          <t>2-4205</t>
        </is>
      </c>
      <c r="K4428" t="inlineStr">
        <is>
          <t>RPK482 HAMM 84' SINGLE DRUM ROLLER HAMM 84' SINGLE DRUM ROLLER</t>
        </is>
      </c>
      <c r="L4428" t="n">
        <v>0</v>
      </c>
      <c r="M4428" t="n">
        <v>0</v>
      </c>
      <c r="O4428" t="inlineStr">
        <is>
          <t>RPK482</t>
        </is>
      </c>
      <c r="Q4428" s="114" t="n">
        <v>0</v>
      </c>
      <c r="R4428" s="114" t="n">
        <v>300</v>
      </c>
      <c r="S4428" s="114" t="n">
        <v>0</v>
      </c>
      <c r="T4428" t="n">
        <v>0</v>
      </c>
    </row>
    <row r="4429">
      <c r="A4429" t="inlineStr">
        <is>
          <t>ttJTrans</t>
        </is>
      </c>
      <c r="B4429" s="38" t="inlineStr">
        <is>
          <t>2-4205</t>
        </is>
      </c>
      <c r="C4429" t="inlineStr">
        <is>
          <t>ER</t>
        </is>
      </c>
      <c r="E4429" t="inlineStr">
        <is>
          <t>ER</t>
        </is>
      </c>
      <c r="H4429" s="127" t="n">
        <v>46152</v>
      </c>
      <c r="J4429" s="38" t="inlineStr">
        <is>
          <t>2-4205</t>
        </is>
      </c>
      <c r="K4429" t="inlineStr">
        <is>
          <t>RDZ318 CAT D5 LGPVPR DOZER 170 HP CAT D5 LGPVPR DOZER 170 HP</t>
        </is>
      </c>
      <c r="L4429" t="n">
        <v>0</v>
      </c>
      <c r="M4429" t="n">
        <v>0</v>
      </c>
      <c r="O4429" t="inlineStr">
        <is>
          <t>RDZ318</t>
        </is>
      </c>
      <c r="Q4429" s="114" t="n">
        <v>0</v>
      </c>
      <c r="R4429" s="114" t="n">
        <v>778.74</v>
      </c>
      <c r="S4429" s="114" t="n">
        <v>0</v>
      </c>
      <c r="T4429" t="n">
        <v>0</v>
      </c>
    </row>
    <row r="4430">
      <c r="A4430" t="inlineStr">
        <is>
          <t>ttJTrans</t>
        </is>
      </c>
      <c r="B4430" s="38" t="inlineStr">
        <is>
          <t>2-4205</t>
        </is>
      </c>
      <c r="C4430" t="inlineStr">
        <is>
          <t>ER</t>
        </is>
      </c>
      <c r="E4430" t="inlineStr">
        <is>
          <t>ER</t>
        </is>
      </c>
      <c r="H4430" s="127" t="n">
        <v>46166</v>
      </c>
      <c r="J4430" s="38" t="inlineStr">
        <is>
          <t>2-4205</t>
        </is>
      </c>
      <c r="K4430" t="inlineStr">
        <is>
          <t>RPK500 CATERPILLAR 84" PADFOOT ROLLER CATERPILLAR 84" PADFOOT ROLLER</t>
        </is>
      </c>
      <c r="L4430" t="n">
        <v>0</v>
      </c>
      <c r="M4430" t="n">
        <v>0</v>
      </c>
      <c r="O4430" t="inlineStr">
        <is>
          <t>RPK500</t>
        </is>
      </c>
      <c r="Q4430" s="114" t="n">
        <v>0</v>
      </c>
      <c r="R4430" s="114" t="n">
        <v>340</v>
      </c>
      <c r="S4430" s="114" t="n">
        <v>0</v>
      </c>
      <c r="T4430" t="n">
        <v>0</v>
      </c>
    </row>
    <row r="4431">
      <c r="A4431" t="inlineStr">
        <is>
          <t>ttJTrans</t>
        </is>
      </c>
      <c r="B4431" s="38" t="inlineStr">
        <is>
          <t>2-4205</t>
        </is>
      </c>
      <c r="C4431" t="inlineStr">
        <is>
          <t>ER</t>
        </is>
      </c>
      <c r="E4431" t="inlineStr">
        <is>
          <t>ER</t>
        </is>
      </c>
      <c r="H4431" s="127" t="n">
        <v>46166</v>
      </c>
      <c r="J4431" s="38" t="inlineStr">
        <is>
          <t>2-4205</t>
        </is>
      </c>
      <c r="K4431" t="inlineStr">
        <is>
          <t>RPK500 CATERPILLAR 84" PADFOOT ROLLER CATERPILLAR 84" PADFOOT ROLLER</t>
        </is>
      </c>
      <c r="L4431" t="n">
        <v>0</v>
      </c>
      <c r="M4431" t="n">
        <v>0</v>
      </c>
      <c r="O4431" t="inlineStr">
        <is>
          <t>RPK500</t>
        </is>
      </c>
      <c r="Q4431" s="114" t="n">
        <v>0</v>
      </c>
      <c r="R4431" s="114" t="n">
        <v>340</v>
      </c>
      <c r="S4431" s="114" t="n">
        <v>0</v>
      </c>
      <c r="T4431" t="n">
        <v>0</v>
      </c>
    </row>
    <row r="4432">
      <c r="A4432" t="inlineStr">
        <is>
          <t>ttJTrans</t>
        </is>
      </c>
      <c r="B4432" s="38" t="inlineStr">
        <is>
          <t>2-4205</t>
        </is>
      </c>
      <c r="C4432" t="inlineStr">
        <is>
          <t>ER</t>
        </is>
      </c>
      <c r="E4432" t="inlineStr">
        <is>
          <t>ER</t>
        </is>
      </c>
      <c r="H4432" s="127" t="n">
        <v>46166</v>
      </c>
      <c r="J4432" s="38" t="inlineStr">
        <is>
          <t>2-4205</t>
        </is>
      </c>
      <c r="K4432" t="inlineStr">
        <is>
          <t>RPK500 CATERPILLAR 84" PADFOOT ROLLER CATERPILLAR 84" PADFOOT ROLLER</t>
        </is>
      </c>
      <c r="L4432" t="n">
        <v>0</v>
      </c>
      <c r="M4432" t="n">
        <v>0</v>
      </c>
      <c r="O4432" t="inlineStr">
        <is>
          <t>RPK500</t>
        </is>
      </c>
      <c r="Q4432" s="114" t="n">
        <v>0</v>
      </c>
      <c r="R4432" s="114" t="n">
        <v>340</v>
      </c>
      <c r="S4432" s="114" t="n">
        <v>0</v>
      </c>
      <c r="T4432" t="n">
        <v>0</v>
      </c>
    </row>
    <row r="4433">
      <c r="A4433" t="inlineStr">
        <is>
          <t>ttJTrans</t>
        </is>
      </c>
      <c r="B4433" s="38" t="inlineStr">
        <is>
          <t>2-4205</t>
        </is>
      </c>
      <c r="C4433" t="inlineStr">
        <is>
          <t>ER</t>
        </is>
      </c>
      <c r="E4433" t="inlineStr">
        <is>
          <t>ER</t>
        </is>
      </c>
      <c r="H4433" s="127" t="n">
        <v>46166</v>
      </c>
      <c r="J4433" s="38" t="inlineStr">
        <is>
          <t>2-4205</t>
        </is>
      </c>
      <c r="K4433" t="inlineStr">
        <is>
          <t>RPK500 CATERPILLAR 84" PADFOOT ROLLER CATERPILLAR 84" PADFOOT ROLLER</t>
        </is>
      </c>
      <c r="L4433" t="n">
        <v>0</v>
      </c>
      <c r="M4433" t="n">
        <v>0</v>
      </c>
      <c r="O4433" t="inlineStr">
        <is>
          <t>RPK500</t>
        </is>
      </c>
      <c r="Q4433" s="114" t="n">
        <v>0</v>
      </c>
      <c r="R4433" s="114" t="n">
        <v>340</v>
      </c>
      <c r="S4433" s="114" t="n">
        <v>0</v>
      </c>
      <c r="T4433" t="n">
        <v>0</v>
      </c>
    </row>
    <row r="4434">
      <c r="A4434" t="inlineStr">
        <is>
          <t>ttJTrans</t>
        </is>
      </c>
      <c r="B4434" s="38" t="inlineStr">
        <is>
          <t>2-4205</t>
        </is>
      </c>
      <c r="C4434" t="inlineStr">
        <is>
          <t>ER</t>
        </is>
      </c>
      <c r="E4434" t="inlineStr">
        <is>
          <t>ER</t>
        </is>
      </c>
      <c r="H4434" s="127" t="n">
        <v>46166</v>
      </c>
      <c r="J4434" s="38" t="inlineStr">
        <is>
          <t>2-4205</t>
        </is>
      </c>
      <c r="K4434" t="inlineStr">
        <is>
          <t>RPK500 CATERPILLAR 84" PADFOOT ROLLER CATERPILLAR 84" PADFOOT ROLLER</t>
        </is>
      </c>
      <c r="L4434" t="n">
        <v>0</v>
      </c>
      <c r="M4434" t="n">
        <v>0</v>
      </c>
      <c r="O4434" t="inlineStr">
        <is>
          <t>RPK500</t>
        </is>
      </c>
      <c r="Q4434" s="114" t="n">
        <v>0</v>
      </c>
      <c r="R4434" s="114" t="n">
        <v>340</v>
      </c>
      <c r="S4434" s="114" t="n">
        <v>0</v>
      </c>
      <c r="T4434" t="n">
        <v>0</v>
      </c>
    </row>
    <row r="4435">
      <c r="A4435" t="inlineStr">
        <is>
          <t>ttJTrans</t>
        </is>
      </c>
      <c r="B4435" s="38" t="inlineStr">
        <is>
          <t>2-4205</t>
        </is>
      </c>
      <c r="C4435" t="inlineStr">
        <is>
          <t>ER</t>
        </is>
      </c>
      <c r="E4435" t="inlineStr">
        <is>
          <t>ER</t>
        </is>
      </c>
      <c r="H4435" s="127" t="n">
        <v>46166</v>
      </c>
      <c r="J4435" s="38" t="inlineStr">
        <is>
          <t>2-4205</t>
        </is>
      </c>
      <c r="K4435" t="inlineStr">
        <is>
          <t>RPK500 CATERPILLAR 84" PADFOOT ROLLER CATERPILLAR 84" PADFOOT ROLLER</t>
        </is>
      </c>
      <c r="L4435" t="n">
        <v>0</v>
      </c>
      <c r="M4435" t="n">
        <v>0</v>
      </c>
      <c r="O4435" t="inlineStr">
        <is>
          <t>RPK500</t>
        </is>
      </c>
      <c r="Q4435" s="114" t="n">
        <v>0</v>
      </c>
      <c r="R4435" s="114" t="n">
        <v>340</v>
      </c>
      <c r="S4435" s="114" t="n">
        <v>0</v>
      </c>
      <c r="T4435" t="n">
        <v>0</v>
      </c>
    </row>
    <row r="4436">
      <c r="A4436" t="inlineStr">
        <is>
          <t>ttJTrans</t>
        </is>
      </c>
      <c r="B4436" s="38" t="inlineStr">
        <is>
          <t>2-4205</t>
        </is>
      </c>
      <c r="C4436" t="inlineStr">
        <is>
          <t>ER</t>
        </is>
      </c>
      <c r="E4436" t="inlineStr">
        <is>
          <t>ER</t>
        </is>
      </c>
      <c r="H4436" s="127" t="n">
        <v>46159</v>
      </c>
      <c r="J4436" s="38" t="inlineStr">
        <is>
          <t>2-4205</t>
        </is>
      </c>
      <c r="K4436" t="inlineStr">
        <is>
          <t>RPK500 CATERPILLAR 84" PADFOOT ROLLER CATERPILLAR 84" PADFOOT ROLLER</t>
        </is>
      </c>
      <c r="L4436" t="n">
        <v>0</v>
      </c>
      <c r="M4436" t="n">
        <v>0</v>
      </c>
      <c r="O4436" t="inlineStr">
        <is>
          <t>RPK500</t>
        </is>
      </c>
      <c r="Q4436" s="114" t="n">
        <v>0</v>
      </c>
      <c r="R4436" s="114" t="n">
        <v>340</v>
      </c>
      <c r="S4436" s="114" t="n">
        <v>0</v>
      </c>
      <c r="T4436" t="n">
        <v>0</v>
      </c>
    </row>
    <row r="4437">
      <c r="A4437" t="inlineStr">
        <is>
          <t>ttJTrans</t>
        </is>
      </c>
      <c r="B4437" s="38" t="inlineStr">
        <is>
          <t>2-4205</t>
        </is>
      </c>
      <c r="C4437" t="inlineStr">
        <is>
          <t>ER</t>
        </is>
      </c>
      <c r="E4437" t="inlineStr">
        <is>
          <t>ER</t>
        </is>
      </c>
      <c r="H4437" s="127" t="n">
        <v>46159</v>
      </c>
      <c r="J4437" s="38" t="inlineStr">
        <is>
          <t>2-4205</t>
        </is>
      </c>
      <c r="K4437" t="inlineStr">
        <is>
          <t>RPK500 CATERPILLAR 84" PADFOOT ROLLER CATERPILLAR 84" PADFOOT ROLLER</t>
        </is>
      </c>
      <c r="L4437" t="n">
        <v>0</v>
      </c>
      <c r="M4437" t="n">
        <v>0</v>
      </c>
      <c r="O4437" t="inlineStr">
        <is>
          <t>RPK500</t>
        </is>
      </c>
      <c r="Q4437" s="114" t="n">
        <v>0</v>
      </c>
      <c r="R4437" s="114" t="n">
        <v>340</v>
      </c>
      <c r="S4437" s="114" t="n">
        <v>0</v>
      </c>
      <c r="T4437" t="n">
        <v>0</v>
      </c>
    </row>
    <row r="4438">
      <c r="A4438" t="inlineStr">
        <is>
          <t>ttJTrans</t>
        </is>
      </c>
      <c r="B4438" s="38" t="inlineStr">
        <is>
          <t>2-4205</t>
        </is>
      </c>
      <c r="C4438" t="inlineStr">
        <is>
          <t>ER</t>
        </is>
      </c>
      <c r="E4438" t="inlineStr">
        <is>
          <t>ER</t>
        </is>
      </c>
      <c r="H4438" s="127" t="n">
        <v>46159</v>
      </c>
      <c r="J4438" s="38" t="inlineStr">
        <is>
          <t>2-4205</t>
        </is>
      </c>
      <c r="K4438" t="inlineStr">
        <is>
          <t>RPK500 CATERPILLAR 84" PADFOOT ROLLER CATERPILLAR 84" PADFOOT ROLLER</t>
        </is>
      </c>
      <c r="L4438" t="n">
        <v>0</v>
      </c>
      <c r="M4438" t="n">
        <v>0</v>
      </c>
      <c r="O4438" t="inlineStr">
        <is>
          <t>RPK500</t>
        </is>
      </c>
      <c r="Q4438" s="114" t="n">
        <v>0</v>
      </c>
      <c r="R4438" s="114" t="n">
        <v>340</v>
      </c>
      <c r="S4438" s="114" t="n">
        <v>0</v>
      </c>
      <c r="T4438" t="n">
        <v>0</v>
      </c>
    </row>
    <row r="4439">
      <c r="A4439" t="inlineStr">
        <is>
          <t>ttJTrans</t>
        </is>
      </c>
      <c r="B4439" s="38" t="inlineStr">
        <is>
          <t>2-4205</t>
        </is>
      </c>
      <c r="C4439" t="inlineStr">
        <is>
          <t>ER</t>
        </is>
      </c>
      <c r="E4439" t="inlineStr">
        <is>
          <t>ER</t>
        </is>
      </c>
      <c r="H4439" s="127" t="n">
        <v>46159</v>
      </c>
      <c r="J4439" s="38" t="inlineStr">
        <is>
          <t>2-4205</t>
        </is>
      </c>
      <c r="K4439" t="inlineStr">
        <is>
          <t>RMS2317 TRIMBLE TD540 TOTAL STATING TRIMBLE TD540 TOTAL STATING</t>
        </is>
      </c>
      <c r="L4439" t="n">
        <v>0</v>
      </c>
      <c r="M4439" t="n">
        <v>0</v>
      </c>
      <c r="O4439" t="inlineStr">
        <is>
          <t>RMS2317</t>
        </is>
      </c>
      <c r="Q4439" s="114" t="n">
        <v>0</v>
      </c>
      <c r="R4439" s="114" t="n">
        <v>287.36</v>
      </c>
      <c r="S4439" s="114" t="n">
        <v>0</v>
      </c>
      <c r="T4439" t="n">
        <v>0</v>
      </c>
    </row>
    <row r="4440">
      <c r="A4440" t="inlineStr">
        <is>
          <t>ttJTrans</t>
        </is>
      </c>
      <c r="B4440" s="38" t="inlineStr">
        <is>
          <t>2-4205</t>
        </is>
      </c>
      <c r="C4440" t="inlineStr">
        <is>
          <t>ER</t>
        </is>
      </c>
      <c r="E4440" t="inlineStr">
        <is>
          <t>ER</t>
        </is>
      </c>
      <c r="H4440" s="127" t="n">
        <v>46159</v>
      </c>
      <c r="J4440" s="38" t="inlineStr">
        <is>
          <t>2-4205</t>
        </is>
      </c>
      <c r="K4440" t="inlineStr">
        <is>
          <t>RPK482 HAMM 84' SINGLE DRUM ROLLER HAMM 84' SINGLE DRUM ROLLER</t>
        </is>
      </c>
      <c r="L4440" t="n">
        <v>0</v>
      </c>
      <c r="M4440" t="n">
        <v>0</v>
      </c>
      <c r="O4440" t="inlineStr">
        <is>
          <t>RPK482</t>
        </is>
      </c>
      <c r="Q4440" s="114" t="n">
        <v>0</v>
      </c>
      <c r="R4440" s="114" t="n">
        <v>300</v>
      </c>
      <c r="S4440" s="114" t="n">
        <v>0</v>
      </c>
      <c r="T4440" t="n">
        <v>0</v>
      </c>
    </row>
    <row r="4441">
      <c r="A4441" t="inlineStr">
        <is>
          <t>ttJTrans</t>
        </is>
      </c>
      <c r="B4441" s="38" t="inlineStr">
        <is>
          <t>2-4205</t>
        </is>
      </c>
      <c r="C4441" t="inlineStr">
        <is>
          <t>ER</t>
        </is>
      </c>
      <c r="E4441" t="inlineStr">
        <is>
          <t>ER</t>
        </is>
      </c>
      <c r="H4441" s="127" t="n">
        <v>46159</v>
      </c>
      <c r="J4441" s="38" t="inlineStr">
        <is>
          <t>2-4205</t>
        </is>
      </c>
      <c r="K4441" t="inlineStr">
        <is>
          <t>REX665 330 CATERPILLAR EXCAVATOR 330 CATERPILLAR EXCAVATOR</t>
        </is>
      </c>
      <c r="L4441" t="n">
        <v>0</v>
      </c>
      <c r="M4441" t="n">
        <v>0</v>
      </c>
      <c r="O4441" t="inlineStr">
        <is>
          <t>REX665</t>
        </is>
      </c>
      <c r="Q4441" s="114" t="n">
        <v>0</v>
      </c>
      <c r="R4441" s="114" t="n">
        <v>458.33</v>
      </c>
      <c r="S4441" s="114" t="n">
        <v>0</v>
      </c>
      <c r="T4441" t="n">
        <v>0</v>
      </c>
    </row>
    <row r="4442">
      <c r="A4442" t="inlineStr">
        <is>
          <t>ttJTrans</t>
        </is>
      </c>
      <c r="B4442" s="38" t="inlineStr">
        <is>
          <t>2-4205</t>
        </is>
      </c>
      <c r="C4442" t="inlineStr">
        <is>
          <t>ER</t>
        </is>
      </c>
      <c r="E4442" t="inlineStr">
        <is>
          <t>ER</t>
        </is>
      </c>
      <c r="H4442" s="127" t="n">
        <v>46159</v>
      </c>
      <c r="J4442" s="38" t="inlineStr">
        <is>
          <t>2-4205</t>
        </is>
      </c>
      <c r="K4442" t="inlineStr">
        <is>
          <t>RGR114 CATERPILLAR 150 AWD MOTOR GRADER CATERPILLAR 150 AWD MOTOR GRADER</t>
        </is>
      </c>
      <c r="L4442" t="n">
        <v>0</v>
      </c>
      <c r="M4442" t="n">
        <v>0</v>
      </c>
      <c r="O4442" t="inlineStr">
        <is>
          <t>RGR114</t>
        </is>
      </c>
      <c r="Q4442" s="114" t="n">
        <v>0</v>
      </c>
      <c r="R4442" s="114" t="n">
        <v>604.17</v>
      </c>
      <c r="S4442" s="114" t="n">
        <v>0</v>
      </c>
      <c r="T4442" t="n">
        <v>0</v>
      </c>
    </row>
    <row r="4443">
      <c r="A4443" t="inlineStr">
        <is>
          <t>ttJTrans</t>
        </is>
      </c>
      <c r="B4443" s="38" t="inlineStr">
        <is>
          <t>2-4205</t>
        </is>
      </c>
      <c r="C4443" t="inlineStr">
        <is>
          <t>ER</t>
        </is>
      </c>
      <c r="E4443" t="inlineStr">
        <is>
          <t>ER</t>
        </is>
      </c>
      <c r="H4443" s="127" t="n">
        <v>46159</v>
      </c>
      <c r="J4443" s="38" t="inlineStr">
        <is>
          <t>2-4205</t>
        </is>
      </c>
      <c r="K4443" t="inlineStr">
        <is>
          <t>RDZ318 CAT D5 LGPVPR DOZER 170 HP CAT D5 LGPVPR DOZER 170 HP</t>
        </is>
      </c>
      <c r="L4443" t="n">
        <v>0</v>
      </c>
      <c r="M4443" t="n">
        <v>0</v>
      </c>
      <c r="O4443" t="inlineStr">
        <is>
          <t>RDZ318</t>
        </is>
      </c>
      <c r="Q4443" s="114" t="n">
        <v>0</v>
      </c>
      <c r="R4443" s="114" t="n">
        <v>778.74</v>
      </c>
      <c r="S4443" s="114" t="n">
        <v>0</v>
      </c>
      <c r="T4443" t="n">
        <v>0</v>
      </c>
    </row>
    <row r="4444">
      <c r="A4444" t="inlineStr">
        <is>
          <t>ttJTrans</t>
        </is>
      </c>
      <c r="B4444" s="38" t="inlineStr">
        <is>
          <t>2-4205</t>
        </is>
      </c>
      <c r="C4444" t="inlineStr">
        <is>
          <t>ER</t>
        </is>
      </c>
      <c r="E4444" t="inlineStr">
        <is>
          <t>ER</t>
        </is>
      </c>
      <c r="H4444" s="127" t="n">
        <v>46152</v>
      </c>
      <c r="J4444" s="38" t="inlineStr">
        <is>
          <t>2-4205</t>
        </is>
      </c>
      <c r="K4444" t="inlineStr">
        <is>
          <t>RPK500 CATERPILLAR 84" PADFOOT ROLLER CATERPILLAR 84" PADFOOT ROLLER</t>
        </is>
      </c>
      <c r="L4444" t="n">
        <v>0</v>
      </c>
      <c r="M4444" t="n">
        <v>0</v>
      </c>
      <c r="O4444" t="inlineStr">
        <is>
          <t>RPK500</t>
        </is>
      </c>
      <c r="Q4444" s="114" t="n">
        <v>0</v>
      </c>
      <c r="R4444" s="114" t="n">
        <v>340</v>
      </c>
      <c r="S4444" s="114" t="n">
        <v>0</v>
      </c>
      <c r="T4444" t="n">
        <v>0</v>
      </c>
    </row>
    <row r="4445">
      <c r="A4445" t="inlineStr">
        <is>
          <t>ttJTrans</t>
        </is>
      </c>
      <c r="B4445" s="38" t="inlineStr">
        <is>
          <t>2-4205</t>
        </is>
      </c>
      <c r="C4445" t="inlineStr">
        <is>
          <t>ER</t>
        </is>
      </c>
      <c r="E4445" t="inlineStr">
        <is>
          <t>ER</t>
        </is>
      </c>
      <c r="H4445" s="127" t="n">
        <v>46152</v>
      </c>
      <c r="J4445" s="38" t="inlineStr">
        <is>
          <t>2-4205</t>
        </is>
      </c>
      <c r="K4445" t="inlineStr">
        <is>
          <t>RMS2317 TRIMBLE TD540 TOTAL STATING TRIMBLE TD540 TOTAL STATING</t>
        </is>
      </c>
      <c r="L4445" t="n">
        <v>0</v>
      </c>
      <c r="M4445" t="n">
        <v>0</v>
      </c>
      <c r="O4445" t="inlineStr">
        <is>
          <t>RMS2317</t>
        </is>
      </c>
      <c r="Q4445" s="114" t="n">
        <v>0</v>
      </c>
      <c r="R4445" s="114" t="n">
        <v>287.36</v>
      </c>
      <c r="S4445" s="114" t="n">
        <v>0</v>
      </c>
      <c r="T4445" t="n">
        <v>0</v>
      </c>
    </row>
    <row r="4446">
      <c r="A4446" t="inlineStr">
        <is>
          <t>ttJTrans</t>
        </is>
      </c>
      <c r="B4446" s="38" t="inlineStr">
        <is>
          <t>2-4205</t>
        </is>
      </c>
      <c r="C4446" t="inlineStr">
        <is>
          <t>LA</t>
        </is>
      </c>
      <c r="E4446" t="inlineStr">
        <is>
          <t>LA</t>
        </is>
      </c>
      <c r="H4446" s="127" t="n">
        <v>46163</v>
      </c>
      <c r="J4446" s="38" t="inlineStr">
        <is>
          <t>2-4205</t>
        </is>
      </c>
      <c r="K4446" t="inlineStr">
        <is>
          <t>PR P0COST 000531 (PR) Summary</t>
        </is>
      </c>
      <c r="L4446" t="n">
        <v>0</v>
      </c>
      <c r="M4446" t="n">
        <v>0</v>
      </c>
      <c r="Q4446" s="114" t="n">
        <v>0</v>
      </c>
      <c r="R4446" s="114" t="n">
        <v>3299.17</v>
      </c>
      <c r="S4446" s="114" t="n">
        <v>0</v>
      </c>
      <c r="T4446" t="n">
        <v>60</v>
      </c>
    </row>
    <row r="4447">
      <c r="A4447" t="inlineStr">
        <is>
          <t>ttJTrans</t>
        </is>
      </c>
      <c r="B4447" s="38" t="inlineStr">
        <is>
          <t>2-4205</t>
        </is>
      </c>
      <c r="C4447" t="inlineStr">
        <is>
          <t>LA</t>
        </is>
      </c>
      <c r="E4447" t="inlineStr">
        <is>
          <t>LA</t>
        </is>
      </c>
      <c r="H4447" s="127" t="n">
        <v>46149</v>
      </c>
      <c r="J4447" s="38" t="inlineStr">
        <is>
          <t>2-4205</t>
        </is>
      </c>
      <c r="K4447" t="inlineStr">
        <is>
          <t>PR P0COST 000529 (PR) Summary</t>
        </is>
      </c>
      <c r="L4447" t="n">
        <v>0</v>
      </c>
      <c r="M4447" t="n">
        <v>0</v>
      </c>
      <c r="Q4447" s="114" t="n">
        <v>0</v>
      </c>
      <c r="R4447" s="114" t="n">
        <v>1344.92</v>
      </c>
      <c r="S4447" s="114" t="n">
        <v>0</v>
      </c>
      <c r="T4447" t="n">
        <v>30</v>
      </c>
    </row>
    <row r="4448">
      <c r="A4448" t="inlineStr">
        <is>
          <t>ttJTrans</t>
        </is>
      </c>
      <c r="B4448" s="38" t="inlineStr">
        <is>
          <t>2-4205</t>
        </is>
      </c>
      <c r="C4448" t="inlineStr">
        <is>
          <t>LA</t>
        </is>
      </c>
      <c r="E4448" t="inlineStr">
        <is>
          <t>LA</t>
        </is>
      </c>
      <c r="H4448" s="127" t="n">
        <v>46149</v>
      </c>
      <c r="J4448" s="38" t="inlineStr">
        <is>
          <t>2-4205</t>
        </is>
      </c>
      <c r="K4448" t="inlineStr">
        <is>
          <t>PR P0COST 000529 (PR) Summary</t>
        </is>
      </c>
      <c r="L4448" t="n">
        <v>0</v>
      </c>
      <c r="M4448" t="n">
        <v>0</v>
      </c>
      <c r="Q4448" s="114" t="n">
        <v>0</v>
      </c>
      <c r="R4448" s="114" t="n">
        <v>383.66</v>
      </c>
      <c r="S4448" s="114" t="n">
        <v>0</v>
      </c>
      <c r="T4448" t="n">
        <v>10</v>
      </c>
    </row>
    <row r="4449">
      <c r="A4449" t="inlineStr">
        <is>
          <t>ttJTrans</t>
        </is>
      </c>
      <c r="B4449" s="38" t="inlineStr">
        <is>
          <t>2-4205</t>
        </is>
      </c>
      <c r="C4449" t="inlineStr">
        <is>
          <t>LA</t>
        </is>
      </c>
      <c r="E4449" t="inlineStr">
        <is>
          <t>LA</t>
        </is>
      </c>
      <c r="H4449" s="127" t="n">
        <v>46156</v>
      </c>
      <c r="J4449" s="38" t="inlineStr">
        <is>
          <t>2-4205</t>
        </is>
      </c>
      <c r="K4449" t="inlineStr">
        <is>
          <t>PR P0COST 000530 (PR) Summary</t>
        </is>
      </c>
      <c r="L4449" t="n">
        <v>0</v>
      </c>
      <c r="M4449" t="n">
        <v>0</v>
      </c>
      <c r="Q4449" s="114" t="n">
        <v>0</v>
      </c>
      <c r="R4449" s="114" t="n">
        <v>2381.39</v>
      </c>
      <c r="S4449" s="114" t="n">
        <v>0</v>
      </c>
      <c r="T4449" t="n">
        <v>40</v>
      </c>
    </row>
    <row r="4450">
      <c r="A4450" t="inlineStr">
        <is>
          <t>ttJTrans</t>
        </is>
      </c>
      <c r="B4450" s="38" t="inlineStr">
        <is>
          <t>2-4205</t>
        </is>
      </c>
      <c r="C4450" t="inlineStr">
        <is>
          <t>LA</t>
        </is>
      </c>
      <c r="E4450" t="inlineStr">
        <is>
          <t>LA</t>
        </is>
      </c>
      <c r="H4450" s="127" t="n">
        <v>46156</v>
      </c>
      <c r="J4450" s="38" t="inlineStr">
        <is>
          <t>2-4205</t>
        </is>
      </c>
      <c r="K4450" t="inlineStr">
        <is>
          <t>PR P0COST 000530 (PR) Summary</t>
        </is>
      </c>
      <c r="L4450" t="n">
        <v>0</v>
      </c>
      <c r="M4450" t="n">
        <v>0</v>
      </c>
      <c r="Q4450" s="114" t="n">
        <v>0</v>
      </c>
      <c r="R4450" s="114" t="n">
        <v>1241.07</v>
      </c>
      <c r="S4450" s="114" t="n">
        <v>0</v>
      </c>
      <c r="T4450" t="n">
        <v>20</v>
      </c>
    </row>
    <row r="4451">
      <c r="A4451" t="inlineStr">
        <is>
          <t>ttJTrans</t>
        </is>
      </c>
      <c r="B4451" s="38" t="inlineStr">
        <is>
          <t>2-4205</t>
        </is>
      </c>
      <c r="C4451" t="inlineStr">
        <is>
          <t>LA</t>
        </is>
      </c>
      <c r="E4451" t="inlineStr">
        <is>
          <t>LA</t>
        </is>
      </c>
      <c r="H4451" s="127" t="n">
        <v>46156</v>
      </c>
      <c r="J4451" s="38" t="inlineStr">
        <is>
          <t>2-4205</t>
        </is>
      </c>
      <c r="K4451" t="inlineStr">
        <is>
          <t>PR P0COST 000530 (PR) Summary</t>
        </is>
      </c>
      <c r="L4451" t="n">
        <v>0</v>
      </c>
      <c r="M4451" t="n">
        <v>0</v>
      </c>
      <c r="Q4451" s="114" t="n">
        <v>0</v>
      </c>
      <c r="R4451" s="114" t="n">
        <v>861.49</v>
      </c>
      <c r="S4451" s="114" t="n">
        <v>0</v>
      </c>
      <c r="T4451" t="n">
        <v>20</v>
      </c>
    </row>
    <row r="4452">
      <c r="A4452" t="inlineStr">
        <is>
          <t>ttJTrans</t>
        </is>
      </c>
      <c r="B4452" s="38" t="inlineStr">
        <is>
          <t>2-4205</t>
        </is>
      </c>
      <c r="C4452" t="inlineStr">
        <is>
          <t>LA</t>
        </is>
      </c>
      <c r="E4452" t="inlineStr">
        <is>
          <t>LA</t>
        </is>
      </c>
      <c r="H4452" s="127" t="n">
        <v>46156</v>
      </c>
      <c r="J4452" s="38" t="inlineStr">
        <is>
          <t>2-4205</t>
        </is>
      </c>
      <c r="K4452" t="inlineStr">
        <is>
          <t>PR P0COST 000530 (PR) Summary</t>
        </is>
      </c>
      <c r="L4452" t="n">
        <v>0</v>
      </c>
      <c r="M4452" t="n">
        <v>0</v>
      </c>
      <c r="Q4452" s="114" t="n">
        <v>0</v>
      </c>
      <c r="R4452" s="114" t="n">
        <v>861.49</v>
      </c>
      <c r="S4452" s="114" t="n">
        <v>0</v>
      </c>
      <c r="T4452" t="n">
        <v>20</v>
      </c>
    </row>
    <row r="4453">
      <c r="A4453" t="inlineStr">
        <is>
          <t>ttJTrans</t>
        </is>
      </c>
      <c r="B4453" s="38" t="inlineStr">
        <is>
          <t>2-4205</t>
        </is>
      </c>
      <c r="C4453" t="inlineStr">
        <is>
          <t>LA</t>
        </is>
      </c>
      <c r="E4453" t="inlineStr">
        <is>
          <t>LA</t>
        </is>
      </c>
      <c r="H4453" s="127" t="n">
        <v>46156</v>
      </c>
      <c r="J4453" s="38" t="inlineStr">
        <is>
          <t>2-4205</t>
        </is>
      </c>
      <c r="K4453" t="inlineStr">
        <is>
          <t>PR P0COST 000530 (PR) Summary</t>
        </is>
      </c>
      <c r="L4453" t="n">
        <v>0</v>
      </c>
      <c r="M4453" t="n">
        <v>0</v>
      </c>
      <c r="Q4453" s="114" t="n">
        <v>0</v>
      </c>
      <c r="R4453" s="114" t="n">
        <v>861.49</v>
      </c>
      <c r="S4453" s="114" t="n">
        <v>0</v>
      </c>
      <c r="T4453" t="n">
        <v>20</v>
      </c>
    </row>
    <row r="4454">
      <c r="A4454" t="inlineStr">
        <is>
          <t>ttJTrans</t>
        </is>
      </c>
      <c r="B4454" s="38" t="inlineStr">
        <is>
          <t>2-4205</t>
        </is>
      </c>
      <c r="C4454" t="inlineStr">
        <is>
          <t>LA</t>
        </is>
      </c>
      <c r="E4454" t="inlineStr">
        <is>
          <t>LA</t>
        </is>
      </c>
      <c r="H4454" s="127" t="n">
        <v>46163</v>
      </c>
      <c r="J4454" s="38" t="inlineStr">
        <is>
          <t>2-4205</t>
        </is>
      </c>
      <c r="K4454" t="inlineStr">
        <is>
          <t>PR P0COST 000531 (PR) Summary</t>
        </is>
      </c>
      <c r="L4454" t="n">
        <v>0</v>
      </c>
      <c r="M4454" t="n">
        <v>0</v>
      </c>
      <c r="Q4454" s="114" t="n">
        <v>0</v>
      </c>
      <c r="R4454" s="114" t="n">
        <v>4759.41</v>
      </c>
      <c r="S4454" s="114" t="n">
        <v>0</v>
      </c>
      <c r="T4454" t="n">
        <v>85</v>
      </c>
    </row>
    <row r="4455">
      <c r="A4455" t="inlineStr">
        <is>
          <t>ttJTrans</t>
        </is>
      </c>
      <c r="B4455" s="38" t="inlineStr">
        <is>
          <t>2-4205</t>
        </is>
      </c>
      <c r="C4455" t="inlineStr">
        <is>
          <t>MA</t>
        </is>
      </c>
      <c r="D4455" t="inlineStr">
        <is>
          <t>MA1011245</t>
        </is>
      </c>
      <c r="E4455" t="inlineStr">
        <is>
          <t>MA</t>
        </is>
      </c>
      <c r="F4455" t="inlineStr">
        <is>
          <t>MA1011245</t>
        </is>
      </c>
      <c r="G4455" t="n">
        <v>46141</v>
      </c>
      <c r="H4455" s="127" t="n">
        <v>46149</v>
      </c>
      <c r="I4455" t="inlineStr">
        <is>
          <t>3</t>
        </is>
      </c>
      <c r="J4455" s="38" t="inlineStr">
        <is>
          <t>2-4205</t>
        </is>
      </c>
      <c r="K4455" t="inlineStr">
        <is>
          <t>SELECT FILL - SUBSTATION PAD</t>
        </is>
      </c>
      <c r="L4455" t="n">
        <v>40000</v>
      </c>
      <c r="M4455" t="n">
        <v>477300</v>
      </c>
      <c r="N4455" t="inlineStr">
        <is>
          <t>PO:COMMIT</t>
        </is>
      </c>
      <c r="O4455" t="inlineStr">
        <is>
          <t>21358</t>
        </is>
      </c>
      <c r="P4455" t="inlineStr">
        <is>
          <t>TEXAS GULF COAST AGGREGATES, LLC</t>
        </is>
      </c>
      <c r="Q4455" s="114" t="n">
        <v>0</v>
      </c>
      <c r="R4455" s="114" t="n">
        <v>0</v>
      </c>
      <c r="S4455" s="114" t="n">
        <v>477300</v>
      </c>
      <c r="T4455" t="n">
        <v>0</v>
      </c>
    </row>
    <row r="4456">
      <c r="A4456" t="inlineStr">
        <is>
          <t>ttJTrans</t>
        </is>
      </c>
      <c r="B4456" s="38" t="inlineStr">
        <is>
          <t>2-4209</t>
        </is>
      </c>
      <c r="C4456" t="inlineStr">
        <is>
          <t>ER</t>
        </is>
      </c>
      <c r="E4456" t="inlineStr">
        <is>
          <t>ER</t>
        </is>
      </c>
      <c r="H4456" s="127" t="n">
        <v>46152</v>
      </c>
      <c r="J4456" s="38" t="inlineStr">
        <is>
          <t>2-4209</t>
        </is>
      </c>
      <c r="K4456" t="inlineStr">
        <is>
          <t>RGR114 CATERPILLAR 150 AWD MOTOR GRADER CATERPILLAR 150 AWD MOTOR GRADER</t>
        </is>
      </c>
      <c r="L4456" t="n">
        <v>0</v>
      </c>
      <c r="M4456" t="n">
        <v>0</v>
      </c>
      <c r="O4456" t="inlineStr">
        <is>
          <t>RGR114</t>
        </is>
      </c>
      <c r="Q4456" s="114" t="n">
        <v>0</v>
      </c>
      <c r="R4456" s="114" t="n">
        <v>604.17</v>
      </c>
      <c r="S4456" s="114" t="n">
        <v>0</v>
      </c>
      <c r="T4456" t="n">
        <v>0</v>
      </c>
    </row>
    <row r="4457">
      <c r="A4457" t="inlineStr">
        <is>
          <t>ttJTrans</t>
        </is>
      </c>
      <c r="B4457" s="38" t="inlineStr">
        <is>
          <t>2-4209</t>
        </is>
      </c>
      <c r="C4457" t="inlineStr">
        <is>
          <t>ER</t>
        </is>
      </c>
      <c r="E4457" t="inlineStr">
        <is>
          <t>ER</t>
        </is>
      </c>
      <c r="H4457" s="127" t="n">
        <v>46152</v>
      </c>
      <c r="J4457" s="38" t="inlineStr">
        <is>
          <t>2-4209</t>
        </is>
      </c>
      <c r="K4457" t="inlineStr">
        <is>
          <t>REX665 330 CATERPILLAR EXCAVATOR 330 CATERPILLAR EXCAVATOR</t>
        </is>
      </c>
      <c r="L4457" t="n">
        <v>0</v>
      </c>
      <c r="M4457" t="n">
        <v>0</v>
      </c>
      <c r="O4457" t="inlineStr">
        <is>
          <t>REX665</t>
        </is>
      </c>
      <c r="Q4457" s="114" t="n">
        <v>0</v>
      </c>
      <c r="R4457" s="114" t="n">
        <v>458.33</v>
      </c>
      <c r="S4457" s="114" t="n">
        <v>0</v>
      </c>
      <c r="T4457" t="n">
        <v>0</v>
      </c>
    </row>
    <row r="4458">
      <c r="A4458" t="inlineStr">
        <is>
          <t>ttJTrans</t>
        </is>
      </c>
      <c r="B4458" s="38" t="inlineStr">
        <is>
          <t>2-4209</t>
        </is>
      </c>
      <c r="C4458" t="inlineStr">
        <is>
          <t>MA</t>
        </is>
      </c>
      <c r="D4458" t="inlineStr">
        <is>
          <t>MA1011242</t>
        </is>
      </c>
      <c r="E4458" t="inlineStr">
        <is>
          <t>MA</t>
        </is>
      </c>
      <c r="F4458" t="inlineStr">
        <is>
          <t>MA1011242</t>
        </is>
      </c>
      <c r="G4458" t="n">
        <v>46127</v>
      </c>
      <c r="H4458" s="127" t="n">
        <v>46127</v>
      </c>
      <c r="I4458" t="inlineStr">
        <is>
          <t>2</t>
        </is>
      </c>
      <c r="J4458" s="38" t="inlineStr">
        <is>
          <t>2-4209</t>
        </is>
      </c>
      <c r="K4458" t="inlineStr">
        <is>
          <t>24IN PAIRS 6:1 GALV END TREATM</t>
        </is>
      </c>
      <c r="L4458" t="n">
        <v>3</v>
      </c>
      <c r="M4458" t="n">
        <v>2014.65</v>
      </c>
      <c r="N4458" t="inlineStr">
        <is>
          <t>PO:COMMIT</t>
        </is>
      </c>
      <c r="O4458" t="inlineStr">
        <is>
          <t>12561</t>
        </is>
      </c>
      <c r="P4458" t="inlineStr">
        <is>
          <t>CROSS COUNTRY INFRASTRUCTURE SERVICES INC.</t>
        </is>
      </c>
      <c r="Q4458" s="114" t="n">
        <v>0</v>
      </c>
      <c r="R4458" s="114" t="n">
        <v>0</v>
      </c>
      <c r="S4458" s="114" t="n">
        <v>2014.65</v>
      </c>
      <c r="T4458" t="n">
        <v>0</v>
      </c>
    </row>
    <row r="4459">
      <c r="A4459" t="inlineStr">
        <is>
          <t>ttJTrans</t>
        </is>
      </c>
      <c r="B4459" s="38" t="inlineStr">
        <is>
          <t>2-4209</t>
        </is>
      </c>
      <c r="C4459" t="inlineStr">
        <is>
          <t>MA</t>
        </is>
      </c>
      <c r="D4459" t="inlineStr">
        <is>
          <t>MA1011242</t>
        </is>
      </c>
      <c r="E4459" t="inlineStr">
        <is>
          <t>MA</t>
        </is>
      </c>
      <c r="F4459" t="inlineStr">
        <is>
          <t>MA1011242</t>
        </is>
      </c>
      <c r="G4459" t="n">
        <v>46127</v>
      </c>
      <c r="H4459" s="127" t="n">
        <v>46127</v>
      </c>
      <c r="I4459" t="inlineStr">
        <is>
          <t>3</t>
        </is>
      </c>
      <c r="J4459" s="38" t="inlineStr">
        <is>
          <t>2-4209</t>
        </is>
      </c>
      <c r="K4459" t="inlineStr">
        <is>
          <t>24IN GALV BANDS</t>
        </is>
      </c>
      <c r="L4459" t="n">
        <v>6</v>
      </c>
      <c r="M4459" t="n">
        <v>599.4</v>
      </c>
      <c r="N4459" t="inlineStr">
        <is>
          <t>PO:COMMIT</t>
        </is>
      </c>
      <c r="O4459" t="inlineStr">
        <is>
          <t>12561</t>
        </is>
      </c>
      <c r="P4459" t="inlineStr">
        <is>
          <t>CROSS COUNTRY INFRASTRUCTURE SERVICES INC.</t>
        </is>
      </c>
      <c r="Q4459" s="114" t="n">
        <v>0</v>
      </c>
      <c r="R4459" s="114" t="n">
        <v>0</v>
      </c>
      <c r="S4459" s="114" t="n">
        <v>599.4</v>
      </c>
      <c r="T4459" t="n">
        <v>0</v>
      </c>
    </row>
    <row r="4460">
      <c r="A4460" t="inlineStr">
        <is>
          <t>ttJTrans</t>
        </is>
      </c>
      <c r="B4460" s="38" t="inlineStr">
        <is>
          <t>2-4209</t>
        </is>
      </c>
      <c r="C4460" t="inlineStr">
        <is>
          <t>MA</t>
        </is>
      </c>
      <c r="D4460" t="inlineStr">
        <is>
          <t>MA1011242</t>
        </is>
      </c>
      <c r="E4460" t="inlineStr">
        <is>
          <t>MA</t>
        </is>
      </c>
      <c r="F4460" t="inlineStr">
        <is>
          <t>MA1011242</t>
        </is>
      </c>
      <c r="G4460" t="n">
        <v>46127</v>
      </c>
      <c r="H4460" s="127" t="n">
        <v>46127</v>
      </c>
      <c r="I4460" t="inlineStr">
        <is>
          <t>1</t>
        </is>
      </c>
      <c r="J4460" s="38" t="inlineStr">
        <is>
          <t>2-4209</t>
        </is>
      </c>
      <c r="K4460" t="inlineStr">
        <is>
          <t>24IN X 30FT GALVANIZED CMP</t>
        </is>
      </c>
      <c r="L4460" t="n">
        <v>3</v>
      </c>
      <c r="M4460" t="n">
        <v>3496.5</v>
      </c>
      <c r="N4460" t="inlineStr">
        <is>
          <t>PO:COMMIT</t>
        </is>
      </c>
      <c r="O4460" t="inlineStr">
        <is>
          <t>12561</t>
        </is>
      </c>
      <c r="P4460" t="inlineStr">
        <is>
          <t>CROSS COUNTRY INFRASTRUCTURE SERVICES INC.</t>
        </is>
      </c>
      <c r="Q4460" s="114" t="n">
        <v>0</v>
      </c>
      <c r="R4460" s="114" t="n">
        <v>0</v>
      </c>
      <c r="S4460" s="114" t="n">
        <v>3496.5</v>
      </c>
      <c r="T4460" t="n">
        <v>0</v>
      </c>
    </row>
    <row r="4461">
      <c r="A4461" t="inlineStr">
        <is>
          <t>ttJTrans</t>
        </is>
      </c>
      <c r="B4461" s="38" t="inlineStr">
        <is>
          <t>2-4209</t>
        </is>
      </c>
      <c r="C4461" t="inlineStr">
        <is>
          <t>MA</t>
        </is>
      </c>
      <c r="D4461" t="inlineStr">
        <is>
          <t>MA1011245</t>
        </is>
      </c>
      <c r="E4461" t="inlineStr">
        <is>
          <t>MA</t>
        </is>
      </c>
      <c r="F4461" t="inlineStr">
        <is>
          <t>MA1011245</t>
        </is>
      </c>
      <c r="G4461" t="n">
        <v>46141</v>
      </c>
      <c r="H4461" s="127" t="n">
        <v>46149</v>
      </c>
      <c r="I4461" t="inlineStr">
        <is>
          <t>2</t>
        </is>
      </c>
      <c r="J4461" s="38" t="inlineStr">
        <is>
          <t>2-4209</t>
        </is>
      </c>
      <c r="K4461" t="inlineStr">
        <is>
          <t>AGGREGATE - SUBSTAITON ROADS - TXDOT BASE</t>
        </is>
      </c>
      <c r="L4461" t="n">
        <v>5000</v>
      </c>
      <c r="M4461" t="n">
        <v>237262.5</v>
      </c>
      <c r="N4461" t="inlineStr">
        <is>
          <t>PO:COMMIT</t>
        </is>
      </c>
      <c r="O4461" t="inlineStr">
        <is>
          <t>21358</t>
        </is>
      </c>
      <c r="P4461" t="inlineStr">
        <is>
          <t>TEXAS GULF COAST AGGREGATES, LLC</t>
        </is>
      </c>
      <c r="Q4461" s="114" t="n">
        <v>0</v>
      </c>
      <c r="R4461" s="114" t="n">
        <v>0</v>
      </c>
      <c r="S4461" s="114" t="n">
        <v>237262.5</v>
      </c>
      <c r="T4461" t="n">
        <v>0</v>
      </c>
    </row>
    <row r="4462">
      <c r="A4462" t="inlineStr">
        <is>
          <t>ttJTrans</t>
        </is>
      </c>
      <c r="B4462" s="38" t="inlineStr">
        <is>
          <t>2-4209</t>
        </is>
      </c>
      <c r="C4462" t="inlineStr">
        <is>
          <t>OC</t>
        </is>
      </c>
      <c r="D4462" t="inlineStr">
        <is>
          <t>MA1011242</t>
        </is>
      </c>
      <c r="E4462" t="inlineStr">
        <is>
          <t>OC</t>
        </is>
      </c>
      <c r="F4462" t="inlineStr">
        <is>
          <t>MA1011242</t>
        </is>
      </c>
      <c r="G4462" t="n">
        <v>46127</v>
      </c>
      <c r="H4462" s="127" t="n">
        <v>46127</v>
      </c>
      <c r="I4462" t="inlineStr">
        <is>
          <t>4</t>
        </is>
      </c>
      <c r="J4462" s="38" t="inlineStr">
        <is>
          <t>2-4209</t>
        </is>
      </c>
      <c r="K4462" t="inlineStr">
        <is>
          <t>FREIGHT</t>
        </is>
      </c>
      <c r="L4462" t="n">
        <v>1</v>
      </c>
      <c r="M4462" t="n">
        <v>666</v>
      </c>
      <c r="N4462" t="inlineStr">
        <is>
          <t>PO:COMMIT</t>
        </is>
      </c>
      <c r="O4462" t="inlineStr">
        <is>
          <t>12561</t>
        </is>
      </c>
      <c r="P4462" t="inlineStr">
        <is>
          <t>CROSS COUNTRY INFRASTRUCTURE SERVICES INC.</t>
        </is>
      </c>
      <c r="Q4462" s="114" t="n">
        <v>0</v>
      </c>
      <c r="R4462" s="114" t="n">
        <v>0</v>
      </c>
      <c r="S4462" s="114" t="n">
        <v>666</v>
      </c>
      <c r="T4462" t="n">
        <v>0</v>
      </c>
    </row>
    <row r="4463">
      <c r="A4463" t="inlineStr">
        <is>
          <t>ttJTrans</t>
        </is>
      </c>
      <c r="B4463" s="38" t="inlineStr">
        <is>
          <t>2-4209</t>
        </is>
      </c>
      <c r="C4463" t="inlineStr">
        <is>
          <t>OC</t>
        </is>
      </c>
      <c r="E4463" t="inlineStr">
        <is>
          <t>OC</t>
        </is>
      </c>
      <c r="H4463" s="127" t="n">
        <v>46113</v>
      </c>
      <c r="J4463" s="38" t="inlineStr">
        <is>
          <t>2-4209</t>
        </is>
      </c>
      <c r="K4463" t="inlineStr">
        <is>
          <t>SUNROPER LLC SUBSTATION 6922 S SH 60 HWY</t>
        </is>
      </c>
      <c r="L4463" t="n">
        <v>0</v>
      </c>
      <c r="M4463" t="n">
        <v>0</v>
      </c>
      <c r="O4463" t="inlineStr">
        <is>
          <t>21409</t>
        </is>
      </c>
      <c r="P4463" t="inlineStr">
        <is>
          <t>COUNTY OF WHARTON</t>
        </is>
      </c>
      <c r="Q4463" s="114" t="n">
        <v>0</v>
      </c>
      <c r="R4463" s="114" t="n">
        <v>500</v>
      </c>
      <c r="S4463" s="114" t="n">
        <v>0</v>
      </c>
      <c r="T4463" t="n">
        <v>0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</t>
        </is>
      </c>
      <c r="B1" t="inlineStr">
        <is>
          <t>EAC</t>
        </is>
      </c>
      <c r="C1" t="inlineStr">
        <is>
          <t>CTD</t>
        </is>
      </c>
      <c r="E1" t="inlineStr">
        <is>
          <t>Category</t>
        </is>
      </c>
      <c r="F1" t="inlineStr">
        <is>
          <t>EAC</t>
        </is>
      </c>
      <c r="G1" t="inlineStr">
        <is>
          <t>Remaining</t>
        </is>
      </c>
      <c r="I1" t="inlineStr">
        <is>
          <t>Cost Code</t>
        </is>
      </c>
      <c r="J1" t="inlineStr">
        <is>
          <t>Remaining</t>
        </is>
      </c>
      <c r="L1" t="inlineStr">
        <is>
          <t>Type</t>
        </is>
      </c>
      <c r="M1" t="inlineStr">
        <is>
          <t>Amount</t>
        </is>
      </c>
    </row>
    <row r="2">
      <c r="A2" t="inlineStr">
        <is>
          <t>0-4004-01</t>
        </is>
      </c>
      <c r="B2" t="n">
        <v>38327781</v>
      </c>
      <c r="C2" t="n">
        <v>46723601</v>
      </c>
      <c r="E2" t="inlineStr">
        <is>
          <t>Subcontract</t>
        </is>
      </c>
      <c r="F2" t="n">
        <v>14580960</v>
      </c>
      <c r="G2" t="n">
        <v>13136607</v>
      </c>
      <c r="I2" t="inlineStr">
        <is>
          <t>0-4004-08</t>
        </is>
      </c>
      <c r="J2" t="n">
        <v>11679119</v>
      </c>
      <c r="L2" t="inlineStr">
        <is>
          <t>Actuals</t>
        </is>
      </c>
      <c r="M2" t="n">
        <v>21642147</v>
      </c>
    </row>
    <row r="3">
      <c r="A3" t="inlineStr">
        <is>
          <t>0-4004-05</t>
        </is>
      </c>
      <c r="B3" t="n">
        <v>21422369</v>
      </c>
      <c r="C3" t="n">
        <v>20543723</v>
      </c>
      <c r="E3" t="inlineStr">
        <is>
          <t>Other Costs</t>
        </is>
      </c>
      <c r="F3" t="n">
        <v>16902218</v>
      </c>
      <c r="G3" t="n">
        <v>2453238</v>
      </c>
      <c r="I3" t="inlineStr">
        <is>
          <t>0-4013</t>
        </is>
      </c>
      <c r="J3" t="n">
        <v>4883702</v>
      </c>
      <c r="L3" t="inlineStr">
        <is>
          <t>Accrued</t>
        </is>
      </c>
      <c r="M3" t="n">
        <v>26722</v>
      </c>
    </row>
    <row r="4">
      <c r="A4" t="inlineStr">
        <is>
          <t>0-4004-02</t>
        </is>
      </c>
      <c r="B4" t="n">
        <v>16780788</v>
      </c>
      <c r="C4" t="n">
        <v>21943590</v>
      </c>
      <c r="E4" t="inlineStr">
        <is>
          <t>Materials</t>
        </is>
      </c>
      <c r="F4" t="n">
        <v>88275636</v>
      </c>
      <c r="G4" t="n">
        <v>7595481</v>
      </c>
      <c r="I4" t="inlineStr">
        <is>
          <t>0-4008</t>
        </is>
      </c>
      <c r="J4" t="n">
        <v>2245561</v>
      </c>
      <c r="L4" t="inlineStr">
        <is>
          <t>Committed</t>
        </is>
      </c>
      <c r="M4" t="n">
        <v>74904618</v>
      </c>
    </row>
    <row r="5">
      <c r="A5" t="inlineStr">
        <is>
          <t>0-4004-08</t>
        </is>
      </c>
      <c r="B5" t="n">
        <v>11679119</v>
      </c>
      <c r="C5" t="n">
        <v>0</v>
      </c>
      <c r="I5" t="inlineStr">
        <is>
          <t>0-4004-07</t>
        </is>
      </c>
      <c r="J5" t="n">
        <v>1987506</v>
      </c>
    </row>
    <row r="6">
      <c r="A6" t="inlineStr">
        <is>
          <t>0-4013</t>
        </is>
      </c>
      <c r="B6" t="n">
        <v>4883702</v>
      </c>
      <c r="C6" t="n">
        <v>0</v>
      </c>
      <c r="I6" t="inlineStr">
        <is>
          <t>0-4505</t>
        </is>
      </c>
      <c r="J6" t="n">
        <v>1958337</v>
      </c>
    </row>
    <row r="7">
      <c r="A7" t="inlineStr">
        <is>
          <t>0-4109</t>
        </is>
      </c>
      <c r="B7" t="n">
        <v>3249926</v>
      </c>
      <c r="C7" t="n">
        <v>1993005</v>
      </c>
      <c r="I7" t="inlineStr">
        <is>
          <t>0-4004-10</t>
        </is>
      </c>
      <c r="J7" t="n">
        <v>1899840</v>
      </c>
    </row>
    <row r="8">
      <c r="A8" t="inlineStr">
        <is>
          <t>0-4024</t>
        </is>
      </c>
      <c r="B8" t="n">
        <v>2800000</v>
      </c>
      <c r="C8" t="n">
        <v>1380960</v>
      </c>
      <c r="I8" t="inlineStr">
        <is>
          <t>0-4010</t>
        </is>
      </c>
      <c r="J8" t="n">
        <v>1855763</v>
      </c>
    </row>
    <row r="9">
      <c r="A9" t="inlineStr">
        <is>
          <t>0-4008</t>
        </is>
      </c>
      <c r="B9" t="n">
        <v>2425248</v>
      </c>
      <c r="C9" t="n">
        <v>179686</v>
      </c>
      <c r="I9" t="inlineStr">
        <is>
          <t>0-4013-01</t>
        </is>
      </c>
      <c r="J9" t="n">
        <v>1800000</v>
      </c>
    </row>
    <row r="10">
      <c r="A10" t="inlineStr">
        <is>
          <t>0-4004-07</t>
        </is>
      </c>
      <c r="B10" t="n">
        <v>1987506</v>
      </c>
      <c r="C10" t="n">
        <v>0</v>
      </c>
      <c r="I10" t="inlineStr">
        <is>
          <t>0-4029</t>
        </is>
      </c>
      <c r="J10" t="n">
        <v>1680000</v>
      </c>
    </row>
    <row r="11">
      <c r="A11" t="inlineStr">
        <is>
          <t>0-4505</t>
        </is>
      </c>
      <c r="B11" t="n">
        <v>1958337</v>
      </c>
      <c r="C11" t="n">
        <v>0</v>
      </c>
      <c r="I11" t="inlineStr">
        <is>
          <t>0-4004-06</t>
        </is>
      </c>
      <c r="J11" t="n">
        <v>1624884</v>
      </c>
    </row>
    <row r="12">
      <c r="A12" t="inlineStr">
        <is>
          <t>0-4004-10</t>
        </is>
      </c>
      <c r="B12" t="n">
        <v>1936306</v>
      </c>
      <c r="C12" t="n">
        <v>36466</v>
      </c>
    </row>
    <row r="13">
      <c r="A13" t="inlineStr">
        <is>
          <t>0-4010</t>
        </is>
      </c>
      <c r="B13" t="n">
        <v>1835126</v>
      </c>
      <c r="C13" t="n">
        <v>-20637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Rodriguez</dc:creator>
  <dcterms:created xmlns:dcterms="http://purl.org/dc/terms/" xmlns:xsi="http://www.w3.org/2001/XMLSchema-instance" xsi:type="dcterms:W3CDTF">2026-06-08T14:46:11Z</dcterms:created>
  <dcterms:modified xmlns:dcterms="http://purl.org/dc/terms/" xmlns:xsi="http://www.w3.org/2001/XMLSchema-instance" xsi:type="dcterms:W3CDTF">2026-06-08T21:20:51Z</dcterms:modified>
  <cp:lastModifiedBy>Matthew Rodriguez</cp:lastModifiedBy>
</cp:coreProperties>
</file>